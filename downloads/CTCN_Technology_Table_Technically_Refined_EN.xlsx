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af0bd4c11e424f" /></Relationships>
</file>

<file path=xl/workbook.xml><?xml version="1.0" encoding="utf-8"?>
<x:workbook xmlns:x="http://schemas.openxmlformats.org/spreadsheetml/2006/main">
  <x:sheets>
    <x:sheet xmlns:r="http://schemas.openxmlformats.org/officeDocument/2006/relationships" name="01_Full_table" sheetId="1" r:id="R86d74f8ae79a4d52"/>
    <x:sheet xmlns:r="http://schemas.openxmlformats.org/officeDocument/2006/relationships" name="02_Mitigation" sheetId="2" r:id="Re2d52e51b6a44edc"/>
    <x:sheet xmlns:r="http://schemas.openxmlformats.org/officeDocument/2006/relationships" name="03_Adaptation" sheetId="3" r:id="R2f7a977dce004976"/>
    <x:sheet xmlns:r="http://schemas.openxmlformats.org/officeDocument/2006/relationships" name="04_Methodology" sheetId="4" r:id="R14b2ed5b72084cd6"/>
    <x:sheet xmlns:r="http://schemas.openxmlformats.org/officeDocument/2006/relationships" name="05_Sources" sheetId="5" r:id="R4ace668bf0e44209"/>
    <x:sheet xmlns:r="http://schemas.openxmlformats.org/officeDocument/2006/relationships" name="06_Quality_control" sheetId="6" r:id="Rc2646d83f6264958"/>
    <x:sheet xmlns:r="http://schemas.openxmlformats.org/officeDocument/2006/relationships" name="07_Lists" sheetId="7" r:id="Re0aebafb5d564618"/>
    <x:sheet xmlns:r="http://schemas.openxmlformats.org/officeDocument/2006/relationships" name="08_Technology_raw_material" sheetId="8" r:id="Re2f6043368d04d0e"/>
    <x:sheet xmlns:r="http://schemas.openxmlformats.org/officeDocument/2006/relationships" name="09_Raw_material_map" sheetId="9" r:id="Rcacc576ca07c46c9"/>
    <x:sheet xmlns:r="http://schemas.openxmlformats.org/officeDocument/2006/relationships" name="10_Raw_material_catalogue" sheetId="10" r:id="R8ba0a3b1384149a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1"/>
      <x:color rgb="FFFFFFFF"/>
      <x:name val="Carlito"/>
    </x:font>
    <x:font>
      <x:i/>
      <x:sz val="11"/>
      <x:color rgb="FF27465A"/>
      <x:name val="Carlito"/>
    </x:font>
    <x:font>
      <x:b/>
      <x:sz val="11"/>
      <x:color rgb="FF111111"/>
      <x:name val="Carlito"/>
    </x:font>
    <x:font>
      <x:b/>
      <x:sz val="11"/>
      <x:color rgb="FF27465A"/>
      <x:name val="Carlito"/>
    </x:font>
    <x:font>
      <x:b/>
      <x:sz val="11"/>
      <x:color rgb="FF263746"/>
      <x:name val="Carlito"/>
    </x:font>
  </x:fonts>
  <x:fills count="18">
    <x:fill>
      <x:patternFill patternType="none"/>
    </x:fill>
    <x:fill>
      <x:patternFill patternType="gray125"/>
    </x:fill>
    <x:fill>
      <x:patternFill patternType="solid">
        <x:fgColor rgb="FF123047"/>
      </x:patternFill>
    </x:fill>
    <x:fill>
      <x:patternFill patternType="solid">
        <x:fgColor rgb="FFE8F1F8"/>
      </x:patternFill>
    </x:fill>
    <x:fill>
      <x:patternFill patternType="solid">
        <x:fgColor rgb="FF2B7A78"/>
      </x:patternFill>
    </x:fill>
    <x:fill>
      <x:patternFill patternType="solid">
        <x:fgColor rgb="FF6A1B9A"/>
      </x:patternFill>
    </x:fill>
    <x:fill>
      <x:patternFill patternType="solid">
        <x:fgColor rgb="FFEF6C00"/>
      </x:patternFill>
    </x:fill>
    <x:fill>
      <x:patternFill patternType="solid">
        <x:fgColor rgb="FF425C68"/>
      </x:patternFill>
    </x:fill>
    <x:fill>
      <x:patternFill patternType="solid">
        <x:fgColor rgb="FFFFEB00"/>
      </x:patternFill>
    </x:fill>
    <x:fill>
      <x:patternFill patternType="solid">
        <x:fgColor rgb="FF008A78"/>
      </x:patternFill>
    </x:fill>
    <x:fill>
      <x:patternFill patternType="solid">
        <x:fgColor rgb="FF2E7D32"/>
      </x:patternFill>
    </x:fill>
    <x:fill>
      <x:patternFill patternType="solid">
        <x:fgColor rgb="FF1565C0"/>
      </x:patternFill>
    </x:fill>
    <x:fill>
      <x:patternFill patternType="solid">
        <x:fgColor rgb="FF4D9A8A"/>
      </x:patternFill>
    </x:fill>
    <x:fill>
      <x:patternFill patternType="solid">
        <x:fgColor rgb="FF8E63A9"/>
      </x:patternFill>
    </x:fill>
    <x:fill>
      <x:patternFill patternType="solid">
        <x:fgColor rgb="FFE59442"/>
      </x:patternFill>
    </x:fill>
    <x:fill>
      <x:patternFill patternType="solid">
        <x:fgColor rgb="FF2C5D73"/>
      </x:patternFill>
    </x:fill>
    <x:fill>
      <x:patternFill patternType="solid">
        <x:fgColor rgb="FF2D6F86"/>
      </x:patternFill>
    </x:fill>
    <x:fill>
      <x:patternFill patternType="solid">
        <x:fgColor rgb="FFE6EEF7"/>
      </x:patternFill>
    </x:fill>
  </x:fills>
  <x:borders count="10">
    <x:border/>
    <x:border>
      <x:right style="thin">
        <x:color rgb="FFD5E2EA"/>
      </x:right>
      <x:bottom style="thin">
        <x:color rgb="FFD5E2EA"/>
      </x:bottom>
    </x:border>
    <x:border>
      <x:left style="thin">
        <x:color rgb="FFD5E2EA"/>
      </x:left>
      <x:right style="thin">
        <x:color rgb="FFD5E2EA"/>
      </x:right>
      <x:bottom style="thin">
        <x:color rgb="FFD5E2EA"/>
      </x:bottom>
    </x:border>
    <x:border>
      <x:left style="thin">
        <x:color rgb="FFD5E2EA"/>
      </x:left>
      <x:bottom style="thin">
        <x:color rgb="FFD5E2EA"/>
      </x:bottom>
    </x:border>
    <x:border>
      <x:right style="thin">
        <x:color rgb="FFD5E2EA"/>
      </x:right>
      <x:top style="thin">
        <x:color rgb="FFD5E2EA"/>
      </x:top>
      <x:bottom style="thin">
        <x:color rgb="FFD5E2EA"/>
      </x:bottom>
    </x:border>
    <x:border>
      <x:left style="thin">
        <x:color rgb="FFD5E2EA"/>
      </x:left>
      <x:right style="thin">
        <x:color rgb="FFD5E2EA"/>
      </x:right>
      <x:top style="thin">
        <x:color rgb="FFD5E2EA"/>
      </x:top>
      <x:bottom style="thin">
        <x:color rgb="FFD5E2EA"/>
      </x:bottom>
    </x:border>
    <x:border>
      <x:left style="thin">
        <x:color rgb="FFD5E2EA"/>
      </x:left>
      <x:top style="thin">
        <x:color rgb="FFD5E2EA"/>
      </x:top>
      <x:bottom style="thin">
        <x:color rgb="FFD5E2EA"/>
      </x:bottom>
    </x:border>
    <x:border>
      <x:right style="thin">
        <x:color rgb="FFD5E2EA"/>
      </x:right>
      <x:top style="thin">
        <x:color rgb="FFD5E2EA"/>
      </x:top>
    </x:border>
    <x:border>
      <x:left style="thin">
        <x:color rgb="FFD5E2EA"/>
      </x:left>
      <x:right style="thin">
        <x:color rgb="FFD5E2EA"/>
      </x:right>
      <x:top style="thin">
        <x:color rgb="FFD5E2EA"/>
      </x:top>
    </x:border>
    <x:border>
      <x:left style="thin">
        <x:color rgb="FFD5E2EA"/>
      </x:left>
      <x:top style="thin">
        <x:color rgb="FFD5E2EA"/>
      </x:top>
    </x:border>
  </x:borders>
  <x:cellStyleXfs count="1">
    <x:xf numFmtId="0" fontId="0" fillId="0" borderId="0"/>
  </x:cellStyleXfs>
  <x:cellXfs count="101">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1" fillId="2" borderId="0" xfId="0" applyNumberFormat="1" applyFont="1" applyFill="1" applyBorder="1" applyAlignment="1">
      <x:alignment vertical="center"/>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0" fillId="16" borderId="0" xfId="0" applyNumberFormat="1" applyFont="1" applyFill="1" applyBorder="1" applyAlignment="1">
      <x:alignment vertical="top" wrapText="1"/>
    </x:xf>
    <x:xf numFmtId="0" fontId="1" fillId="16"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7" borderId="0" xfId="0" applyNumberFormat="1" applyFont="1" applyFill="1" applyBorder="1" applyAlignment="1">
      <x:alignment horizontal="center"/>
    </x:xf>
    <x:xf numFmtId="0" fontId="0" fillId="16" borderId="0" xfId="0" applyNumberFormat="1" applyFont="1" applyFill="1" applyBorder="1" applyAlignment="1">
      <x:alignment wrapText="1"/>
    </x:xf>
    <x:xf numFmtId="0" fontId="1" fillId="9" borderId="0" xfId="0" applyNumberFormat="1" applyFont="1" applyFill="1" applyBorder="1" applyAlignment="1">
      <x:alignment horizontal="center"/>
    </x:xf>
    <x:xf numFmtId="0" fontId="0" fillId="17" borderId="0" xfId="0" applyNumberFormat="1" applyFont="1" applyFill="1" applyBorder="1"/>
    <x:xf numFmtId="0" fontId="5" fillId="17" borderId="0"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43671f15eb4fd0" /><Relationship Type="http://schemas.openxmlformats.org/officeDocument/2006/relationships/theme" Target="/xl/theme/theme1.xml" Id="Rdcd998173b274bfb" /><Relationship Type="http://schemas.openxmlformats.org/officeDocument/2006/relationships/sharedStrings" Target="/xl/sharedStrings.xml" Id="R4c4f093c81a241e5" /><Relationship Type="http://schemas.openxmlformats.org/officeDocument/2006/relationships/worksheet" Target="/xl/worksheets/sheet1.xml" Id="R86d74f8ae79a4d52" /><Relationship Type="http://schemas.openxmlformats.org/officeDocument/2006/relationships/worksheet" Target="/xl/worksheets/sheet2.xml" Id="Re2d52e51b6a44edc" /><Relationship Type="http://schemas.openxmlformats.org/officeDocument/2006/relationships/worksheet" Target="/xl/worksheets/sheet3.xml" Id="R2f7a977dce004976" /><Relationship Type="http://schemas.openxmlformats.org/officeDocument/2006/relationships/worksheet" Target="/xl/worksheets/sheet4.xml" Id="R14b2ed5b72084cd6" /><Relationship Type="http://schemas.openxmlformats.org/officeDocument/2006/relationships/worksheet" Target="/xl/worksheets/sheet5.xml" Id="R4ace668bf0e44209" /><Relationship Type="http://schemas.openxmlformats.org/officeDocument/2006/relationships/worksheet" Target="/xl/worksheets/sheet6.xml" Id="Rc2646d83f6264958" /><Relationship Type="http://schemas.openxmlformats.org/officeDocument/2006/relationships/worksheet" Target="/xl/worksheets/sheet7.xml" Id="Re0aebafb5d564618" /><Relationship Type="http://schemas.openxmlformats.org/officeDocument/2006/relationships/worksheet" Target="/xl/worksheets/sheet8.xml" Id="Re2f6043368d04d0e" /><Relationship Type="http://schemas.openxmlformats.org/officeDocument/2006/relationships/worksheet" Target="/xl/worksheets/sheet9.xml" Id="Rcacc576ca07c46c9" /><Relationship Type="http://schemas.openxmlformats.org/officeDocument/2006/relationships/worksheet" Target="/xl/worksheets/sheet10.xml" Id="R8ba0a3b1384149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d7487a699738432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Distribution of CTCN records</a:t>
            </a:r>
          </a:p>
        </c:rich>
      </c:tx>
      <c:overlay val="0"/>
    </c:title>
    <c:plotArea>
      <c:pieChart>
        <c:ser>
          <c:idx val="0"/>
          <c:order val="0"/>
          <c:tx>
            <c:v>Records</c:v>
          </c:tx>
          <c:cat>
            <c:strRef>
              <c:f>'06_Quality_control'!$D$5:$D$6</c:f>
              <c:strCache>
                <c:ptCount val="0"/>
              </c:strCache>
            </c:strRef>
          </c:cat>
          <c:val>
            <c:numRef>
              <c:f>'06_Quality_control'!$E$5:$E$6</c:f>
              <c:numCache>
                <c:formatCode>General</c:formatCode>
                <c:ptCount val="0"/>
              </c:numCache>
            </c:numRef>
          </c:val>
        </c:ser>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10</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487a699738432b"/>
        </a:graphicData>
      </a:graphic>
    </xdr:graphicFrame>
    <xdr:clientData/>
  </xdr:twoCellAnchor>
</xdr:wsDr>
</file>

<file path=xl/tables/table1.xml><?xml version="1.0" encoding="utf-8"?>
<x:table xmlns:x="http://schemas.openxmlformats.org/spreadsheetml/2006/main" id="1" name="CompleteTechnologyTable" displayName="CompleteTechnologyTable" ref="A7:AR465" headerRowCount="1" totalsRowCount="0" totalsRowShown="0">
  <x:autoFilter ref="A7:AR465"/>
  <x:tableColumns count="44">
    <x:tableColumn id="1" name="technology_id"/>
    <x:tableColumn id="2" name="CTCN branch"/>
    <x:tableColumn id="3" name="A. Sector (CTCN)"/>
    <x:tableColumn id="4" name="B. Technology group (CTCN)"/>
    <x:tableColumn id="5" name="C. Technology (CTCN)"/>
    <x:tableColumn id="6" name="Technology description / function"/>
    <x:tableColumn id="7" name="Flexible / fixed"/>
    <x:tableColumn id="8" name="Technical justification — flexible / fixed"/>
    <x:tableColumn id="9" name="Hard / soft"/>
    <x:tableColumn id="10" name="Technical justification — hard / soft"/>
    <x:tableColumn id="11" name="Equipment / operation / product"/>
    <x:tableColumn id="12" name="Technical justification — equipment / operation / product"/>
    <x:tableColumn id="13" name="Clean technology"/>
    <x:tableColumn id="14" name="Technical justification — clean technology"/>
    <x:tableColumn id="15" name="Hardware"/>
    <x:tableColumn id="16" name="Software"/>
    <x:tableColumn id="17" name="Orgware"/>
    <x:tableColumn id="18" name="Associated infrastructure"/>
    <x:tableColumn id="19" name="Energy carriers"/>
    <x:tableColumn id="20" name="Raw materials and inputs"/>
    <x:tableColumn id="21" name="Supplies and spare parts"/>
    <x:tableColumn id="22" name="CTCN source"/>
    <x:tableColumn id="23" name="Typology source"/>
    <x:tableColumn id="24" name="IIASA source"/>
    <x:tableColumn id="25" name="Additional technical sources"/>
    <x:tableColumn id="26" name="Observations"/>
    <x:tableColumn id="27" name="Hardware — infrastructure"/>
    <x:tableColumn id="28" name="Hardware — energy"/>
    <x:tableColumn id="29" name="Hardware — materials and inputs"/>
    <x:tableColumn id="30" name="Hardware — supplies and spare parts"/>
    <x:tableColumn id="31" name="Software — infrastructure"/>
    <x:tableColumn id="32" name="Software — energy"/>
    <x:tableColumn id="33" name="Software — materials and inputs"/>
    <x:tableColumn id="34" name="Software — supplies and spare parts"/>
    <x:tableColumn id="35" name="Orgware — infrastructure"/>
    <x:tableColumn id="36" name="Orgware — energy"/>
    <x:tableColumn id="37" name="Orgware — materials and inputs"/>
    <x:tableColumn id="38" name="Orgware — supplies and spare parts"/>
    <x:tableColumn id="39" name="Identified critical / strategic raw materials"/>
    <x:tableColumn id="40" name="Main extraction / production countries"/>
    <x:tableColumn id="41" name="Main refining / processing countries"/>
    <x:tableColumn id="42" name="Geographic and traceability note"/>
    <x:tableColumn id="43" name="Geographic reference year"/>
    <x:tableColumn id="44" name="Raw-material and country source"/>
  </x:tableColumns>
  <x:tableStyleInfo name="TableStyleMedium2" showFirstColumn="0" showLastColumn="0" showRowStripes="1" showColumnStripes="0"/>
</x:table>
</file>

<file path=xl/tables/table2.xml><?xml version="1.0" encoding="utf-8"?>
<x:table xmlns:x="http://schemas.openxmlformats.org/spreadsheetml/2006/main" id="2" name="MitigationTechnologyTable" displayName="MitigationTechnologyTable" ref="A7:AR270" headerRowCount="1" totalsRowCount="0" totalsRowShown="0">
  <x:autoFilter ref="A7:AR270"/>
  <x:tableColumns count="44">
    <x:tableColumn id="1" name="technology_id"/>
    <x:tableColumn id="2" name="CTCN branch"/>
    <x:tableColumn id="3" name="A. Sector (CTCN)"/>
    <x:tableColumn id="4" name="B. Technology group (CTCN)"/>
    <x:tableColumn id="5" name="C. Technology (CTCN)"/>
    <x:tableColumn id="6" name="Technology description / function"/>
    <x:tableColumn id="7" name="Flexible / fixed"/>
    <x:tableColumn id="8" name="Technical justification — flexible / fixed"/>
    <x:tableColumn id="9" name="Hard / soft"/>
    <x:tableColumn id="10" name="Technical justification — hard / soft"/>
    <x:tableColumn id="11" name="Equipment / operation / product"/>
    <x:tableColumn id="12" name="Technical justification — equipment / operation / product"/>
    <x:tableColumn id="13" name="Clean technology"/>
    <x:tableColumn id="14" name="Technical justification — clean technology"/>
    <x:tableColumn id="15" name="Hardware"/>
    <x:tableColumn id="16" name="Software"/>
    <x:tableColumn id="17" name="Orgware"/>
    <x:tableColumn id="18" name="Associated infrastructure"/>
    <x:tableColumn id="19" name="Energy carriers"/>
    <x:tableColumn id="20" name="Raw materials and inputs"/>
    <x:tableColumn id="21" name="Supplies and spare parts"/>
    <x:tableColumn id="22" name="CTCN source"/>
    <x:tableColumn id="23" name="Typology source"/>
    <x:tableColumn id="24" name="IIASA source"/>
    <x:tableColumn id="25" name="Additional technical sources"/>
    <x:tableColumn id="26" name="Observations"/>
    <x:tableColumn id="27" name="Hardware — infrastructure"/>
    <x:tableColumn id="28" name="Hardware — energy"/>
    <x:tableColumn id="29" name="Hardware — materials and inputs"/>
    <x:tableColumn id="30" name="Hardware — supplies and spare parts"/>
    <x:tableColumn id="31" name="Software — infrastructure"/>
    <x:tableColumn id="32" name="Software — energy"/>
    <x:tableColumn id="33" name="Software — materials and inputs"/>
    <x:tableColumn id="34" name="Software — supplies and spare parts"/>
    <x:tableColumn id="35" name="Orgware — infrastructure"/>
    <x:tableColumn id="36" name="Orgware — energy"/>
    <x:tableColumn id="37" name="Orgware — materials and inputs"/>
    <x:tableColumn id="38" name="Orgware — supplies and spare parts"/>
    <x:tableColumn id="39" name="Identified critical / strategic raw materials"/>
    <x:tableColumn id="40" name="Main extraction / production countries"/>
    <x:tableColumn id="41" name="Main refining / processing countries"/>
    <x:tableColumn id="42" name="Geographic and traceability note"/>
    <x:tableColumn id="43" name="Geographic reference year"/>
    <x:tableColumn id="44" name="Raw-material and country source"/>
  </x:tableColumns>
  <x:tableStyleInfo name="TableStyleMedium2" showFirstColumn="0" showLastColumn="0" showRowStripes="1" showColumnStripes="0"/>
</x:table>
</file>

<file path=xl/tables/table3.xml><?xml version="1.0" encoding="utf-8"?>
<x:table xmlns:x="http://schemas.openxmlformats.org/spreadsheetml/2006/main" id="3" name="AdaptationTechnologyTable" displayName="AdaptationTechnologyTable" ref="A7:AR202" headerRowCount="1" totalsRowCount="0" totalsRowShown="0">
  <x:autoFilter ref="A7:AR202"/>
  <x:tableColumns count="44">
    <x:tableColumn id="1" name="technology_id"/>
    <x:tableColumn id="2" name="CTCN branch"/>
    <x:tableColumn id="3" name="A. Sector (CTCN)"/>
    <x:tableColumn id="4" name="B. Technology group (CTCN)"/>
    <x:tableColumn id="5" name="C. Technology (CTCN)"/>
    <x:tableColumn id="6" name="Technology description / function"/>
    <x:tableColumn id="7" name="Flexible / fixed"/>
    <x:tableColumn id="8" name="Technical justification — flexible / fixed"/>
    <x:tableColumn id="9" name="Hard / soft"/>
    <x:tableColumn id="10" name="Technical justification — hard / soft"/>
    <x:tableColumn id="11" name="Equipment / operation / product"/>
    <x:tableColumn id="12" name="Technical justification — equipment / operation / product"/>
    <x:tableColumn id="13" name="Clean technology"/>
    <x:tableColumn id="14" name="Technical justification — clean technology"/>
    <x:tableColumn id="15" name="Hardware"/>
    <x:tableColumn id="16" name="Software"/>
    <x:tableColumn id="17" name="Orgware"/>
    <x:tableColumn id="18" name="Associated infrastructure"/>
    <x:tableColumn id="19" name="Energy carriers"/>
    <x:tableColumn id="20" name="Raw materials and inputs"/>
    <x:tableColumn id="21" name="Supplies and spare parts"/>
    <x:tableColumn id="22" name="CTCN source"/>
    <x:tableColumn id="23" name="Typology source"/>
    <x:tableColumn id="24" name="IIASA source"/>
    <x:tableColumn id="25" name="Additional technical sources"/>
    <x:tableColumn id="26" name="Observations"/>
    <x:tableColumn id="27" name="Hardware — infrastructure"/>
    <x:tableColumn id="28" name="Hardware — energy"/>
    <x:tableColumn id="29" name="Hardware — materials and inputs"/>
    <x:tableColumn id="30" name="Hardware — supplies and spare parts"/>
    <x:tableColumn id="31" name="Software — infrastructure"/>
    <x:tableColumn id="32" name="Software — energy"/>
    <x:tableColumn id="33" name="Software — materials and inputs"/>
    <x:tableColumn id="34" name="Software — supplies and spare parts"/>
    <x:tableColumn id="35" name="Orgware — infrastructure"/>
    <x:tableColumn id="36" name="Orgware — energy"/>
    <x:tableColumn id="37" name="Orgware — materials and inputs"/>
    <x:tableColumn id="38" name="Orgware — supplies and spare parts"/>
    <x:tableColumn id="39" name="Identified critical / strategic raw materials"/>
    <x:tableColumn id="40" name="Main extraction / production countries"/>
    <x:tableColumn id="41" name="Main refining / processing countries"/>
    <x:tableColumn id="42" name="Geographic and traceability note"/>
    <x:tableColumn id="43" name="Geographic reference year"/>
    <x:tableColumn id="44" name="Raw-material and country source"/>
  </x:tableColumns>
  <x:tableStyleInfo name="TableStyleMedium2" showFirstColumn="0" showLastColumn="0" showRowStripes="1" showColumnStripes="0"/>
</x:table>
</file>

<file path=xl/tables/table4.xml><?xml version="1.0" encoding="utf-8"?>
<x:table xmlns:x="http://schemas.openxmlformats.org/spreadsheetml/2006/main" id="4" name="TechnologyMaterialRelations" displayName="TechnologyMaterialRelations" ref="A4:J887" headerRowCount="1" totalsRowCount="0" totalsRowShown="0">
  <x:autoFilter ref="A4:J887"/>
  <x:tableColumns count="10">
    <x:tableColumn id="1" name="technology_id"/>
    <x:tableColumn id="2" name="CTCN branch"/>
    <x:tableColumn id="3" name="A. Sector (CTCN)"/>
    <x:tableColumn id="4" name="B. Technology group (CTCN)"/>
    <x:tableColumn id="5" name="C. Technology (CTCN)"/>
    <x:tableColumn id="6" name="Raw material"/>
    <x:tableColumn id="7" name="Category"/>
    <x:tableColumn id="8" name="Technology-specific assignment basis"/>
    <x:tableColumn id="9" name="Technical warning"/>
    <x:tableColumn id="10" name="Source"/>
  </x:tableColumns>
  <x:tableStyleInfo name="TableStyleMedium2" showFirstColumn="0" showLastColumn="0" showRowStripes="1" showColumnStripes="0"/>
</x:table>
</file>

<file path=xl/tables/table5.xml><?xml version="1.0" encoding="utf-8"?>
<x:table xmlns:x="http://schemas.openxmlformats.org/spreadsheetml/2006/main" id="5" name="RawMaterialGeography" displayName="RawMaterialGeography" ref="A4:K124" headerRowCount="1" totalsRowCount="0" totalsRowShown="0">
  <x:autoFilter ref="A4:K124"/>
  <x:tableColumns count="11">
    <x:tableColumn id="1" name="Raw material"/>
    <x:tableColumn id="2" name="Category"/>
    <x:tableColumn id="3" name="Supply-chain stage"/>
    <x:tableColumn id="4" name="Country"/>
    <x:tableColumn id="5" name="ISO3"/>
    <x:tableColumn id="6" name="Latitude"/>
    <x:tableColumn id="7" name="Longitude"/>
    <x:tableColumn id="8" name="Reference rank"/>
    <x:tableColumn id="9" name="Reference year"/>
    <x:tableColumn id="10" name="Source"/>
    <x:tableColumn id="11" name="Warning"/>
  </x:tableColumns>
  <x:tableStyleInfo name="TableStyleMedium2" showFirstColumn="0" showLastColumn="0" showRowStripes="1" showColumnStripes="0"/>
</x:table>
</file>

<file path=xl/tables/table6.xml><?xml version="1.0" encoding="utf-8"?>
<x:table xmlns:x="http://schemas.openxmlformats.org/spreadsheetml/2006/main" id="6" name="RawMaterialCatalogue" displayName="RawMaterialCatalogue" ref="A4:H24" headerRowCount="1" totalsRowCount="0" totalsRowShown="0">
  <x:autoFilter ref="A4:H24"/>
  <x:tableColumns count="8">
    <x:tableColumn id="1" name="Raw material"/>
    <x:tableColumn id="2" name="Category"/>
    <x:tableColumn id="3" name="Search terms"/>
    <x:tableColumn id="4" name="Extraction / production countries"/>
    <x:tableColumn id="5" name="Refining / processing countries"/>
    <x:tableColumn id="6" name="Reference year"/>
    <x:tableColumn id="7" name="Source"/>
    <x:tableColumn id="8" name="Criterion / war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a325036b7324938" /></Relationships>
</file>

<file path=xl/worksheets/_rels/sheet2.xml.rels>&#65279;<?xml version="1.0" encoding="utf-8"?><Relationships xmlns="http://schemas.openxmlformats.org/package/2006/relationships"><Relationship Type="http://schemas.openxmlformats.org/officeDocument/2006/relationships/table" Target="/xl/tables/table2.xml" Id="Rd52ebf4f97c94222" /></Relationships>
</file>

<file path=xl/worksheets/_rels/sheet3.xml.rels>&#65279;<?xml version="1.0" encoding="utf-8"?><Relationships xmlns="http://schemas.openxmlformats.org/package/2006/relationships"><Relationship Type="http://schemas.openxmlformats.org/officeDocument/2006/relationships/table" Target="/xl/tables/table3.xml" Id="Rdb65882ca8e14d6d" /></Relationships>
</file>

<file path=xl/worksheets/_rels/sheet6.xml.rels>&#65279;<?xml version="1.0" encoding="utf-8"?><Relationships xmlns="http://schemas.openxmlformats.org/package/2006/relationships"><Relationship Type="http://schemas.openxmlformats.org/officeDocument/2006/relationships/drawing" Target="/xl/drawings/drawing1.xml" Id="Rd3eda2237e2042db" /></Relationships>
</file>

<file path=xl/worksheets/_rels/sheet8.xml.rels>&#65279;<?xml version="1.0" encoding="utf-8"?><Relationships xmlns="http://schemas.openxmlformats.org/package/2006/relationships"><Relationship Type="http://schemas.openxmlformats.org/officeDocument/2006/relationships/table" Target="/xl/tables/table4.xml" Id="R2f75ae869a074648" /></Relationships>
</file>

<file path=xl/worksheets/_rels/sheet9.xml.rels>&#65279;<?xml version="1.0" encoding="utf-8"?><Relationships xmlns="http://schemas.openxmlformats.org/package/2006/relationships"><Relationship Type="http://schemas.openxmlformats.org/officeDocument/2006/relationships/table" Target="/xl/tables/table5.xml" Id="Rb9e3dd8978dd4c20" /></Relationships>
</file>

<file path=xl/worksheets/_rels/sheet10.xml.rels>&#65279;<?xml version="1.0" encoding="utf-8"?><Relationships xmlns="http://schemas.openxmlformats.org/package/2006/relationships"><Relationship Type="http://schemas.openxmlformats.org/officeDocument/2006/relationships/table" Target="/xl/tables/table6.xml" Id="Rdff786d72e354aaa" /></Relationships>
</file>

<file path=xl/worksheets/sheet1.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COMPLETE MITIGATION AND ADAPTATION TABLE</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Technology-by-technology analytical expansion of the CTCN hierarchy. Each record explains the climate function, operating mechanism, life cycle, typology, hardware, software, orgware, implementation requirements, supply dependencies and traceability limits. Examples are representative real applications and do not imply endorsement. Validate every investment decision against site and supplier data.</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REQUIREMENTS AND DEPENDENCIES</x:v>
      </x:c>
      <x:c r="AB6" s="14"/>
      <x:c r="AC6" s="14"/>
      <x:c r="AD6" s="14"/>
      <x:c r="AE6" s="18" t="str">
        <x:v>SOFTWARE — REQUIREMENTS AND DEPENDENCIES</x:v>
      </x:c>
      <x:c r="AF6" s="18"/>
      <x:c r="AG6" s="18"/>
      <x:c r="AH6" s="18"/>
      <x:c r="AI6" s="22" t="str">
        <x:v>ORGWARE — REQUIREMENTS AND DEPENDENCIES</x:v>
      </x:c>
      <x:c r="AJ6" s="22"/>
      <x:c r="AK6" s="22"/>
      <x:c r="AL6" s="22"/>
      <x:c r="AM6" s="24" t="str">
        <x:v>RAW MATERIALS AND SUPPLY GEOGRAPHY</x:v>
      </x:c>
      <x:c r="AN6" s="24"/>
      <x:c r="AO6" s="24"/>
      <x:c r="AP6" s="24"/>
      <x:c r="AQ6" s="24"/>
      <x:c r="AR6" s="24"/>
    </x:row>
    <x:row r="7" ht="40.5" customHeight="1">
      <x:c r="A7" s="29" t="str">
        <x:v>technology_id</x:v>
      </x:c>
      <x:c r="B7" s="34" t="str">
        <x:v>CTCN branch</x:v>
      </x:c>
      <x:c r="C7" s="34" t="str">
        <x:v>A. Sector (CTCN)</x:v>
      </x:c>
      <x:c r="D7" s="34" t="str">
        <x:v>B. Technology group (CTCN)</x:v>
      </x:c>
      <x:c r="E7" s="34" t="str">
        <x:v>C. Technology (CTCN)</x:v>
      </x:c>
      <x:c r="F7" s="29" t="str">
        <x:v>Technology description / function</x:v>
      </x:c>
      <x:c r="G7" s="39" t="str">
        <x:v>Flexible / fixed</x:v>
      </x:c>
      <x:c r="H7" s="39" t="str">
        <x:v>Technical justification — flexible / fixed</x:v>
      </x:c>
      <x:c r="I7" s="39" t="str">
        <x:v>Hard / soft</x:v>
      </x:c>
      <x:c r="J7" s="39" t="str">
        <x:v>Technical justification — hard / soft</x:v>
      </x:c>
      <x:c r="K7" s="39" t="str">
        <x:v>Equipment / operation / product</x:v>
      </x:c>
      <x:c r="L7" s="39" t="str">
        <x:v>Technical justification — equipment / operation / product</x:v>
      </x:c>
      <x:c r="M7" s="39" t="str">
        <x:v>Clean technology</x:v>
      </x:c>
      <x:c r="N7" s="39" t="str">
        <x:v>Technical justification — clean technology</x:v>
      </x:c>
      <x:c r="O7" s="44" t="str">
        <x:v>Hardware</x:v>
      </x:c>
      <x:c r="P7" s="47" t="str">
        <x:v>Software</x:v>
      </x:c>
      <x:c r="Q7" s="50" t="str">
        <x:v>Orgware</x:v>
      </x:c>
      <x:c r="R7" s="55" t="str">
        <x:v>Associated infrastructure</x:v>
      </x:c>
      <x:c r="S7" s="55" t="str">
        <x:v>Energy carriers</x:v>
      </x:c>
      <x:c r="T7" s="55" t="str">
        <x:v>Raw materials and inputs</x:v>
      </x:c>
      <x:c r="U7" s="55" t="str">
        <x:v>Supplies and spare parts</x:v>
      </x:c>
      <x:c r="V7" s="29" t="str">
        <x:v>CTCN source</x:v>
      </x:c>
      <x:c r="W7" s="29" t="str">
        <x:v>Typology source</x:v>
      </x:c>
      <x:c r="X7" s="29" t="str">
        <x:v>IIASA source</x:v>
      </x:c>
      <x:c r="Y7" s="29" t="str">
        <x:v>Additional technical sources</x:v>
      </x:c>
      <x:c r="Z7" s="29" t="str">
        <x:v>Observations</x:v>
      </x:c>
      <x:c r="AA7" s="60" t="str">
        <x:v>Hardware — infrastructure</x:v>
      </x:c>
      <x:c r="AB7" s="60" t="str">
        <x:v>Hardware — energy</x:v>
      </x:c>
      <x:c r="AC7" s="60" t="str">
        <x:v>Hardware — materials and inputs</x:v>
      </x:c>
      <x:c r="AD7" s="60" t="str">
        <x:v>Hardware — supplies and spare parts</x:v>
      </x:c>
      <x:c r="AE7" s="65" t="str">
        <x:v>Software — infrastructure</x:v>
      </x:c>
      <x:c r="AF7" s="65" t="str">
        <x:v>Software — energy</x:v>
      </x:c>
      <x:c r="AG7" s="65" t="str">
        <x:v>Software — materials and inputs</x:v>
      </x:c>
      <x:c r="AH7" s="65" t="str">
        <x:v>Software — supplies and spare parts</x:v>
      </x:c>
      <x:c r="AI7" s="70" t="str">
        <x:v>Orgware — infrastructure</x:v>
      </x:c>
      <x:c r="AJ7" s="70" t="str">
        <x:v>Orgware — energy</x:v>
      </x:c>
      <x:c r="AK7" s="70" t="str">
        <x:v>Orgware — materials and inputs</x:v>
      </x:c>
      <x:c r="AL7" s="70" t="str">
        <x:v>Orgware — supplies and spare parts</x:v>
      </x:c>
      <x:c r="AM7" s="75" t="str">
        <x:v>Identified critical / strategic raw materials</x:v>
      </x:c>
      <x:c r="AN7" s="75" t="str">
        <x:v>Main extraction / production countries</x:v>
      </x:c>
      <x:c r="AO7" s="75" t="str">
        <x:v>Main refining / processing countries</x:v>
      </x:c>
      <x:c r="AP7" s="75" t="str">
        <x:v>Geographic and traceability note</x:v>
      </x:c>
      <x:c r="AQ7" s="75" t="str">
        <x:v>Geographic reference year</x:v>
      </x:c>
      <x:c r="AR7" s="75" t="str">
        <x:v>Raw-material and country source</x:v>
      </x:c>
    </x:row>
    <x:row r="8" ht="240" customHeight="1">
      <x:c r="A8" s="2" t="str">
        <x:v>MIT-0001</x:v>
      </x:c>
      <x:c r="B8" s="2" t="str">
        <x:v>Mitigation</x:v>
      </x:c>
      <x:c r="C8" s="2" t="str">
        <x:v>Carbon Fixation and Abatement</x:v>
      </x:c>
      <x:c r="D8" s="2" t="str">
        <x:v>Fugitive emission control</x:v>
      </x:c>
      <x:c r="E8" s="2" t="str">
        <x:v>Oil and gas flaring reduction</x:v>
      </x:c>
      <x:c r="F8" s="2" t="str">
        <x:v>Oil and gas flaring reduction is a mitigation technology in the Carbon Fixation and Abatement sector and the Fugitive emission control technology group. It is defined as a combined hardware–software–orgware system that detects, separates, captures, conditions, transports or securely contains carbon-bearing gases so that methane or CO₂ does not reach the atmosphere. It captures associated gas for use or routes it to a correctly designed flare where controlled combustion converts methane and volatile hydrocarbons mainly to CO₂ and water.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8" s="2" t="str">
        <x:v>Mixed: adaptable design, site-specific implementation</x:v>
      </x:c>
      <x:c r="H8" s="2" t="str">
        <x:v>Oil and gas flaring reduction is adaptable in capacity and configuration but site-specific in final engineering. Its principle remains the same, but resource quality, climate, scale, interfaces and safety constraints must be recalculated for each deployment.</x:v>
      </x:c>
      <x:c r="I8" s="2" t="str">
        <x:v>Primarily hard, with a soft component</x:v>
      </x:c>
      <x:c r="J8" s="2" t="str">
        <x:v>Oil and gas flaring reduction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8" s="2" t="str">
        <x:v>Equipment and operation</x:v>
      </x:c>
      <x:c r="L8" s="2" t="str">
        <x:v>Oil and gas flaring reduction is embodied mainly as an equipment-and-operation system. The deliverable is accepted only when measurable service, quality, safety and climate-performance criteria are met under real conditions.</x:v>
      </x:c>
      <x:c r="M8" s="2" t="str">
        <x:v>Yes, subject to life-cycle safeguards</x:v>
      </x:c>
      <x:c r="N8" s="2" t="str">
        <x:v>Oil and gas flaring reduction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8" s="2" t="str">
        <x:v>Oil and gas flaring reduction: gas analysers; flow, pressure and temperature instrumentation; separators; compressors; valves; sealed piping; flare or injection equipment.</x:v>
      </x:c>
      <x:c r="P8" s="2" t="str">
        <x:v>Oil and gas flaring reduction: mass and energy balances; leak detection and repair logic; process simulation; dispersion modelling; integrity and injection surveillance.</x:v>
      </x:c>
      <x:c r="Q8" s="2" t="str">
        <x:v>Oil and gas flaring reduction: emission permits; measurement, reporting and verification; asset-integrity management; emergency procedures; long-term liability.</x:v>
      </x:c>
      <x:c r="R8" s="2" t="str">
        <x:v>Oil and gas flaring reduction: process units, access roads, power supply, pipelines, compression or storage sites, laboratories and monitoring networks.</x:v>
      </x:c>
      <x:c r="S8" s="2" t="str">
        <x:v>Oil and gas flaring reduction: electricity for compression, pumping, refrigeration and instrumentation; fuel or heat where oxidation or regeneration is required.</x:v>
      </x:c>
      <x:c r="T8" s="2" t="str">
        <x:v>Oil and gas flaring reduction: pressure-grade steel, corrosion-resistant alloys, concrete, elastomeric seals, sorbents, solvents, membranes or catalysts according to the process.</x:v>
      </x:c>
      <x:c r="U8" s="2" t="str">
        <x:v>Oil and gas flaring reduction: calibrated sensors, valve trim, seals, compressor parts, filters, reagents and certified sampling equipment.</x:v>
      </x:c>
      <x:c r="V8" s="2" t="str">
        <x:v>https://www.ctc-n.org/sites/default/files/resources/ctcn_taxonomy_0.pdf</x:v>
      </x:c>
      <x:c r="W8" s="2" t="str">
        <x:v>https://institutoagricoladepueblobello.edu.co/colegiapp/archivostemas/GUIA%209.%5B25%5D.pdf</x:v>
      </x:c>
      <x:c r="X8" s="2" t="str">
        <x:v>https://iiasa.ac.at/what-is-technology</x:v>
      </x:c>
      <x:c r="Y8" s="2" t="str">
        <x:v>https://www.ipcc.ch/report/carbon-dioxide-capture-and-storage/; https://www.ipcc.ch/report/ar6/wg3/chapter/chapter-11/</x:v>
      </x:c>
      <x:c r="Z8" s="2" t="str">
        <x:v>Technology-specific analytical synthesis. The CTCN hierarchy is retained; classifications and component dependencies require validation against the selected design, site and supplier documentation before investment or policy use.</x:v>
      </x:c>
      <x:c r="AA8" s="2" t="str">
        <x:v>Physical deployment of Oil and gas flaring reduction requires process units, access roads, power supply, pipelines, compression or storage sites, laboratories and monitoring networks; interfaces, foundations, access and environmental protection are sized to the specific resource and design load.</x:v>
      </x:c>
      <x:c r="AB8" s="2" t="str">
        <x:v>For Oil and gas flaring reduction, the hardware energy balance comprises electricity for compression, pumping, refrigeration and instrumentation; fuel or heat where oxidation or regeneration is required; metering must separate useful output, conversion losses and auxiliaries for the selected design.</x:v>
      </x:c>
      <x:c r="AC8" s="2" t="str">
        <x:v>Construction and operation use pressure-grade steel, corrosion-resistant alloys, concrete, elastomeric seals, sorbents, solvents, membranes or catalysts according to the process. For Oil and gas flaring reduction, specifications must include durability, compatibility, recycled content and recoverability.</x:v>
      </x:c>
      <x:c r="AD8" s="2" t="str">
        <x:v>Maintenance of Oil and gas flaring reduction depends on calibrated sensors, valve trim, seals, compressor parts, filters, reagents and certified sampling equipment; critical spares are selected from failure-mode, lead-time and safety analysis for its installed configuration.</x:v>
      </x:c>
      <x:c r="AE8" s="2" t="str">
        <x:v>The software stack for Oil and gas flaring reduction requires databases, secure communications, version-controlled models, computing, backup and interfaces with field or operational systems.</x:v>
      </x:c>
      <x:c r="AF8" s="2" t="str">
        <x:v>For Oil and gas flaring reduction, software-related energy is electricity for sensing, computing, storage, communication and cooling; it is normally secondary but must be included for data-intensive or continuous services.</x:v>
      </x:c>
      <x:c r="AG8" s="2" t="str">
        <x:v>The non-physical inputs are calibrated data, metadata, algorithms, boundary conditions, emission or hazard factors, manuals and validation records specific to Oil and gas flaring reduction.</x:v>
      </x:c>
      <x:c r="AH8" s="2" t="str">
        <x:v>Software continuity for Oil and gas flaring reduction requires licences where applicable, updates, cybersecurity patches, backups, calibration files, model validation and technical support.</x:v>
      </x:c>
      <x:c r="AI8" s="2" t="str">
        <x:v>Orgware depends on the institutions, laboratories, training providers, regulators, operators and community interfaces needed to govern Oil and gas flaring reduction.</x:v>
      </x:c>
      <x:c r="AJ8" s="2" t="str">
        <x:v>The orgware supporting Oil and gas flaring reduction has mainly indirect energy use from offices, meetings, training and information systems; travel and field supervision may be material at dispersed sites.</x:v>
      </x:c>
      <x:c r="AK8" s="2" t="str">
        <x:v>Its organisational inputs are permits, budgets, trained staff, competence records, contracts, procedures, safeguards, monitoring evidence and stakeholder agreements tailored to Oil and gas flaring reduction.</x:v>
      </x:c>
      <x:c r="AL8" s="2" t="str">
        <x:v>Sustained implementation of Oil and gas flaring reduction requires procurement and service contracts, audit protocols, training material, reporting templates, insurance or guarantees and periodic independent review.</x:v>
      </x:c>
      <x:c r="AM8" s="2" t="str">
        <x:v>Iron ore / steel inputs; Copper; Tin</x:v>
      </x:c>
      <x:c r="AN8" s="2" t="str">
        <x:v>Australia; Brazil; China; Chile; Democratic Republic of the Congo; Peru; Indonesia; Myanmar</x:v>
      </x:c>
      <x:c r="AO8" s="2" t="str">
        <x:v>China; India; Japan; Chile; Democratic Republic of the Congo; Indonesia; Malaysia</x:v>
      </x:c>
      <x:c r="AP8" s="2" t="str">
        <x:v>Oil and gas flaring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 s="2" t="str">
        <x:v>2024–2025</x:v>
      </x:c>
      <x:c r="AR8" s="2" t="str">
        <x:v>https://pubs.usgs.gov/periodicals/mcs2026/mcs2026.pdf</x:v>
      </x:c>
    </x:row>
    <x:row r="9" ht="240" customHeight="1">
      <x:c r="A9" s="2" t="str">
        <x:v>MIT-0002</x:v>
      </x:c>
      <x:c r="B9" s="2" t="str">
        <x:v>Mitigation</x:v>
      </x:c>
      <x:c r="C9" s="2" t="str">
        <x:v>Carbon Fixation and Abatement</x:v>
      </x:c>
      <x:c r="D9" s="2" t="str">
        <x:v>Fugitive emission control</x:v>
      </x:c>
      <x:c r="E9" s="2" t="str">
        <x:v>Coal mine methane</x:v>
      </x:c>
      <x:c r="F9" s="2" t="str">
        <x:v>Coal mine methane is a mitigation technology in the Carbon Fixation and Abatement sector and the Fugitive emission control technology group. It is defined as a combined hardware–software–orgware system that detects, separates, captures, conditions, transports or securely contains carbon-bearing gases so that methane or CO₂ does not reach the atmosphere. Coal mine methane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9" s="2" t="str">
        <x:v>Mixed: adaptable design, site-specific implementation</x:v>
      </x:c>
      <x:c r="H9" s="2" t="str">
        <x:v>Coal mine methane is adaptable in capacity and configuration but site-specific in final engineering. Its principle remains the same, but resource quality, climate, scale, interfaces and safety constraints must be recalculated for each deployment.</x:v>
      </x:c>
      <x:c r="I9" s="2" t="str">
        <x:v>Primarily hard, with a soft component</x:v>
      </x:c>
      <x:c r="J9" s="2" t="str">
        <x:v>Coal mine methane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9" s="2" t="str">
        <x:v>Equipment and operation</x:v>
      </x:c>
      <x:c r="L9" s="2" t="str">
        <x:v>Coal mine methane is embodied mainly as an equipment-and-operation system. The deliverable is accepted only when measurable service, quality, safety and climate-performance criteria are met under real conditions.</x:v>
      </x:c>
      <x:c r="M9" s="2" t="str">
        <x:v>Yes, subject to life-cycle safeguards</x:v>
      </x:c>
      <x:c r="N9" s="2" t="str">
        <x:v>Coal mine methane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9" s="2" t="str">
        <x:v>Coal mine methane: gas analysers; flow, pressure and temperature instrumentation; separators; compressors; valves; sealed piping; flare or injection equipment.</x:v>
      </x:c>
      <x:c r="P9" s="2" t="str">
        <x:v>Coal mine methane: mass and energy balances; leak detection and repair logic; process simulation; dispersion modelling; integrity and injection surveillance.</x:v>
      </x:c>
      <x:c r="Q9" s="2" t="str">
        <x:v>Coal mine methane: emission permits; measurement, reporting and verification; asset-integrity management; emergency procedures; long-term liability.</x:v>
      </x:c>
      <x:c r="R9" s="2" t="str">
        <x:v>Coal mine methane: process units, access roads, power supply, pipelines, compression or storage sites, laboratories and monitoring networks.</x:v>
      </x:c>
      <x:c r="S9" s="2" t="str">
        <x:v>Coal mine methane: electricity for compression, pumping, refrigeration and instrumentation; fuel or heat where oxidation or regeneration is required.</x:v>
      </x:c>
      <x:c r="T9" s="2" t="str">
        <x:v>Coal mine methane: pressure-grade steel, corrosion-resistant alloys, concrete, elastomeric seals, sorbents, solvents, membranes or catalysts according to the process.</x:v>
      </x:c>
      <x:c r="U9" s="2" t="str">
        <x:v>Coal mine methane: calibrated sensors, valve trim, seals, compressor parts, filters, reagents and certified sampling equipment.</x:v>
      </x:c>
      <x:c r="V9" s="2" t="str">
        <x:v>https://www.ctc-n.org/sites/default/files/resources/ctcn_taxonomy_0.pdf</x:v>
      </x:c>
      <x:c r="W9" s="2" t="str">
        <x:v>https://institutoagricoladepueblobello.edu.co/colegiapp/archivostemas/GUIA%209.%5B25%5D.pdf</x:v>
      </x:c>
      <x:c r="X9" s="2" t="str">
        <x:v>https://iiasa.ac.at/what-is-technology</x:v>
      </x:c>
      <x:c r="Y9" s="2" t="str">
        <x:v>https://www.ipcc.ch/report/carbon-dioxide-capture-and-storage/; https://www.ipcc.ch/report/ar6/wg3/chapter/chapter-11/</x:v>
      </x:c>
      <x:c r="Z9" s="2" t="str">
        <x:v>Technology-specific analytical synthesis. The CTCN hierarchy is retained; classifications and component dependencies require validation against the selected design, site and supplier documentation before investment or policy use.</x:v>
      </x:c>
      <x:c r="AA9" s="2" t="str">
        <x:v>Physical deployment of Coal mine methane requires process units, access roads, power supply, pipelines, compression or storage sites, laboratories and monitoring networks; interfaces, foundations, access and environmental protection are sized to the specific resource and design load.</x:v>
      </x:c>
      <x:c r="AB9" s="2" t="str">
        <x:v>For Coal mine methane, the hardware energy balance comprises electricity for compression, pumping, refrigeration and instrumentation; fuel or heat where oxidation or regeneration is required; metering must separate useful output, conversion losses and auxiliaries for the selected design.</x:v>
      </x:c>
      <x:c r="AC9" s="2" t="str">
        <x:v>Construction and operation use pressure-grade steel, corrosion-resistant alloys, concrete, elastomeric seals, sorbents, solvents, membranes or catalysts according to the process. For Coal mine methane, specifications must include durability, compatibility, recycled content and recoverability.</x:v>
      </x:c>
      <x:c r="AD9" s="2" t="str">
        <x:v>Maintenance of Coal mine methane depends on calibrated sensors, valve trim, seals, compressor parts, filters, reagents and certified sampling equipment; critical spares are selected from failure-mode, lead-time and safety analysis for its installed configuration.</x:v>
      </x:c>
      <x:c r="AE9" s="2" t="str">
        <x:v>The software stack for Coal mine methane requires databases, secure communications, version-controlled models, computing, backup and interfaces with field or operational systems.</x:v>
      </x:c>
      <x:c r="AF9" s="2" t="str">
        <x:v>For Coal mine methane, software-related energy is electricity for sensing, computing, storage, communication and cooling; it is normally secondary but must be included for data-intensive or continuous services.</x:v>
      </x:c>
      <x:c r="AG9" s="2" t="str">
        <x:v>The non-physical inputs are calibrated data, metadata, algorithms, boundary conditions, emission or hazard factors, manuals and validation records specific to Coal mine methane.</x:v>
      </x:c>
      <x:c r="AH9" s="2" t="str">
        <x:v>Software continuity for Coal mine methane requires licences where applicable, updates, cybersecurity patches, backups, calibration files, model validation and technical support.</x:v>
      </x:c>
      <x:c r="AI9" s="2" t="str">
        <x:v>Orgware depends on the institutions, laboratories, training providers, regulators, operators and community interfaces needed to govern Coal mine methane.</x:v>
      </x:c>
      <x:c r="AJ9" s="2" t="str">
        <x:v>The orgware supporting Coal mine methane has mainly indirect energy use from offices, meetings, training and information systems; travel and field supervision may be material at dispersed sites.</x:v>
      </x:c>
      <x:c r="AK9" s="2" t="str">
        <x:v>Its organisational inputs are permits, budgets, trained staff, competence records, contracts, procedures, safeguards, monitoring evidence and stakeholder agreements tailored to Coal mine methane.</x:v>
      </x:c>
      <x:c r="AL9" s="2" t="str">
        <x:v>Sustained implementation of Coal mine methane requires procurement and service contracts, audit protocols, training material, reporting templates, insurance or guarantees and periodic independent review.</x:v>
      </x:c>
      <x:c r="AM9" s="2" t="str">
        <x:v>Iron ore / steel inputs; Copper; Tin</x:v>
      </x:c>
      <x:c r="AN9" s="2" t="str">
        <x:v>Australia; Brazil; China; Chile; Democratic Republic of the Congo; Peru; Indonesia; Myanmar</x:v>
      </x:c>
      <x:c r="AO9" s="2" t="str">
        <x:v>China; India; Japan; Chile; Democratic Republic of the Congo; Indonesia; Malaysia</x:v>
      </x:c>
      <x:c r="AP9" s="2" t="str">
        <x:v>Coal mine methane: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 s="2" t="str">
        <x:v>2024–2025</x:v>
      </x:c>
      <x:c r="AR9" s="2" t="str">
        <x:v>https://pubs.usgs.gov/periodicals/mcs2026/mcs2026.pdf</x:v>
      </x:c>
    </x:row>
    <x:row r="10" ht="240" customHeight="1">
      <x:c r="A10" s="2" t="str">
        <x:v>MIT-0003</x:v>
      </x:c>
      <x:c r="B10" s="2" t="str">
        <x:v>Mitigation</x:v>
      </x:c>
      <x:c r="C10" s="2" t="str">
        <x:v>Carbon Fixation and Abatement</x:v>
      </x:c>
      <x:c r="D10" s="2" t="str">
        <x:v>Fugitive emission control</x:v>
      </x:c>
      <x:c r="E10" s="2" t="str">
        <x:v>Natural gas pipeline leaking</x:v>
      </x:c>
      <x:c r="F10" s="2" t="str">
        <x:v>Natural gas pipeline leaking is a mitigation technology in the Carbon Fixation and Abatement sector and the Fugitive emission control technology group. It is defined as a combined hardware–software–orgware system that detects, separates, captures, conditions, transports or securely contains carbon-bearing gases so that methane or CO₂ does not reach the atmosphere. It locates losses by measurement and inspection, quantifies leak rate and restores containment through repair, pressure management or component replacement.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0" s="2" t="str">
        <x:v>Primarily fixed</x:v>
      </x:c>
      <x:c r="H10" s="2" t="str">
        <x:v>Natural gas pipeline leaking is tied to long-lived, site-specific assets and design loads. Its principle remains the same, but resource quality, climate, scale, interfaces and safety constraints must be recalculated for each deployment.</x:v>
      </x:c>
      <x:c r="I10" s="2" t="str">
        <x:v>Primarily hard, with a soft component</x:v>
      </x:c>
      <x:c r="J10" s="2" t="str">
        <x:v>Natural gas pipeline leaking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0" s="2" t="str">
        <x:v>Equipment and operation</x:v>
      </x:c>
      <x:c r="L10" s="2" t="str">
        <x:v>Natural gas pipeline leaking is embodied mainly as an equipment-and-operation system. The deliverable is accepted only when measurable service, quality, safety and climate-performance criteria are met under real conditions.</x:v>
      </x:c>
      <x:c r="M10" s="2" t="str">
        <x:v>Conditional on performance and life cycle</x:v>
      </x:c>
      <x:c r="N10" s="2" t="str">
        <x:v>Natural gas pipeline leaking is classified as conditional.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0" s="2" t="str">
        <x:v>Natural gas pipeline leaking: gas analysers; flow, pressure and temperature instrumentation; separators; compressors; valves; sealed piping; flare or injection equipment.</x:v>
      </x:c>
      <x:c r="P10" s="2" t="str">
        <x:v>Natural gas pipeline leaking: mass and energy balances; leak detection and repair logic; process simulation; dispersion modelling; integrity and injection surveillance.</x:v>
      </x:c>
      <x:c r="Q10" s="2" t="str">
        <x:v>Natural gas pipeline leaking: emission permits; measurement, reporting and verification; asset-integrity management; emergency procedures; long-term liability.</x:v>
      </x:c>
      <x:c r="R10" s="2" t="str">
        <x:v>Natural gas pipeline leaking: process units, access roads, power supply, pipelines, compression or storage sites, laboratories and monitoring networks.</x:v>
      </x:c>
      <x:c r="S10" s="2" t="str">
        <x:v>Natural gas pipeline leaking: electricity for compression, pumping, refrigeration and instrumentation; fuel or heat where oxidation or regeneration is required.</x:v>
      </x:c>
      <x:c r="T10" s="2" t="str">
        <x:v>Natural gas pipeline leaking: pressure-grade steel, corrosion-resistant alloys, concrete, elastomeric seals, sorbents, solvents, membranes or catalysts according to the process.</x:v>
      </x:c>
      <x:c r="U10" s="2" t="str">
        <x:v>Natural gas pipeline leaking: calibrated sensors, valve trim, seals, compressor parts, filters, reagents and certified sampling equipment.</x:v>
      </x:c>
      <x:c r="V10" s="2" t="str">
        <x:v>https://www.ctc-n.org/sites/default/files/resources/ctcn_taxonomy_0.pdf</x:v>
      </x:c>
      <x:c r="W10" s="2" t="str">
        <x:v>https://institutoagricoladepueblobello.edu.co/colegiapp/archivostemas/GUIA%209.%5B25%5D.pdf</x:v>
      </x:c>
      <x:c r="X10" s="2" t="str">
        <x:v>https://iiasa.ac.at/what-is-technology</x:v>
      </x:c>
      <x:c r="Y10" s="2" t="str">
        <x:v>https://www.ipcc.ch/report/carbon-dioxide-capture-and-storage/; https://www.ipcc.ch/report/ar6/wg3/chapter/chapter-11/</x:v>
      </x:c>
      <x:c r="Z10" s="2" t="str">
        <x:v>Technology-specific analytical synthesis. The CTCN hierarchy is retained; classifications and component dependencies require validation against the selected design, site and supplier documentation before investment or policy use.</x:v>
      </x:c>
      <x:c r="AA10" s="2" t="str">
        <x:v>Physical deployment of Natural gas pipeline leaking requires process units, access roads, power supply, pipelines, compression or storage sites, laboratories and monitoring networks; interfaces, foundations, access and environmental protection are sized to the specific resource and design load.</x:v>
      </x:c>
      <x:c r="AB10" s="2" t="str">
        <x:v>For Natural gas pipeline leaking, the hardware energy balance comprises electricity for compression, pumping, refrigeration and instrumentation; fuel or heat where oxidation or regeneration is required; metering must separate useful output, conversion losses and auxiliaries for the selected design.</x:v>
      </x:c>
      <x:c r="AC10" s="2" t="str">
        <x:v>Construction and operation use pressure-grade steel, corrosion-resistant alloys, concrete, elastomeric seals, sorbents, solvents, membranes or catalysts according to the process. For Natural gas pipeline leaking, specifications must include durability, compatibility, recycled content and recoverability.</x:v>
      </x:c>
      <x:c r="AD10" s="2" t="str">
        <x:v>Maintenance of Natural gas pipeline leaking depends on calibrated sensors, valve trim, seals, compressor parts, filters, reagents and certified sampling equipment; critical spares are selected from failure-mode, lead-time and safety analysis for its installed configuration.</x:v>
      </x:c>
      <x:c r="AE10" s="2" t="str">
        <x:v>The software stack for Natural gas pipeline leaking requires databases, secure communications, version-controlled models, computing, backup and interfaces with field or operational systems.</x:v>
      </x:c>
      <x:c r="AF10" s="2" t="str">
        <x:v>For Natural gas pipeline leaking, software-related energy is electricity for sensing, computing, storage, communication and cooling; it is normally secondary but must be included for data-intensive or continuous services.</x:v>
      </x:c>
      <x:c r="AG10" s="2" t="str">
        <x:v>The non-physical inputs are calibrated data, metadata, algorithms, boundary conditions, emission or hazard factors, manuals and validation records specific to Natural gas pipeline leaking.</x:v>
      </x:c>
      <x:c r="AH10" s="2" t="str">
        <x:v>Software continuity for Natural gas pipeline leaking requires licences where applicable, updates, cybersecurity patches, backups, calibration files, model validation and technical support.</x:v>
      </x:c>
      <x:c r="AI10" s="2" t="str">
        <x:v>Orgware depends on the institutions, laboratories, training providers, regulators, operators and community interfaces needed to govern Natural gas pipeline leaking.</x:v>
      </x:c>
      <x:c r="AJ10" s="2" t="str">
        <x:v>The orgware supporting Natural gas pipeline leaking has mainly indirect energy use from offices, meetings, training and information systems; travel and field supervision may be material at dispersed sites.</x:v>
      </x:c>
      <x:c r="AK10" s="2" t="str">
        <x:v>Its organisational inputs are permits, budgets, trained staff, competence records, contracts, procedures, safeguards, monitoring evidence and stakeholder agreements tailored to Natural gas pipeline leaking.</x:v>
      </x:c>
      <x:c r="AL10" s="2" t="str">
        <x:v>Sustained implementation of Natural gas pipeline leaking requires procurement and service contracts, audit protocols, training material, reporting templates, insurance or guarantees and periodic independent review.</x:v>
      </x:c>
      <x:c r="AM10" s="2" t="str">
        <x:v>Iron ore / steel inputs; Copper; Tin; Nickel; Chromium</x:v>
      </x:c>
      <x:c r="AN10" s="2" t="str">
        <x:v>Australia; Brazil; China; Chile; Democratic Republic of the Congo; Peru; Indonesia; Myanmar; Philippines; Russia; South Africa; Kazakhstan; Turkey</x:v>
      </x:c>
      <x:c r="AO10" s="2" t="str">
        <x:v>China; India; Japan; Chile; Democratic Republic of the Congo; Indonesia; Malaysia; South Africa; Kazakhstan</x:v>
      </x:c>
      <x:c r="AP10" s="2" t="str">
        <x:v>Natural gas pipeline leaking: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 s="2" t="str">
        <x:v>2024–2025</x:v>
      </x:c>
      <x:c r="AR10" s="2" t="str">
        <x:v>https://pubs.usgs.gov/periodicals/mcs2026/mcs2026.pdf; https://www.iea.org/reports/global-critical-minerals-outlook-2025</x:v>
      </x:c>
    </x:row>
    <x:row r="11" ht="240" customHeight="1">
      <x:c r="A11" s="2" t="str">
        <x:v>MIT-0004</x:v>
      </x:c>
      <x:c r="B11" s="2" t="str">
        <x:v>Mitigation</x:v>
      </x:c>
      <x:c r="C11" s="2" t="str">
        <x:v>Carbon Fixation and Abatement</x:v>
      </x:c>
      <x:c r="D11" s="2" t="str">
        <x:v>Fugitive emission control</x:v>
      </x:c>
      <x:c r="E11" s="2" t="str">
        <x:v>Charcoal production</x:v>
      </x:c>
      <x:c r="F11" s="2" t="str">
        <x:v>Charcoal production is a mitigation technology in the Carbon Fixation and Abatement sector and the Fugitive emission control technology group. It is defined as a combined hardware–software–orgware system that detects, separates, captures, conditions, transports or securely contains carbon-bearing gases so that methane or CO₂ does not reach the atmosphere. Charcoal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1" s="2" t="str">
        <x:v>Mixed: adaptable design, site-specific implementation</x:v>
      </x:c>
      <x:c r="H11" s="2" t="str">
        <x:v>Charcoal production is adaptable in capacity and configuration but site-specific in final engineering. Its principle remains the same, but resource quality, climate, scale, interfaces and safety constraints must be recalculated for each deployment.</x:v>
      </x:c>
      <x:c r="I11" s="2" t="str">
        <x:v>Primarily hard, with a soft component</x:v>
      </x:c>
      <x:c r="J11" s="2" t="str">
        <x:v>Charcoal production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1" s="2" t="str">
        <x:v>Equipment and operation</x:v>
      </x:c>
      <x:c r="L11" s="2" t="str">
        <x:v>Charcoal production is embodied mainly as an equipment-and-operation system. The deliverable is accepted only when measurable service, quality, safety and climate-performance criteria are met under real conditions.</x:v>
      </x:c>
      <x:c r="M11" s="2" t="str">
        <x:v>Yes, subject to life-cycle safeguards</x:v>
      </x:c>
      <x:c r="N11" s="2" t="str">
        <x:v>Charcoal production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1" s="2" t="str">
        <x:v>Charcoal production: gas analysers; flow, pressure and temperature instrumentation; separators; compressors; valves; sealed piping; flare or injection equipment.</x:v>
      </x:c>
      <x:c r="P11" s="2" t="str">
        <x:v>Charcoal production: mass and energy balances; leak detection and repair logic; process simulation; dispersion modelling; integrity and injection surveillance.</x:v>
      </x:c>
      <x:c r="Q11" s="2" t="str">
        <x:v>Charcoal production: emission permits; measurement, reporting and verification; asset-integrity management; emergency procedures; long-term liability.</x:v>
      </x:c>
      <x:c r="R11" s="2" t="str">
        <x:v>Charcoal production: process units, access roads, power supply, pipelines, compression or storage sites, laboratories and monitoring networks.</x:v>
      </x:c>
      <x:c r="S11" s="2" t="str">
        <x:v>Charcoal production: electricity for compression, pumping, refrigeration and instrumentation; fuel or heat where oxidation or regeneration is required.</x:v>
      </x:c>
      <x:c r="T11" s="2" t="str">
        <x:v>Charcoal production: pressure-grade steel, corrosion-resistant alloys, concrete, elastomeric seals, sorbents, solvents, membranes or catalysts according to the process.</x:v>
      </x:c>
      <x:c r="U11" s="2" t="str">
        <x:v>Charcoal production: calibrated sensors, valve trim, seals, compressor parts, filters, reagents and certified sampling equipment.</x:v>
      </x:c>
      <x:c r="V11" s="2" t="str">
        <x:v>https://www.ctc-n.org/sites/default/files/resources/ctcn_taxonomy_0.pdf</x:v>
      </x:c>
      <x:c r="W11" s="2" t="str">
        <x:v>https://institutoagricoladepueblobello.edu.co/colegiapp/archivostemas/GUIA%209.%5B25%5D.pdf</x:v>
      </x:c>
      <x:c r="X11" s="2" t="str">
        <x:v>https://iiasa.ac.at/what-is-technology</x:v>
      </x:c>
      <x:c r="Y11" s="2" t="str">
        <x:v>https://www.ipcc.ch/report/carbon-dioxide-capture-and-storage/; https://www.ipcc.ch/report/ar6/wg3/chapter/chapter-11/</x:v>
      </x:c>
      <x:c r="Z11" s="2" t="str">
        <x:v>Technology-specific analytical synthesis. The CTCN hierarchy is retained; classifications and component dependencies require validation against the selected design, site and supplier documentation before investment or policy use.</x:v>
      </x:c>
      <x:c r="AA11" s="2" t="str">
        <x:v>Physical deployment of Charcoal production requires process units, access roads, power supply, pipelines, compression or storage sites, laboratories and monitoring networks; interfaces, foundations, access and environmental protection are sized to the specific resource and design load.</x:v>
      </x:c>
      <x:c r="AB11" s="2" t="str">
        <x:v>For Charcoal production, the hardware energy balance comprises electricity for compression, pumping, refrigeration and instrumentation; fuel or heat where oxidation or regeneration is required; metering must separate useful output, conversion losses and auxiliaries for the selected design.</x:v>
      </x:c>
      <x:c r="AC11" s="2" t="str">
        <x:v>Construction and operation use pressure-grade steel, corrosion-resistant alloys, concrete, elastomeric seals, sorbents, solvents, membranes or catalysts according to the process. For Charcoal production, specifications must include durability, compatibility, recycled content and recoverability.</x:v>
      </x:c>
      <x:c r="AD11" s="2" t="str">
        <x:v>Maintenance of Charcoal production depends on calibrated sensors, valve trim, seals, compressor parts, filters, reagents and certified sampling equipment; critical spares are selected from failure-mode, lead-time and safety analysis for its installed configuration.</x:v>
      </x:c>
      <x:c r="AE11" s="2" t="str">
        <x:v>The software stack for Charcoal production requires databases, secure communications, version-controlled models, computing, backup and interfaces with field or operational systems.</x:v>
      </x:c>
      <x:c r="AF11" s="2" t="str">
        <x:v>For Charcoal production, software-related energy is electricity for sensing, computing, storage, communication and cooling; it is normally secondary but must be included for data-intensive or continuous services.</x:v>
      </x:c>
      <x:c r="AG11" s="2" t="str">
        <x:v>The non-physical inputs are calibrated data, metadata, algorithms, boundary conditions, emission or hazard factors, manuals and validation records specific to Charcoal production.</x:v>
      </x:c>
      <x:c r="AH11" s="2" t="str">
        <x:v>Software continuity for Charcoal production requires licences where applicable, updates, cybersecurity patches, backups, calibration files, model validation and technical support.</x:v>
      </x:c>
      <x:c r="AI11" s="2" t="str">
        <x:v>Orgware depends on the institutions, laboratories, training providers, regulators, operators and community interfaces needed to govern Charcoal production.</x:v>
      </x:c>
      <x:c r="AJ11" s="2" t="str">
        <x:v>The orgware supporting Charcoal production has mainly indirect energy use from offices, meetings, training and information systems; travel and field supervision may be material at dispersed sites.</x:v>
      </x:c>
      <x:c r="AK11" s="2" t="str">
        <x:v>Its organisational inputs are permits, budgets, trained staff, competence records, contracts, procedures, safeguards, monitoring evidence and stakeholder agreements tailored to Charcoal production.</x:v>
      </x:c>
      <x:c r="AL11" s="2" t="str">
        <x:v>Sustained implementation of Charcoal production requires procurement and service contracts, audit protocols, training material, reporting templates, insurance or guarantees and periodic independent review.</x:v>
      </x:c>
      <x:c r="AM11" s="2" t="str">
        <x:v>Iron ore / steel inputs; Copper; Tin</x:v>
      </x:c>
      <x:c r="AN11" s="2" t="str">
        <x:v>Australia; Brazil; China; Chile; Democratic Republic of the Congo; Peru; Indonesia; Myanmar</x:v>
      </x:c>
      <x:c r="AO11" s="2" t="str">
        <x:v>China; India; Japan; Chile; Democratic Republic of the Congo; Indonesia; Malaysia</x:v>
      </x:c>
      <x:c r="AP11" s="2" t="str">
        <x:v>Charcoal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 s="2" t="str">
        <x:v>2024–2025</x:v>
      </x:c>
      <x:c r="AR11" s="2" t="str">
        <x:v>https://pubs.usgs.gov/periodicals/mcs2026/mcs2026.pdf</x:v>
      </x:c>
    </x:row>
    <x:row r="12" ht="240" customHeight="1">
      <x:c r="A12" s="2" t="str">
        <x:v>MIT-0005</x:v>
      </x:c>
      <x:c r="B12" s="2" t="str">
        <x:v>Mitigation</x:v>
      </x:c>
      <x:c r="C12" s="2" t="str">
        <x:v>Carbon Fixation and Abatement</x:v>
      </x:c>
      <x:c r="D12" s="2" t="str">
        <x:v>Carbon capture and storage</x:v>
      </x:c>
      <x:c r="E12" s="2" t="str">
        <x:v>CO2 transport technologies</x:v>
      </x:c>
      <x:c r="F12" s="2" t="str">
        <x:v>CO2 transport technologies is a mitigation technology in the Carbon Fixation and Abatement sector and the Carbon capture and storage technology group. It is defined as a combined hardware–software–orgware system that detects, separates, captures, conditions, transports or securely contains carbon-bearing gases so that methane or CO₂ does not reach the atmosphere. It conditions dense-phase or gaseous CO₂ and moves it through pipelines, ships or road/rail containers while controlling pressure, impurities, fracture propagation and release risk.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2" s="2" t="str">
        <x:v>Mixed: adaptable design, site-specific implementation</x:v>
      </x:c>
      <x:c r="H12" s="2" t="str">
        <x:v>CO2 transport technologies is adaptable in capacity and configuration but site-specific in final engineering. Its principle remains the same, but resource quality, climate, scale, interfaces and safety constraints must be recalculated for each deployment.</x:v>
      </x:c>
      <x:c r="I12" s="2" t="str">
        <x:v>Primarily hard, with a soft component</x:v>
      </x:c>
      <x:c r="J12" s="2" t="str">
        <x:v>CO2 transport technologies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2" s="2" t="str">
        <x:v>Equipment and operation</x:v>
      </x:c>
      <x:c r="L12" s="2" t="str">
        <x:v>CO2 transport technologies is embodied mainly as an equipment-and-operation system. The deliverable is accepted only when measurable service, quality, safety and climate-performance criteria are met under real conditions.</x:v>
      </x:c>
      <x:c r="M12" s="2" t="str">
        <x:v>Yes, subject to life-cycle safeguards</x:v>
      </x:c>
      <x:c r="N12" s="2" t="str">
        <x:v>CO2 transport technologies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2" s="2" t="str">
        <x:v>CO2 transport technologies: gas analysers; flow, pressure and temperature instrumentation; separators; compressors; valves; sealed piping; flare or injection equipment.</x:v>
      </x:c>
      <x:c r="P12" s="2" t="str">
        <x:v>CO2 transport technologies: mass and energy balances; leak detection and repair logic; process simulation; dispersion modelling; integrity and injection surveillance.</x:v>
      </x:c>
      <x:c r="Q12" s="2" t="str">
        <x:v>CO2 transport technologies: emission permits; measurement, reporting and verification; asset-integrity management; emergency procedures; long-term liability.</x:v>
      </x:c>
      <x:c r="R12" s="2" t="str">
        <x:v>CO2 transport technologies: process units, access roads, power supply, pipelines, compression or storage sites, laboratories and monitoring networks.</x:v>
      </x:c>
      <x:c r="S12" s="2" t="str">
        <x:v>CO2 transport technologies: electricity for compression, pumping, refrigeration and instrumentation; fuel or heat where oxidation or regeneration is required.</x:v>
      </x:c>
      <x:c r="T12" s="2" t="str">
        <x:v>CO2 transport technologies: pressure-grade steel, corrosion-resistant alloys, concrete, elastomeric seals, sorbents, solvents, membranes or catalysts according to the process.</x:v>
      </x:c>
      <x:c r="U12" s="2" t="str">
        <x:v>CO2 transport technologies: calibrated sensors, valve trim, seals, compressor parts, filters, reagents and certified sampling equipment.</x:v>
      </x:c>
      <x:c r="V12" s="2" t="str">
        <x:v>https://www.ctc-n.org/sites/default/files/resources/ctcn_taxonomy_0.pdf</x:v>
      </x:c>
      <x:c r="W12" s="2" t="str">
        <x:v>https://institutoagricoladepueblobello.edu.co/colegiapp/archivostemas/GUIA%209.%5B25%5D.pdf</x:v>
      </x:c>
      <x:c r="X12" s="2" t="str">
        <x:v>https://iiasa.ac.at/what-is-technology</x:v>
      </x:c>
      <x:c r="Y12" s="2" t="str">
        <x:v>https://www.ipcc.ch/report/carbon-dioxide-capture-and-storage/; https://www.ipcc.ch/report/ar6/wg3/chapter/chapter-11/</x:v>
      </x:c>
      <x:c r="Z12" s="2" t="str">
        <x:v>Technology-specific analytical synthesis. The CTCN hierarchy is retained; classifications and component dependencies require validation against the selected design, site and supplier documentation before investment or policy use.</x:v>
      </x:c>
      <x:c r="AA12" s="2" t="str">
        <x:v>Physical deployment of CO2 transport technologies requires process units, access roads, power supply, pipelines, compression or storage sites, laboratories and monitoring networks; interfaces, foundations, access and environmental protection are sized to the specific resource and design load.</x:v>
      </x:c>
      <x:c r="AB12" s="2" t="str">
        <x:v>For CO2 transport technologies, the hardware energy balance comprises electricity for compression, pumping, refrigeration and instrumentation; fuel or heat where oxidation or regeneration is required; metering must separate useful output, conversion losses and auxiliaries for the selected design.</x:v>
      </x:c>
      <x:c r="AC12" s="2" t="str">
        <x:v>Construction and operation use pressure-grade steel, corrosion-resistant alloys, concrete, elastomeric seals, sorbents, solvents, membranes or catalysts according to the process. For CO2 transport technologies, specifications must include durability, compatibility, recycled content and recoverability.</x:v>
      </x:c>
      <x:c r="AD12" s="2" t="str">
        <x:v>Maintenance of CO2 transport technologies depends on calibrated sensors, valve trim, seals, compressor parts, filters, reagents and certified sampling equipment; critical spares are selected from failure-mode, lead-time and safety analysis for its installed configuration.</x:v>
      </x:c>
      <x:c r="AE12" s="2" t="str">
        <x:v>The software stack for CO2 transport technologies requires databases, secure communications, version-controlled models, computing, backup and interfaces with field or operational systems.</x:v>
      </x:c>
      <x:c r="AF12" s="2" t="str">
        <x:v>For CO2 transport technologies, software-related energy is electricity for sensing, computing, storage, communication and cooling; it is normally secondary but must be included for data-intensive or continuous services.</x:v>
      </x:c>
      <x:c r="AG12" s="2" t="str">
        <x:v>The non-physical inputs are calibrated data, metadata, algorithms, boundary conditions, emission or hazard factors, manuals and validation records specific to CO2 transport technologies.</x:v>
      </x:c>
      <x:c r="AH12" s="2" t="str">
        <x:v>Software continuity for CO2 transport technologies requires licences where applicable, updates, cybersecurity patches, backups, calibration files, model validation and technical support.</x:v>
      </x:c>
      <x:c r="AI12" s="2" t="str">
        <x:v>Orgware depends on the institutions, laboratories, training providers, regulators, operators and community interfaces needed to govern CO2 transport technologies.</x:v>
      </x:c>
      <x:c r="AJ12" s="2" t="str">
        <x:v>The orgware supporting CO2 transport technologies has mainly indirect energy use from offices, meetings, training and information systems; travel and field supervision may be material at dispersed sites.</x:v>
      </x:c>
      <x:c r="AK12" s="2" t="str">
        <x:v>Its organisational inputs are permits, budgets, trained staff, competence records, contracts, procedures, safeguards, monitoring evidence and stakeholder agreements tailored to CO2 transport technologies.</x:v>
      </x:c>
      <x:c r="AL12" s="2" t="str">
        <x:v>Sustained implementation of CO2 transport technologies requires procurement and service contracts, audit protocols, training material, reporting templates, insurance or guarantees and periodic independent review.</x:v>
      </x:c>
      <x:c r="AM12" s="2" t="str">
        <x:v>Iron ore / steel inputs</x:v>
      </x:c>
      <x:c r="AN12" s="2" t="str">
        <x:v>Australia; Brazil; China</x:v>
      </x:c>
      <x:c r="AO12" s="2" t="str">
        <x:v>China; India; Japan</x:v>
      </x:c>
      <x:c r="AP12" s="2" t="str">
        <x:v>CO2 transport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 s="2" t="str">
        <x:v>2024–2025</x:v>
      </x:c>
      <x:c r="AR12" s="2" t="str">
        <x:v>https://pubs.usgs.gov/periodicals/mcs2026/mcs2026.pdf</x:v>
      </x:c>
    </x:row>
    <x:row r="13" ht="240" customHeight="1">
      <x:c r="A13" s="2" t="str">
        <x:v>MIT-0006</x:v>
      </x:c>
      <x:c r="B13" s="2" t="str">
        <x:v>Mitigation</x:v>
      </x:c>
      <x:c r="C13" s="2" t="str">
        <x:v>Carbon Fixation and Abatement</x:v>
      </x:c>
      <x:c r="D13" s="2" t="str">
        <x:v>Carbon capture and storage</x:v>
      </x:c>
      <x:c r="E13" s="2" t="str">
        <x:v>CO2 storage technologies</x:v>
      </x:c>
      <x:c r="F13" s="2" t="str">
        <x:v>CO2 storage technologies is a mitigation technology in the Carbon Fixation and Abatement sector and the Carbon capture and storage technology group. It is defined as a combined hardware–software–orgware system that detects, separates, captures, conditions, transports or securely contains carbon-bearing gases so that methane or CO₂ does not reach the atmosphere. It injects characterised CO₂ into a suitable geological formation, uses caprock and trapping mechanisms for containment, and verifies plume behaviour, pressure and absence of leakage.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3" s="2" t="str">
        <x:v>Primarily fixed</x:v>
      </x:c>
      <x:c r="H13" s="2" t="str">
        <x:v>CO2 storage technologies is tied to long-lived, site-specific assets and design loads. Its principle remains the same, but resource quality, climate, scale, interfaces and safety constraints must be recalculated for each deployment.</x:v>
      </x:c>
      <x:c r="I13" s="2" t="str">
        <x:v>Primarily hard, with a soft component</x:v>
      </x:c>
      <x:c r="J13" s="2" t="str">
        <x:v>CO2 storage technologies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3" s="2" t="str">
        <x:v>Equipment and operation</x:v>
      </x:c>
      <x:c r="L13" s="2" t="str">
        <x:v>CO2 storage technologies is embodied mainly as an equipment-and-operation system. The deliverable is accepted only when measurable service, quality, safety and climate-performance criteria are met under real conditions.</x:v>
      </x:c>
      <x:c r="M13" s="2" t="str">
        <x:v>Yes, subject to life-cycle safeguards</x:v>
      </x:c>
      <x:c r="N13" s="2" t="str">
        <x:v>CO2 storage technologies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3" s="2" t="str">
        <x:v>CO2 storage technologies: gas analysers; flow, pressure and temperature instrumentation; separators; compressors; valves; sealed piping; flare or injection equipment.</x:v>
      </x:c>
      <x:c r="P13" s="2" t="str">
        <x:v>CO2 storage technologies: mass and energy balances; leak detection and repair logic; process simulation; dispersion modelling; integrity and injection surveillance.</x:v>
      </x:c>
      <x:c r="Q13" s="2" t="str">
        <x:v>CO2 storage technologies: emission permits; measurement, reporting and verification; asset-integrity management; emergency procedures; long-term liability.</x:v>
      </x:c>
      <x:c r="R13" s="2" t="str">
        <x:v>CO2 storage technologies: process units, access roads, power supply, pipelines, compression or storage sites, laboratories and monitoring networks.</x:v>
      </x:c>
      <x:c r="S13" s="2" t="str">
        <x:v>CO2 storage technologies: electricity for compression, pumping, refrigeration and instrumentation; fuel or heat where oxidation or regeneration is required.</x:v>
      </x:c>
      <x:c r="T13" s="2" t="str">
        <x:v>CO2 storage technologies: pressure-grade steel, corrosion-resistant alloys, concrete, elastomeric seals, sorbents, solvents, membranes or catalysts according to the process.</x:v>
      </x:c>
      <x:c r="U13" s="2" t="str">
        <x:v>CO2 storage technologies: calibrated sensors, valve trim, seals, compressor parts, filters, reagents and certified sampling equipment.</x:v>
      </x:c>
      <x:c r="V13" s="2" t="str">
        <x:v>https://www.ctc-n.org/sites/default/files/resources/ctcn_taxonomy_0.pdf</x:v>
      </x:c>
      <x:c r="W13" s="2" t="str">
        <x:v>https://institutoagricoladepueblobello.edu.co/colegiapp/archivostemas/GUIA%209.%5B25%5D.pdf</x:v>
      </x:c>
      <x:c r="X13" s="2" t="str">
        <x:v>https://iiasa.ac.at/what-is-technology</x:v>
      </x:c>
      <x:c r="Y13" s="2" t="str">
        <x:v>https://www.ipcc.ch/report/carbon-dioxide-capture-and-storage/; https://www.ipcc.ch/report/ar6/wg3/chapter/chapter-11/</x:v>
      </x:c>
      <x:c r="Z13" s="2" t="str">
        <x:v>Technology-specific analytical synthesis. The CTCN hierarchy is retained; classifications and component dependencies require validation against the selected design, site and supplier documentation before investment or policy use.</x:v>
      </x:c>
      <x:c r="AA13" s="2" t="str">
        <x:v>Physical deployment of CO2 storage technologies requires process units, access roads, power supply, pipelines, compression or storage sites, laboratories and monitoring networks; interfaces, foundations, access and environmental protection are sized to the specific resource and design load.</x:v>
      </x:c>
      <x:c r="AB13" s="2" t="str">
        <x:v>For CO2 storage technologies, the hardware energy balance comprises electricity for compression, pumping, refrigeration and instrumentation; fuel or heat where oxidation or regeneration is required; metering must separate useful output, conversion losses and auxiliaries for the selected design.</x:v>
      </x:c>
      <x:c r="AC13" s="2" t="str">
        <x:v>Construction and operation use pressure-grade steel, corrosion-resistant alloys, concrete, elastomeric seals, sorbents, solvents, membranes or catalysts according to the process. For CO2 storage technologies, specifications must include durability, compatibility, recycled content and recoverability.</x:v>
      </x:c>
      <x:c r="AD13" s="2" t="str">
        <x:v>Maintenance of CO2 storage technologies depends on calibrated sensors, valve trim, seals, compressor parts, filters, reagents and certified sampling equipment; critical spares are selected from failure-mode, lead-time and safety analysis for its installed configuration.</x:v>
      </x:c>
      <x:c r="AE13" s="2" t="str">
        <x:v>The software stack for CO2 storage technologies requires databases, secure communications, version-controlled models, computing, backup and interfaces with field or operational systems.</x:v>
      </x:c>
      <x:c r="AF13" s="2" t="str">
        <x:v>For CO2 storage technologies, software-related energy is electricity for sensing, computing, storage, communication and cooling; it is normally secondary but must be included for data-intensive or continuous services.</x:v>
      </x:c>
      <x:c r="AG13" s="2" t="str">
        <x:v>The non-physical inputs are calibrated data, metadata, algorithms, boundary conditions, emission or hazard factors, manuals and validation records specific to CO2 storage technologies.</x:v>
      </x:c>
      <x:c r="AH13" s="2" t="str">
        <x:v>Software continuity for CO2 storage technologies requires licences where applicable, updates, cybersecurity patches, backups, calibration files, model validation and technical support.</x:v>
      </x:c>
      <x:c r="AI13" s="2" t="str">
        <x:v>Orgware depends on the institutions, laboratories, training providers, regulators, operators and community interfaces needed to govern CO2 storage technologies.</x:v>
      </x:c>
      <x:c r="AJ13" s="2" t="str">
        <x:v>The orgware supporting CO2 storage technologies has mainly indirect energy use from offices, meetings, training and information systems; travel and field supervision may be material at dispersed sites.</x:v>
      </x:c>
      <x:c r="AK13" s="2" t="str">
        <x:v>Its organisational inputs are permits, budgets, trained staff, competence records, contracts, procedures, safeguards, monitoring evidence and stakeholder agreements tailored to CO2 storage technologies.</x:v>
      </x:c>
      <x:c r="AL13" s="2" t="str">
        <x:v>Sustained implementation of CO2 storage technologies requires procurement and service contracts, audit protocols, training material, reporting templates, insurance or guarantees and periodic independent review.</x:v>
      </x:c>
      <x:c r="AM13" s="2" t="str">
        <x:v>Iron ore / steel inputs</x:v>
      </x:c>
      <x:c r="AN13" s="2" t="str">
        <x:v>Australia; Brazil; China</x:v>
      </x:c>
      <x:c r="AO13" s="2" t="str">
        <x:v>China; India; Japan</x:v>
      </x:c>
      <x:c r="AP13" s="2" t="str">
        <x:v>CO2 storage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 s="2" t="str">
        <x:v>2024–2025</x:v>
      </x:c>
      <x:c r="AR13" s="2" t="str">
        <x:v>https://pubs.usgs.gov/periodicals/mcs2026/mcs2026.pdf</x:v>
      </x:c>
    </x:row>
    <x:row r="14" ht="240" customHeight="1">
      <x:c r="A14" s="2" t="str">
        <x:v>MIT-0007</x:v>
      </x:c>
      <x:c r="B14" s="2" t="str">
        <x:v>Mitigation</x:v>
      </x:c>
      <x:c r="C14" s="2" t="str">
        <x:v>Carbon Fixation and Abatement</x:v>
      </x:c>
      <x:c r="D14" s="2" t="str">
        <x:v>Carbon capture and storage</x:v>
      </x:c>
      <x:c r="E14" s="2" t="str">
        <x:v>CO2 capture technologies</x:v>
      </x:c>
      <x:c r="F14" s="2" t="str">
        <x:v>CO2 capture technologies is a mitigation technology in the Carbon Fixation and Abatement sector and the Carbon capture and storage technology group. It is defined as a combined hardware–software–orgware system that detects, separates, captures, conditions, transports or securely contains carbon-bearing gases so that methane or CO₂ does not reach the atmosphere. It separates CO₂ from flue gas or process gas by absorption, adsorption, membranes, cryogenic separation or process-specific conversion, followed by dehydration and compression.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4" s="2" t="str">
        <x:v>Mixed: adaptable design, site-specific implementation</x:v>
      </x:c>
      <x:c r="H14" s="2" t="str">
        <x:v>CO2 capture technologies is adaptable in capacity and configuration but site-specific in final engineering. Its principle remains the same, but resource quality, climate, scale, interfaces and safety constraints must be recalculated for each deployment.</x:v>
      </x:c>
      <x:c r="I14" s="2" t="str">
        <x:v>Primarily hard, with a soft component</x:v>
      </x:c>
      <x:c r="J14" s="2" t="str">
        <x:v>CO2 capture technologies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4" s="2" t="str">
        <x:v>Equipment and operation</x:v>
      </x:c>
      <x:c r="L14" s="2" t="str">
        <x:v>CO2 capture technologies is embodied mainly as an equipment-and-operation system. The deliverable is accepted only when measurable service, quality, safety and climate-performance criteria are met under real conditions.</x:v>
      </x:c>
      <x:c r="M14" s="2" t="str">
        <x:v>Yes, subject to life-cycle safeguards</x:v>
      </x:c>
      <x:c r="N14" s="2" t="str">
        <x:v>CO2 capture technologies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4" s="2" t="str">
        <x:v>CO2 capture technologies: gas analysers; flow, pressure and temperature instrumentation; separators; compressors; valves; sealed piping; flare or injection equipment.</x:v>
      </x:c>
      <x:c r="P14" s="2" t="str">
        <x:v>CO2 capture technologies: mass and energy balances; leak detection and repair logic; process simulation; dispersion modelling; integrity and injection surveillance.</x:v>
      </x:c>
      <x:c r="Q14" s="2" t="str">
        <x:v>CO2 capture technologies: emission permits; measurement, reporting and verification; asset-integrity management; emergency procedures; long-term liability.</x:v>
      </x:c>
      <x:c r="R14" s="2" t="str">
        <x:v>CO2 capture technologies: process units, access roads, power supply, pipelines, compression or storage sites, laboratories and monitoring networks.</x:v>
      </x:c>
      <x:c r="S14" s="2" t="str">
        <x:v>CO2 capture technologies: electricity for compression, pumping, refrigeration and instrumentation; fuel or heat where oxidation or regeneration is required.</x:v>
      </x:c>
      <x:c r="T14" s="2" t="str">
        <x:v>CO2 capture technologies: pressure-grade steel, corrosion-resistant alloys, concrete, elastomeric seals, sorbents, solvents, membranes or catalysts according to the process.</x:v>
      </x:c>
      <x:c r="U14" s="2" t="str">
        <x:v>CO2 capture technologies: calibrated sensors, valve trim, seals, compressor parts, filters, reagents and certified sampling equipment.</x:v>
      </x:c>
      <x:c r="V14" s="2" t="str">
        <x:v>https://www.ctc-n.org/sites/default/files/resources/ctcn_taxonomy_0.pdf</x:v>
      </x:c>
      <x:c r="W14" s="2" t="str">
        <x:v>https://institutoagricoladepueblobello.edu.co/colegiapp/archivostemas/GUIA%209.%5B25%5D.pdf</x:v>
      </x:c>
      <x:c r="X14" s="2" t="str">
        <x:v>https://iiasa.ac.at/what-is-technology</x:v>
      </x:c>
      <x:c r="Y14" s="2" t="str">
        <x:v>https://www.ipcc.ch/report/carbon-dioxide-capture-and-storage/; https://www.ipcc.ch/report/ar6/wg3/chapter/chapter-11/</x:v>
      </x:c>
      <x:c r="Z14" s="2" t="str">
        <x:v>Technology-specific analytical synthesis. The CTCN hierarchy is retained; classifications and component dependencies require validation against the selected design, site and supplier documentation before investment or policy use.</x:v>
      </x:c>
      <x:c r="AA14" s="2" t="str">
        <x:v>Physical deployment of CO2 capture technologies requires process units, access roads, power supply, pipelines, compression or storage sites, laboratories and monitoring networks; interfaces, foundations, access and environmental protection are sized to the specific resource and design load.</x:v>
      </x:c>
      <x:c r="AB14" s="2" t="str">
        <x:v>For CO2 capture technologies, the hardware energy balance comprises electricity for compression, pumping, refrigeration and instrumentation; fuel or heat where oxidation or regeneration is required; metering must separate useful output, conversion losses and auxiliaries for the selected design.</x:v>
      </x:c>
      <x:c r="AC14" s="2" t="str">
        <x:v>Construction and operation use pressure-grade steel, corrosion-resistant alloys, concrete, elastomeric seals, sorbents, solvents, membranes or catalysts according to the process. For CO2 capture technologies, specifications must include durability, compatibility, recycled content and recoverability.</x:v>
      </x:c>
      <x:c r="AD14" s="2" t="str">
        <x:v>Maintenance of CO2 capture technologies depends on calibrated sensors, valve trim, seals, compressor parts, filters, reagents and certified sampling equipment; critical spares are selected from failure-mode, lead-time and safety analysis for its installed configuration.</x:v>
      </x:c>
      <x:c r="AE14" s="2" t="str">
        <x:v>The software stack for CO2 capture technologies requires databases, secure communications, version-controlled models, computing, backup and interfaces with field or operational systems.</x:v>
      </x:c>
      <x:c r="AF14" s="2" t="str">
        <x:v>For CO2 capture technologies, software-related energy is electricity for sensing, computing, storage, communication and cooling; it is normally secondary but must be included for data-intensive or continuous services.</x:v>
      </x:c>
      <x:c r="AG14" s="2" t="str">
        <x:v>The non-physical inputs are calibrated data, metadata, algorithms, boundary conditions, emission or hazard factors, manuals and validation records specific to CO2 capture technologies.</x:v>
      </x:c>
      <x:c r="AH14" s="2" t="str">
        <x:v>Software continuity for CO2 capture technologies requires licences where applicable, updates, cybersecurity patches, backups, calibration files, model validation and technical support.</x:v>
      </x:c>
      <x:c r="AI14" s="2" t="str">
        <x:v>Orgware depends on the institutions, laboratories, training providers, regulators, operators and community interfaces needed to govern CO2 capture technologies.</x:v>
      </x:c>
      <x:c r="AJ14" s="2" t="str">
        <x:v>The orgware supporting CO2 capture technologies has mainly indirect energy use from offices, meetings, training and information systems; travel and field supervision may be material at dispersed sites.</x:v>
      </x:c>
      <x:c r="AK14" s="2" t="str">
        <x:v>Its organisational inputs are permits, budgets, trained staff, competence records, contracts, procedures, safeguards, monitoring evidence and stakeholder agreements tailored to CO2 capture technologies.</x:v>
      </x:c>
      <x:c r="AL14" s="2" t="str">
        <x:v>Sustained implementation of CO2 capture technologies requires procurement and service contracts, audit protocols, training material, reporting templates, insurance or guarantees and periodic independent review.</x:v>
      </x:c>
      <x:c r="AM14" s="2" t="str">
        <x:v>Iron ore / steel inputs</x:v>
      </x:c>
      <x:c r="AN14" s="2" t="str">
        <x:v>Australia; Brazil; China</x:v>
      </x:c>
      <x:c r="AO14" s="2" t="str">
        <x:v>China; India; Japan</x:v>
      </x:c>
      <x:c r="AP14" s="2" t="str">
        <x:v>CO2 capture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 s="2" t="str">
        <x:v>2024–2025</x:v>
      </x:c>
      <x:c r="AR14" s="2" t="str">
        <x:v>https://pubs.usgs.gov/periodicals/mcs2026/mcs2026.pdf</x:v>
      </x:c>
    </x:row>
    <x:row r="15" ht="240" customHeight="1">
      <x:c r="A15" s="2" t="str">
        <x:v>MIT-0008</x:v>
      </x:c>
      <x:c r="B15" s="2" t="str">
        <x:v>Mitigation</x:v>
      </x:c>
      <x:c r="C15" s="2" t="str">
        <x:v>Transport</x:v>
      </x:c>
      <x:c r="D15" s="2" t="str">
        <x:v>Inland water &amp; maritime</x:v>
      </x:c>
      <x:c r="E15" s="2" t="str">
        <x:v>Maritime freight</x:v>
      </x:c>
      <x:c r="F15" s="2" t="str">
        <x:v>Maritime freight is a mitigation technology in the Transport sector and the Inland water &amp; maritime technology group. It is defined as a combined hardware–software–orgware system that changes vehicle kilometres, modal share, occupancy, speed profiles, routing or logistics so that the same mobility service is delivered with less final energy and fewer tailpipe emissions. Maritime freight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 s="2" t="str">
        <x:v>Mixed: adaptable design, site-specific implementation</x:v>
      </x:c>
      <x:c r="H15" s="2" t="str">
        <x:v>Maritime freight is adaptable in capacity and configuration but site-specific in final engineering. Its principle remains the same, but resource quality, climate, scale, interfaces and safety constraints must be recalculated for each deployment.</x:v>
      </x:c>
      <x:c r="I15" s="2" t="str">
        <x:v>Primarily hard, with a soft component</x:v>
      </x:c>
      <x:c r="J15" s="2" t="str">
        <x:v>Maritime freight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 s="2" t="str">
        <x:v>Equipment and operation</x:v>
      </x:c>
      <x:c r="L15" s="2" t="str">
        <x:v>Maritime freight is embodied mainly as an equipment-and-operation system. The deliverable is accepted only when measurable service, quality, safety and climate-performance criteria are met under real conditions.</x:v>
      </x:c>
      <x:c r="M15" s="2" t="str">
        <x:v>Yes, subject to life-cycle safeguards</x:v>
      </x:c>
      <x:c r="N15" s="2" t="str">
        <x:v>Maritime freight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 s="2" t="str">
        <x:v>Maritime freight: corridor and station infrastructure, signalling, ticketing, communications, fleet equipment, traffic sensors and user interfaces as applicable.</x:v>
      </x:c>
      <x:c r="P15" s="2" t="str">
        <x:v>Maritime freight: network and timetable design, demand models, traffic control, fleet dispatch, logistics optimisation, safety analysis and service-performance analytics.</x:v>
      </x:c>
      <x:c r="Q15" s="2" t="str">
        <x:v>Maritime freight: transport authority mandates, operating contracts, tariffs, enforcement, street-space allocation, accessibility rules and coordination with land-use planning.</x:v>
      </x:c>
      <x:c r="R15" s="2" t="str">
        <x:v>Maritime freight: rights-of-way, stops or terminals, depots, interchanges, control centres, communications and safe pedestrian or cycling access.</x:v>
      </x:c>
      <x:c r="S15" s="2" t="str">
        <x:v>Maritime freight: electricity for control and stations plus the energy used by the affected vehicle fleet; the net result is governed by modal shift and occupancy.</x:v>
      </x:c>
      <x:c r="T15" s="2" t="str">
        <x:v>Maritime freight: concrete, steel, asphalt, copper, signalling electronics, pavement materials and vehicle-related materials where new infrastructure is built.</x:v>
      </x:c>
      <x:c r="U15" s="2" t="str">
        <x:v>Maritime freight: signal modules, communications equipment, validators, sensors, pavement components, station equipment and fleet consumables.</x:v>
      </x:c>
      <x:c r="V15" s="2" t="str">
        <x:v>https://www.ctc-n.org/sites/default/files/resources/ctcn_taxonomy_0.pdf</x:v>
      </x:c>
      <x:c r="W15" s="2" t="str">
        <x:v>https://institutoagricoladepueblobello.edu.co/colegiapp/archivostemas/GUIA%209.%5B25%5D.pdf</x:v>
      </x:c>
      <x:c r="X15" s="2" t="str">
        <x:v>https://iiasa.ac.at/what-is-technology</x:v>
      </x:c>
      <x:c r="Y15" s="2" t="str">
        <x:v>https://www.ipcc.ch/report/ar6/wg3/chapter/chapter-10/; https://ppp.worldbank.org/print/pdf/node/7300</x:v>
      </x:c>
      <x:c r="Z15" s="2" t="str">
        <x:v>Technology-specific analytical synthesis. The CTCN hierarchy is retained; classifications and component dependencies require validation against the selected design, site and supplier documentation before investment or policy use.</x:v>
      </x:c>
      <x:c r="AA15" s="2" t="str">
        <x:v>Physical deployment of Maritime freight requires rights-of-way, stops or terminals, depots, interchanges, control centres, communications and safe pedestrian or cycling access; interfaces, foundations, access and environmental protection are sized to the specific resource and design load.</x:v>
      </x:c>
      <x:c r="AB15" s="2" t="str">
        <x:v>For Maritime freight,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 s="2" t="str">
        <x:v>Construction and operation use concrete, steel, asphalt, copper, signalling electronics, pavement materials and vehicle-related materials where new infrastructure is built. For Maritime freight, specifications must include durability, compatibility, recycled content and recoverability.</x:v>
      </x:c>
      <x:c r="AD15" s="2" t="str">
        <x:v>Maintenance of Maritime freight depends on signal modules, communications equipment, validators, sensors, pavement components, station equipment and fleet consumables; critical spares are selected from failure-mode, lead-time and safety analysis for its installed configuration.</x:v>
      </x:c>
      <x:c r="AE15" s="2" t="str">
        <x:v>The software stack for Maritime freight requires databases, secure communications, version-controlled models, computing, backup and interfaces with field or operational systems.</x:v>
      </x:c>
      <x:c r="AF15" s="2" t="str">
        <x:v>For Maritime freight, software-related energy is electricity for sensing, computing, storage, communication and cooling; it is normally secondary but must be included for data-intensive or continuous services.</x:v>
      </x:c>
      <x:c r="AG15" s="2" t="str">
        <x:v>The non-physical inputs are calibrated data, metadata, algorithms, boundary conditions, emission or hazard factors, manuals and validation records specific to Maritime freight.</x:v>
      </x:c>
      <x:c r="AH15" s="2" t="str">
        <x:v>Software continuity for Maritime freight requires licences where applicable, updates, cybersecurity patches, backups, calibration files, model validation and technical support.</x:v>
      </x:c>
      <x:c r="AI15" s="2" t="str">
        <x:v>Orgware depends on the institutions, laboratories, training providers, regulators, operators and community interfaces needed to govern Maritime freight.</x:v>
      </x:c>
      <x:c r="AJ15" s="2" t="str">
        <x:v>The orgware supporting Maritime freight has mainly indirect energy use from offices, meetings, training and information systems; travel and field supervision may be material at dispersed sites.</x:v>
      </x:c>
      <x:c r="AK15" s="2" t="str">
        <x:v>Its organisational inputs are permits, budgets, trained staff, competence records, contracts, procedures, safeguards, monitoring evidence and stakeholder agreements tailored to Maritime freight.</x:v>
      </x:c>
      <x:c r="AL15" s="2" t="str">
        <x:v>Sustained implementation of Maritime freight requires procurement and service contracts, audit protocols, training material, reporting templates, insurance or guarantees and periodic independent review.</x:v>
      </x:c>
      <x:c r="AM15" s="2" t="str">
        <x:v>Iron ore / steel inputs</x:v>
      </x:c>
      <x:c r="AN15" s="2" t="str">
        <x:v>Australia; Brazil; China</x:v>
      </x:c>
      <x:c r="AO15" s="2" t="str">
        <x:v>China; India; Japan</x:v>
      </x:c>
      <x:c r="AP15" s="2" t="str">
        <x:v>Maritime freight: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 s="2" t="str">
        <x:v>2024–2025</x:v>
      </x:c>
      <x:c r="AR15" s="2" t="str">
        <x:v>https://pubs.usgs.gov/periodicals/mcs2026/mcs2026.pdf</x:v>
      </x:c>
    </x:row>
    <x:row r="16" ht="240" customHeight="1">
      <x:c r="A16" s="2" t="str">
        <x:v>MIT-0009</x:v>
      </x:c>
      <x:c r="B16" s="2" t="str">
        <x:v>Mitigation</x:v>
      </x:c>
      <x:c r="C16" s="2" t="str">
        <x:v>Transport</x:v>
      </x:c>
      <x:c r="D16" s="2" t="str">
        <x:v>Inland water &amp; maritime</x:v>
      </x:c>
      <x:c r="E16" s="2" t="str">
        <x:v>Maritime support systems</x:v>
      </x:c>
      <x:c r="F16" s="2" t="str">
        <x:v>Maritime support systems is a mitigation technology in the Transport sector and the Inland water &amp; maritime technology group. It is defined as a combined hardware–software–orgware system that changes vehicle kilometres, modal share, occupancy, speed profiles, routing or logistics so that the same mobility service is delivered with less final energy and fewer tailpipe emissions. Maritime support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6" s="2" t="str">
        <x:v>Mixed: adaptable design, site-specific implementation</x:v>
      </x:c>
      <x:c r="H16" s="2" t="str">
        <x:v>Maritime support systems is adaptable in capacity and configuration but site-specific in final engineering. Its principle remains the same, but resource quality, climate, scale, interfaces and safety constraints must be recalculated for each deployment.</x:v>
      </x:c>
      <x:c r="I16" s="2" t="str">
        <x:v>Primarily hard, with a soft component</x:v>
      </x:c>
      <x:c r="J16" s="2" t="str">
        <x:v>Maritime support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6" s="2" t="str">
        <x:v>Equipment and operation</x:v>
      </x:c>
      <x:c r="L16" s="2" t="str">
        <x:v>Maritime support systems is embodied mainly as an equipment-and-operation system. The deliverable is accepted only when measurable service, quality, safety and climate-performance criteria are met under real conditions.</x:v>
      </x:c>
      <x:c r="M16" s="2" t="str">
        <x:v>Yes, subject to life-cycle safeguards</x:v>
      </x:c>
      <x:c r="N16" s="2" t="str">
        <x:v>Maritime support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6" s="2" t="str">
        <x:v>Maritime support systems: corridor and station infrastructure, signalling, ticketing, communications, fleet equipment, traffic sensors and user interfaces as applicable.</x:v>
      </x:c>
      <x:c r="P16" s="2" t="str">
        <x:v>Maritime support systems: network and timetable design, demand models, traffic control, fleet dispatch, logistics optimisation, safety analysis and service-performance analytics.</x:v>
      </x:c>
      <x:c r="Q16" s="2" t="str">
        <x:v>Maritime support systems: transport authority mandates, operating contracts, tariffs, enforcement, street-space allocation, accessibility rules and coordination with land-use planning.</x:v>
      </x:c>
      <x:c r="R16" s="2" t="str">
        <x:v>Maritime support systems: rights-of-way, stops or terminals, depots, interchanges, control centres, communications and safe pedestrian or cycling access.</x:v>
      </x:c>
      <x:c r="S16" s="2" t="str">
        <x:v>Maritime support systems: electricity for control and stations plus the energy used by the affected vehicle fleet; the net result is governed by modal shift and occupancy.</x:v>
      </x:c>
      <x:c r="T16" s="2" t="str">
        <x:v>Maritime support systems: concrete, steel, asphalt, copper, signalling electronics, pavement materials and vehicle-related materials where new infrastructure is built.</x:v>
      </x:c>
      <x:c r="U16" s="2" t="str">
        <x:v>Maritime support systems: signal modules, communications equipment, validators, sensors, pavement components, station equipment and fleet consumables.</x:v>
      </x:c>
      <x:c r="V16" s="2" t="str">
        <x:v>https://www.ctc-n.org/sites/default/files/resources/ctcn_taxonomy_0.pdf</x:v>
      </x:c>
      <x:c r="W16" s="2" t="str">
        <x:v>https://institutoagricoladepueblobello.edu.co/colegiapp/archivostemas/GUIA%209.%5B25%5D.pdf</x:v>
      </x:c>
      <x:c r="X16" s="2" t="str">
        <x:v>https://iiasa.ac.at/what-is-technology</x:v>
      </x:c>
      <x:c r="Y16" s="2" t="str">
        <x:v>https://www.ipcc.ch/report/ar6/wg3/chapter/chapter-10/; https://ppp.worldbank.org/print/pdf/node/7300</x:v>
      </x:c>
      <x:c r="Z16" s="2" t="str">
        <x:v>Technology-specific analytical synthesis. The CTCN hierarchy is retained; classifications and component dependencies require validation against the selected design, site and supplier documentation before investment or policy use.</x:v>
      </x:c>
      <x:c r="AA16" s="2" t="str">
        <x:v>Physical deployment of Maritime support systems requires rights-of-way, stops or terminals, depots, interchanges, control centres, communications and safe pedestrian or cycling access; interfaces, foundations, access and environmental protection are sized to the specific resource and design load.</x:v>
      </x:c>
      <x:c r="AB16" s="2" t="str">
        <x:v>For Maritime support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6" s="2" t="str">
        <x:v>Construction and operation use concrete, steel, asphalt, copper, signalling electronics, pavement materials and vehicle-related materials where new infrastructure is built. For Maritime support systems, specifications must include durability, compatibility, recycled content and recoverability.</x:v>
      </x:c>
      <x:c r="AD16" s="2" t="str">
        <x:v>Maintenance of Maritime support systems depends on signal modules, communications equipment, validators, sensors, pavement components, station equipment and fleet consumables; critical spares are selected from failure-mode, lead-time and safety analysis for its installed configuration.</x:v>
      </x:c>
      <x:c r="AE16" s="2" t="str">
        <x:v>The software stack for Maritime support systems requires databases, secure communications, version-controlled models, computing, backup and interfaces with field or operational systems.</x:v>
      </x:c>
      <x:c r="AF16" s="2" t="str">
        <x:v>For Maritime support systems, software-related energy is electricity for sensing, computing, storage, communication and cooling; it is normally secondary but must be included for data-intensive or continuous services.</x:v>
      </x:c>
      <x:c r="AG16" s="2" t="str">
        <x:v>The non-physical inputs are calibrated data, metadata, algorithms, boundary conditions, emission or hazard factors, manuals and validation records specific to Maritime support systems.</x:v>
      </x:c>
      <x:c r="AH16" s="2" t="str">
        <x:v>Software continuity for Maritime support systems requires licences where applicable, updates, cybersecurity patches, backups, calibration files, model validation and technical support.</x:v>
      </x:c>
      <x:c r="AI16" s="2" t="str">
        <x:v>Orgware depends on the institutions, laboratories, training providers, regulators, operators and community interfaces needed to govern Maritime support systems.</x:v>
      </x:c>
      <x:c r="AJ16" s="2" t="str">
        <x:v>The orgware supporting Maritime support systems has mainly indirect energy use from offices, meetings, training and information systems; travel and field supervision may be material at dispersed sites.</x:v>
      </x:c>
      <x:c r="AK16" s="2" t="str">
        <x:v>Its organisational inputs are permits, budgets, trained staff, competence records, contracts, procedures, safeguards, monitoring evidence and stakeholder agreements tailored to Maritime support systems.</x:v>
      </x:c>
      <x:c r="AL16" s="2" t="str">
        <x:v>Sustained implementation of Maritime support systems requires procurement and service contracts, audit protocols, training material, reporting templates, insurance or guarantees and periodic independent review.</x:v>
      </x:c>
      <x:c r="AM16" s="2" t="str">
        <x:v>Iron ore / steel inputs</x:v>
      </x:c>
      <x:c r="AN16" s="2" t="str">
        <x:v>Australia; Brazil; China</x:v>
      </x:c>
      <x:c r="AO16" s="2" t="str">
        <x:v>China; India; Japan</x:v>
      </x:c>
      <x:c r="AP16" s="2" t="str">
        <x:v>Maritime support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 s="2" t="str">
        <x:v>2024–2025</x:v>
      </x:c>
      <x:c r="AR16" s="2" t="str">
        <x:v>https://pubs.usgs.gov/periodicals/mcs2026/mcs2026.pdf</x:v>
      </x:c>
    </x:row>
    <x:row r="17" ht="240" customHeight="1">
      <x:c r="A17" s="2" t="str">
        <x:v>MIT-0010</x:v>
      </x:c>
      <x:c r="B17" s="2" t="str">
        <x:v>Mitigation</x:v>
      </x:c>
      <x:c r="C17" s="2" t="str">
        <x:v>Transport</x:v>
      </x:c>
      <x:c r="D17" s="2" t="str">
        <x:v>Land transport</x:v>
      </x:c>
      <x:c r="E17" s="2" t="str">
        <x:v>Traffic management</x:v>
      </x:c>
      <x:c r="F17" s="2" t="str">
        <x:v>Traffic management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Traffic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7" s="2" t="str">
        <x:v>Flexible</x:v>
      </x:c>
      <x:c r="H17" s="2" t="str">
        <x:v>Traffic management is transferable through configurable methods, rules and operating parameters. Its principle remains the same, but resource quality, climate, scale, interfaces and safety constraints must be recalculated for each deployment.</x:v>
      </x:c>
      <x:c r="I17" s="2" t="str">
        <x:v>Primarily soft, with physical support</x:v>
      </x:c>
      <x:c r="J17" s="2" t="str">
        <x:v>Traffic management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7" s="2" t="str">
        <x:v>Operation</x:v>
      </x:c>
      <x:c r="L17" s="2" t="str">
        <x:v>Traffic management is embodied mainly as an operating practice. The deliverable is accepted only when measurable service, quality, safety and climate-performance criteria are met under real conditions.</x:v>
      </x:c>
      <x:c r="M17" s="2" t="str">
        <x:v>Yes, subject to life-cycle safeguards</x:v>
      </x:c>
      <x:c r="N17" s="2" t="str">
        <x:v>Traffic management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7" s="2" t="str">
        <x:v>Traffic management: corridor and station infrastructure, signalling, ticketing, communications, fleet equipment, traffic sensors and user interfaces as applicable.</x:v>
      </x:c>
      <x:c r="P17" s="2" t="str">
        <x:v>Traffic management: network and timetable design, demand models, traffic control, fleet dispatch, logistics optimisation, safety analysis and service-performance analytics.</x:v>
      </x:c>
      <x:c r="Q17" s="2" t="str">
        <x:v>Traffic management: transport authority mandates, operating contracts, tariffs, enforcement, street-space allocation, accessibility rules and coordination with land-use planning.</x:v>
      </x:c>
      <x:c r="R17" s="2" t="str">
        <x:v>Traffic management: rights-of-way, stops or terminals, depots, interchanges, control centres, communications and safe pedestrian or cycling access.</x:v>
      </x:c>
      <x:c r="S17" s="2" t="str">
        <x:v>Traffic management: electricity for control and stations plus the energy used by the affected vehicle fleet; the net result is governed by modal shift and occupancy.</x:v>
      </x:c>
      <x:c r="T17" s="2" t="str">
        <x:v>Traffic management: concrete, steel, asphalt, copper, signalling electronics, pavement materials and vehicle-related materials where new infrastructure is built.</x:v>
      </x:c>
      <x:c r="U17" s="2" t="str">
        <x:v>Traffic management: signal modules, communications equipment, validators, sensors, pavement components, station equipment and fleet consumables.</x:v>
      </x:c>
      <x:c r="V17" s="2" t="str">
        <x:v>https://www.ctc-n.org/sites/default/files/resources/ctcn_taxonomy_0.pdf</x:v>
      </x:c>
      <x:c r="W17" s="2" t="str">
        <x:v>https://institutoagricoladepueblobello.edu.co/colegiapp/archivostemas/GUIA%209.%5B25%5D.pdf</x:v>
      </x:c>
      <x:c r="X17" s="2" t="str">
        <x:v>https://iiasa.ac.at/what-is-technology</x:v>
      </x:c>
      <x:c r="Y17" s="2" t="str">
        <x:v>https://www.ipcc.ch/report/ar6/wg3/chapter/chapter-10/; https://ppp.worldbank.org/print/pdf/node/7300</x:v>
      </x:c>
      <x:c r="Z17" s="2" t="str">
        <x:v>Technology-specific analytical synthesis. The CTCN hierarchy is retained; classifications and component dependencies require validation against the selected design, site and supplier documentation before investment or policy use.</x:v>
      </x:c>
      <x:c r="AA17" s="2" t="str">
        <x:v>Physical deployment of Traffic management requires rights-of-way, stops or terminals, depots, interchanges, control centres, communications and safe pedestrian or cycling access; interfaces, foundations, access and environmental protection are sized to the specific resource and design load.</x:v>
      </x:c>
      <x:c r="AB17" s="2" t="str">
        <x:v>For Traffic management,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7" s="2" t="str">
        <x:v>Construction and operation use concrete, steel, asphalt, copper, signalling electronics, pavement materials and vehicle-related materials where new infrastructure is built. For Traffic management, specifications must include durability, compatibility, recycled content and recoverability.</x:v>
      </x:c>
      <x:c r="AD17" s="2" t="str">
        <x:v>Maintenance of Traffic management depends on signal modules, communications equipment, validators, sensors, pavement components, station equipment and fleet consumables; critical spares are selected from failure-mode, lead-time and safety analysis for its installed configuration.</x:v>
      </x:c>
      <x:c r="AE17" s="2" t="str">
        <x:v>The software stack for Traffic management requires databases, secure communications, version-controlled models, computing, backup and interfaces with field or operational systems.</x:v>
      </x:c>
      <x:c r="AF17" s="2" t="str">
        <x:v>For Traffic management, software-related energy is electricity for sensing, computing, storage, communication and cooling; it is normally secondary but must be included for data-intensive or continuous services.</x:v>
      </x:c>
      <x:c r="AG17" s="2" t="str">
        <x:v>The non-physical inputs are calibrated data, metadata, algorithms, boundary conditions, emission or hazard factors, manuals and validation records specific to Traffic management.</x:v>
      </x:c>
      <x:c r="AH17" s="2" t="str">
        <x:v>Software continuity for Traffic management requires licences where applicable, updates, cybersecurity patches, backups, calibration files, model validation and technical support.</x:v>
      </x:c>
      <x:c r="AI17" s="2" t="str">
        <x:v>Orgware depends on the institutions, laboratories, training providers, regulators, operators and community interfaces needed to govern Traffic management.</x:v>
      </x:c>
      <x:c r="AJ17" s="2" t="str">
        <x:v>The orgware supporting Traffic management has mainly indirect energy use from offices, meetings, training and information systems; travel and field supervision may be material at dispersed sites.</x:v>
      </x:c>
      <x:c r="AK17" s="2" t="str">
        <x:v>Its organisational inputs are permits, budgets, trained staff, competence records, contracts, procedures, safeguards, monitoring evidence and stakeholder agreements tailored to Traffic management.</x:v>
      </x:c>
      <x:c r="AL17" s="2" t="str">
        <x:v>Sustained implementation of Traffic management requires procurement and service contracts, audit protocols, training material, reporting templates, insurance or guarantees and periodic independent review.</x:v>
      </x:c>
      <x:c r="AM17" s="2" t="str">
        <x:v>No critical or strategic raw material is identifiable at taxonomy level; site-specific bulk materials may still be required.</x:v>
      </x:c>
      <x:c r="AN17" s="2" t="str"/>
      <x:c r="AO17" s="2" t="str"/>
      <x:c r="AP17" s="2" t="str">
        <x:v>Traffic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 s="2" t="str">
        <x:v>2024–2025</x:v>
      </x:c>
      <x:c r="AR17" s="2" t="str">
        <x:v>https://pubs.usgs.gov/periodicals/mcs2026/mcs2026.pdf; https://www.iea.org/reports/global-critical-minerals-outlook-2025</x:v>
      </x:c>
    </x:row>
    <x:row r="18" ht="240" customHeight="1">
      <x:c r="A18" s="2" t="str">
        <x:v>MIT-0011</x:v>
      </x:c>
      <x:c r="B18" s="2" t="str">
        <x:v>Mitigation</x:v>
      </x:c>
      <x:c r="C18" s="2" t="str">
        <x:v>Transport</x:v>
      </x:c>
      <x:c r="D18" s="2" t="str">
        <x:v>Land transport</x:v>
      </x:c>
      <x:c r="E18" s="2" t="str">
        <x:v>More efficient heavy duty vehicles</x:v>
      </x:c>
      <x:c r="F18" s="2" t="str">
        <x:v>More efficient heavy duty vehicles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More efficient heavy duty vehicles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8" s="2" t="str">
        <x:v>Mixed: adaptable design, site-specific implementation</x:v>
      </x:c>
      <x:c r="H18" s="2" t="str">
        <x:v>More efficient heavy duty vehicles is adaptable in capacity and configuration but site-specific in final engineering. Its principle remains the same, but resource quality, climate, scale, interfaces and safety constraints must be recalculated for each deployment.</x:v>
      </x:c>
      <x:c r="I18" s="2" t="str">
        <x:v>Primarily hard, with a soft component</x:v>
      </x:c>
      <x:c r="J18" s="2" t="str">
        <x:v>More efficient heavy duty vehicles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8" s="2" t="str">
        <x:v>Equipment and operation</x:v>
      </x:c>
      <x:c r="L18" s="2" t="str">
        <x:v>More efficient heavy duty vehicles is embodied mainly as an equipment-and-operation system. The deliverable is accepted only when measurable service, quality, safety and climate-performance criteria are met under real conditions.</x:v>
      </x:c>
      <x:c r="M18" s="2" t="str">
        <x:v>Yes, subject to life-cycle safeguards</x:v>
      </x:c>
      <x:c r="N18" s="2" t="str">
        <x:v>More efficient heavy duty vehicles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8" s="2" t="str">
        <x:v>More efficient heavy duty vehicles: corridor and station infrastructure, signalling, ticketing, communications, fleet equipment, traffic sensors and user interfaces as applicable.</x:v>
      </x:c>
      <x:c r="P18" s="2" t="str">
        <x:v>More efficient heavy duty vehicles: network and timetable design, demand models, traffic control, fleet dispatch, logistics optimisation, safety analysis and service-performance analytics.</x:v>
      </x:c>
      <x:c r="Q18" s="2" t="str">
        <x:v>More efficient heavy duty vehicles: transport authority mandates, operating contracts, tariffs, enforcement, street-space allocation, accessibility rules and coordination with land-use planning.</x:v>
      </x:c>
      <x:c r="R18" s="2" t="str">
        <x:v>More efficient heavy duty vehicles: rights-of-way, stops or terminals, depots, interchanges, control centres, communications and safe pedestrian or cycling access.</x:v>
      </x:c>
      <x:c r="S18" s="2" t="str">
        <x:v>More efficient heavy duty vehicles: electricity for control and stations plus the energy used by the affected vehicle fleet; the net result is governed by modal shift and occupancy.</x:v>
      </x:c>
      <x:c r="T18" s="2" t="str">
        <x:v>More efficient heavy duty vehicles: concrete, steel, asphalt, copper, signalling electronics, pavement materials and vehicle-related materials where new infrastructure is built.</x:v>
      </x:c>
      <x:c r="U18" s="2" t="str">
        <x:v>More efficient heavy duty vehicles: signal modules, communications equipment, validators, sensors, pavement components, station equipment and fleet consumables.</x:v>
      </x:c>
      <x:c r="V18" s="2" t="str">
        <x:v>https://www.ctc-n.org/sites/default/files/resources/ctcn_taxonomy_0.pdf</x:v>
      </x:c>
      <x:c r="W18" s="2" t="str">
        <x:v>https://institutoagricoladepueblobello.edu.co/colegiapp/archivostemas/GUIA%209.%5B25%5D.pdf</x:v>
      </x:c>
      <x:c r="X18" s="2" t="str">
        <x:v>https://iiasa.ac.at/what-is-technology</x:v>
      </x:c>
      <x:c r="Y18" s="2" t="str">
        <x:v>https://www.ipcc.ch/report/ar6/wg3/chapter/chapter-10/; https://ppp.worldbank.org/print/pdf/node/7300</x:v>
      </x:c>
      <x:c r="Z18" s="2" t="str">
        <x:v>Technology-specific analytical synthesis. The CTCN hierarchy is retained; classifications and component dependencies require validation against the selected design, site and supplier documentation before investment or policy use.</x:v>
      </x:c>
      <x:c r="AA18" s="2" t="str">
        <x:v>Physical deployment of More efficient heavy duty vehicles requires rights-of-way, stops or terminals, depots, interchanges, control centres, communications and safe pedestrian or cycling access; interfaces, foundations, access and environmental protection are sized to the specific resource and design load.</x:v>
      </x:c>
      <x:c r="AB18" s="2" t="str">
        <x:v>For More efficient heavy duty vehicles,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8" s="2" t="str">
        <x:v>Construction and operation use concrete, steel, asphalt, copper, signalling electronics, pavement materials and vehicle-related materials where new infrastructure is built. For More efficient heavy duty vehicles, specifications must include durability, compatibility, recycled content and recoverability.</x:v>
      </x:c>
      <x:c r="AD18" s="2" t="str">
        <x:v>Maintenance of More efficient heavy duty vehicles depends on signal modules, communications equipment, validators, sensors, pavement components, station equipment and fleet consumables; critical spares are selected from failure-mode, lead-time and safety analysis for its installed configuration.</x:v>
      </x:c>
      <x:c r="AE18" s="2" t="str">
        <x:v>The software stack for More efficient heavy duty vehicles requires databases, secure communications, version-controlled models, computing, backup and interfaces with field or operational systems.</x:v>
      </x:c>
      <x:c r="AF18" s="2" t="str">
        <x:v>For More efficient heavy duty vehicles, software-related energy is electricity for sensing, computing, storage, communication and cooling; it is normally secondary but must be included for data-intensive or continuous services.</x:v>
      </x:c>
      <x:c r="AG18" s="2" t="str">
        <x:v>The non-physical inputs are calibrated data, metadata, algorithms, boundary conditions, emission or hazard factors, manuals and validation records specific to More efficient heavy duty vehicles.</x:v>
      </x:c>
      <x:c r="AH18" s="2" t="str">
        <x:v>Software continuity for More efficient heavy duty vehicles requires licences where applicable, updates, cybersecurity patches, backups, calibration files, model validation and technical support.</x:v>
      </x:c>
      <x:c r="AI18" s="2" t="str">
        <x:v>Orgware depends on the institutions, laboratories, training providers, regulators, operators and community interfaces needed to govern More efficient heavy duty vehicles.</x:v>
      </x:c>
      <x:c r="AJ18" s="2" t="str">
        <x:v>The orgware supporting More efficient heavy duty vehicles has mainly indirect energy use from offices, meetings, training and information systems; travel and field supervision may be material at dispersed sites.</x:v>
      </x:c>
      <x:c r="AK18" s="2" t="str">
        <x:v>Its organisational inputs are permits, budgets, trained staff, competence records, contracts, procedures, safeguards, monitoring evidence and stakeholder agreements tailored to More efficient heavy duty vehicles.</x:v>
      </x:c>
      <x:c r="AL18" s="2" t="str">
        <x:v>Sustained implementation of More efficient heavy duty vehicles requires procurement and service contracts, audit protocols, training material, reporting templates, insurance or guarantees and periodic independent review.</x:v>
      </x:c>
      <x:c r="AM18" s="2" t="str">
        <x:v>Iron ore / steel inputs; Copper; Tin; Rare earth elements; Bauxite / aluminium</x:v>
      </x:c>
      <x:c r="AN18" s="2" t="str">
        <x:v>Australia; Brazil; China; Chile; Democratic Republic of the Congo; Peru; Indonesia; Myanmar; United States; Guinea</x:v>
      </x:c>
      <x:c r="AO18" s="2" t="str">
        <x:v>China; India; Japan; Chile; Democratic Republic of the Congo; Indonesia; Malaysia; Estonia; Russia</x:v>
      </x:c>
      <x:c r="AP18" s="2" t="str">
        <x:v>More efficient heavy duty vehicles: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 s="2" t="str">
        <x:v>2024–2025</x:v>
      </x:c>
      <x:c r="AR18" s="2" t="str">
        <x:v>https://pubs.usgs.gov/periodicals/mcs2026/mcs2026.pdf; https://www.iea.org/reports/global-critical-minerals-outlook-2025</x:v>
      </x:c>
    </x:row>
    <x:row r="19" ht="240" customHeight="1">
      <x:c r="A19" s="2" t="str">
        <x:v>MIT-0012</x:v>
      </x:c>
      <x:c r="B19" s="2" t="str">
        <x:v>Mitigation</x:v>
      </x:c>
      <x:c r="C19" s="2" t="str">
        <x:v>Transport</x:v>
      </x:c>
      <x:c r="D19" s="2" t="str">
        <x:v>Land transport</x:v>
      </x:c>
      <x:c r="E19" s="2" t="str">
        <x:v>More efficient light duty vehicles</x:v>
      </x:c>
      <x:c r="F19" s="2" t="str">
        <x:v>More efficient light duty vehicles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More efficient light duty vehicles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9" s="2" t="str">
        <x:v>Mixed: adaptable design, site-specific implementation</x:v>
      </x:c>
      <x:c r="H19" s="2" t="str">
        <x:v>More efficient light duty vehicles is adaptable in capacity and configuration but site-specific in final engineering. Its principle remains the same, but resource quality, climate, scale, interfaces and safety constraints must be recalculated for each deployment.</x:v>
      </x:c>
      <x:c r="I19" s="2" t="str">
        <x:v>Primarily hard, with a soft component</x:v>
      </x:c>
      <x:c r="J19" s="2" t="str">
        <x:v>More efficient light duty vehicles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9" s="2" t="str">
        <x:v>Equipment and operation</x:v>
      </x:c>
      <x:c r="L19" s="2" t="str">
        <x:v>More efficient light duty vehicles is embodied mainly as an equipment-and-operation system. The deliverable is accepted only when measurable service, quality, safety and climate-performance criteria are met under real conditions.</x:v>
      </x:c>
      <x:c r="M19" s="2" t="str">
        <x:v>Yes, subject to life-cycle safeguards</x:v>
      </x:c>
      <x:c r="N19" s="2" t="str">
        <x:v>More efficient light duty vehicles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9" s="2" t="str">
        <x:v>More efficient light duty vehicles: corridor and station infrastructure, signalling, ticketing, communications, fleet equipment, traffic sensors and user interfaces as applicable.</x:v>
      </x:c>
      <x:c r="P19" s="2" t="str">
        <x:v>More efficient light duty vehicles: network and timetable design, demand models, traffic control, fleet dispatch, logistics optimisation, safety analysis and service-performance analytics.</x:v>
      </x:c>
      <x:c r="Q19" s="2" t="str">
        <x:v>More efficient light duty vehicles: transport authority mandates, operating contracts, tariffs, enforcement, street-space allocation, accessibility rules and coordination with land-use planning.</x:v>
      </x:c>
      <x:c r="R19" s="2" t="str">
        <x:v>More efficient light duty vehicles: rights-of-way, stops or terminals, depots, interchanges, control centres, communications and safe pedestrian or cycling access.</x:v>
      </x:c>
      <x:c r="S19" s="2" t="str">
        <x:v>More efficient light duty vehicles: electricity for control and stations plus the energy used by the affected vehicle fleet; the net result is governed by modal shift and occupancy.</x:v>
      </x:c>
      <x:c r="T19" s="2" t="str">
        <x:v>More efficient light duty vehicles: concrete, steel, asphalt, copper, signalling electronics, pavement materials and vehicle-related materials where new infrastructure is built.</x:v>
      </x:c>
      <x:c r="U19" s="2" t="str">
        <x:v>More efficient light duty vehicles: signal modules, communications equipment, validators, sensors, pavement components, station equipment and fleet consumables.</x:v>
      </x:c>
      <x:c r="V19" s="2" t="str">
        <x:v>https://www.ctc-n.org/sites/default/files/resources/ctcn_taxonomy_0.pdf</x:v>
      </x:c>
      <x:c r="W19" s="2" t="str">
        <x:v>https://institutoagricoladepueblobello.edu.co/colegiapp/archivostemas/GUIA%209.%5B25%5D.pdf</x:v>
      </x:c>
      <x:c r="X19" s="2" t="str">
        <x:v>https://iiasa.ac.at/what-is-technology</x:v>
      </x:c>
      <x:c r="Y19" s="2" t="str">
        <x:v>https://www.ipcc.ch/report/ar6/wg3/chapter/chapter-10/; https://ppp.worldbank.org/print/pdf/node/7300</x:v>
      </x:c>
      <x:c r="Z19" s="2" t="str">
        <x:v>Technology-specific analytical synthesis. The CTCN hierarchy is retained; classifications and component dependencies require validation against the selected design, site and supplier documentation before investment or policy use.</x:v>
      </x:c>
      <x:c r="AA19" s="2" t="str">
        <x:v>Physical deployment of More efficient light duty vehicles requires rights-of-way, stops or terminals, depots, interchanges, control centres, communications and safe pedestrian or cycling access; interfaces, foundations, access and environmental protection are sized to the specific resource and design load.</x:v>
      </x:c>
      <x:c r="AB19" s="2" t="str">
        <x:v>For More efficient light duty vehicles,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9" s="2" t="str">
        <x:v>Construction and operation use concrete, steel, asphalt, copper, signalling electronics, pavement materials and vehicle-related materials where new infrastructure is built. For More efficient light duty vehicles, specifications must include durability, compatibility, recycled content and recoverability.</x:v>
      </x:c>
      <x:c r="AD19" s="2" t="str">
        <x:v>Maintenance of More efficient light duty vehicles depends on signal modules, communications equipment, validators, sensors, pavement components, station equipment and fleet consumables; critical spares are selected from failure-mode, lead-time and safety analysis for its installed configuration.</x:v>
      </x:c>
      <x:c r="AE19" s="2" t="str">
        <x:v>The software stack for More efficient light duty vehicles requires databases, secure communications, version-controlled models, computing, backup and interfaces with field or operational systems.</x:v>
      </x:c>
      <x:c r="AF19" s="2" t="str">
        <x:v>For More efficient light duty vehicles, software-related energy is electricity for sensing, computing, storage, communication and cooling; it is normally secondary but must be included for data-intensive or continuous services.</x:v>
      </x:c>
      <x:c r="AG19" s="2" t="str">
        <x:v>The non-physical inputs are calibrated data, metadata, algorithms, boundary conditions, emission or hazard factors, manuals and validation records specific to More efficient light duty vehicles.</x:v>
      </x:c>
      <x:c r="AH19" s="2" t="str">
        <x:v>Software continuity for More efficient light duty vehicles requires licences where applicable, updates, cybersecurity patches, backups, calibration files, model validation and technical support.</x:v>
      </x:c>
      <x:c r="AI19" s="2" t="str">
        <x:v>Orgware depends on the institutions, laboratories, training providers, regulators, operators and community interfaces needed to govern More efficient light duty vehicles.</x:v>
      </x:c>
      <x:c r="AJ19" s="2" t="str">
        <x:v>The orgware supporting More efficient light duty vehicles has mainly indirect energy use from offices, meetings, training and information systems; travel and field supervision may be material at dispersed sites.</x:v>
      </x:c>
      <x:c r="AK19" s="2" t="str">
        <x:v>Its organisational inputs are permits, budgets, trained staff, competence records, contracts, procedures, safeguards, monitoring evidence and stakeholder agreements tailored to More efficient light duty vehicles.</x:v>
      </x:c>
      <x:c r="AL19" s="2" t="str">
        <x:v>Sustained implementation of More efficient light duty vehicles requires procurement and service contracts, audit protocols, training material, reporting templates, insurance or guarantees and periodic independent review.</x:v>
      </x:c>
      <x:c r="AM19" s="2" t="str">
        <x:v>Iron ore / steel inputs; Copper; Tin; Rare earth elements; Bauxite / aluminium</x:v>
      </x:c>
      <x:c r="AN19" s="2" t="str">
        <x:v>Australia; Brazil; China; Chile; Democratic Republic of the Congo; Peru; Indonesia; Myanmar; United States; Guinea</x:v>
      </x:c>
      <x:c r="AO19" s="2" t="str">
        <x:v>China; India; Japan; Chile; Democratic Republic of the Congo; Indonesia; Malaysia; Estonia; Russia</x:v>
      </x:c>
      <x:c r="AP19" s="2" t="str">
        <x:v>More efficient light duty vehicles: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 s="2" t="str">
        <x:v>2024–2025</x:v>
      </x:c>
      <x:c r="AR19" s="2" t="str">
        <x:v>https://pubs.usgs.gov/periodicals/mcs2026/mcs2026.pdf; https://www.iea.org/reports/global-critical-minerals-outlook-2025</x:v>
      </x:c>
    </x:row>
    <x:row r="20" ht="240" customHeight="1">
      <x:c r="A20" s="2" t="str">
        <x:v>MIT-0013</x:v>
      </x:c>
      <x:c r="B20" s="2" t="str">
        <x:v>Mitigation</x:v>
      </x:c>
      <x:c r="C20" s="2" t="str">
        <x:v>Transport</x:v>
      </x:c>
      <x:c r="D20" s="2" t="str">
        <x:v>Land transport</x:v>
      </x:c>
      <x:c r="E20" s="2" t="str">
        <x:v>Modal shift from car to cycling</x:v>
      </x:c>
      <x:c r="F20" s="2" t="str">
        <x:v>Modal shift from car to cycling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Modal shift from car to 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0" s="2" t="str">
        <x:v>Mixed: adaptable design, site-specific implementation</x:v>
      </x:c>
      <x:c r="H20" s="2" t="str">
        <x:v>Modal shift from car to cycling is adaptable in capacity and configuration but site-specific in final engineering. Its principle remains the same, but resource quality, climate, scale, interfaces and safety constraints must be recalculated for each deployment.</x:v>
      </x:c>
      <x:c r="I20" s="2" t="str">
        <x:v>Primarily hard, with a soft component</x:v>
      </x:c>
      <x:c r="J20" s="2" t="str">
        <x:v>Modal shift from car to 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0" s="2" t="str">
        <x:v>Equipment and operation</x:v>
      </x:c>
      <x:c r="L20" s="2" t="str">
        <x:v>Modal shift from car to cycling is embodied mainly as an equipment-and-operation system. The deliverable is accepted only when measurable service, quality, safety and climate-performance criteria are met under real conditions.</x:v>
      </x:c>
      <x:c r="M20" s="2" t="str">
        <x:v>Yes, subject to life-cycle safeguards</x:v>
      </x:c>
      <x:c r="N20" s="2" t="str">
        <x:v>Modal shift from car to 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0" s="2" t="str">
        <x:v>Modal shift from car to cycling: corridor and station infrastructure, signalling, ticketing, communications, fleet equipment, traffic sensors and user interfaces as applicable.</x:v>
      </x:c>
      <x:c r="P20" s="2" t="str">
        <x:v>Modal shift from car to cycling: network and timetable design, demand models, traffic control, fleet dispatch, logistics optimisation, safety analysis and service-performance analytics.</x:v>
      </x:c>
      <x:c r="Q20" s="2" t="str">
        <x:v>Modal shift from car to cycling: transport authority mandates, operating contracts, tariffs, enforcement, street-space allocation, accessibility rules and coordination with land-use planning.</x:v>
      </x:c>
      <x:c r="R20" s="2" t="str">
        <x:v>Modal shift from car to cycling: rights-of-way, stops or terminals, depots, interchanges, control centres, communications and safe pedestrian or cycling access.</x:v>
      </x:c>
      <x:c r="S20" s="2" t="str">
        <x:v>Modal shift from car to cycling: electricity for control and stations plus the energy used by the affected vehicle fleet; the net result is governed by modal shift and occupancy.</x:v>
      </x:c>
      <x:c r="T20" s="2" t="str">
        <x:v>Modal shift from car to cycling: concrete, steel, asphalt, copper, signalling electronics, pavement materials and vehicle-related materials where new infrastructure is built.</x:v>
      </x:c>
      <x:c r="U20" s="2" t="str">
        <x:v>Modal shift from car to cycling: signal modules, communications equipment, validators, sensors, pavement components, station equipment and fleet consumables.</x:v>
      </x:c>
      <x:c r="V20" s="2" t="str">
        <x:v>https://www.ctc-n.org/sites/default/files/resources/ctcn_taxonomy_0.pdf</x:v>
      </x:c>
      <x:c r="W20" s="2" t="str">
        <x:v>https://institutoagricoladepueblobello.edu.co/colegiapp/archivostemas/GUIA%209.%5B25%5D.pdf</x:v>
      </x:c>
      <x:c r="X20" s="2" t="str">
        <x:v>https://iiasa.ac.at/what-is-technology</x:v>
      </x:c>
      <x:c r="Y20" s="2" t="str">
        <x:v>https://www.ipcc.ch/report/ar6/wg3/chapter/chapter-10/; https://ppp.worldbank.org/print/pdf/node/7300</x:v>
      </x:c>
      <x:c r="Z20" s="2" t="str">
        <x:v>Technology-specific analytical synthesis. The CTCN hierarchy is retained; classifications and component dependencies require validation against the selected design, site and supplier documentation before investment or policy use.</x:v>
      </x:c>
      <x:c r="AA20" s="2" t="str">
        <x:v>Physical deployment of Modal shift from car to cycling requires rights-of-way, stops or terminals, depots, interchanges, control centres, communications and safe pedestrian or cycling access; interfaces, foundations, access and environmental protection are sized to the specific resource and design load.</x:v>
      </x:c>
      <x:c r="AB20" s="2" t="str">
        <x:v>For Modal shift from car to 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0" s="2" t="str">
        <x:v>Construction and operation use concrete, steel, asphalt, copper, signalling electronics, pavement materials and vehicle-related materials where new infrastructure is built. For Modal shift from car to cycling, specifications must include durability, compatibility, recycled content and recoverability.</x:v>
      </x:c>
      <x:c r="AD20" s="2" t="str">
        <x:v>Maintenance of Modal shift from car to cycling depends on signal modules, communications equipment, validators, sensors, pavement components, station equipment and fleet consumables; critical spares are selected from failure-mode, lead-time and safety analysis for its installed configuration.</x:v>
      </x:c>
      <x:c r="AE20" s="2" t="str">
        <x:v>The software stack for Modal shift from car to cycling requires databases, secure communications, version-controlled models, computing, backup and interfaces with field or operational systems.</x:v>
      </x:c>
      <x:c r="AF20" s="2" t="str">
        <x:v>For Modal shift from car to cycling, software-related energy is electricity for sensing, computing, storage, communication and cooling; it is normally secondary but must be included for data-intensive or continuous services.</x:v>
      </x:c>
      <x:c r="AG20" s="2" t="str">
        <x:v>The non-physical inputs are calibrated data, metadata, algorithms, boundary conditions, emission or hazard factors, manuals and validation records specific to Modal shift from car to cycling.</x:v>
      </x:c>
      <x:c r="AH20" s="2" t="str">
        <x:v>Software continuity for Modal shift from car to cycling requires licences where applicable, updates, cybersecurity patches, backups, calibration files, model validation and technical support.</x:v>
      </x:c>
      <x:c r="AI20" s="2" t="str">
        <x:v>Orgware depends on the institutions, laboratories, training providers, regulators, operators and community interfaces needed to govern Modal shift from car to cycling.</x:v>
      </x:c>
      <x:c r="AJ20" s="2" t="str">
        <x:v>The orgware supporting Modal shift from car to cycling has mainly indirect energy use from offices, meetings, training and information systems; travel and field supervision may be material at dispersed sites.</x:v>
      </x:c>
      <x:c r="AK20" s="2" t="str">
        <x:v>Its organisational inputs are permits, budgets, trained staff, competence records, contracts, procedures, safeguards, monitoring evidence and stakeholder agreements tailored to Modal shift from car to cycling.</x:v>
      </x:c>
      <x:c r="AL20" s="2" t="str">
        <x:v>Sustained implementation of Modal shift from car to cycling requires procurement and service contracts, audit protocols, training material, reporting templates, insurance or guarantees and periodic independent review.</x:v>
      </x:c>
      <x:c r="AM20" s="2" t="str">
        <x:v>Iron ore / steel inputs</x:v>
      </x:c>
      <x:c r="AN20" s="2" t="str">
        <x:v>Australia; Brazil; China</x:v>
      </x:c>
      <x:c r="AO20" s="2" t="str">
        <x:v>China; India; Japan</x:v>
      </x:c>
      <x:c r="AP20" s="2" t="str">
        <x:v>Modal shift from car to 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 s="2" t="str">
        <x:v>2024–2025</x:v>
      </x:c>
      <x:c r="AR20" s="2" t="str">
        <x:v>https://pubs.usgs.gov/periodicals/mcs2026/mcs2026.pdf</x:v>
      </x:c>
    </x:row>
    <x:row r="21" ht="240" customHeight="1">
      <x:c r="A21" s="2" t="str">
        <x:v>MIT-0014</x:v>
      </x:c>
      <x:c r="B21" s="2" t="str">
        <x:v>Mitigation</x:v>
      </x:c>
      <x:c r="C21" s="2" t="str">
        <x:v>Transport</x:v>
      </x:c>
      <x:c r="D21" s="2" t="str">
        <x:v>Land transport</x:v>
      </x:c>
      <x:c r="E21" s="2" t="str">
        <x:v>Modal shift from road to rail</x:v>
      </x:c>
      <x:c r="F21" s="2" t="str">
        <x:v>Modal shift from road to rail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Modal shift from road to rail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1" s="2" t="str">
        <x:v>Primarily fixed</x:v>
      </x:c>
      <x:c r="H21" s="2" t="str">
        <x:v>Modal shift from road to rail is tied to long-lived, site-specific assets and design loads. Its principle remains the same, but resource quality, climate, scale, interfaces and safety constraints must be recalculated for each deployment.</x:v>
      </x:c>
      <x:c r="I21" s="2" t="str">
        <x:v>Primarily hard, with a soft component</x:v>
      </x:c>
      <x:c r="J21" s="2" t="str">
        <x:v>Modal shift from road to rail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1" s="2" t="str">
        <x:v>Equipment and operation</x:v>
      </x:c>
      <x:c r="L21" s="2" t="str">
        <x:v>Modal shift from road to rail is embodied mainly as an equipment-and-operation system. The deliverable is accepted only when measurable service, quality, safety and climate-performance criteria are met under real conditions.</x:v>
      </x:c>
      <x:c r="M21" s="2" t="str">
        <x:v>Yes, subject to life-cycle safeguards</x:v>
      </x:c>
      <x:c r="N21" s="2" t="str">
        <x:v>Modal shift from road to rail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1" s="2" t="str">
        <x:v>Modal shift from road to rail: corridor and station infrastructure, signalling, ticketing, communications, fleet equipment, traffic sensors and user interfaces as applicable.</x:v>
      </x:c>
      <x:c r="P21" s="2" t="str">
        <x:v>Modal shift from road to rail: network and timetable design, demand models, traffic control, fleet dispatch, logistics optimisation, safety analysis and service-performance analytics.</x:v>
      </x:c>
      <x:c r="Q21" s="2" t="str">
        <x:v>Modal shift from road to rail: transport authority mandates, operating contracts, tariffs, enforcement, street-space allocation, accessibility rules and coordination with land-use planning.</x:v>
      </x:c>
      <x:c r="R21" s="2" t="str">
        <x:v>Modal shift from road to rail: rights-of-way, stops or terminals, depots, interchanges, control centres, communications and safe pedestrian or cycling access.</x:v>
      </x:c>
      <x:c r="S21" s="2" t="str">
        <x:v>Modal shift from road to rail: electricity for control and stations plus the energy used by the affected vehicle fleet; the net result is governed by modal shift and occupancy.</x:v>
      </x:c>
      <x:c r="T21" s="2" t="str">
        <x:v>Modal shift from road to rail: concrete, steel, asphalt, copper, signalling electronics, pavement materials and vehicle-related materials where new infrastructure is built.</x:v>
      </x:c>
      <x:c r="U21" s="2" t="str">
        <x:v>Modal shift from road to rail: signal modules, communications equipment, validators, sensors, pavement components, station equipment and fleet consumables.</x:v>
      </x:c>
      <x:c r="V21" s="2" t="str">
        <x:v>https://www.ctc-n.org/sites/default/files/resources/ctcn_taxonomy_0.pdf</x:v>
      </x:c>
      <x:c r="W21" s="2" t="str">
        <x:v>https://institutoagricoladepueblobello.edu.co/colegiapp/archivostemas/GUIA%209.%5B25%5D.pdf</x:v>
      </x:c>
      <x:c r="X21" s="2" t="str">
        <x:v>https://iiasa.ac.at/what-is-technology</x:v>
      </x:c>
      <x:c r="Y21" s="2" t="str">
        <x:v>https://www.ipcc.ch/report/ar6/wg3/chapter/chapter-10/; https://ppp.worldbank.org/print/pdf/node/7300</x:v>
      </x:c>
      <x:c r="Z21" s="2" t="str">
        <x:v>Technology-specific analytical synthesis. The CTCN hierarchy is retained; classifications and component dependencies require validation against the selected design, site and supplier documentation before investment or policy use.</x:v>
      </x:c>
      <x:c r="AA21" s="2" t="str">
        <x:v>Physical deployment of Modal shift from road to rail requires rights-of-way, stops or terminals, depots, interchanges, control centres, communications and safe pedestrian or cycling access; interfaces, foundations, access and environmental protection are sized to the specific resource and design load.</x:v>
      </x:c>
      <x:c r="AB21" s="2" t="str">
        <x:v>For Modal shift from road to rail,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1" s="2" t="str">
        <x:v>Construction and operation use concrete, steel, asphalt, copper, signalling electronics, pavement materials and vehicle-related materials where new infrastructure is built. For Modal shift from road to rail, specifications must include durability, compatibility, recycled content and recoverability.</x:v>
      </x:c>
      <x:c r="AD21" s="2" t="str">
        <x:v>Maintenance of Modal shift from road to rail depends on signal modules, communications equipment, validators, sensors, pavement components, station equipment and fleet consumables; critical spares are selected from failure-mode, lead-time and safety analysis for its installed configuration.</x:v>
      </x:c>
      <x:c r="AE21" s="2" t="str">
        <x:v>The software stack for Modal shift from road to rail requires databases, secure communications, version-controlled models, computing, backup and interfaces with field or operational systems.</x:v>
      </x:c>
      <x:c r="AF21" s="2" t="str">
        <x:v>For Modal shift from road to rail, software-related energy is electricity for sensing, computing, storage, communication and cooling; it is normally secondary but must be included for data-intensive or continuous services.</x:v>
      </x:c>
      <x:c r="AG21" s="2" t="str">
        <x:v>The non-physical inputs are calibrated data, metadata, algorithms, boundary conditions, emission or hazard factors, manuals and validation records specific to Modal shift from road to rail.</x:v>
      </x:c>
      <x:c r="AH21" s="2" t="str">
        <x:v>Software continuity for Modal shift from road to rail requires licences where applicable, updates, cybersecurity patches, backups, calibration files, model validation and technical support.</x:v>
      </x:c>
      <x:c r="AI21" s="2" t="str">
        <x:v>Orgware depends on the institutions, laboratories, training providers, regulators, operators and community interfaces needed to govern Modal shift from road to rail.</x:v>
      </x:c>
      <x:c r="AJ21" s="2" t="str">
        <x:v>The orgware supporting Modal shift from road to rail has mainly indirect energy use from offices, meetings, training and information systems; travel and field supervision may be material at dispersed sites.</x:v>
      </x:c>
      <x:c r="AK21" s="2" t="str">
        <x:v>Its organisational inputs are permits, budgets, trained staff, competence records, contracts, procedures, safeguards, monitoring evidence and stakeholder agreements tailored to Modal shift from road to rail.</x:v>
      </x:c>
      <x:c r="AL21" s="2" t="str">
        <x:v>Sustained implementation of Modal shift from road to rail requires procurement and service contracts, audit protocols, training material, reporting templates, insurance or guarantees and periodic independent review.</x:v>
      </x:c>
      <x:c r="AM21" s="2" t="str">
        <x:v>Iron ore / steel inputs; Copper; Tin; Limestone / cement raw materials</x:v>
      </x:c>
      <x:c r="AN21" s="2" t="str">
        <x:v>Australia; Brazil; China; Chile; Democratic Republic of the Congo; Peru; Indonesia; Myanmar; India; Vietnam</x:v>
      </x:c>
      <x:c r="AO21" s="2" t="str">
        <x:v>China; India; Japan; Chile; Democratic Republic of the Congo; Indonesia; Malaysia; Vietnam</x:v>
      </x:c>
      <x:c r="AP21" s="2" t="str">
        <x:v>Modal shift from road to rail: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 s="2" t="str">
        <x:v>2024–2025</x:v>
      </x:c>
      <x:c r="AR21" s="2" t="str">
        <x:v>https://pubs.usgs.gov/periodicals/mcs2026/mcs2026.pdf</x:v>
      </x:c>
    </x:row>
    <x:row r="22" ht="240" customHeight="1">
      <x:c r="A22" s="2" t="str">
        <x:v>MIT-0015</x:v>
      </x:c>
      <x:c r="B22" s="2" t="str">
        <x:v>Mitigation</x:v>
      </x:c>
      <x:c r="C22" s="2" t="str">
        <x:v>Transport</x:v>
      </x:c>
      <x:c r="D22" s="2" t="str">
        <x:v>Land transport</x:v>
      </x:c>
      <x:c r="E22" s="2" t="str">
        <x:v>Road pricing</x:v>
      </x:c>
      <x:c r="F22" s="2" t="str">
        <x:v>Road pricing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Road pricing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2" s="2" t="str">
        <x:v>Flexible</x:v>
      </x:c>
      <x:c r="H22" s="2" t="str">
        <x:v>Road pricing is transferable through configurable methods, rules and operating parameters. Its principle remains the same, but resource quality, climate, scale, interfaces and safety constraints must be recalculated for each deployment.</x:v>
      </x:c>
      <x:c r="I22" s="2" t="str">
        <x:v>Primarily soft, with physical support</x:v>
      </x:c>
      <x:c r="J22" s="2" t="str">
        <x:v>Road pricing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2" s="2" t="str">
        <x:v>Operation</x:v>
      </x:c>
      <x:c r="L22" s="2" t="str">
        <x:v>Road pricing is embodied mainly as an operating practice. The deliverable is accepted only when measurable service, quality, safety and climate-performance criteria are met under real conditions.</x:v>
      </x:c>
      <x:c r="M22" s="2" t="str">
        <x:v>Yes, subject to life-cycle safeguards</x:v>
      </x:c>
      <x:c r="N22" s="2" t="str">
        <x:v>Road pricing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2" s="2" t="str">
        <x:v>Road pricing: corridor and station infrastructure, signalling, ticketing, communications, fleet equipment, traffic sensors and user interfaces as applicable.</x:v>
      </x:c>
      <x:c r="P22" s="2" t="str">
        <x:v>Road pricing: network and timetable design, demand models, traffic control, fleet dispatch, logistics optimisation, safety analysis and service-performance analytics.</x:v>
      </x:c>
      <x:c r="Q22" s="2" t="str">
        <x:v>Road pricing: transport authority mandates, operating contracts, tariffs, enforcement, street-space allocation, accessibility rules and coordination with land-use planning.</x:v>
      </x:c>
      <x:c r="R22" s="2" t="str">
        <x:v>Road pricing: rights-of-way, stops or terminals, depots, interchanges, control centres, communications and safe pedestrian or cycling access.</x:v>
      </x:c>
      <x:c r="S22" s="2" t="str">
        <x:v>Road pricing: electricity for control and stations plus the energy used by the affected vehicle fleet; the net result is governed by modal shift and occupancy.</x:v>
      </x:c>
      <x:c r="T22" s="2" t="str">
        <x:v>Road pricing: concrete, steel, asphalt, copper, signalling electronics, pavement materials and vehicle-related materials where new infrastructure is built.</x:v>
      </x:c>
      <x:c r="U22" s="2" t="str">
        <x:v>Road pricing: signal modules, communications equipment, validators, sensors, pavement components, station equipment and fleet consumables.</x:v>
      </x:c>
      <x:c r="V22" s="2" t="str">
        <x:v>https://www.ctc-n.org/sites/default/files/resources/ctcn_taxonomy_0.pdf</x:v>
      </x:c>
      <x:c r="W22" s="2" t="str">
        <x:v>https://institutoagricoladepueblobello.edu.co/colegiapp/archivostemas/GUIA%209.%5B25%5D.pdf</x:v>
      </x:c>
      <x:c r="X22" s="2" t="str">
        <x:v>https://iiasa.ac.at/what-is-technology</x:v>
      </x:c>
      <x:c r="Y22" s="2" t="str">
        <x:v>https://www.ipcc.ch/report/ar6/wg3/chapter/chapter-10/; https://ppp.worldbank.org/print/pdf/node/7300</x:v>
      </x:c>
      <x:c r="Z22" s="2" t="str">
        <x:v>Technology-specific analytical synthesis. The CTCN hierarchy is retained; classifications and component dependencies require validation against the selected design, site and supplier documentation before investment or policy use.</x:v>
      </x:c>
      <x:c r="AA22" s="2" t="str">
        <x:v>Physical deployment of Road pricing requires rights-of-way, stops or terminals, depots, interchanges, control centres, communications and safe pedestrian or cycling access; interfaces, foundations, access and environmental protection are sized to the specific resource and design load.</x:v>
      </x:c>
      <x:c r="AB22" s="2" t="str">
        <x:v>For Road pricing,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2" s="2" t="str">
        <x:v>Construction and operation use concrete, steel, asphalt, copper, signalling electronics, pavement materials and vehicle-related materials where new infrastructure is built. For Road pricing, specifications must include durability, compatibility, recycled content and recoverability.</x:v>
      </x:c>
      <x:c r="AD22" s="2" t="str">
        <x:v>Maintenance of Road pricing depends on signal modules, communications equipment, validators, sensors, pavement components, station equipment and fleet consumables; critical spares are selected from failure-mode, lead-time and safety analysis for its installed configuration.</x:v>
      </x:c>
      <x:c r="AE22" s="2" t="str">
        <x:v>The software stack for Road pricing requires databases, secure communications, version-controlled models, computing, backup and interfaces with field or operational systems.</x:v>
      </x:c>
      <x:c r="AF22" s="2" t="str">
        <x:v>For Road pricing, software-related energy is electricity for sensing, computing, storage, communication and cooling; it is normally secondary but must be included for data-intensive or continuous services.</x:v>
      </x:c>
      <x:c r="AG22" s="2" t="str">
        <x:v>The non-physical inputs are calibrated data, metadata, algorithms, boundary conditions, emission or hazard factors, manuals and validation records specific to Road pricing.</x:v>
      </x:c>
      <x:c r="AH22" s="2" t="str">
        <x:v>Software continuity for Road pricing requires licences where applicable, updates, cybersecurity patches, backups, calibration files, model validation and technical support.</x:v>
      </x:c>
      <x:c r="AI22" s="2" t="str">
        <x:v>Orgware depends on the institutions, laboratories, training providers, regulators, operators and community interfaces needed to govern Road pricing.</x:v>
      </x:c>
      <x:c r="AJ22" s="2" t="str">
        <x:v>The orgware supporting Road pricing has mainly indirect energy use from offices, meetings, training and information systems; travel and field supervision may be material at dispersed sites.</x:v>
      </x:c>
      <x:c r="AK22" s="2" t="str">
        <x:v>Its organisational inputs are permits, budgets, trained staff, competence records, contracts, procedures, safeguards, monitoring evidence and stakeholder agreements tailored to Road pricing.</x:v>
      </x:c>
      <x:c r="AL22" s="2" t="str">
        <x:v>Sustained implementation of Road pricing requires procurement and service contracts, audit protocols, training material, reporting templates, insurance or guarantees and periodic independent review.</x:v>
      </x:c>
      <x:c r="AM22" s="2" t="str">
        <x:v>No critical or strategic raw material is identifiable at taxonomy level; site-specific bulk materials may still be required.</x:v>
      </x:c>
      <x:c r="AN22" s="2" t="str"/>
      <x:c r="AO22" s="2" t="str"/>
      <x:c r="AP22" s="2" t="str">
        <x:v>Road pricing: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 s="2" t="str">
        <x:v>2024–2025</x:v>
      </x:c>
      <x:c r="AR22" s="2" t="str">
        <x:v>https://pubs.usgs.gov/periodicals/mcs2026/mcs2026.pdf; https://www.iea.org/reports/global-critical-minerals-outlook-2025</x:v>
      </x:c>
    </x:row>
    <x:row r="23" ht="240" customHeight="1">
      <x:c r="A23" s="2" t="str">
        <x:v>MIT-0016</x:v>
      </x:c>
      <x:c r="B23" s="2" t="str">
        <x:v>Mitigation</x:v>
      </x:c>
      <x:c r="C23" s="2" t="str">
        <x:v>Transport</x:v>
      </x:c>
      <x:c r="D23" s="2" t="str">
        <x:v>Land transport</x:v>
      </x:c>
      <x:c r="E23" s="2" t="str">
        <x:v>Intelligent transport systems</x:v>
      </x:c>
      <x:c r="F23" s="2" t="str">
        <x:v>Intelligent transport systems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Intelligent transport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3" s="2" t="str">
        <x:v>Mixed: adaptable design, site-specific implementation</x:v>
      </x:c>
      <x:c r="H23" s="2" t="str">
        <x:v>Intelligent transport systems is adaptable in capacity and configuration but site-specific in final engineering. Its principle remains the same, but resource quality, climate, scale, interfaces and safety constraints must be recalculated for each deployment.</x:v>
      </x:c>
      <x:c r="I23" s="2" t="str">
        <x:v>Primarily hard, with a soft component</x:v>
      </x:c>
      <x:c r="J23" s="2" t="str">
        <x:v>Intelligent transport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3" s="2" t="str">
        <x:v>Equipment and operation</x:v>
      </x:c>
      <x:c r="L23" s="2" t="str">
        <x:v>Intelligent transport systems is embodied mainly as an equipment-and-operation system. The deliverable is accepted only when measurable service, quality, safety and climate-performance criteria are met under real conditions.</x:v>
      </x:c>
      <x:c r="M23" s="2" t="str">
        <x:v>Yes, subject to life-cycle safeguards</x:v>
      </x:c>
      <x:c r="N23" s="2" t="str">
        <x:v>Intelligent transport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3" s="2" t="str">
        <x:v>Intelligent transport systems: corridor and station infrastructure, signalling, ticketing, communications, fleet equipment, traffic sensors and user interfaces as applicable.</x:v>
      </x:c>
      <x:c r="P23" s="2" t="str">
        <x:v>Intelligent transport systems: network and timetable design, demand models, traffic control, fleet dispatch, logistics optimisation, safety analysis and service-performance analytics.</x:v>
      </x:c>
      <x:c r="Q23" s="2" t="str">
        <x:v>Intelligent transport systems: transport authority mandates, operating contracts, tariffs, enforcement, street-space allocation, accessibility rules and coordination with land-use planning.</x:v>
      </x:c>
      <x:c r="R23" s="2" t="str">
        <x:v>Intelligent transport systems: rights-of-way, stops or terminals, depots, interchanges, control centres, communications and safe pedestrian or cycling access.</x:v>
      </x:c>
      <x:c r="S23" s="2" t="str">
        <x:v>Intelligent transport systems: electricity for control and stations plus the energy used by the affected vehicle fleet; the net result is governed by modal shift and occupancy.</x:v>
      </x:c>
      <x:c r="T23" s="2" t="str">
        <x:v>Intelligent transport systems: concrete, steel, asphalt, copper, signalling electronics, pavement materials and vehicle-related materials where new infrastructure is built.</x:v>
      </x:c>
      <x:c r="U23" s="2" t="str">
        <x:v>Intelligent transport systems: signal modules, communications equipment, validators, sensors, pavement components, station equipment and fleet consumables.</x:v>
      </x:c>
      <x:c r="V23" s="2" t="str">
        <x:v>https://www.ctc-n.org/sites/default/files/resources/ctcn_taxonomy_0.pdf</x:v>
      </x:c>
      <x:c r="W23" s="2" t="str">
        <x:v>https://institutoagricoladepueblobello.edu.co/colegiapp/archivostemas/GUIA%209.%5B25%5D.pdf</x:v>
      </x:c>
      <x:c r="X23" s="2" t="str">
        <x:v>https://iiasa.ac.at/what-is-technology</x:v>
      </x:c>
      <x:c r="Y23" s="2" t="str">
        <x:v>https://www.ipcc.ch/report/ar6/wg3/chapter/chapter-10/; https://ppp.worldbank.org/print/pdf/node/7300</x:v>
      </x:c>
      <x:c r="Z23" s="2" t="str">
        <x:v>Technology-specific analytical synthesis. The CTCN hierarchy is retained; classifications and component dependencies require validation against the selected design, site and supplier documentation before investment or policy use.</x:v>
      </x:c>
      <x:c r="AA23" s="2" t="str">
        <x:v>Physical deployment of Intelligent transport systems requires rights-of-way, stops or terminals, depots, interchanges, control centres, communications and safe pedestrian or cycling access; interfaces, foundations, access and environmental protection are sized to the specific resource and design load.</x:v>
      </x:c>
      <x:c r="AB23" s="2" t="str">
        <x:v>For Intelligent transport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3" s="2" t="str">
        <x:v>Construction and operation use concrete, steel, asphalt, copper, signalling electronics, pavement materials and vehicle-related materials where new infrastructure is built. For Intelligent transport systems, specifications must include durability, compatibility, recycled content and recoverability.</x:v>
      </x:c>
      <x:c r="AD23" s="2" t="str">
        <x:v>Maintenance of Intelligent transport systems depends on signal modules, communications equipment, validators, sensors, pavement components, station equipment and fleet consumables; critical spares are selected from failure-mode, lead-time and safety analysis for its installed configuration.</x:v>
      </x:c>
      <x:c r="AE23" s="2" t="str">
        <x:v>The software stack for Intelligent transport systems requires databases, secure communications, version-controlled models, computing, backup and interfaces with field or operational systems.</x:v>
      </x:c>
      <x:c r="AF23" s="2" t="str">
        <x:v>For Intelligent transport systems, software-related energy is electricity for sensing, computing, storage, communication and cooling; it is normally secondary but must be included for data-intensive or continuous services.</x:v>
      </x:c>
      <x:c r="AG23" s="2" t="str">
        <x:v>The non-physical inputs are calibrated data, metadata, algorithms, boundary conditions, emission or hazard factors, manuals and validation records specific to Intelligent transport systems.</x:v>
      </x:c>
      <x:c r="AH23" s="2" t="str">
        <x:v>Software continuity for Intelligent transport systems requires licences where applicable, updates, cybersecurity patches, backups, calibration files, model validation and technical support.</x:v>
      </x:c>
      <x:c r="AI23" s="2" t="str">
        <x:v>Orgware depends on the institutions, laboratories, training providers, regulators, operators and community interfaces needed to govern Intelligent transport systems.</x:v>
      </x:c>
      <x:c r="AJ23" s="2" t="str">
        <x:v>The orgware supporting Intelligent transport systems has mainly indirect energy use from offices, meetings, training and information systems; travel and field supervision may be material at dispersed sites.</x:v>
      </x:c>
      <x:c r="AK23" s="2" t="str">
        <x:v>Its organisational inputs are permits, budgets, trained staff, competence records, contracts, procedures, safeguards, monitoring evidence and stakeholder agreements tailored to Intelligent transport systems.</x:v>
      </x:c>
      <x:c r="AL23" s="2" t="str">
        <x:v>Sustained implementation of Intelligent transport systems requires procurement and service contracts, audit protocols, training material, reporting templates, insurance or guarantees and periodic independent review.</x:v>
      </x:c>
      <x:c r="AM23" s="2" t="str">
        <x:v>Iron ore / steel inputs</x:v>
      </x:c>
      <x:c r="AN23" s="2" t="str">
        <x:v>Australia; Brazil; China</x:v>
      </x:c>
      <x:c r="AO23" s="2" t="str">
        <x:v>China; India; Japan</x:v>
      </x:c>
      <x:c r="AP23" s="2" t="str">
        <x:v>Intelligent transport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 s="2" t="str">
        <x:v>2024–2025</x:v>
      </x:c>
      <x:c r="AR23" s="2" t="str">
        <x:v>https://pubs.usgs.gov/periodicals/mcs2026/mcs2026.pdf</x:v>
      </x:c>
    </x:row>
    <x:row r="24" ht="240" customHeight="1">
      <x:c r="A24" s="2" t="str">
        <x:v>MIT-0017</x:v>
      </x:c>
      <x:c r="B24" s="2" t="str">
        <x:v>Mitigation</x:v>
      </x:c>
      <x:c r="C24" s="2" t="str">
        <x:v>Transport</x:v>
      </x:c>
      <x:c r="D24" s="2" t="str">
        <x:v>Land transport</x:v>
      </x:c>
      <x:c r="E24" s="2" t="str">
        <x:v>Scrappage programmes</x:v>
      </x:c>
      <x:c r="F24" s="2" t="str">
        <x:v>Scrappage programmes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Scrappage programmes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4" s="2" t="str">
        <x:v>Flexible</x:v>
      </x:c>
      <x:c r="H24" s="2" t="str">
        <x:v>Scrappage programmes is transferable through configurable methods, rules and operating parameters. Its principle remains the same, but resource quality, climate, scale, interfaces and safety constraints must be recalculated for each deployment.</x:v>
      </x:c>
      <x:c r="I24" s="2" t="str">
        <x:v>Primarily soft, with physical support</x:v>
      </x:c>
      <x:c r="J24" s="2" t="str">
        <x:v>Scrappage programmes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4" s="2" t="str">
        <x:v>Operation</x:v>
      </x:c>
      <x:c r="L24" s="2" t="str">
        <x:v>Scrappage programmes is embodied mainly as an operating practice. The deliverable is accepted only when measurable service, quality, safety and climate-performance criteria are met under real conditions.</x:v>
      </x:c>
      <x:c r="M24" s="2" t="str">
        <x:v>Yes, subject to life-cycle safeguards</x:v>
      </x:c>
      <x:c r="N24" s="2" t="str">
        <x:v>Scrappage programmes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4" s="2" t="str">
        <x:v>Scrappage programmes: corridor and station infrastructure, signalling, ticketing, communications, fleet equipment, traffic sensors and user interfaces as applicable.</x:v>
      </x:c>
      <x:c r="P24" s="2" t="str">
        <x:v>Scrappage programmes: network and timetable design, demand models, traffic control, fleet dispatch, logistics optimisation, safety analysis and service-performance analytics.</x:v>
      </x:c>
      <x:c r="Q24" s="2" t="str">
        <x:v>Scrappage programmes: transport authority mandates, operating contracts, tariffs, enforcement, street-space allocation, accessibility rules and coordination with land-use planning.</x:v>
      </x:c>
      <x:c r="R24" s="2" t="str">
        <x:v>Scrappage programmes: rights-of-way, stops or terminals, depots, interchanges, control centres, communications and safe pedestrian or cycling access.</x:v>
      </x:c>
      <x:c r="S24" s="2" t="str">
        <x:v>Scrappage programmes: electricity for control and stations plus the energy used by the affected vehicle fleet; the net result is governed by modal shift and occupancy.</x:v>
      </x:c>
      <x:c r="T24" s="2" t="str">
        <x:v>Scrappage programmes: concrete, steel, asphalt, copper, signalling electronics, pavement materials and vehicle-related materials where new infrastructure is built.</x:v>
      </x:c>
      <x:c r="U24" s="2" t="str">
        <x:v>Scrappage programmes: signal modules, communications equipment, validators, sensors, pavement components, station equipment and fleet consumables.</x:v>
      </x:c>
      <x:c r="V24" s="2" t="str">
        <x:v>https://www.ctc-n.org/sites/default/files/resources/ctcn_taxonomy_0.pdf</x:v>
      </x:c>
      <x:c r="W24" s="2" t="str">
        <x:v>https://institutoagricoladepueblobello.edu.co/colegiapp/archivostemas/GUIA%209.%5B25%5D.pdf</x:v>
      </x:c>
      <x:c r="X24" s="2" t="str">
        <x:v>https://iiasa.ac.at/what-is-technology</x:v>
      </x:c>
      <x:c r="Y24" s="2" t="str">
        <x:v>https://www.ipcc.ch/report/ar6/wg3/chapter/chapter-10/; https://ppp.worldbank.org/print/pdf/node/7300</x:v>
      </x:c>
      <x:c r="Z24" s="2" t="str">
        <x:v>Technology-specific analytical synthesis. The CTCN hierarchy is retained; classifications and component dependencies require validation against the selected design, site and supplier documentation before investment or policy use.</x:v>
      </x:c>
      <x:c r="AA24" s="2" t="str">
        <x:v>Physical deployment of Scrappage programmes requires rights-of-way, stops or terminals, depots, interchanges, control centres, communications and safe pedestrian or cycling access; interfaces, foundations, access and environmental protection are sized to the specific resource and design load.</x:v>
      </x:c>
      <x:c r="AB24" s="2" t="str">
        <x:v>For Scrappage programmes,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4" s="2" t="str">
        <x:v>Construction and operation use concrete, steel, asphalt, copper, signalling electronics, pavement materials and vehicle-related materials where new infrastructure is built. For Scrappage programmes, specifications must include durability, compatibility, recycled content and recoverability.</x:v>
      </x:c>
      <x:c r="AD24" s="2" t="str">
        <x:v>Maintenance of Scrappage programmes depends on signal modules, communications equipment, validators, sensors, pavement components, station equipment and fleet consumables; critical spares are selected from failure-mode, lead-time and safety analysis for its installed configuration.</x:v>
      </x:c>
      <x:c r="AE24" s="2" t="str">
        <x:v>The software stack for Scrappage programmes requires databases, secure communications, version-controlled models, computing, backup and interfaces with field or operational systems.</x:v>
      </x:c>
      <x:c r="AF24" s="2" t="str">
        <x:v>For Scrappage programmes, software-related energy is electricity for sensing, computing, storage, communication and cooling; it is normally secondary but must be included for data-intensive or continuous services.</x:v>
      </x:c>
      <x:c r="AG24" s="2" t="str">
        <x:v>The non-physical inputs are calibrated data, metadata, algorithms, boundary conditions, emission or hazard factors, manuals and validation records specific to Scrappage programmes.</x:v>
      </x:c>
      <x:c r="AH24" s="2" t="str">
        <x:v>Software continuity for Scrappage programmes requires licences where applicable, updates, cybersecurity patches, backups, calibration files, model validation and technical support.</x:v>
      </x:c>
      <x:c r="AI24" s="2" t="str">
        <x:v>Orgware depends on the institutions, laboratories, training providers, regulators, operators and community interfaces needed to govern Scrappage programmes.</x:v>
      </x:c>
      <x:c r="AJ24" s="2" t="str">
        <x:v>The orgware supporting Scrappage programmes has mainly indirect energy use from offices, meetings, training and information systems; travel and field supervision may be material at dispersed sites.</x:v>
      </x:c>
      <x:c r="AK24" s="2" t="str">
        <x:v>Its organisational inputs are permits, budgets, trained staff, competence records, contracts, procedures, safeguards, monitoring evidence and stakeholder agreements tailored to Scrappage programmes.</x:v>
      </x:c>
      <x:c r="AL24" s="2" t="str">
        <x:v>Sustained implementation of Scrappage programmes requires procurement and service contracts, audit protocols, training material, reporting templates, insurance or guarantees and periodic independent review.</x:v>
      </x:c>
      <x:c r="AM24" s="2" t="str">
        <x:v>Iron ore / steel inputs</x:v>
      </x:c>
      <x:c r="AN24" s="2" t="str">
        <x:v>Australia; Brazil; China</x:v>
      </x:c>
      <x:c r="AO24" s="2" t="str">
        <x:v>China; India; Japan</x:v>
      </x:c>
      <x:c r="AP24" s="2" t="str">
        <x:v>Scrappage programmes: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 s="2" t="str">
        <x:v>2024–2025</x:v>
      </x:c>
      <x:c r="AR24" s="2" t="str">
        <x:v>https://pubs.usgs.gov/periodicals/mcs2026/mcs2026.pdf</x:v>
      </x:c>
    </x:row>
    <x:row r="25" ht="240" customHeight="1">
      <x:c r="A25" s="2" t="str">
        <x:v>MIT-0018</x:v>
      </x:c>
      <x:c r="B25" s="2" t="str">
        <x:v>Mitigation</x:v>
      </x:c>
      <x:c r="C25" s="2" t="str">
        <x:v>Transport</x:v>
      </x:c>
      <x:c r="D25" s="2" t="str">
        <x:v>Land transport</x:v>
      </x:c>
      <x:c r="E25" s="2" t="str">
        <x:v>Transport Demand Management</x:v>
      </x:c>
      <x:c r="F25" s="2" t="str">
        <x:v>Transport Demand Management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Transport Demand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5" s="2" t="str">
        <x:v>Flexible</x:v>
      </x:c>
      <x:c r="H25" s="2" t="str">
        <x:v>Transport Demand Management is transferable through configurable methods, rules and operating parameters. Its principle remains the same, but resource quality, climate, scale, interfaces and safety constraints must be recalculated for each deployment.</x:v>
      </x:c>
      <x:c r="I25" s="2" t="str">
        <x:v>Primarily soft, with physical support</x:v>
      </x:c>
      <x:c r="J25" s="2" t="str">
        <x:v>Transport Demand Management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5" s="2" t="str">
        <x:v>Operation</x:v>
      </x:c>
      <x:c r="L25" s="2" t="str">
        <x:v>Transport Demand Management is embodied mainly as an operating practice. The deliverable is accepted only when measurable service, quality, safety and climate-performance criteria are met under real conditions.</x:v>
      </x:c>
      <x:c r="M25" s="2" t="str">
        <x:v>Yes, subject to life-cycle safeguards</x:v>
      </x:c>
      <x:c r="N25" s="2" t="str">
        <x:v>Transport Demand Management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5" s="2" t="str">
        <x:v>Transport Demand Management: corridor and station infrastructure, signalling, ticketing, communications, fleet equipment, traffic sensors and user interfaces as applicable.</x:v>
      </x:c>
      <x:c r="P25" s="2" t="str">
        <x:v>Transport Demand Management: network and timetable design, demand models, traffic control, fleet dispatch, logistics optimisation, safety analysis and service-performance analytics.</x:v>
      </x:c>
      <x:c r="Q25" s="2" t="str">
        <x:v>Transport Demand Management: transport authority mandates, operating contracts, tariffs, enforcement, street-space allocation, accessibility rules and coordination with land-use planning.</x:v>
      </x:c>
      <x:c r="R25" s="2" t="str">
        <x:v>Transport Demand Management: rights-of-way, stops or terminals, depots, interchanges, control centres, communications and safe pedestrian or cycling access.</x:v>
      </x:c>
      <x:c r="S25" s="2" t="str">
        <x:v>Transport Demand Management: electricity for control and stations plus the energy used by the affected vehicle fleet; the net result is governed by modal shift and occupancy.</x:v>
      </x:c>
      <x:c r="T25" s="2" t="str">
        <x:v>Transport Demand Management: concrete, steel, asphalt, copper, signalling electronics, pavement materials and vehicle-related materials where new infrastructure is built.</x:v>
      </x:c>
      <x:c r="U25" s="2" t="str">
        <x:v>Transport Demand Management: signal modules, communications equipment, validators, sensors, pavement components, station equipment and fleet consumables.</x:v>
      </x:c>
      <x:c r="V25" s="2" t="str">
        <x:v>https://www.ctc-n.org/sites/default/files/resources/ctcn_taxonomy_0.pdf</x:v>
      </x:c>
      <x:c r="W25" s="2" t="str">
        <x:v>https://institutoagricoladepueblobello.edu.co/colegiapp/archivostemas/GUIA%209.%5B25%5D.pdf</x:v>
      </x:c>
      <x:c r="X25" s="2" t="str">
        <x:v>https://iiasa.ac.at/what-is-technology</x:v>
      </x:c>
      <x:c r="Y25" s="2" t="str">
        <x:v>https://www.ipcc.ch/report/ar6/wg3/chapter/chapter-10/; https://ppp.worldbank.org/print/pdf/node/7300</x:v>
      </x:c>
      <x:c r="Z25" s="2" t="str">
        <x:v>Technology-specific analytical synthesis. The CTCN hierarchy is retained; classifications and component dependencies require validation against the selected design, site and supplier documentation before investment or policy use.</x:v>
      </x:c>
      <x:c r="AA25" s="2" t="str">
        <x:v>Physical deployment of Transport Demand Management requires rights-of-way, stops or terminals, depots, interchanges, control centres, communications and safe pedestrian or cycling access; interfaces, foundations, access and environmental protection are sized to the specific resource and design load.</x:v>
      </x:c>
      <x:c r="AB25" s="2" t="str">
        <x:v>For Transport Demand Management,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5" s="2" t="str">
        <x:v>Construction and operation use concrete, steel, asphalt, copper, signalling electronics, pavement materials and vehicle-related materials where new infrastructure is built. For Transport Demand Management, specifications must include durability, compatibility, recycled content and recoverability.</x:v>
      </x:c>
      <x:c r="AD25" s="2" t="str">
        <x:v>Maintenance of Transport Demand Management depends on signal modules, communications equipment, validators, sensors, pavement components, station equipment and fleet consumables; critical spares are selected from failure-mode, lead-time and safety analysis for its installed configuration.</x:v>
      </x:c>
      <x:c r="AE25" s="2" t="str">
        <x:v>The software stack for Transport Demand Management requires databases, secure communications, version-controlled models, computing, backup and interfaces with field or operational systems.</x:v>
      </x:c>
      <x:c r="AF25" s="2" t="str">
        <x:v>For Transport Demand Management, software-related energy is electricity for sensing, computing, storage, communication and cooling; it is normally secondary but must be included for data-intensive or continuous services.</x:v>
      </x:c>
      <x:c r="AG25" s="2" t="str">
        <x:v>The non-physical inputs are calibrated data, metadata, algorithms, boundary conditions, emission or hazard factors, manuals and validation records specific to Transport Demand Management.</x:v>
      </x:c>
      <x:c r="AH25" s="2" t="str">
        <x:v>Software continuity for Transport Demand Management requires licences where applicable, updates, cybersecurity patches, backups, calibration files, model validation and technical support.</x:v>
      </x:c>
      <x:c r="AI25" s="2" t="str">
        <x:v>Orgware depends on the institutions, laboratories, training providers, regulators, operators and community interfaces needed to govern Transport Demand Management.</x:v>
      </x:c>
      <x:c r="AJ25" s="2" t="str">
        <x:v>The orgware supporting Transport Demand Management has mainly indirect energy use from offices, meetings, training and information systems; travel and field supervision may be material at dispersed sites.</x:v>
      </x:c>
      <x:c r="AK25" s="2" t="str">
        <x:v>Its organisational inputs are permits, budgets, trained staff, competence records, contracts, procedures, safeguards, monitoring evidence and stakeholder agreements tailored to Transport Demand Management.</x:v>
      </x:c>
      <x:c r="AL25" s="2" t="str">
        <x:v>Sustained implementation of Transport Demand Management requires procurement and service contracts, audit protocols, training material, reporting templates, insurance or guarantees and periodic independent review.</x:v>
      </x:c>
      <x:c r="AM25" s="2" t="str">
        <x:v>No critical or strategic raw material is identifiable at taxonomy level; site-specific bulk materials may still be required.</x:v>
      </x:c>
      <x:c r="AN25" s="2" t="str"/>
      <x:c r="AO25" s="2" t="str"/>
      <x:c r="AP25" s="2" t="str">
        <x:v>Transport Demand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 s="2" t="str">
        <x:v>2024–2025</x:v>
      </x:c>
      <x:c r="AR25" s="2" t="str">
        <x:v>https://pubs.usgs.gov/periodicals/mcs2026/mcs2026.pdf; https://www.iea.org/reports/global-critical-minerals-outlook-2025</x:v>
      </x:c>
    </x:row>
    <x:row r="26" ht="240" customHeight="1">
      <x:c r="A26" s="2" t="str">
        <x:v>MIT-0019</x:v>
      </x:c>
      <x:c r="B26" s="2" t="str">
        <x:v>Mitigation</x:v>
      </x:c>
      <x:c r="C26" s="2" t="str">
        <x:v>Transport</x:v>
      </x:c>
      <x:c r="D26" s="2" t="str">
        <x:v>Land transport</x:v>
      </x:c>
      <x:c r="E26" s="2" t="str">
        <x:v>Freight management</x:v>
      </x:c>
      <x:c r="F26" s="2" t="str">
        <x:v>Freight management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Freight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6" s="2" t="str">
        <x:v>Flexible</x:v>
      </x:c>
      <x:c r="H26" s="2" t="str">
        <x:v>Freight management is transferable through configurable methods, rules and operating parameters. Its principle remains the same, but resource quality, climate, scale, interfaces and safety constraints must be recalculated for each deployment.</x:v>
      </x:c>
      <x:c r="I26" s="2" t="str">
        <x:v>Primarily soft, with physical support</x:v>
      </x:c>
      <x:c r="J26" s="2" t="str">
        <x:v>Freight management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6" s="2" t="str">
        <x:v>Operation</x:v>
      </x:c>
      <x:c r="L26" s="2" t="str">
        <x:v>Freight management is embodied mainly as an operating practice. The deliverable is accepted only when measurable service, quality, safety and climate-performance criteria are met under real conditions.</x:v>
      </x:c>
      <x:c r="M26" s="2" t="str">
        <x:v>Yes, subject to life-cycle safeguards</x:v>
      </x:c>
      <x:c r="N26" s="2" t="str">
        <x:v>Freight management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6" s="2" t="str">
        <x:v>Freight management: corridor and station infrastructure, signalling, ticketing, communications, fleet equipment, traffic sensors and user interfaces as applicable.</x:v>
      </x:c>
      <x:c r="P26" s="2" t="str">
        <x:v>Freight management: network and timetable design, demand models, traffic control, fleet dispatch, logistics optimisation, safety analysis and service-performance analytics.</x:v>
      </x:c>
      <x:c r="Q26" s="2" t="str">
        <x:v>Freight management: transport authority mandates, operating contracts, tariffs, enforcement, street-space allocation, accessibility rules and coordination with land-use planning.</x:v>
      </x:c>
      <x:c r="R26" s="2" t="str">
        <x:v>Freight management: rights-of-way, stops or terminals, depots, interchanges, control centres, communications and safe pedestrian or cycling access.</x:v>
      </x:c>
      <x:c r="S26" s="2" t="str">
        <x:v>Freight management: electricity for control and stations plus the energy used by the affected vehicle fleet; the net result is governed by modal shift and occupancy.</x:v>
      </x:c>
      <x:c r="T26" s="2" t="str">
        <x:v>Freight management: concrete, steel, asphalt, copper, signalling electronics, pavement materials and vehicle-related materials where new infrastructure is built.</x:v>
      </x:c>
      <x:c r="U26" s="2" t="str">
        <x:v>Freight management: signal modules, communications equipment, validators, sensors, pavement components, station equipment and fleet consumables.</x:v>
      </x:c>
      <x:c r="V26" s="2" t="str">
        <x:v>https://www.ctc-n.org/sites/default/files/resources/ctcn_taxonomy_0.pdf</x:v>
      </x:c>
      <x:c r="W26" s="2" t="str">
        <x:v>https://institutoagricoladepueblobello.edu.co/colegiapp/archivostemas/GUIA%209.%5B25%5D.pdf</x:v>
      </x:c>
      <x:c r="X26" s="2" t="str">
        <x:v>https://iiasa.ac.at/what-is-technology</x:v>
      </x:c>
      <x:c r="Y26" s="2" t="str">
        <x:v>https://www.ipcc.ch/report/ar6/wg3/chapter/chapter-10/; https://ppp.worldbank.org/print/pdf/node/7300</x:v>
      </x:c>
      <x:c r="Z26" s="2" t="str">
        <x:v>Technology-specific analytical synthesis. The CTCN hierarchy is retained; classifications and component dependencies require validation against the selected design, site and supplier documentation before investment or policy use.</x:v>
      </x:c>
      <x:c r="AA26" s="2" t="str">
        <x:v>Physical deployment of Freight management requires rights-of-way, stops or terminals, depots, interchanges, control centres, communications and safe pedestrian or cycling access; interfaces, foundations, access and environmental protection are sized to the specific resource and design load.</x:v>
      </x:c>
      <x:c r="AB26" s="2" t="str">
        <x:v>For Freight management,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6" s="2" t="str">
        <x:v>Construction and operation use concrete, steel, asphalt, copper, signalling electronics, pavement materials and vehicle-related materials where new infrastructure is built. For Freight management, specifications must include durability, compatibility, recycled content and recoverability.</x:v>
      </x:c>
      <x:c r="AD26" s="2" t="str">
        <x:v>Maintenance of Freight management depends on signal modules, communications equipment, validators, sensors, pavement components, station equipment and fleet consumables; critical spares are selected from failure-mode, lead-time and safety analysis for its installed configuration.</x:v>
      </x:c>
      <x:c r="AE26" s="2" t="str">
        <x:v>The software stack for Freight management requires databases, secure communications, version-controlled models, computing, backup and interfaces with field or operational systems.</x:v>
      </x:c>
      <x:c r="AF26" s="2" t="str">
        <x:v>For Freight management, software-related energy is electricity for sensing, computing, storage, communication and cooling; it is normally secondary but must be included for data-intensive or continuous services.</x:v>
      </x:c>
      <x:c r="AG26" s="2" t="str">
        <x:v>The non-physical inputs are calibrated data, metadata, algorithms, boundary conditions, emission or hazard factors, manuals and validation records specific to Freight management.</x:v>
      </x:c>
      <x:c r="AH26" s="2" t="str">
        <x:v>Software continuity for Freight management requires licences where applicable, updates, cybersecurity patches, backups, calibration files, model validation and technical support.</x:v>
      </x:c>
      <x:c r="AI26" s="2" t="str">
        <x:v>Orgware depends on the institutions, laboratories, training providers, regulators, operators and community interfaces needed to govern Freight management.</x:v>
      </x:c>
      <x:c r="AJ26" s="2" t="str">
        <x:v>The orgware supporting Freight management has mainly indirect energy use from offices, meetings, training and information systems; travel and field supervision may be material at dispersed sites.</x:v>
      </x:c>
      <x:c r="AK26" s="2" t="str">
        <x:v>Its organisational inputs are permits, budgets, trained staff, competence records, contracts, procedures, safeguards, monitoring evidence and stakeholder agreements tailored to Freight management.</x:v>
      </x:c>
      <x:c r="AL26" s="2" t="str">
        <x:v>Sustained implementation of Freight management requires procurement and service contracts, audit protocols, training material, reporting templates, insurance or guarantees and periodic independent review.</x:v>
      </x:c>
      <x:c r="AM26" s="2" t="str">
        <x:v>No critical or strategic raw material is identifiable at taxonomy level; site-specific bulk materials may still be required.</x:v>
      </x:c>
      <x:c r="AN26" s="2" t="str"/>
      <x:c r="AO26" s="2" t="str"/>
      <x:c r="AP26" s="2" t="str">
        <x:v>Freight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 s="2" t="str">
        <x:v>2024–2025</x:v>
      </x:c>
      <x:c r="AR26" s="2" t="str">
        <x:v>https://pubs.usgs.gov/periodicals/mcs2026/mcs2026.pdf; https://www.iea.org/reports/global-critical-minerals-outlook-2025</x:v>
      </x:c>
    </x:row>
    <x:row r="27" ht="240" customHeight="1">
      <x:c r="A27" s="2" t="str">
        <x:v>MIT-0020</x:v>
      </x:c>
      <x:c r="B27" s="2" t="str">
        <x:v>Mitigation</x:v>
      </x:c>
      <x:c r="C27" s="2" t="str">
        <x:v>Transport</x:v>
      </x:c>
      <x:c r="D27" s="2" t="str">
        <x:v>Land transport</x:v>
      </x:c>
      <x:c r="E27" s="2" t="str">
        <x:v>More efficient train system</x:v>
      </x:c>
      <x:c r="F27" s="2" t="str">
        <x:v>More efficient train system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More efficient train system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7" s="2" t="str">
        <x:v>Mixed: adaptable design, site-specific implementation</x:v>
      </x:c>
      <x:c r="H27" s="2" t="str">
        <x:v>More efficient train system is adaptable in capacity and configuration but site-specific in final engineering. Its principle remains the same, but resource quality, climate, scale, interfaces and safety constraints must be recalculated for each deployment.</x:v>
      </x:c>
      <x:c r="I27" s="2" t="str">
        <x:v>Primarily hard, with a soft component</x:v>
      </x:c>
      <x:c r="J27" s="2" t="str">
        <x:v>More efficient train system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7" s="2" t="str">
        <x:v>Equipment and operation</x:v>
      </x:c>
      <x:c r="L27" s="2" t="str">
        <x:v>More efficient train system is embodied mainly as an equipment-and-operation system. The deliverable is accepted only when measurable service, quality, safety and climate-performance criteria are met under real conditions.</x:v>
      </x:c>
      <x:c r="M27" s="2" t="str">
        <x:v>Yes, subject to life-cycle safeguards</x:v>
      </x:c>
      <x:c r="N27" s="2" t="str">
        <x:v>More efficient train system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7" s="2" t="str">
        <x:v>More efficient train system: corridor and station infrastructure, signalling, ticketing, communications, fleet equipment, traffic sensors and user interfaces as applicable.</x:v>
      </x:c>
      <x:c r="P27" s="2" t="str">
        <x:v>More efficient train system: network and timetable design, demand models, traffic control, fleet dispatch, logistics optimisation, safety analysis and service-performance analytics.</x:v>
      </x:c>
      <x:c r="Q27" s="2" t="str">
        <x:v>More efficient train system: transport authority mandates, operating contracts, tariffs, enforcement, street-space allocation, accessibility rules and coordination with land-use planning.</x:v>
      </x:c>
      <x:c r="R27" s="2" t="str">
        <x:v>More efficient train system: rights-of-way, stops or terminals, depots, interchanges, control centres, communications and safe pedestrian or cycling access.</x:v>
      </x:c>
      <x:c r="S27" s="2" t="str">
        <x:v>More efficient train system: electricity for control and stations plus the energy used by the affected vehicle fleet; the net result is governed by modal shift and occupancy.</x:v>
      </x:c>
      <x:c r="T27" s="2" t="str">
        <x:v>More efficient train system: concrete, steel, asphalt, copper, signalling electronics, pavement materials and vehicle-related materials where new infrastructure is built.</x:v>
      </x:c>
      <x:c r="U27" s="2" t="str">
        <x:v>More efficient train system: signal modules, communications equipment, validators, sensors, pavement components, station equipment and fleet consumables.</x:v>
      </x:c>
      <x:c r="V27" s="2" t="str">
        <x:v>https://www.ctc-n.org/sites/default/files/resources/ctcn_taxonomy_0.pdf</x:v>
      </x:c>
      <x:c r="W27" s="2" t="str">
        <x:v>https://institutoagricoladepueblobello.edu.co/colegiapp/archivostemas/GUIA%209.%5B25%5D.pdf</x:v>
      </x:c>
      <x:c r="X27" s="2" t="str">
        <x:v>https://iiasa.ac.at/what-is-technology</x:v>
      </x:c>
      <x:c r="Y27" s="2" t="str">
        <x:v>https://www.ipcc.ch/report/ar6/wg3/chapter/chapter-10/; https://ppp.worldbank.org/print/pdf/node/7300</x:v>
      </x:c>
      <x:c r="Z27" s="2" t="str">
        <x:v>Technology-specific analytical synthesis. The CTCN hierarchy is retained; classifications and component dependencies require validation against the selected design, site and supplier documentation before investment or policy use.</x:v>
      </x:c>
      <x:c r="AA27" s="2" t="str">
        <x:v>Physical deployment of More efficient train system requires rights-of-way, stops or terminals, depots, interchanges, control centres, communications and safe pedestrian or cycling access; interfaces, foundations, access and environmental protection are sized to the specific resource and design load.</x:v>
      </x:c>
      <x:c r="AB27" s="2" t="str">
        <x:v>For More efficient train system,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7" s="2" t="str">
        <x:v>Construction and operation use concrete, steel, asphalt, copper, signalling electronics, pavement materials and vehicle-related materials where new infrastructure is built. For More efficient train system, specifications must include durability, compatibility, recycled content and recoverability.</x:v>
      </x:c>
      <x:c r="AD27" s="2" t="str">
        <x:v>Maintenance of More efficient train system depends on signal modules, communications equipment, validators, sensors, pavement components, station equipment and fleet consumables; critical spares are selected from failure-mode, lead-time and safety analysis for its installed configuration.</x:v>
      </x:c>
      <x:c r="AE27" s="2" t="str">
        <x:v>The software stack for More efficient train system requires databases, secure communications, version-controlled models, computing, backup and interfaces with field or operational systems.</x:v>
      </x:c>
      <x:c r="AF27" s="2" t="str">
        <x:v>For More efficient train system, software-related energy is electricity for sensing, computing, storage, communication and cooling; it is normally secondary but must be included for data-intensive or continuous services.</x:v>
      </x:c>
      <x:c r="AG27" s="2" t="str">
        <x:v>The non-physical inputs are calibrated data, metadata, algorithms, boundary conditions, emission or hazard factors, manuals and validation records specific to More efficient train system.</x:v>
      </x:c>
      <x:c r="AH27" s="2" t="str">
        <x:v>Software continuity for More efficient train system requires licences where applicable, updates, cybersecurity patches, backups, calibration files, model validation and technical support.</x:v>
      </x:c>
      <x:c r="AI27" s="2" t="str">
        <x:v>Orgware depends on the institutions, laboratories, training providers, regulators, operators and community interfaces needed to govern More efficient train system.</x:v>
      </x:c>
      <x:c r="AJ27" s="2" t="str">
        <x:v>The orgware supporting More efficient train system has mainly indirect energy use from offices, meetings, training and information systems; travel and field supervision may be material at dispersed sites.</x:v>
      </x:c>
      <x:c r="AK27" s="2" t="str">
        <x:v>Its organisational inputs are permits, budgets, trained staff, competence records, contracts, procedures, safeguards, monitoring evidence and stakeholder agreements tailored to More efficient train system.</x:v>
      </x:c>
      <x:c r="AL27" s="2" t="str">
        <x:v>Sustained implementation of More efficient train system requires procurement and service contracts, audit protocols, training material, reporting templates, insurance or guarantees and periodic independent review.</x:v>
      </x:c>
      <x:c r="AM27" s="2" t="str">
        <x:v>Iron ore / steel inputs</x:v>
      </x:c>
      <x:c r="AN27" s="2" t="str">
        <x:v>Australia; Brazil; China</x:v>
      </x:c>
      <x:c r="AO27" s="2" t="str">
        <x:v>China; India; Japan</x:v>
      </x:c>
      <x:c r="AP27" s="2" t="str">
        <x:v>More efficient train system: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 s="2" t="str">
        <x:v>2024–2025</x:v>
      </x:c>
      <x:c r="AR27" s="2" t="str">
        <x:v>https://pubs.usgs.gov/periodicals/mcs2026/mcs2026.pdf</x:v>
      </x:c>
    </x:row>
    <x:row r="28" ht="240" customHeight="1">
      <x:c r="A28" s="2" t="str">
        <x:v>MIT-0021</x:v>
      </x:c>
      <x:c r="B28" s="2" t="str">
        <x:v>Mitigation</x:v>
      </x:c>
      <x:c r="C28" s="2" t="str">
        <x:v>Transport</x:v>
      </x:c>
      <x:c r="D28" s="2" t="str">
        <x:v>Land transport</x:v>
      </x:c>
      <x:c r="E28" s="2" t="str">
        <x:v>Transit-oriented development</x:v>
      </x:c>
      <x:c r="F28" s="2" t="str">
        <x:v>Transit-oriented development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Transit-oriented development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8" s="2" t="str">
        <x:v>Mixed: adaptable design, site-specific implementation</x:v>
      </x:c>
      <x:c r="H28" s="2" t="str">
        <x:v>Transit-oriented development is adaptable in capacity and configuration but site-specific in final engineering. Its principle remains the same, but resource quality, climate, scale, interfaces and safety constraints must be recalculated for each deployment.</x:v>
      </x:c>
      <x:c r="I28" s="2" t="str">
        <x:v>Primarily hard, with a soft component</x:v>
      </x:c>
      <x:c r="J28" s="2" t="str">
        <x:v>Transit-oriented development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8" s="2" t="str">
        <x:v>Equipment and operation</x:v>
      </x:c>
      <x:c r="L28" s="2" t="str">
        <x:v>Transit-oriented development is embodied mainly as an equipment-and-operation system. The deliverable is accepted only when measurable service, quality, safety and climate-performance criteria are met under real conditions.</x:v>
      </x:c>
      <x:c r="M28" s="2" t="str">
        <x:v>Yes, subject to life-cycle safeguards</x:v>
      </x:c>
      <x:c r="N28" s="2" t="str">
        <x:v>Transit-oriented development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8" s="2" t="str">
        <x:v>Transit-oriented development: corridor and station infrastructure, signalling, ticketing, communications, fleet equipment, traffic sensors and user interfaces as applicable.</x:v>
      </x:c>
      <x:c r="P28" s="2" t="str">
        <x:v>Transit-oriented development: network and timetable design, demand models, traffic control, fleet dispatch, logistics optimisation, safety analysis and service-performance analytics.</x:v>
      </x:c>
      <x:c r="Q28" s="2" t="str">
        <x:v>Transit-oriented development: transport authority mandates, operating contracts, tariffs, enforcement, street-space allocation, accessibility rules and coordination with land-use planning.</x:v>
      </x:c>
      <x:c r="R28" s="2" t="str">
        <x:v>Transit-oriented development: rights-of-way, stops or terminals, depots, interchanges, control centres, communications and safe pedestrian or cycling access.</x:v>
      </x:c>
      <x:c r="S28" s="2" t="str">
        <x:v>Transit-oriented development: electricity for control and stations plus the energy used by the affected vehicle fleet; the net result is governed by modal shift and occupancy.</x:v>
      </x:c>
      <x:c r="T28" s="2" t="str">
        <x:v>Transit-oriented development: concrete, steel, asphalt, copper, signalling electronics, pavement materials and vehicle-related materials where new infrastructure is built.</x:v>
      </x:c>
      <x:c r="U28" s="2" t="str">
        <x:v>Transit-oriented development: signal modules, communications equipment, validators, sensors, pavement components, station equipment and fleet consumables.</x:v>
      </x:c>
      <x:c r="V28" s="2" t="str">
        <x:v>https://www.ctc-n.org/sites/default/files/resources/ctcn_taxonomy_0.pdf</x:v>
      </x:c>
      <x:c r="W28" s="2" t="str">
        <x:v>https://institutoagricoladepueblobello.edu.co/colegiapp/archivostemas/GUIA%209.%5B25%5D.pdf</x:v>
      </x:c>
      <x:c r="X28" s="2" t="str">
        <x:v>https://iiasa.ac.at/what-is-technology</x:v>
      </x:c>
      <x:c r="Y28" s="2" t="str">
        <x:v>https://www.ipcc.ch/report/ar6/wg3/chapter/chapter-10/; https://ppp.worldbank.org/print/pdf/node/7300</x:v>
      </x:c>
      <x:c r="Z28" s="2" t="str">
        <x:v>Technology-specific analytical synthesis. The CTCN hierarchy is retained; classifications and component dependencies require validation against the selected design, site and supplier documentation before investment or policy use.</x:v>
      </x:c>
      <x:c r="AA28" s="2" t="str">
        <x:v>Physical deployment of Transit-oriented development requires rights-of-way, stops or terminals, depots, interchanges, control centres, communications and safe pedestrian or cycling access; interfaces, foundations, access and environmental protection are sized to the specific resource and design load.</x:v>
      </x:c>
      <x:c r="AB28" s="2" t="str">
        <x:v>For Transit-oriented development,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8" s="2" t="str">
        <x:v>Construction and operation use concrete, steel, asphalt, copper, signalling electronics, pavement materials and vehicle-related materials where new infrastructure is built. For Transit-oriented development, specifications must include durability, compatibility, recycled content and recoverability.</x:v>
      </x:c>
      <x:c r="AD28" s="2" t="str">
        <x:v>Maintenance of Transit-oriented development depends on signal modules, communications equipment, validators, sensors, pavement components, station equipment and fleet consumables; critical spares are selected from failure-mode, lead-time and safety analysis for its installed configuration.</x:v>
      </x:c>
      <x:c r="AE28" s="2" t="str">
        <x:v>The software stack for Transit-oriented development requires databases, secure communications, version-controlled models, computing, backup and interfaces with field or operational systems.</x:v>
      </x:c>
      <x:c r="AF28" s="2" t="str">
        <x:v>For Transit-oriented development, software-related energy is electricity for sensing, computing, storage, communication and cooling; it is normally secondary but must be included for data-intensive or continuous services.</x:v>
      </x:c>
      <x:c r="AG28" s="2" t="str">
        <x:v>The non-physical inputs are calibrated data, metadata, algorithms, boundary conditions, emission or hazard factors, manuals and validation records specific to Transit-oriented development.</x:v>
      </x:c>
      <x:c r="AH28" s="2" t="str">
        <x:v>Software continuity for Transit-oriented development requires licences where applicable, updates, cybersecurity patches, backups, calibration files, model validation and technical support.</x:v>
      </x:c>
      <x:c r="AI28" s="2" t="str">
        <x:v>Orgware depends on the institutions, laboratories, training providers, regulators, operators and community interfaces needed to govern Transit-oriented development.</x:v>
      </x:c>
      <x:c r="AJ28" s="2" t="str">
        <x:v>The orgware supporting Transit-oriented development has mainly indirect energy use from offices, meetings, training and information systems; travel and field supervision may be material at dispersed sites.</x:v>
      </x:c>
      <x:c r="AK28" s="2" t="str">
        <x:v>Its organisational inputs are permits, budgets, trained staff, competence records, contracts, procedures, safeguards, monitoring evidence and stakeholder agreements tailored to Transit-oriented development.</x:v>
      </x:c>
      <x:c r="AL28" s="2" t="str">
        <x:v>Sustained implementation of Transit-oriented development requires procurement and service contracts, audit protocols, training material, reporting templates, insurance or guarantees and periodic independent review.</x:v>
      </x:c>
      <x:c r="AM28" s="2" t="str">
        <x:v>Iron ore / steel inputs</x:v>
      </x:c>
      <x:c r="AN28" s="2" t="str">
        <x:v>Australia; Brazil; China</x:v>
      </x:c>
      <x:c r="AO28" s="2" t="str">
        <x:v>China; India; Japan</x:v>
      </x:c>
      <x:c r="AP28" s="2" t="str">
        <x:v>Transit-oriented development: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 s="2" t="str">
        <x:v>2024–2025</x:v>
      </x:c>
      <x:c r="AR28" s="2" t="str">
        <x:v>https://pubs.usgs.gov/periodicals/mcs2026/mcs2026.pdf</x:v>
      </x:c>
    </x:row>
    <x:row r="29" ht="240" customHeight="1">
      <x:c r="A29" s="2" t="str">
        <x:v>MIT-0022</x:v>
      </x:c>
      <x:c r="B29" s="2" t="str">
        <x:v>Mitigation</x:v>
      </x:c>
      <x:c r="C29" s="2" t="str">
        <x:v>Transport</x:v>
      </x:c>
      <x:c r="D29" s="2" t="str">
        <x:v>Land transport</x:v>
      </x:c>
      <x:c r="E29" s="2" t="str">
        <x:v>Bus Rapid Transit</x:v>
      </x:c>
      <x:c r="F29" s="2" t="str">
        <x:v>Bus Rapid Transit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Dedicated lanes, high-capacity stations, off-board fare collection and centrally managed services increase commercial speed and passenger throughput, enabling modal shift from less efficient vehicles.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9" s="2" t="str">
        <x:v>Primarily fixed</x:v>
      </x:c>
      <x:c r="H29" s="2" t="str">
        <x:v>Bus Rapid Transit is tied to long-lived, site-specific assets and design loads. Its principle remains the same, but resource quality, climate, scale, interfaces and safety constraints must be recalculated for each deployment.</x:v>
      </x:c>
      <x:c r="I29" s="2" t="str">
        <x:v>Primarily hard, with a soft component</x:v>
      </x:c>
      <x:c r="J29" s="2" t="str">
        <x:v>Bus Rapid Transit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9" s="2" t="str">
        <x:v>Equipment and operation</x:v>
      </x:c>
      <x:c r="L29" s="2" t="str">
        <x:v>Bus Rapid Transit is embodied mainly as an equipment-and-operation system. The deliverable is accepted only when measurable service, quality, safety and climate-performance criteria are met under real conditions.</x:v>
      </x:c>
      <x:c r="M29" s="2" t="str">
        <x:v>Yes, subject to life-cycle safeguards</x:v>
      </x:c>
      <x:c r="N29" s="2" t="str">
        <x:v>Bus Rapid Transit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9" s="2" t="str">
        <x:v>Bus Rapid Transit: corridor and station infrastructure, signalling, ticketing, communications, fleet equipment, traffic sensors and user interfaces as applicable.</x:v>
      </x:c>
      <x:c r="P29" s="2" t="str">
        <x:v>Bus Rapid Transit: network and timetable design, demand models, traffic control, fleet dispatch, logistics optimisation, safety analysis and service-performance analytics.</x:v>
      </x:c>
      <x:c r="Q29" s="2" t="str">
        <x:v>Bus Rapid Transit: transport authority mandates, operating contracts, tariffs, enforcement, street-space allocation, accessibility rules and coordination with land-use planning.</x:v>
      </x:c>
      <x:c r="R29" s="2" t="str">
        <x:v>Bus Rapid Transit: rights-of-way, stops or terminals, depots, interchanges, control centres, communications and safe pedestrian or cycling access.</x:v>
      </x:c>
      <x:c r="S29" s="2" t="str">
        <x:v>Bus Rapid Transit: electricity for control and stations plus the energy used by the affected vehicle fleet; the net result is governed by modal shift and occupancy.</x:v>
      </x:c>
      <x:c r="T29" s="2" t="str">
        <x:v>Bus Rapid Transit: concrete, steel, asphalt, copper, signalling electronics, pavement materials and vehicle-related materials where new infrastructure is built.</x:v>
      </x:c>
      <x:c r="U29" s="2" t="str">
        <x:v>Bus Rapid Transit: signal modules, communications equipment, validators, sensors, pavement components, station equipment and fleet consumables.</x:v>
      </x:c>
      <x:c r="V29" s="2" t="str">
        <x:v>https://www.ctc-n.org/sites/default/files/resources/ctcn_taxonomy_0.pdf</x:v>
      </x:c>
      <x:c r="W29" s="2" t="str">
        <x:v>https://institutoagricoladepueblobello.edu.co/colegiapp/archivostemas/GUIA%209.%5B25%5D.pdf</x:v>
      </x:c>
      <x:c r="X29" s="2" t="str">
        <x:v>https://iiasa.ac.at/what-is-technology</x:v>
      </x:c>
      <x:c r="Y29" s="2" t="str">
        <x:v>https://www.ipcc.ch/report/ar6/wg3/chapter/chapter-10/; https://ppp.worldbank.org/print/pdf/node/7300</x:v>
      </x:c>
      <x:c r="Z29" s="2" t="str">
        <x:v>Technology-specific analytical synthesis. The CTCN hierarchy is retained; classifications and component dependencies require validation against the selected design, site and supplier documentation before investment or policy use.</x:v>
      </x:c>
      <x:c r="AA29" s="2" t="str">
        <x:v>Physical deployment of Bus Rapid Transit requires rights-of-way, stops or terminals, depots, interchanges, control centres, communications and safe pedestrian or cycling access; interfaces, foundations, access and environmental protection are sized to the specific resource and design load.</x:v>
      </x:c>
      <x:c r="AB29" s="2" t="str">
        <x:v>For Bus Rapid Transit,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9" s="2" t="str">
        <x:v>Construction and operation use concrete, steel, asphalt, copper, signalling electronics, pavement materials and vehicle-related materials where new infrastructure is built. For Bus Rapid Transit, specifications must include durability, compatibility, recycled content and recoverability.</x:v>
      </x:c>
      <x:c r="AD29" s="2" t="str">
        <x:v>Maintenance of Bus Rapid Transit depends on signal modules, communications equipment, validators, sensors, pavement components, station equipment and fleet consumables; critical spares are selected from failure-mode, lead-time and safety analysis for its installed configuration.</x:v>
      </x:c>
      <x:c r="AE29" s="2" t="str">
        <x:v>The software stack for Bus Rapid Transit requires databases, secure communications, version-controlled models, computing, backup and interfaces with field or operational systems.</x:v>
      </x:c>
      <x:c r="AF29" s="2" t="str">
        <x:v>For Bus Rapid Transit, software-related energy is electricity for sensing, computing, storage, communication and cooling; it is normally secondary but must be included for data-intensive or continuous services.</x:v>
      </x:c>
      <x:c r="AG29" s="2" t="str">
        <x:v>The non-physical inputs are calibrated data, metadata, algorithms, boundary conditions, emission or hazard factors, manuals and validation records specific to Bus Rapid Transit.</x:v>
      </x:c>
      <x:c r="AH29" s="2" t="str">
        <x:v>Software continuity for Bus Rapid Transit requires licences where applicable, updates, cybersecurity patches, backups, calibration files, model validation and technical support.</x:v>
      </x:c>
      <x:c r="AI29" s="2" t="str">
        <x:v>Orgware depends on the institutions, laboratories, training providers, regulators, operators and community interfaces needed to govern Bus Rapid Transit.</x:v>
      </x:c>
      <x:c r="AJ29" s="2" t="str">
        <x:v>The orgware supporting Bus Rapid Transit has mainly indirect energy use from offices, meetings, training and information systems; travel and field supervision may be material at dispersed sites.</x:v>
      </x:c>
      <x:c r="AK29" s="2" t="str">
        <x:v>Its organisational inputs are permits, budgets, trained staff, competence records, contracts, procedures, safeguards, monitoring evidence and stakeholder agreements tailored to Bus Rapid Transit.</x:v>
      </x:c>
      <x:c r="AL29" s="2" t="str">
        <x:v>Sustained implementation of Bus Rapid Transit requires procurement and service contracts, audit protocols, training material, reporting templates, insurance or guarantees and periodic independent review.</x:v>
      </x:c>
      <x:c r="AM29" s="2" t="str">
        <x:v>Iron ore / steel inputs; Limestone / cement raw materials</x:v>
      </x:c>
      <x:c r="AN29" s="2" t="str">
        <x:v>Australia; Brazil; China; India; Vietnam</x:v>
      </x:c>
      <x:c r="AO29" s="2" t="str">
        <x:v>China; India; Japan; Vietnam</x:v>
      </x:c>
      <x:c r="AP29" s="2" t="str">
        <x:v>Bus Rapid Transit: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 s="2" t="str">
        <x:v>2024–2025</x:v>
      </x:c>
      <x:c r="AR29" s="2" t="str">
        <x:v>https://pubs.usgs.gov/periodicals/mcs2026/mcs2026.pdf</x:v>
      </x:c>
    </x:row>
    <x:row r="30" ht="240" customHeight="1">
      <x:c r="A30" s="2" t="str">
        <x:v>MIT-0023</x:v>
      </x:c>
      <x:c r="B30" s="2" t="str">
        <x:v>Mitigation</x:v>
      </x:c>
      <x:c r="C30" s="2" t="str">
        <x:v>Transport</x:v>
      </x:c>
      <x:c r="D30" s="2" t="str">
        <x:v>Land transport</x:v>
      </x:c>
      <x:c r="E30" s="2" t="str">
        <x:v>Cable cars</x:v>
      </x:c>
      <x:c r="F30" s="2" t="str">
        <x:v>Cable cars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Cable cars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30" s="2" t="str">
        <x:v>Mixed: adaptable design, site-specific implementation</x:v>
      </x:c>
      <x:c r="H30" s="2" t="str">
        <x:v>Cable cars is adaptable in capacity and configuration but site-specific in final engineering. Its principle remains the same, but resource quality, climate, scale, interfaces and safety constraints must be recalculated for each deployment.</x:v>
      </x:c>
      <x:c r="I30" s="2" t="str">
        <x:v>Primarily hard, with a soft component</x:v>
      </x:c>
      <x:c r="J30" s="2" t="str">
        <x:v>Cable cars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30" s="2" t="str">
        <x:v>Equipment and operation</x:v>
      </x:c>
      <x:c r="L30" s="2" t="str">
        <x:v>Cable cars is embodied mainly as an equipment-and-operation system. The deliverable is accepted only when measurable service, quality, safety and climate-performance criteria are met under real conditions.</x:v>
      </x:c>
      <x:c r="M30" s="2" t="str">
        <x:v>Yes, subject to life-cycle safeguards</x:v>
      </x:c>
      <x:c r="N30" s="2" t="str">
        <x:v>Cable cars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30" s="2" t="str">
        <x:v>Cable cars: corridor and station infrastructure, signalling, ticketing, communications, fleet equipment, traffic sensors and user interfaces as applicable.</x:v>
      </x:c>
      <x:c r="P30" s="2" t="str">
        <x:v>Cable cars: network and timetable design, demand models, traffic control, fleet dispatch, logistics optimisation, safety analysis and service-performance analytics.</x:v>
      </x:c>
      <x:c r="Q30" s="2" t="str">
        <x:v>Cable cars: transport authority mandates, operating contracts, tariffs, enforcement, street-space allocation, accessibility rules and coordination with land-use planning.</x:v>
      </x:c>
      <x:c r="R30" s="2" t="str">
        <x:v>Cable cars: rights-of-way, stops or terminals, depots, interchanges, control centres, communications and safe pedestrian or cycling access.</x:v>
      </x:c>
      <x:c r="S30" s="2" t="str">
        <x:v>Cable cars: electricity for control and stations plus the energy used by the affected vehicle fleet; the net result is governed by modal shift and occupancy.</x:v>
      </x:c>
      <x:c r="T30" s="2" t="str">
        <x:v>Cable cars: concrete, steel, asphalt, copper, signalling electronics, pavement materials and vehicle-related materials where new infrastructure is built.</x:v>
      </x:c>
      <x:c r="U30" s="2" t="str">
        <x:v>Cable cars: signal modules, communications equipment, validators, sensors, pavement components, station equipment and fleet consumables.</x:v>
      </x:c>
      <x:c r="V30" s="2" t="str">
        <x:v>https://www.ctc-n.org/sites/default/files/resources/ctcn_taxonomy_0.pdf</x:v>
      </x:c>
      <x:c r="W30" s="2" t="str">
        <x:v>https://institutoagricoladepueblobello.edu.co/colegiapp/archivostemas/GUIA%209.%5B25%5D.pdf</x:v>
      </x:c>
      <x:c r="X30" s="2" t="str">
        <x:v>https://iiasa.ac.at/what-is-technology</x:v>
      </x:c>
      <x:c r="Y30" s="2" t="str">
        <x:v>https://www.ipcc.ch/report/ar6/wg3/chapter/chapter-10/; https://ppp.worldbank.org/print/pdf/node/7300</x:v>
      </x:c>
      <x:c r="Z30" s="2" t="str">
        <x:v>Technology-specific analytical synthesis. The CTCN hierarchy is retained; classifications and component dependencies require validation against the selected design, site and supplier documentation before investment or policy use.</x:v>
      </x:c>
      <x:c r="AA30" s="2" t="str">
        <x:v>Physical deployment of Cable cars requires rights-of-way, stops or terminals, depots, interchanges, control centres, communications and safe pedestrian or cycling access; interfaces, foundations, access and environmental protection are sized to the specific resource and design load.</x:v>
      </x:c>
      <x:c r="AB30" s="2" t="str">
        <x:v>For Cable cars,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30" s="2" t="str">
        <x:v>Construction and operation use concrete, steel, asphalt, copper, signalling electronics, pavement materials and vehicle-related materials where new infrastructure is built. For Cable cars, specifications must include durability, compatibility, recycled content and recoverability.</x:v>
      </x:c>
      <x:c r="AD30" s="2" t="str">
        <x:v>Maintenance of Cable cars depends on signal modules, communications equipment, validators, sensors, pavement components, station equipment and fleet consumables; critical spares are selected from failure-mode, lead-time and safety analysis for its installed configuration.</x:v>
      </x:c>
      <x:c r="AE30" s="2" t="str">
        <x:v>The software stack for Cable cars requires databases, secure communications, version-controlled models, computing, backup and interfaces with field or operational systems.</x:v>
      </x:c>
      <x:c r="AF30" s="2" t="str">
        <x:v>For Cable cars, software-related energy is electricity for sensing, computing, storage, communication and cooling; it is normally secondary but must be included for data-intensive or continuous services.</x:v>
      </x:c>
      <x:c r="AG30" s="2" t="str">
        <x:v>The non-physical inputs are calibrated data, metadata, algorithms, boundary conditions, emission or hazard factors, manuals and validation records specific to Cable cars.</x:v>
      </x:c>
      <x:c r="AH30" s="2" t="str">
        <x:v>Software continuity for Cable cars requires licences where applicable, updates, cybersecurity patches, backups, calibration files, model validation and technical support.</x:v>
      </x:c>
      <x:c r="AI30" s="2" t="str">
        <x:v>Orgware depends on the institutions, laboratories, training providers, regulators, operators and community interfaces needed to govern Cable cars.</x:v>
      </x:c>
      <x:c r="AJ30" s="2" t="str">
        <x:v>The orgware supporting Cable cars has mainly indirect energy use from offices, meetings, training and information systems; travel and field supervision may be material at dispersed sites.</x:v>
      </x:c>
      <x:c r="AK30" s="2" t="str">
        <x:v>Its organisational inputs are permits, budgets, trained staff, competence records, contracts, procedures, safeguards, monitoring evidence and stakeholder agreements tailored to Cable cars.</x:v>
      </x:c>
      <x:c r="AL30" s="2" t="str">
        <x:v>Sustained implementation of Cable cars requires procurement and service contracts, audit protocols, training material, reporting templates, insurance or guarantees and periodic independent review.</x:v>
      </x:c>
      <x:c r="AM30" s="2" t="str">
        <x:v>Iron ore / steel inputs; Bauxite / aluminium</x:v>
      </x:c>
      <x:c r="AN30" s="2" t="str">
        <x:v>Australia; Brazil; China; Guinea</x:v>
      </x:c>
      <x:c r="AO30" s="2" t="str">
        <x:v>China; India; Japan; Russia</x:v>
      </x:c>
      <x:c r="AP30" s="2" t="str">
        <x:v>Cable cars: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 s="2" t="str">
        <x:v>2024–2025</x:v>
      </x:c>
      <x:c r="AR30" s="2" t="str">
        <x:v>https://pubs.usgs.gov/periodicals/mcs2026/mcs2026.pdf</x:v>
      </x:c>
    </x:row>
    <x:row r="31" ht="240" customHeight="1">
      <x:c r="A31" s="2" t="str">
        <x:v>MIT-0024</x:v>
      </x:c>
      <x:c r="B31" s="2" t="str">
        <x:v>Mitigation</x:v>
      </x:c>
      <x:c r="C31" s="2" t="str">
        <x:v>Transport</x:v>
      </x:c>
      <x:c r="D31" s="2" t="str">
        <x:v>Land transport</x:v>
      </x:c>
      <x:c r="E31" s="2" t="str">
        <x:v>Promotion of non-motorised transport</x:v>
      </x:c>
      <x:c r="F31" s="2" t="str">
        <x:v>Promotion of non-motorised transport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Promotion of non-motorised transport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31" s="2" t="str">
        <x:v>Mixed: adaptable design, site-specific implementation</x:v>
      </x:c>
      <x:c r="H31" s="2" t="str">
        <x:v>Promotion of non-motorised transport is adaptable in capacity and configuration but site-specific in final engineering. Its principle remains the same, but resource quality, climate, scale, interfaces and safety constraints must be recalculated for each deployment.</x:v>
      </x:c>
      <x:c r="I31" s="2" t="str">
        <x:v>Primarily hard, with a soft component</x:v>
      </x:c>
      <x:c r="J31" s="2" t="str">
        <x:v>Promotion of non-motorised transport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31" s="2" t="str">
        <x:v>Equipment and operation</x:v>
      </x:c>
      <x:c r="L31" s="2" t="str">
        <x:v>Promotion of non-motorised transport is embodied mainly as an equipment-and-operation system. The deliverable is accepted only when measurable service, quality, safety and climate-performance criteria are met under real conditions.</x:v>
      </x:c>
      <x:c r="M31" s="2" t="str">
        <x:v>Yes, subject to life-cycle safeguards</x:v>
      </x:c>
      <x:c r="N31" s="2" t="str">
        <x:v>Promotion of non-motorised transport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31" s="2" t="str">
        <x:v>Promotion of non-motorised transport: corridor and station infrastructure, signalling, ticketing, communications, fleet equipment, traffic sensors and user interfaces as applicable.</x:v>
      </x:c>
      <x:c r="P31" s="2" t="str">
        <x:v>Promotion of non-motorised transport: network and timetable design, demand models, traffic control, fleet dispatch, logistics optimisation, safety analysis and service-performance analytics.</x:v>
      </x:c>
      <x:c r="Q31" s="2" t="str">
        <x:v>Promotion of non-motorised transport: transport authority mandates, operating contracts, tariffs, enforcement, street-space allocation, accessibility rules and coordination with land-use planning.</x:v>
      </x:c>
      <x:c r="R31" s="2" t="str">
        <x:v>Promotion of non-motorised transport: rights-of-way, stops or terminals, depots, interchanges, control centres, communications and safe pedestrian or cycling access.</x:v>
      </x:c>
      <x:c r="S31" s="2" t="str">
        <x:v>Promotion of non-motorised transport: electricity for control and stations plus the energy used by the affected vehicle fleet; the net result is governed by modal shift and occupancy.</x:v>
      </x:c>
      <x:c r="T31" s="2" t="str">
        <x:v>Promotion of non-motorised transport: concrete, steel, asphalt, copper, signalling electronics, pavement materials and vehicle-related materials where new infrastructure is built.</x:v>
      </x:c>
      <x:c r="U31" s="2" t="str">
        <x:v>Promotion of non-motorised transport: signal modules, communications equipment, validators, sensors, pavement components, station equipment and fleet consumables.</x:v>
      </x:c>
      <x:c r="V31" s="2" t="str">
        <x:v>https://www.ctc-n.org/sites/default/files/resources/ctcn_taxonomy_0.pdf</x:v>
      </x:c>
      <x:c r="W31" s="2" t="str">
        <x:v>https://institutoagricoladepueblobello.edu.co/colegiapp/archivostemas/GUIA%209.%5B25%5D.pdf</x:v>
      </x:c>
      <x:c r="X31" s="2" t="str">
        <x:v>https://iiasa.ac.at/what-is-technology</x:v>
      </x:c>
      <x:c r="Y31" s="2" t="str">
        <x:v>https://www.ipcc.ch/report/ar6/wg3/chapter/chapter-10/; https://ppp.worldbank.org/print/pdf/node/7300</x:v>
      </x:c>
      <x:c r="Z31" s="2" t="str">
        <x:v>Technology-specific analytical synthesis. The CTCN hierarchy is retained; classifications and component dependencies require validation against the selected design, site and supplier documentation before investment or policy use.</x:v>
      </x:c>
      <x:c r="AA31" s="2" t="str">
        <x:v>Physical deployment of Promotion of non-motorised transport requires rights-of-way, stops or terminals, depots, interchanges, control centres, communications and safe pedestrian or cycling access; interfaces, foundations, access and environmental protection are sized to the specific resource and design load.</x:v>
      </x:c>
      <x:c r="AB31" s="2" t="str">
        <x:v>For Promotion of non-motorised transport,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31" s="2" t="str">
        <x:v>Construction and operation use concrete, steel, asphalt, copper, signalling electronics, pavement materials and vehicle-related materials where new infrastructure is built. For Promotion of non-motorised transport, specifications must include durability, compatibility, recycled content and recoverability.</x:v>
      </x:c>
      <x:c r="AD31" s="2" t="str">
        <x:v>Maintenance of Promotion of non-motorised transport depends on signal modules, communications equipment, validators, sensors, pavement components, station equipment and fleet consumables; critical spares are selected from failure-mode, lead-time and safety analysis for its installed configuration.</x:v>
      </x:c>
      <x:c r="AE31" s="2" t="str">
        <x:v>The software stack for Promotion of non-motorised transport requires databases, secure communications, version-controlled models, computing, backup and interfaces with field or operational systems.</x:v>
      </x:c>
      <x:c r="AF31" s="2" t="str">
        <x:v>For Promotion of non-motorised transport, software-related energy is electricity for sensing, computing, storage, communication and cooling; it is normally secondary but must be included for data-intensive or continuous services.</x:v>
      </x:c>
      <x:c r="AG31" s="2" t="str">
        <x:v>The non-physical inputs are calibrated data, metadata, algorithms, boundary conditions, emission or hazard factors, manuals and validation records specific to Promotion of non-motorised transport.</x:v>
      </x:c>
      <x:c r="AH31" s="2" t="str">
        <x:v>Software continuity for Promotion of non-motorised transport requires licences where applicable, updates, cybersecurity patches, backups, calibration files, model validation and technical support.</x:v>
      </x:c>
      <x:c r="AI31" s="2" t="str">
        <x:v>Orgware depends on the institutions, laboratories, training providers, regulators, operators and community interfaces needed to govern Promotion of non-motorised transport.</x:v>
      </x:c>
      <x:c r="AJ31" s="2" t="str">
        <x:v>The orgware supporting Promotion of non-motorised transport has mainly indirect energy use from offices, meetings, training and information systems; travel and field supervision may be material at dispersed sites.</x:v>
      </x:c>
      <x:c r="AK31" s="2" t="str">
        <x:v>Its organisational inputs are permits, budgets, trained staff, competence records, contracts, procedures, safeguards, monitoring evidence and stakeholder agreements tailored to Promotion of non-motorised transport.</x:v>
      </x:c>
      <x:c r="AL31" s="2" t="str">
        <x:v>Sustained implementation of Promotion of non-motorised transport requires procurement and service contracts, audit protocols, training material, reporting templates, insurance or guarantees and periodic independent review.</x:v>
      </x:c>
      <x:c r="AM31" s="2" t="str">
        <x:v>Iron ore / steel inputs; Copper; Tin; Rare earth elements</x:v>
      </x:c>
      <x:c r="AN31" s="2" t="str">
        <x:v>Australia; Brazil; China; Chile; Democratic Republic of the Congo; Peru; Indonesia; Myanmar; United States</x:v>
      </x:c>
      <x:c r="AO31" s="2" t="str">
        <x:v>China; India; Japan; Chile; Democratic Republic of the Congo; Indonesia; Malaysia; Estonia</x:v>
      </x:c>
      <x:c r="AP31" s="2" t="str">
        <x:v>Promotion of non-motorised transport: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 s="2" t="str">
        <x:v>2024–2025</x:v>
      </x:c>
      <x:c r="AR31" s="2" t="str">
        <x:v>https://pubs.usgs.gov/periodicals/mcs2026/mcs2026.pdf; https://www.iea.org/reports/global-critical-minerals-outlook-2025</x:v>
      </x:c>
    </x:row>
    <x:row r="32" ht="240" customHeight="1">
      <x:c r="A32" s="2" t="str">
        <x:v>MIT-0025</x:v>
      </x:c>
      <x:c r="B32" s="2" t="str">
        <x:v>Mitigation</x:v>
      </x:c>
      <x:c r="C32" s="2" t="str">
        <x:v>Transport</x:v>
      </x:c>
      <x:c r="D32" s="2" t="str">
        <x:v>Land transport</x:v>
      </x:c>
      <x:c r="E32" s="2" t="str">
        <x:v>High-speed rail</x:v>
      </x:c>
      <x:c r="F32" s="2" t="str">
        <x:v>High-speed rail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High-speed rail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32" s="2" t="str">
        <x:v>Primarily fixed</x:v>
      </x:c>
      <x:c r="H32" s="2" t="str">
        <x:v>High-speed rail is tied to long-lived, site-specific assets and design loads. Its principle remains the same, but resource quality, climate, scale, interfaces and safety constraints must be recalculated for each deployment.</x:v>
      </x:c>
      <x:c r="I32" s="2" t="str">
        <x:v>Primarily hard, with a soft component</x:v>
      </x:c>
      <x:c r="J32" s="2" t="str">
        <x:v>High-speed rail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32" s="2" t="str">
        <x:v>Equipment and operation</x:v>
      </x:c>
      <x:c r="L32" s="2" t="str">
        <x:v>High-speed rail is embodied mainly as an equipment-and-operation system. The deliverable is accepted only when measurable service, quality, safety and climate-performance criteria are met under real conditions.</x:v>
      </x:c>
      <x:c r="M32" s="2" t="str">
        <x:v>Yes, subject to life-cycle safeguards</x:v>
      </x:c>
      <x:c r="N32" s="2" t="str">
        <x:v>High-speed rail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32" s="2" t="str">
        <x:v>High-speed rail: corridor and station infrastructure, signalling, ticketing, communications, fleet equipment, traffic sensors and user interfaces as applicable.</x:v>
      </x:c>
      <x:c r="P32" s="2" t="str">
        <x:v>High-speed rail: network and timetable design, demand models, traffic control, fleet dispatch, logistics optimisation, safety analysis and service-performance analytics.</x:v>
      </x:c>
      <x:c r="Q32" s="2" t="str">
        <x:v>High-speed rail: transport authority mandates, operating contracts, tariffs, enforcement, street-space allocation, accessibility rules and coordination with land-use planning.</x:v>
      </x:c>
      <x:c r="R32" s="2" t="str">
        <x:v>High-speed rail: rights-of-way, stops or terminals, depots, interchanges, control centres, communications and safe pedestrian or cycling access.</x:v>
      </x:c>
      <x:c r="S32" s="2" t="str">
        <x:v>High-speed rail: electricity for control and stations plus the energy used by the affected vehicle fleet; the net result is governed by modal shift and occupancy.</x:v>
      </x:c>
      <x:c r="T32" s="2" t="str">
        <x:v>High-speed rail: concrete, steel, asphalt, copper, signalling electronics, pavement materials and vehicle-related materials where new infrastructure is built.</x:v>
      </x:c>
      <x:c r="U32" s="2" t="str">
        <x:v>High-speed rail: signal modules, communications equipment, validators, sensors, pavement components, station equipment and fleet consumables.</x:v>
      </x:c>
      <x:c r="V32" s="2" t="str">
        <x:v>https://www.ctc-n.org/sites/default/files/resources/ctcn_taxonomy_0.pdf</x:v>
      </x:c>
      <x:c r="W32" s="2" t="str">
        <x:v>https://institutoagricoladepueblobello.edu.co/colegiapp/archivostemas/GUIA%209.%5B25%5D.pdf</x:v>
      </x:c>
      <x:c r="X32" s="2" t="str">
        <x:v>https://iiasa.ac.at/what-is-technology</x:v>
      </x:c>
      <x:c r="Y32" s="2" t="str">
        <x:v>https://www.ipcc.ch/report/ar6/wg3/chapter/chapter-10/; https://ppp.worldbank.org/print/pdf/node/7300</x:v>
      </x:c>
      <x:c r="Z32" s="2" t="str">
        <x:v>Technology-specific analytical synthesis. The CTCN hierarchy is retained; classifications and component dependencies require validation against the selected design, site and supplier documentation before investment or policy use.</x:v>
      </x:c>
      <x:c r="AA32" s="2" t="str">
        <x:v>Physical deployment of High-speed rail requires rights-of-way, stops or terminals, depots, interchanges, control centres, communications and safe pedestrian or cycling access; interfaces, foundations, access and environmental protection are sized to the specific resource and design load.</x:v>
      </x:c>
      <x:c r="AB32" s="2" t="str">
        <x:v>For High-speed rail,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32" s="2" t="str">
        <x:v>Construction and operation use concrete, steel, asphalt, copper, signalling electronics, pavement materials and vehicle-related materials where new infrastructure is built. For High-speed rail, specifications must include durability, compatibility, recycled content and recoverability.</x:v>
      </x:c>
      <x:c r="AD32" s="2" t="str">
        <x:v>Maintenance of High-speed rail depends on signal modules, communications equipment, validators, sensors, pavement components, station equipment and fleet consumables; critical spares are selected from failure-mode, lead-time and safety analysis for its installed configuration.</x:v>
      </x:c>
      <x:c r="AE32" s="2" t="str">
        <x:v>The software stack for High-speed rail requires databases, secure communications, version-controlled models, computing, backup and interfaces with field or operational systems.</x:v>
      </x:c>
      <x:c r="AF32" s="2" t="str">
        <x:v>For High-speed rail, software-related energy is electricity for sensing, computing, storage, communication and cooling; it is normally secondary but must be included for data-intensive or continuous services.</x:v>
      </x:c>
      <x:c r="AG32" s="2" t="str">
        <x:v>The non-physical inputs are calibrated data, metadata, algorithms, boundary conditions, emission or hazard factors, manuals and validation records specific to High-speed rail.</x:v>
      </x:c>
      <x:c r="AH32" s="2" t="str">
        <x:v>Software continuity for High-speed rail requires licences where applicable, updates, cybersecurity patches, backups, calibration files, model validation and technical support.</x:v>
      </x:c>
      <x:c r="AI32" s="2" t="str">
        <x:v>Orgware depends on the institutions, laboratories, training providers, regulators, operators and community interfaces needed to govern High-speed rail.</x:v>
      </x:c>
      <x:c r="AJ32" s="2" t="str">
        <x:v>The orgware supporting High-speed rail has mainly indirect energy use from offices, meetings, training and information systems; travel and field supervision may be material at dispersed sites.</x:v>
      </x:c>
      <x:c r="AK32" s="2" t="str">
        <x:v>Its organisational inputs are permits, budgets, trained staff, competence records, contracts, procedures, safeguards, monitoring evidence and stakeholder agreements tailored to High-speed rail.</x:v>
      </x:c>
      <x:c r="AL32" s="2" t="str">
        <x:v>Sustained implementation of High-speed rail requires procurement and service contracts, audit protocols, training material, reporting templates, insurance or guarantees and periodic independent review.</x:v>
      </x:c>
      <x:c r="AM32" s="2" t="str">
        <x:v>Iron ore / steel inputs; Copper; Tin; Limestone / cement raw materials</x:v>
      </x:c>
      <x:c r="AN32" s="2" t="str">
        <x:v>Australia; Brazil; China; Chile; Democratic Republic of the Congo; Peru; Indonesia; Myanmar; India; Vietnam</x:v>
      </x:c>
      <x:c r="AO32" s="2" t="str">
        <x:v>China; India; Japan; Chile; Democratic Republic of the Congo; Indonesia; Malaysia; Vietnam</x:v>
      </x:c>
      <x:c r="AP32" s="2" t="str">
        <x:v>High-speed rail: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 s="2" t="str">
        <x:v>2024–2025</x:v>
      </x:c>
      <x:c r="AR32" s="2" t="str">
        <x:v>https://pubs.usgs.gov/periodicals/mcs2026/mcs2026.pdf</x:v>
      </x:c>
    </x:row>
    <x:row r="33" ht="240" customHeight="1">
      <x:c r="A33" s="2" t="str">
        <x:v>MIT-0026</x:v>
      </x:c>
      <x:c r="B33" s="2" t="str">
        <x:v>Mitigation</x:v>
      </x:c>
      <x:c r="C33" s="2" t="str">
        <x:v>Transport</x:v>
      </x:c>
      <x:c r="D33" s="2" t="str">
        <x:v>Vehicle and fuel technologies</x:v>
      </x:c>
      <x:c r="E33" s="2" t="str">
        <x:v>Compressed Natural Gas as fuel</x:v>
      </x:c>
      <x:c r="F33" s="2" t="str">
        <x:v>Compressed Natural Gas as fuel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Compressed Natural Gas as fuel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3" s="2" t="str">
        <x:v>Mixed: adaptable design, site-specific implementation</x:v>
      </x:c>
      <x:c r="H33" s="2" t="str">
        <x:v>Compressed Natural Gas as fuel is adaptable in capacity and configuration but site-specific in final engineering. Its principle remains the same, but resource quality, climate, scale, interfaces and safety constraints must be recalculated for each deployment.</x:v>
      </x:c>
      <x:c r="I33" s="2" t="str">
        <x:v>Primarily hard, with a soft component</x:v>
      </x:c>
      <x:c r="J33" s="2" t="str">
        <x:v>Compressed Natural Gas as fuel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3" s="2" t="str">
        <x:v>Equipment and operation</x:v>
      </x:c>
      <x:c r="L33" s="2" t="str">
        <x:v>Compressed Natural Gas as fuel is embodied mainly as an equipment-and-operation system. The deliverable is accepted only when measurable service, quality, safety and climate-performance criteria are met under real conditions.</x:v>
      </x:c>
      <x:c r="M33" s="2" t="str">
        <x:v>Conditional on performance and life cycle</x:v>
      </x:c>
      <x:c r="N33" s="2" t="str">
        <x:v>Compressed Natural Gas as fuel is classified as conditional.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3" s="2" t="str">
        <x:v>Compressed Natural Gas as fuel: powertrain, motor or engine, inverter, transmission, energy storage or fuel tanks, thermal management, braking, on-board control and refuelling or charging interface.</x:v>
      </x:c>
      <x:c r="P33" s="2" t="str">
        <x:v>Compressed Natural Gas as fuel: powertrain calibration, battery or fuel management, route-energy modelling, diagnostics, eco-driving logic, charging strategy and safety control.</x:v>
      </x:c>
      <x:c r="Q33" s="2" t="str">
        <x:v>Compressed Natural Gas as fuel: vehicle and fuel standards, homologation, charging or refuelling codes, maintenance competence, energy pricing, warranty and end-of-life responsibility.</x:v>
      </x:c>
      <x:c r="R33" s="2" t="str">
        <x:v>Compressed Natural Gas as fuel: vehicle production and maintenance facilities, depots, charging or refuelling stations, grid or fuel supply, rescue equipment and parts logistics.</x:v>
      </x:c>
      <x:c r="S33" s="2" t="str">
        <x:v>Compressed Natural Gas as fuel: electricity, liquid or gaseous fuel and auxiliary thermal loads; well-to-wheel carbon intensity and real operating efficiency determine the climate result.</x:v>
      </x:c>
      <x:c r="T33" s="2" t="str">
        <x:v>Compressed Natural Gas as fuel: steel, aluminium, copper, polymers, power electronics, magnets, catalysts and—where electrochemical storage is used—battery-active materials.</x:v>
      </x:c>
      <x:c r="U33" s="2" t="str">
        <x:v>Compressed Natural Gas as fuel: filters, fluids, seals, bearings, brake components, sensors, control modules, cables, connectors and battery or fuel-system service parts.</x:v>
      </x:c>
      <x:c r="V33" s="2" t="str">
        <x:v>https://www.ctc-n.org/sites/default/files/resources/ctcn_taxonomy_0.pdf</x:v>
      </x:c>
      <x:c r="W33" s="2" t="str">
        <x:v>https://institutoagricoladepueblobello.edu.co/colegiapp/archivostemas/GUIA%209.%5B25%5D.pdf</x:v>
      </x:c>
      <x:c r="X33" s="2" t="str">
        <x:v>https://iiasa.ac.at/what-is-technology</x:v>
      </x:c>
      <x:c r="Y33" s="2" t="str">
        <x:v>https://www.ipcc.ch/report/ar6/wg3/chapter/chapter-10/; https://www.iea.org/data-and-statistics/data-tools/etp-clean-energy-technology-guide; https://bogota.gov.co/en/international/new-era-transmilenio-transmiapp-and-largest-electric-fleet</x:v>
      </x:c>
      <x:c r="Z33" s="2" t="str">
        <x:v>Technology-specific analytical synthesis. The CTCN hierarchy is retained; classifications and component dependencies require validation against the selected design, site and supplier documentation before investment or policy use.</x:v>
      </x:c>
      <x:c r="AA33" s="2" t="str">
        <x:v>Physical deployment of Compressed Natural Gas as fuel requires vehicle production and maintenance facilities, depots, charging or refuelling stations, grid or fuel supply, rescue equipment and parts logistics; interfaces, foundations, access and environmental protection are sized to the specific resource and design load.</x:v>
      </x:c>
      <x:c r="AB33" s="2" t="str">
        <x:v>For Compressed Natural Gas as fuel,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3" s="2" t="str">
        <x:v>Construction and operation use steel, aluminium, copper, polymers, power electronics, magnets, catalysts and—where electrochemical storage is used—battery-active materials. For Compressed Natural Gas as fuel, specifications must include durability, compatibility, recycled content and recoverability.</x:v>
      </x:c>
      <x:c r="AD33" s="2" t="str">
        <x:v>Maintenance of Compressed Natural Gas as fuel depends on filters, fluids, seals, bearings, brake components, sensors, control modules, cables, connectors and battery or fuel-system service parts; critical spares are selected from failure-mode, lead-time and safety analysis for its installed configuration.</x:v>
      </x:c>
      <x:c r="AE33" s="2" t="str">
        <x:v>The software stack for Compressed Natural Gas as fuel requires databases, secure communications, version-controlled models, computing, backup and interfaces with field or operational systems.</x:v>
      </x:c>
      <x:c r="AF33" s="2" t="str">
        <x:v>For Compressed Natural Gas as fuel, software-related energy is electricity for sensing, computing, storage, communication and cooling; it is normally secondary but must be included for data-intensive or continuous services.</x:v>
      </x:c>
      <x:c r="AG33" s="2" t="str">
        <x:v>The non-physical inputs are calibrated data, metadata, algorithms, boundary conditions, emission or hazard factors, manuals and validation records specific to Compressed Natural Gas as fuel.</x:v>
      </x:c>
      <x:c r="AH33" s="2" t="str">
        <x:v>Software continuity for Compressed Natural Gas as fuel requires licences where applicable, updates, cybersecurity patches, backups, calibration files, model validation and technical support.</x:v>
      </x:c>
      <x:c r="AI33" s="2" t="str">
        <x:v>Orgware depends on the institutions, laboratories, training providers, regulators, operators and community interfaces needed to govern Compressed Natural Gas as fuel.</x:v>
      </x:c>
      <x:c r="AJ33" s="2" t="str">
        <x:v>The orgware supporting Compressed Natural Gas as fuel has mainly indirect energy use from offices, meetings, training and information systems; travel and field supervision may be material at dispersed sites.</x:v>
      </x:c>
      <x:c r="AK33" s="2" t="str">
        <x:v>Its organisational inputs are permits, budgets, trained staff, competence records, contracts, procedures, safeguards, monitoring evidence and stakeholder agreements tailored to Compressed Natural Gas as fuel.</x:v>
      </x:c>
      <x:c r="AL33" s="2" t="str">
        <x:v>Sustained implementation of Compressed Natural Gas as fuel requires procurement and service contracts, audit protocols, training material, reporting templates, insurance or guarantees and periodic independent review.</x:v>
      </x:c>
      <x:c r="AM33" s="2" t="str">
        <x:v>Iron ore / steel inputs; Copper; Tin; Rare earth elements; Bauxite / aluminium</x:v>
      </x:c>
      <x:c r="AN33" s="2" t="str">
        <x:v>Australia; Brazil; China; Chile; Democratic Republic of the Congo; Peru; Indonesia; Myanmar; United States; Guinea</x:v>
      </x:c>
      <x:c r="AO33" s="2" t="str">
        <x:v>China; India; Japan; Chile; Democratic Republic of the Congo; Indonesia; Malaysia; Estonia; Russia</x:v>
      </x:c>
      <x:c r="AP33" s="2" t="str">
        <x:v>Compressed Natural Gas as fuel: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 s="2" t="str">
        <x:v>2024–2025</x:v>
      </x:c>
      <x:c r="AR33" s="2" t="str">
        <x:v>https://pubs.usgs.gov/periodicals/mcs2026/mcs2026.pdf; https://www.iea.org/reports/global-critical-minerals-outlook-2025</x:v>
      </x:c>
    </x:row>
    <x:row r="34" ht="240" customHeight="1">
      <x:c r="A34" s="2" t="str">
        <x:v>MIT-0027</x:v>
      </x:c>
      <x:c r="B34" s="2" t="str">
        <x:v>Mitigation</x:v>
      </x:c>
      <x:c r="C34" s="2" t="str">
        <x:v>Transport</x:v>
      </x:c>
      <x:c r="D34" s="2" t="str">
        <x:v>Vehicle and fuel technologies</x:v>
      </x:c>
      <x:c r="E34" s="2" t="str">
        <x:v>Biogas as fuel</x:v>
      </x:c>
      <x:c r="F34" s="2" t="str">
        <x:v>Biogas as fuel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Biogas as fuel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4" s="2" t="str">
        <x:v>Mixed: adaptable design, site-specific implementation</x:v>
      </x:c>
      <x:c r="H34" s="2" t="str">
        <x:v>Biogas as fuel is adaptable in capacity and configuration but site-specific in final engineering. Its principle remains the same, but resource quality, climate, scale, interfaces and safety constraints must be recalculated for each deployment.</x:v>
      </x:c>
      <x:c r="I34" s="2" t="str">
        <x:v>Primarily hard, with a soft component</x:v>
      </x:c>
      <x:c r="J34" s="2" t="str">
        <x:v>Biogas as fuel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4" s="2" t="str">
        <x:v>Equipment and operation</x:v>
      </x:c>
      <x:c r="L34" s="2" t="str">
        <x:v>Biogas as fuel is embodied mainly as an equipment-and-operation system. The deliverable is accepted only when measurable service, quality, safety and climate-performance criteria are met under real conditions.</x:v>
      </x:c>
      <x:c r="M34" s="2" t="str">
        <x:v>Yes, subject to life-cycle safeguards</x:v>
      </x:c>
      <x:c r="N34" s="2" t="str">
        <x:v>Biogas as fuel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4" s="2" t="str">
        <x:v>Biogas as fuel: powertrain, motor or engine, inverter, transmission, energy storage or fuel tanks, thermal management, braking, on-board control and refuelling or charging interface.</x:v>
      </x:c>
      <x:c r="P34" s="2" t="str">
        <x:v>Biogas as fuel: powertrain calibration, battery or fuel management, route-energy modelling, diagnostics, eco-driving logic, charging strategy and safety control.</x:v>
      </x:c>
      <x:c r="Q34" s="2" t="str">
        <x:v>Biogas as fuel: vehicle and fuel standards, homologation, charging or refuelling codes, maintenance competence, energy pricing, warranty and end-of-life responsibility.</x:v>
      </x:c>
      <x:c r="R34" s="2" t="str">
        <x:v>Biogas as fuel: vehicle production and maintenance facilities, depots, charging or refuelling stations, grid or fuel supply, rescue equipment and parts logistics.</x:v>
      </x:c>
      <x:c r="S34" s="2" t="str">
        <x:v>Biogas as fuel: electricity, liquid or gaseous fuel and auxiliary thermal loads; well-to-wheel carbon intensity and real operating efficiency determine the climate result.</x:v>
      </x:c>
      <x:c r="T34" s="2" t="str">
        <x:v>Biogas as fuel: steel, aluminium, copper, polymers, power electronics, magnets, catalysts and—where electrochemical storage is used—battery-active materials.</x:v>
      </x:c>
      <x:c r="U34" s="2" t="str">
        <x:v>Biogas as fuel: filters, fluids, seals, bearings, brake components, sensors, control modules, cables, connectors and battery or fuel-system service parts.</x:v>
      </x:c>
      <x:c r="V34" s="2" t="str">
        <x:v>https://www.ctc-n.org/sites/default/files/resources/ctcn_taxonomy_0.pdf</x:v>
      </x:c>
      <x:c r="W34" s="2" t="str">
        <x:v>https://institutoagricoladepueblobello.edu.co/colegiapp/archivostemas/GUIA%209.%5B25%5D.pdf</x:v>
      </x:c>
      <x:c r="X34" s="2" t="str">
        <x:v>https://iiasa.ac.at/what-is-technology</x:v>
      </x:c>
      <x:c r="Y34" s="2" t="str">
        <x:v>https://www.ipcc.ch/report/ar6/wg3/chapter/chapter-10/; https://www.iea.org/data-and-statistics/data-tools/etp-clean-energy-technology-guide; https://bogota.gov.co/en/international/new-era-transmilenio-transmiapp-and-largest-electric-fleet</x:v>
      </x:c>
      <x:c r="Z34" s="2" t="str">
        <x:v>Technology-specific analytical synthesis. The CTCN hierarchy is retained; classifications and component dependencies require validation against the selected design, site and supplier documentation before investment or policy use.</x:v>
      </x:c>
      <x:c r="AA34" s="2" t="str">
        <x:v>Physical deployment of Biogas as fuel requires vehicle production and maintenance facilities, depots, charging or refuelling stations, grid or fuel supply, rescue equipment and parts logistics; interfaces, foundations, access and environmental protection are sized to the specific resource and design load.</x:v>
      </x:c>
      <x:c r="AB34" s="2" t="str">
        <x:v>For Biogas as fuel,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4" s="2" t="str">
        <x:v>Construction and operation use steel, aluminium, copper, polymers, power electronics, magnets, catalysts and—where electrochemical storage is used—battery-active materials. For Biogas as fuel, specifications must include durability, compatibility, recycled content and recoverability.</x:v>
      </x:c>
      <x:c r="AD34" s="2" t="str">
        <x:v>Maintenance of Biogas as fuel depends on filters, fluids, seals, bearings, brake components, sensors, control modules, cables, connectors and battery or fuel-system service parts; critical spares are selected from failure-mode, lead-time and safety analysis for its installed configuration.</x:v>
      </x:c>
      <x:c r="AE34" s="2" t="str">
        <x:v>The software stack for Biogas as fuel requires databases, secure communications, version-controlled models, computing, backup and interfaces with field or operational systems.</x:v>
      </x:c>
      <x:c r="AF34" s="2" t="str">
        <x:v>For Biogas as fuel, software-related energy is electricity for sensing, computing, storage, communication and cooling; it is normally secondary but must be included for data-intensive or continuous services.</x:v>
      </x:c>
      <x:c r="AG34" s="2" t="str">
        <x:v>The non-physical inputs are calibrated data, metadata, algorithms, boundary conditions, emission or hazard factors, manuals and validation records specific to Biogas as fuel.</x:v>
      </x:c>
      <x:c r="AH34" s="2" t="str">
        <x:v>Software continuity for Biogas as fuel requires licences where applicable, updates, cybersecurity patches, backups, calibration files, model validation and technical support.</x:v>
      </x:c>
      <x:c r="AI34" s="2" t="str">
        <x:v>Orgware depends on the institutions, laboratories, training providers, regulators, operators and community interfaces needed to govern Biogas as fuel.</x:v>
      </x:c>
      <x:c r="AJ34" s="2" t="str">
        <x:v>The orgware supporting Biogas as fuel has mainly indirect energy use from offices, meetings, training and information systems; travel and field supervision may be material at dispersed sites.</x:v>
      </x:c>
      <x:c r="AK34" s="2" t="str">
        <x:v>Its organisational inputs are permits, budgets, trained staff, competence records, contracts, procedures, safeguards, monitoring evidence and stakeholder agreements tailored to Biogas as fuel.</x:v>
      </x:c>
      <x:c r="AL34" s="2" t="str">
        <x:v>Sustained implementation of Biogas as fuel requires procurement and service contracts, audit protocols, training material, reporting templates, insurance or guarantees and periodic independent review.</x:v>
      </x:c>
      <x:c r="AM34" s="2" t="str">
        <x:v>Iron ore / steel inputs; Copper; Tin; Rare earth elements; Bauxite / aluminium</x:v>
      </x:c>
      <x:c r="AN34" s="2" t="str">
        <x:v>Australia; Brazil; China; Chile; Democratic Republic of the Congo; Peru; Indonesia; Myanmar; United States; Guinea</x:v>
      </x:c>
      <x:c r="AO34" s="2" t="str">
        <x:v>China; India; Japan; Chile; Democratic Republic of the Congo; Indonesia; Malaysia; Estonia; Russia</x:v>
      </x:c>
      <x:c r="AP34" s="2" t="str">
        <x:v>Biogas as fuel: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 s="2" t="str">
        <x:v>2024–2025</x:v>
      </x:c>
      <x:c r="AR34" s="2" t="str">
        <x:v>https://pubs.usgs.gov/periodicals/mcs2026/mcs2026.pdf; https://www.iea.org/reports/global-critical-minerals-outlook-2025</x:v>
      </x:c>
    </x:row>
    <x:row r="35" ht="240" customHeight="1">
      <x:c r="A35" s="2" t="str">
        <x:v>MIT-0028</x:v>
      </x:c>
      <x:c r="B35" s="2" t="str">
        <x:v>Mitigation</x:v>
      </x:c>
      <x:c r="C35" s="2" t="str">
        <x:v>Transport</x:v>
      </x:c>
      <x:c r="D35" s="2" t="str">
        <x:v>Vehicle and fuel technologies</x:v>
      </x:c>
      <x:c r="E35" s="2" t="str">
        <x:v>Advanced biofuels</x:v>
      </x:c>
      <x:c r="F35" s="2" t="str">
        <x:v>Advanced biofuels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Advanced biofuels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5" s="2" t="str">
        <x:v>Mixed: adaptable design, site-specific implementation</x:v>
      </x:c>
      <x:c r="H35" s="2" t="str">
        <x:v>Advanced biofuels is adaptable in capacity and configuration but site-specific in final engineering. Its principle remains the same, but resource quality, climate, scale, interfaces and safety constraints must be recalculated for each deployment.</x:v>
      </x:c>
      <x:c r="I35" s="2" t="str">
        <x:v>Primarily hard, with a soft component</x:v>
      </x:c>
      <x:c r="J35" s="2" t="str">
        <x:v>Advanced biofuels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5" s="2" t="str">
        <x:v>Equipment and operation</x:v>
      </x:c>
      <x:c r="L35" s="2" t="str">
        <x:v>Advanced biofuels is embodied mainly as an equipment-and-operation system. The deliverable is accepted only when measurable service, quality, safety and climate-performance criteria are met under real conditions.</x:v>
      </x:c>
      <x:c r="M35" s="2" t="str">
        <x:v>Yes, subject to life-cycle safeguards</x:v>
      </x:c>
      <x:c r="N35" s="2" t="str">
        <x:v>Advanced biofuels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5" s="2" t="str">
        <x:v>Advanced biofuels: powertrain, motor or engine, inverter, transmission, energy storage or fuel tanks, thermal management, braking, on-board control and refuelling or charging interface.</x:v>
      </x:c>
      <x:c r="P35" s="2" t="str">
        <x:v>Advanced biofuels: powertrain calibration, battery or fuel management, route-energy modelling, diagnostics, eco-driving logic, charging strategy and safety control.</x:v>
      </x:c>
      <x:c r="Q35" s="2" t="str">
        <x:v>Advanced biofuels: vehicle and fuel standards, homologation, charging or refuelling codes, maintenance competence, energy pricing, warranty and end-of-life responsibility.</x:v>
      </x:c>
      <x:c r="R35" s="2" t="str">
        <x:v>Advanced biofuels: vehicle production and maintenance facilities, depots, charging or refuelling stations, grid or fuel supply, rescue equipment and parts logistics.</x:v>
      </x:c>
      <x:c r="S35" s="2" t="str">
        <x:v>Advanced biofuels: electricity, liquid or gaseous fuel and auxiliary thermal loads; well-to-wheel carbon intensity and real operating efficiency determine the climate result.</x:v>
      </x:c>
      <x:c r="T35" s="2" t="str">
        <x:v>Advanced biofuels: steel, aluminium, copper, polymers, power electronics, magnets, catalysts and—where electrochemical storage is used—battery-active materials.</x:v>
      </x:c>
      <x:c r="U35" s="2" t="str">
        <x:v>Advanced biofuels: filters, fluids, seals, bearings, brake components, sensors, control modules, cables, connectors and battery or fuel-system service parts.</x:v>
      </x:c>
      <x:c r="V35" s="2" t="str">
        <x:v>https://www.ctc-n.org/sites/default/files/resources/ctcn_taxonomy_0.pdf</x:v>
      </x:c>
      <x:c r="W35" s="2" t="str">
        <x:v>https://institutoagricoladepueblobello.edu.co/colegiapp/archivostemas/GUIA%209.%5B25%5D.pdf</x:v>
      </x:c>
      <x:c r="X35" s="2" t="str">
        <x:v>https://iiasa.ac.at/what-is-technology</x:v>
      </x:c>
      <x:c r="Y35" s="2" t="str">
        <x:v>https://www.ipcc.ch/report/ar6/wg3/chapter/chapter-10/; https://www.iea.org/data-and-statistics/data-tools/etp-clean-energy-technology-guide; https://bogota.gov.co/en/international/new-era-transmilenio-transmiapp-and-largest-electric-fleet</x:v>
      </x:c>
      <x:c r="Z35" s="2" t="str">
        <x:v>Technology-specific analytical synthesis. The CTCN hierarchy is retained; classifications and component dependencies require validation against the selected design, site and supplier documentation before investment or policy use.</x:v>
      </x:c>
      <x:c r="AA35" s="2" t="str">
        <x:v>Physical deployment of Advanced biofuels requires vehicle production and maintenance facilities, depots, charging or refuelling stations, grid or fuel supply, rescue equipment and parts logistics; interfaces, foundations, access and environmental protection are sized to the specific resource and design load.</x:v>
      </x:c>
      <x:c r="AB35" s="2" t="str">
        <x:v>For Advanced biofuels,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5" s="2" t="str">
        <x:v>Construction and operation use steel, aluminium, copper, polymers, power electronics, magnets, catalysts and—where electrochemical storage is used—battery-active materials. For Advanced biofuels, specifications must include durability, compatibility, recycled content and recoverability.</x:v>
      </x:c>
      <x:c r="AD35" s="2" t="str">
        <x:v>Maintenance of Advanced biofuels depends on filters, fluids, seals, bearings, brake components, sensors, control modules, cables, connectors and battery or fuel-system service parts; critical spares are selected from failure-mode, lead-time and safety analysis for its installed configuration.</x:v>
      </x:c>
      <x:c r="AE35" s="2" t="str">
        <x:v>The software stack for Advanced biofuels requires databases, secure communications, version-controlled models, computing, backup and interfaces with field or operational systems.</x:v>
      </x:c>
      <x:c r="AF35" s="2" t="str">
        <x:v>For Advanced biofuels, software-related energy is electricity for sensing, computing, storage, communication and cooling; it is normally secondary but must be included for data-intensive or continuous services.</x:v>
      </x:c>
      <x:c r="AG35" s="2" t="str">
        <x:v>The non-physical inputs are calibrated data, metadata, algorithms, boundary conditions, emission or hazard factors, manuals and validation records specific to Advanced biofuels.</x:v>
      </x:c>
      <x:c r="AH35" s="2" t="str">
        <x:v>Software continuity for Advanced biofuels requires licences where applicable, updates, cybersecurity patches, backups, calibration files, model validation and technical support.</x:v>
      </x:c>
      <x:c r="AI35" s="2" t="str">
        <x:v>Orgware depends on the institutions, laboratories, training providers, regulators, operators and community interfaces needed to govern Advanced biofuels.</x:v>
      </x:c>
      <x:c r="AJ35" s="2" t="str">
        <x:v>The orgware supporting Advanced biofuels has mainly indirect energy use from offices, meetings, training and information systems; travel and field supervision may be material at dispersed sites.</x:v>
      </x:c>
      <x:c r="AK35" s="2" t="str">
        <x:v>Its organisational inputs are permits, budgets, trained staff, competence records, contracts, procedures, safeguards, monitoring evidence and stakeholder agreements tailored to Advanced biofuels.</x:v>
      </x:c>
      <x:c r="AL35" s="2" t="str">
        <x:v>Sustained implementation of Advanced biofuels requires procurement and service contracts, audit protocols, training material, reporting templates, insurance or guarantees and periodic independent review.</x:v>
      </x:c>
      <x:c r="AM35" s="2" t="str">
        <x:v>Iron ore / steel inputs; Copper; Tin; Rare earth elements; Bauxite / aluminium</x:v>
      </x:c>
      <x:c r="AN35" s="2" t="str">
        <x:v>Australia; Brazil; China; Chile; Democratic Republic of the Congo; Peru; Indonesia; Myanmar; United States; Guinea</x:v>
      </x:c>
      <x:c r="AO35" s="2" t="str">
        <x:v>China; India; Japan; Chile; Democratic Republic of the Congo; Indonesia; Malaysia; Estonia; Russia</x:v>
      </x:c>
      <x:c r="AP35" s="2" t="str">
        <x:v>Advanced biofuels: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 s="2" t="str">
        <x:v>2024–2025</x:v>
      </x:c>
      <x:c r="AR35" s="2" t="str">
        <x:v>https://pubs.usgs.gov/periodicals/mcs2026/mcs2026.pdf; https://www.iea.org/reports/global-critical-minerals-outlook-2025</x:v>
      </x:c>
    </x:row>
    <x:row r="36" ht="240" customHeight="1">
      <x:c r="A36" s="2" t="str">
        <x:v>MIT-0029</x:v>
      </x:c>
      <x:c r="B36" s="2" t="str">
        <x:v>Mitigation</x:v>
      </x:c>
      <x:c r="C36" s="2" t="str">
        <x:v>Transport</x:v>
      </x:c>
      <x:c r="D36" s="2" t="str">
        <x:v>Vehicle and fuel technologies</x:v>
      </x:c>
      <x:c r="E36" s="2" t="str">
        <x:v>Energy-efficient motors</x:v>
      </x:c>
      <x:c r="F36" s="2" t="str">
        <x:v>Energy-efficient motors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Energy-efficient motors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6" s="2" t="str">
        <x:v>Mixed: adaptable design, site-specific implementation</x:v>
      </x:c>
      <x:c r="H36" s="2" t="str">
        <x:v>Energy-efficient motors is adaptable in capacity and configuration but site-specific in final engineering. Its principle remains the same, but resource quality, climate, scale, interfaces and safety constraints must be recalculated for each deployment.</x:v>
      </x:c>
      <x:c r="I36" s="2" t="str">
        <x:v>Primarily hard, with a soft component</x:v>
      </x:c>
      <x:c r="J36" s="2" t="str">
        <x:v>Energy-efficient motors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6" s="2" t="str">
        <x:v>Equipment and operation</x:v>
      </x:c>
      <x:c r="L36" s="2" t="str">
        <x:v>Energy-efficient motors is embodied mainly as an equipment-and-operation system. The deliverable is accepted only when measurable service, quality, safety and climate-performance criteria are met under real conditions.</x:v>
      </x:c>
      <x:c r="M36" s="2" t="str">
        <x:v>Yes, subject to life-cycle safeguards</x:v>
      </x:c>
      <x:c r="N36" s="2" t="str">
        <x:v>Energy-efficient motors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6" s="2" t="str">
        <x:v>Energy-efficient motors: powertrain, motor or engine, inverter, transmission, energy storage or fuel tanks, thermal management, braking, on-board control and refuelling or charging interface.</x:v>
      </x:c>
      <x:c r="P36" s="2" t="str">
        <x:v>Energy-efficient motors: powertrain calibration, battery or fuel management, route-energy modelling, diagnostics, eco-driving logic, charging strategy and safety control.</x:v>
      </x:c>
      <x:c r="Q36" s="2" t="str">
        <x:v>Energy-efficient motors: vehicle and fuel standards, homologation, charging or refuelling codes, maintenance competence, energy pricing, warranty and end-of-life responsibility.</x:v>
      </x:c>
      <x:c r="R36" s="2" t="str">
        <x:v>Energy-efficient motors: vehicle production and maintenance facilities, depots, charging or refuelling stations, grid or fuel supply, rescue equipment and parts logistics.</x:v>
      </x:c>
      <x:c r="S36" s="2" t="str">
        <x:v>Energy-efficient motors: electricity, liquid or gaseous fuel and auxiliary thermal loads; well-to-wheel carbon intensity and real operating efficiency determine the climate result.</x:v>
      </x:c>
      <x:c r="T36" s="2" t="str">
        <x:v>Energy-efficient motors: steel, aluminium, copper, polymers, power electronics, magnets, catalysts and—where electrochemical storage is used—battery-active materials.</x:v>
      </x:c>
      <x:c r="U36" s="2" t="str">
        <x:v>Energy-efficient motors: filters, fluids, seals, bearings, brake components, sensors, control modules, cables, connectors and battery or fuel-system service parts.</x:v>
      </x:c>
      <x:c r="V36" s="2" t="str">
        <x:v>https://www.ctc-n.org/sites/default/files/resources/ctcn_taxonomy_0.pdf</x:v>
      </x:c>
      <x:c r="W36" s="2" t="str">
        <x:v>https://institutoagricoladepueblobello.edu.co/colegiapp/archivostemas/GUIA%209.%5B25%5D.pdf</x:v>
      </x:c>
      <x:c r="X36" s="2" t="str">
        <x:v>https://iiasa.ac.at/what-is-technology</x:v>
      </x:c>
      <x:c r="Y36" s="2" t="str">
        <x:v>https://www.ipcc.ch/report/ar6/wg3/chapter/chapter-10/; https://www.iea.org/data-and-statistics/data-tools/etp-clean-energy-technology-guide; https://bogota.gov.co/en/international/new-era-transmilenio-transmiapp-and-largest-electric-fleet</x:v>
      </x:c>
      <x:c r="Z36" s="2" t="str">
        <x:v>Technology-specific analytical synthesis. The CTCN hierarchy is retained; classifications and component dependencies require validation against the selected design, site and supplier documentation before investment or policy use.</x:v>
      </x:c>
      <x:c r="AA36" s="2" t="str">
        <x:v>Physical deployment of Energy-efficient motors requires vehicle production and maintenance facilities, depots, charging or refuelling stations, grid or fuel supply, rescue equipment and parts logistics; interfaces, foundations, access and environmental protection are sized to the specific resource and design load.</x:v>
      </x:c>
      <x:c r="AB36" s="2" t="str">
        <x:v>For Energy-efficient motors,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6" s="2" t="str">
        <x:v>Construction and operation use steel, aluminium, copper, polymers, power electronics, magnets, catalysts and—where electrochemical storage is used—battery-active materials. For Energy-efficient motors, specifications must include durability, compatibility, recycled content and recoverability.</x:v>
      </x:c>
      <x:c r="AD36" s="2" t="str">
        <x:v>Maintenance of Energy-efficient motors depends on filters, fluids, seals, bearings, brake components, sensors, control modules, cables, connectors and battery or fuel-system service parts; critical spares are selected from failure-mode, lead-time and safety analysis for its installed configuration.</x:v>
      </x:c>
      <x:c r="AE36" s="2" t="str">
        <x:v>The software stack for Energy-efficient motors requires databases, secure communications, version-controlled models, computing, backup and interfaces with field or operational systems.</x:v>
      </x:c>
      <x:c r="AF36" s="2" t="str">
        <x:v>For Energy-efficient motors, software-related energy is electricity for sensing, computing, storage, communication and cooling; it is normally secondary but must be included for data-intensive or continuous services.</x:v>
      </x:c>
      <x:c r="AG36" s="2" t="str">
        <x:v>The non-physical inputs are calibrated data, metadata, algorithms, boundary conditions, emission or hazard factors, manuals and validation records specific to Energy-efficient motors.</x:v>
      </x:c>
      <x:c r="AH36" s="2" t="str">
        <x:v>Software continuity for Energy-efficient motors requires licences where applicable, updates, cybersecurity patches, backups, calibration files, model validation and technical support.</x:v>
      </x:c>
      <x:c r="AI36" s="2" t="str">
        <x:v>Orgware depends on the institutions, laboratories, training providers, regulators, operators and community interfaces needed to govern Energy-efficient motors.</x:v>
      </x:c>
      <x:c r="AJ36" s="2" t="str">
        <x:v>The orgware supporting Energy-efficient motors has mainly indirect energy use from offices, meetings, training and information systems; travel and field supervision may be material at dispersed sites.</x:v>
      </x:c>
      <x:c r="AK36" s="2" t="str">
        <x:v>Its organisational inputs are permits, budgets, trained staff, competence records, contracts, procedures, safeguards, monitoring evidence and stakeholder agreements tailored to Energy-efficient motors.</x:v>
      </x:c>
      <x:c r="AL36" s="2" t="str">
        <x:v>Sustained implementation of Energy-efficient motors requires procurement and service contracts, audit protocols, training material, reporting templates, insurance or guarantees and periodic independent review.</x:v>
      </x:c>
      <x:c r="AM36" s="2" t="str">
        <x:v>Iron ore / steel inputs; Copper; Tin; Rare earth elements; Bauxite / aluminium</x:v>
      </x:c>
      <x:c r="AN36" s="2" t="str">
        <x:v>Australia; Brazil; China; Chile; Democratic Republic of the Congo; Peru; Indonesia; Myanmar; United States; Guinea</x:v>
      </x:c>
      <x:c r="AO36" s="2" t="str">
        <x:v>China; India; Japan; Chile; Democratic Republic of the Congo; Indonesia; Malaysia; Estonia; Russia</x:v>
      </x:c>
      <x:c r="AP36" s="2" t="str">
        <x:v>Energy-efficient motors: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 s="2" t="str">
        <x:v>2024–2025</x:v>
      </x:c>
      <x:c r="AR36" s="2" t="str">
        <x:v>https://pubs.usgs.gov/periodicals/mcs2026/mcs2026.pdf; https://www.iea.org/reports/global-critical-minerals-outlook-2025</x:v>
      </x:c>
    </x:row>
    <x:row r="37" ht="240" customHeight="1">
      <x:c r="A37" s="2" t="str">
        <x:v>MIT-0030</x:v>
      </x:c>
      <x:c r="B37" s="2" t="str">
        <x:v>Mitigation</x:v>
      </x:c>
      <x:c r="C37" s="2" t="str">
        <x:v>Transport</x:v>
      </x:c>
      <x:c r="D37" s="2" t="str">
        <x:v>Vehicle and fuel technologies</x:v>
      </x:c>
      <x:c r="E37" s="2" t="str">
        <x:v>Liquefied Natural Gas in trucks and cars</x:v>
      </x:c>
      <x:c r="F37" s="2" t="str">
        <x:v>Liquefied Natural Gas in trucks and cars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Liquefied Natural Gas in trucks and cars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7" s="2" t="str">
        <x:v>Mixed: adaptable design, site-specific implementation</x:v>
      </x:c>
      <x:c r="H37" s="2" t="str">
        <x:v>Liquefied Natural Gas in trucks and cars is adaptable in capacity and configuration but site-specific in final engineering. Its principle remains the same, but resource quality, climate, scale, interfaces and safety constraints must be recalculated for each deployment.</x:v>
      </x:c>
      <x:c r="I37" s="2" t="str">
        <x:v>Primarily hard, with a soft component</x:v>
      </x:c>
      <x:c r="J37" s="2" t="str">
        <x:v>Liquefied Natural Gas in trucks and cars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7" s="2" t="str">
        <x:v>Equipment and operation</x:v>
      </x:c>
      <x:c r="L37" s="2" t="str">
        <x:v>Liquefied Natural Gas in trucks and cars is embodied mainly as an equipment-and-operation system. The deliverable is accepted only when measurable service, quality, safety and climate-performance criteria are met under real conditions.</x:v>
      </x:c>
      <x:c r="M37" s="2" t="str">
        <x:v>Conditional on performance and life cycle</x:v>
      </x:c>
      <x:c r="N37" s="2" t="str">
        <x:v>Liquefied Natural Gas in trucks and cars is classified as conditional.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7" s="2" t="str">
        <x:v>Liquefied Natural Gas in trucks and cars: powertrain, motor or engine, inverter, transmission, energy storage or fuel tanks, thermal management, braking, on-board control and refuelling or charging interface.</x:v>
      </x:c>
      <x:c r="P37" s="2" t="str">
        <x:v>Liquefied Natural Gas in trucks and cars: powertrain calibration, battery or fuel management, route-energy modelling, diagnostics, eco-driving logic, charging strategy and safety control.</x:v>
      </x:c>
      <x:c r="Q37" s="2" t="str">
        <x:v>Liquefied Natural Gas in trucks and cars: vehicle and fuel standards, homologation, charging or refuelling codes, maintenance competence, energy pricing, warranty and end-of-life responsibility.</x:v>
      </x:c>
      <x:c r="R37" s="2" t="str">
        <x:v>Liquefied Natural Gas in trucks and cars: vehicle production and maintenance facilities, depots, charging or refuelling stations, grid or fuel supply, rescue equipment and parts logistics.</x:v>
      </x:c>
      <x:c r="S37" s="2" t="str">
        <x:v>Liquefied Natural Gas in trucks and cars: electricity, liquid or gaseous fuel and auxiliary thermal loads; well-to-wheel carbon intensity and real operating efficiency determine the climate result.</x:v>
      </x:c>
      <x:c r="T37" s="2" t="str">
        <x:v>Liquefied Natural Gas in trucks and cars: steel, aluminium, copper, polymers, power electronics, magnets, catalysts and—where electrochemical storage is used—battery-active materials.</x:v>
      </x:c>
      <x:c r="U37" s="2" t="str">
        <x:v>Liquefied Natural Gas in trucks and cars: filters, fluids, seals, bearings, brake components, sensors, control modules, cables, connectors and battery or fuel-system service parts.</x:v>
      </x:c>
      <x:c r="V37" s="2" t="str">
        <x:v>https://www.ctc-n.org/sites/default/files/resources/ctcn_taxonomy_0.pdf</x:v>
      </x:c>
      <x:c r="W37" s="2" t="str">
        <x:v>https://institutoagricoladepueblobello.edu.co/colegiapp/archivostemas/GUIA%209.%5B25%5D.pdf</x:v>
      </x:c>
      <x:c r="X37" s="2" t="str">
        <x:v>https://iiasa.ac.at/what-is-technology</x:v>
      </x:c>
      <x:c r="Y37" s="2" t="str">
        <x:v>https://www.ipcc.ch/report/ar6/wg3/chapter/chapter-10/; https://www.iea.org/data-and-statistics/data-tools/etp-clean-energy-technology-guide; https://bogota.gov.co/en/international/new-era-transmilenio-transmiapp-and-largest-electric-fleet</x:v>
      </x:c>
      <x:c r="Z37" s="2" t="str">
        <x:v>Technology-specific analytical synthesis. The CTCN hierarchy is retained; classifications and component dependencies require validation against the selected design, site and supplier documentation before investment or policy use.</x:v>
      </x:c>
      <x:c r="AA37" s="2" t="str">
        <x:v>Physical deployment of Liquefied Natural Gas in trucks and cars requires vehicle production and maintenance facilities, depots, charging or refuelling stations, grid or fuel supply, rescue equipment and parts logistics; interfaces, foundations, access and environmental protection are sized to the specific resource and design load.</x:v>
      </x:c>
      <x:c r="AB37" s="2" t="str">
        <x:v>For Liquefied Natural Gas in trucks and cars,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7" s="2" t="str">
        <x:v>Construction and operation use steel, aluminium, copper, polymers, power electronics, magnets, catalysts and—where electrochemical storage is used—battery-active materials. For Liquefied Natural Gas in trucks and cars, specifications must include durability, compatibility, recycled content and recoverability.</x:v>
      </x:c>
      <x:c r="AD37" s="2" t="str">
        <x:v>Maintenance of Liquefied Natural Gas in trucks and cars depends on filters, fluids, seals, bearings, brake components, sensors, control modules, cables, connectors and battery or fuel-system service parts; critical spares are selected from failure-mode, lead-time and safety analysis for its installed configuration.</x:v>
      </x:c>
      <x:c r="AE37" s="2" t="str">
        <x:v>The software stack for Liquefied Natural Gas in trucks and cars requires databases, secure communications, version-controlled models, computing, backup and interfaces with field or operational systems.</x:v>
      </x:c>
      <x:c r="AF37" s="2" t="str">
        <x:v>For Liquefied Natural Gas in trucks and cars, software-related energy is electricity for sensing, computing, storage, communication and cooling; it is normally secondary but must be included for data-intensive or continuous services.</x:v>
      </x:c>
      <x:c r="AG37" s="2" t="str">
        <x:v>The non-physical inputs are calibrated data, metadata, algorithms, boundary conditions, emission or hazard factors, manuals and validation records specific to Liquefied Natural Gas in trucks and cars.</x:v>
      </x:c>
      <x:c r="AH37" s="2" t="str">
        <x:v>Software continuity for Liquefied Natural Gas in trucks and cars requires licences where applicable, updates, cybersecurity patches, backups, calibration files, model validation and technical support.</x:v>
      </x:c>
      <x:c r="AI37" s="2" t="str">
        <x:v>Orgware depends on the institutions, laboratories, training providers, regulators, operators and community interfaces needed to govern Liquefied Natural Gas in trucks and cars.</x:v>
      </x:c>
      <x:c r="AJ37" s="2" t="str">
        <x:v>The orgware supporting Liquefied Natural Gas in trucks and cars has mainly indirect energy use from offices, meetings, training and information systems; travel and field supervision may be material at dispersed sites.</x:v>
      </x:c>
      <x:c r="AK37" s="2" t="str">
        <x:v>Its organisational inputs are permits, budgets, trained staff, competence records, contracts, procedures, safeguards, monitoring evidence and stakeholder agreements tailored to Liquefied Natural Gas in trucks and cars.</x:v>
      </x:c>
      <x:c r="AL37" s="2" t="str">
        <x:v>Sustained implementation of Liquefied Natural Gas in trucks and cars requires procurement and service contracts, audit protocols, training material, reporting templates, insurance or guarantees and periodic independent review.</x:v>
      </x:c>
      <x:c r="AM37" s="2" t="str">
        <x:v>Iron ore / steel inputs; Copper; Tin; Rare earth elements; Bauxite / aluminium</x:v>
      </x:c>
      <x:c r="AN37" s="2" t="str">
        <x:v>Australia; Brazil; China; Chile; Democratic Republic of the Congo; Peru; Indonesia; Myanmar; United States; Guinea</x:v>
      </x:c>
      <x:c r="AO37" s="2" t="str">
        <x:v>China; India; Japan; Chile; Democratic Republic of the Congo; Indonesia; Malaysia; Estonia; Russia</x:v>
      </x:c>
      <x:c r="AP37" s="2" t="str">
        <x:v>Liquefied Natural Gas in trucks and cars: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 s="2" t="str">
        <x:v>2024–2025</x:v>
      </x:c>
      <x:c r="AR37" s="2" t="str">
        <x:v>https://pubs.usgs.gov/periodicals/mcs2026/mcs2026.pdf; https://www.iea.org/reports/global-critical-minerals-outlook-2025</x:v>
      </x:c>
    </x:row>
    <x:row r="38" ht="240" customHeight="1">
      <x:c r="A38" s="2" t="str">
        <x:v>MIT-0031</x:v>
      </x:c>
      <x:c r="B38" s="2" t="str">
        <x:v>Mitigation</x:v>
      </x:c>
      <x:c r="C38" s="2" t="str">
        <x:v>Transport</x:v>
      </x:c>
      <x:c r="D38" s="2" t="str">
        <x:v>Vehicle and fuel technologies</x:v>
      </x:c>
      <x:c r="E38" s="2" t="str">
        <x:v>Electric vehicles</x:v>
      </x:c>
      <x:c r="F38" s="2" t="str">
        <x:v>Electric vehicles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An electric motor converts battery electricity into traction with high drivetrain efficiency; charging strategy, battery thermal management and grid carbon intensity govern real climate performance.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8" s="2" t="str">
        <x:v>Mixed: adaptable design, site-specific implementation</x:v>
      </x:c>
      <x:c r="H38" s="2" t="str">
        <x:v>Electric vehicles is adaptable in capacity and configuration but site-specific in final engineering. Its principle remains the same, but resource quality, climate, scale, interfaces and safety constraints must be recalculated for each deployment.</x:v>
      </x:c>
      <x:c r="I38" s="2" t="str">
        <x:v>Primarily hard, with a soft component</x:v>
      </x:c>
      <x:c r="J38" s="2" t="str">
        <x:v>Electric vehicles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8" s="2" t="str">
        <x:v>Equipment and operation</x:v>
      </x:c>
      <x:c r="L38" s="2" t="str">
        <x:v>Electric vehicles is embodied mainly as an equipment-and-operation system. The deliverable is accepted only when measurable service, quality, safety and climate-performance criteria are met under real conditions.</x:v>
      </x:c>
      <x:c r="M38" s="2" t="str">
        <x:v>Yes, subject to life-cycle safeguards</x:v>
      </x:c>
      <x:c r="N38" s="2" t="str">
        <x:v>Electric vehicles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8" s="2" t="str">
        <x:v>Electric vehicles: powertrain, motor or engine, inverter, transmission, energy storage or fuel tanks, thermal management, braking, on-board control and refuelling or charging interface.</x:v>
      </x:c>
      <x:c r="P38" s="2" t="str">
        <x:v>Electric vehicles: powertrain calibration, battery or fuel management, route-energy modelling, diagnostics, eco-driving logic, charging strategy and safety control.</x:v>
      </x:c>
      <x:c r="Q38" s="2" t="str">
        <x:v>Electric vehicles: vehicle and fuel standards, homologation, charging or refuelling codes, maintenance competence, energy pricing, warranty and end-of-life responsibility.</x:v>
      </x:c>
      <x:c r="R38" s="2" t="str">
        <x:v>Electric vehicles: vehicle production and maintenance facilities, depots, charging or refuelling stations, grid or fuel supply, rescue equipment and parts logistics.</x:v>
      </x:c>
      <x:c r="S38" s="2" t="str">
        <x:v>Electric vehicles: electricity, liquid or gaseous fuel and auxiliary thermal loads; well-to-wheel carbon intensity and real operating efficiency determine the climate result.</x:v>
      </x:c>
      <x:c r="T38" s="2" t="str">
        <x:v>Electric vehicles: steel, aluminium, copper, polymers, power electronics, magnets, catalysts and—where electrochemical storage is used—battery-active materials.</x:v>
      </x:c>
      <x:c r="U38" s="2" t="str">
        <x:v>Electric vehicles: filters, fluids, seals, bearings, brake components, sensors, control modules, cables, connectors and battery or fuel-system service parts.</x:v>
      </x:c>
      <x:c r="V38" s="2" t="str">
        <x:v>https://www.ctc-n.org/sites/default/files/resources/ctcn_taxonomy_0.pdf</x:v>
      </x:c>
      <x:c r="W38" s="2" t="str">
        <x:v>https://institutoagricoladepueblobello.edu.co/colegiapp/archivostemas/GUIA%209.%5B25%5D.pdf</x:v>
      </x:c>
      <x:c r="X38" s="2" t="str">
        <x:v>https://iiasa.ac.at/what-is-technology</x:v>
      </x:c>
      <x:c r="Y38" s="2" t="str">
        <x:v>https://www.ipcc.ch/report/ar6/wg3/chapter/chapter-10/; https://www.iea.org/data-and-statistics/data-tools/etp-clean-energy-technology-guide; https://bogota.gov.co/en/international/new-era-transmilenio-transmiapp-and-largest-electric-fleet</x:v>
      </x:c>
      <x:c r="Z38" s="2" t="str">
        <x:v>Technology-specific analytical synthesis. The CTCN hierarchy is retained; classifications and component dependencies require validation against the selected design, site and supplier documentation before investment or policy use.</x:v>
      </x:c>
      <x:c r="AA38" s="2" t="str">
        <x:v>Physical deployment of Electric vehicles requires vehicle production and maintenance facilities, depots, charging or refuelling stations, grid or fuel supply, rescue equipment and parts logistics; interfaces, foundations, access and environmental protection are sized to the specific resource and design load.</x:v>
      </x:c>
      <x:c r="AB38" s="2" t="str">
        <x:v>For Electric vehicles,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8" s="2" t="str">
        <x:v>Construction and operation use steel, aluminium, copper, polymers, power electronics, magnets, catalysts and—where electrochemical storage is used—battery-active materials. For Electric vehicles, specifications must include durability, compatibility, recycled content and recoverability.</x:v>
      </x:c>
      <x:c r="AD38" s="2" t="str">
        <x:v>Maintenance of Electric vehicles depends on filters, fluids, seals, bearings, brake components, sensors, control modules, cables, connectors and battery or fuel-system service parts; critical spares are selected from failure-mode, lead-time and safety analysis for its installed configuration.</x:v>
      </x:c>
      <x:c r="AE38" s="2" t="str">
        <x:v>The software stack for Electric vehicles requires databases, secure communications, version-controlled models, computing, backup and interfaces with field or operational systems.</x:v>
      </x:c>
      <x:c r="AF38" s="2" t="str">
        <x:v>For Electric vehicles, software-related energy is electricity for sensing, computing, storage, communication and cooling; it is normally secondary but must be included for data-intensive or continuous services.</x:v>
      </x:c>
      <x:c r="AG38" s="2" t="str">
        <x:v>The non-physical inputs are calibrated data, metadata, algorithms, boundary conditions, emission or hazard factors, manuals and validation records specific to Electric vehicles.</x:v>
      </x:c>
      <x:c r="AH38" s="2" t="str">
        <x:v>Software continuity for Electric vehicles requires licences where applicable, updates, cybersecurity patches, backups, calibration files, model validation and technical support.</x:v>
      </x:c>
      <x:c r="AI38" s="2" t="str">
        <x:v>Orgware depends on the institutions, laboratories, training providers, regulators, operators and community interfaces needed to govern Electric vehicles.</x:v>
      </x:c>
      <x:c r="AJ38" s="2" t="str">
        <x:v>The orgware supporting Electric vehicles has mainly indirect energy use from offices, meetings, training and information systems; travel and field supervision may be material at dispersed sites.</x:v>
      </x:c>
      <x:c r="AK38" s="2" t="str">
        <x:v>Its organisational inputs are permits, budgets, trained staff, competence records, contracts, procedures, safeguards, monitoring evidence and stakeholder agreements tailored to Electric vehicles.</x:v>
      </x:c>
      <x:c r="AL38" s="2" t="str">
        <x:v>Sustained implementation of Electric vehicles requires procurement and service contracts, audit protocols, training material, reporting templates, insurance or guarantees and periodic independent review.</x:v>
      </x:c>
      <x:c r="AM38" s="2" t="str">
        <x:v>Iron ore / steel inputs; Copper; Tin; Lithium; Nickel; Cobalt; Natural graphite; Manganese; Rare earth elements; Bauxite / aluminium</x:v>
      </x:c>
      <x:c r="AN38" s="2" t="str">
        <x:v>Australia; Brazil; China; Chile; Democratic Republic of the Congo; Peru; Indonesia; Myanmar; Philippines; Russia; Madagascar; Mozambique; South Africa; Gabon; Ghana; United States; Guinea</x:v>
      </x:c>
      <x:c r="AO38" s="2" t="str">
        <x:v>China; India; Japan; Chile; Democratic Republic of the Congo; Indonesia; Malaysia; Argentina; Finland; Canada; South Korea; South Africa; Australia; Estonia; Russia</x:v>
      </x:c>
      <x:c r="AP38" s="2" t="str">
        <x:v>Electric vehicles: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 s="2" t="str">
        <x:v>2024–2025</x:v>
      </x:c>
      <x:c r="AR38" s="2" t="str">
        <x:v>https://pubs.usgs.gov/periodicals/mcs2026/mcs2026.pdf; https://www.iea.org/reports/global-critical-minerals-outlook-2025</x:v>
      </x:c>
    </x:row>
    <x:row r="39" ht="240" customHeight="1">
      <x:c r="A39" s="2" t="str">
        <x:v>MIT-0032</x:v>
      </x:c>
      <x:c r="B39" s="2" t="str">
        <x:v>Mitigation</x:v>
      </x:c>
      <x:c r="C39" s="2" t="str">
        <x:v>Transport</x:v>
      </x:c>
      <x:c r="D39" s="2" t="str">
        <x:v>Vehicle and fuel technologies</x:v>
      </x:c>
      <x:c r="E39" s="2" t="str">
        <x:v>Regenerative braking</x:v>
      </x:c>
      <x:c r="F39" s="2" t="str">
        <x:v>Regenerative braking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During deceleration the traction motor operates as a generator; power electronics return part of the vehicle's kinetic energy to the battery or another storage device instead of dissipating it entirely as friction heat.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9" s="2" t="str">
        <x:v>Mixed: adaptable design, site-specific implementation</x:v>
      </x:c>
      <x:c r="H39" s="2" t="str">
        <x:v>Regenerative braking is adaptable in capacity and configuration but site-specific in final engineering. Its principle remains the same, but resource quality, climate, scale, interfaces and safety constraints must be recalculated for each deployment.</x:v>
      </x:c>
      <x:c r="I39" s="2" t="str">
        <x:v>Primarily hard, with a soft component</x:v>
      </x:c>
      <x:c r="J39" s="2" t="str">
        <x:v>Regenerative braking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9" s="2" t="str">
        <x:v>Equipment and operation</x:v>
      </x:c>
      <x:c r="L39" s="2" t="str">
        <x:v>Regenerative braking is embodied mainly as an equipment-and-operation system. The deliverable is accepted only when measurable service, quality, safety and climate-performance criteria are met under real conditions.</x:v>
      </x:c>
      <x:c r="M39" s="2" t="str">
        <x:v>Yes, subject to life-cycle safeguards</x:v>
      </x:c>
      <x:c r="N39" s="2" t="str">
        <x:v>Regenerative braking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9" s="2" t="str">
        <x:v>Regenerative braking: powertrain, motor or engine, inverter, transmission, energy storage or fuel tanks, thermal management, braking, on-board control and refuelling or charging interface.</x:v>
      </x:c>
      <x:c r="P39" s="2" t="str">
        <x:v>Regenerative braking: powertrain calibration, battery or fuel management, route-energy modelling, diagnostics, eco-driving logic, charging strategy and safety control.</x:v>
      </x:c>
      <x:c r="Q39" s="2" t="str">
        <x:v>Regenerative braking: vehicle and fuel standards, homologation, charging or refuelling codes, maintenance competence, energy pricing, warranty and end-of-life responsibility.</x:v>
      </x:c>
      <x:c r="R39" s="2" t="str">
        <x:v>Regenerative braking: vehicle production and maintenance facilities, depots, charging or refuelling stations, grid or fuel supply, rescue equipment and parts logistics.</x:v>
      </x:c>
      <x:c r="S39" s="2" t="str">
        <x:v>Regenerative braking: electricity, liquid or gaseous fuel and auxiliary thermal loads; well-to-wheel carbon intensity and real operating efficiency determine the climate result.</x:v>
      </x:c>
      <x:c r="T39" s="2" t="str">
        <x:v>Regenerative braking: steel, aluminium, copper, polymers, power electronics, magnets, catalysts and—where electrochemical storage is used—battery-active materials.</x:v>
      </x:c>
      <x:c r="U39" s="2" t="str">
        <x:v>Regenerative braking: filters, fluids, seals, bearings, brake components, sensors, control modules, cables, connectors and battery or fuel-system service parts.</x:v>
      </x:c>
      <x:c r="V39" s="2" t="str">
        <x:v>https://www.ctc-n.org/sites/default/files/resources/ctcn_taxonomy_0.pdf</x:v>
      </x:c>
      <x:c r="W39" s="2" t="str">
        <x:v>https://institutoagricoladepueblobello.edu.co/colegiapp/archivostemas/GUIA%209.%5B25%5D.pdf</x:v>
      </x:c>
      <x:c r="X39" s="2" t="str">
        <x:v>https://iiasa.ac.at/what-is-technology</x:v>
      </x:c>
      <x:c r="Y39" s="2" t="str">
        <x:v>https://www.ipcc.ch/report/ar6/wg3/chapter/chapter-10/; https://www.iea.org/data-and-statistics/data-tools/etp-clean-energy-technology-guide; https://bogota.gov.co/en/international/new-era-transmilenio-transmiapp-and-largest-electric-fleet</x:v>
      </x:c>
      <x:c r="Z39" s="2" t="str">
        <x:v>Technology-specific analytical synthesis. The CTCN hierarchy is retained; classifications and component dependencies require validation against the selected design, site and supplier documentation before investment or policy use.</x:v>
      </x:c>
      <x:c r="AA39" s="2" t="str">
        <x:v>Physical deployment of Regenerative braking requires vehicle production and maintenance facilities, depots, charging or refuelling stations, grid or fuel supply, rescue equipment and parts logistics; interfaces, foundations, access and environmental protection are sized to the specific resource and design load.</x:v>
      </x:c>
      <x:c r="AB39" s="2" t="str">
        <x:v>For Regenerative braking,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9" s="2" t="str">
        <x:v>Construction and operation use steel, aluminium, copper, polymers, power electronics, magnets, catalysts and—where electrochemical storage is used—battery-active materials. For Regenerative braking, specifications must include durability, compatibility, recycled content and recoverability.</x:v>
      </x:c>
      <x:c r="AD39" s="2" t="str">
        <x:v>Maintenance of Regenerative braking depends on filters, fluids, seals, bearings, brake components, sensors, control modules, cables, connectors and battery or fuel-system service parts; critical spares are selected from failure-mode, lead-time and safety analysis for its installed configuration.</x:v>
      </x:c>
      <x:c r="AE39" s="2" t="str">
        <x:v>The software stack for Regenerative braking requires databases, secure communications, version-controlled models, computing, backup and interfaces with field or operational systems.</x:v>
      </x:c>
      <x:c r="AF39" s="2" t="str">
        <x:v>For Regenerative braking, software-related energy is electricity for sensing, computing, storage, communication and cooling; it is normally secondary but must be included for data-intensive or continuous services.</x:v>
      </x:c>
      <x:c r="AG39" s="2" t="str">
        <x:v>The non-physical inputs are calibrated data, metadata, algorithms, boundary conditions, emission or hazard factors, manuals and validation records specific to Regenerative braking.</x:v>
      </x:c>
      <x:c r="AH39" s="2" t="str">
        <x:v>Software continuity for Regenerative braking requires licences where applicable, updates, cybersecurity patches, backups, calibration files, model validation and technical support.</x:v>
      </x:c>
      <x:c r="AI39" s="2" t="str">
        <x:v>Orgware depends on the institutions, laboratories, training providers, regulators, operators and community interfaces needed to govern Regenerative braking.</x:v>
      </x:c>
      <x:c r="AJ39" s="2" t="str">
        <x:v>The orgware supporting Regenerative braking has mainly indirect energy use from offices, meetings, training and information systems; travel and field supervision may be material at dispersed sites.</x:v>
      </x:c>
      <x:c r="AK39" s="2" t="str">
        <x:v>Its organisational inputs are permits, budgets, trained staff, competence records, contracts, procedures, safeguards, monitoring evidence and stakeholder agreements tailored to Regenerative braking.</x:v>
      </x:c>
      <x:c r="AL39" s="2" t="str">
        <x:v>Sustained implementation of Regenerative braking requires procurement and service contracts, audit protocols, training material, reporting templates, insurance or guarantees and periodic independent review.</x:v>
      </x:c>
      <x:c r="AM39" s="2" t="str">
        <x:v>Iron ore / steel inputs; Copper; Tin; Rare earth elements; Bauxite / aluminium</x:v>
      </x:c>
      <x:c r="AN39" s="2" t="str">
        <x:v>Australia; Brazil; China; Chile; Democratic Republic of the Congo; Peru; Indonesia; Myanmar; United States; Guinea</x:v>
      </x:c>
      <x:c r="AO39" s="2" t="str">
        <x:v>China; India; Japan; Chile; Democratic Republic of the Congo; Indonesia; Malaysia; Estonia; Russia</x:v>
      </x:c>
      <x:c r="AP39" s="2" t="str">
        <x:v>Regenerative braking: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 s="2" t="str">
        <x:v>2024–2025</x:v>
      </x:c>
      <x:c r="AR39" s="2" t="str">
        <x:v>https://pubs.usgs.gov/periodicals/mcs2026/mcs2026.pdf; https://www.iea.org/reports/global-critical-minerals-outlook-2025</x:v>
      </x:c>
    </x:row>
    <x:row r="40" ht="240" customHeight="1">
      <x:c r="A40" s="2" t="str">
        <x:v>MIT-0033</x:v>
      </x:c>
      <x:c r="B40" s="2" t="str">
        <x:v>Mitigation</x:v>
      </x:c>
      <x:c r="C40" s="2" t="str">
        <x:v>Transport</x:v>
      </x:c>
      <x:c r="D40" s="2" t="str">
        <x:v>Vehicle and fuel technologies</x:v>
      </x:c>
      <x:c r="E40" s="2" t="str">
        <x:v>Liquefied Petroleum Gas in transport</x:v>
      </x:c>
      <x:c r="F40" s="2" t="str">
        <x:v>Liquefied Petroleum Gas in transport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Liquefied Petroleum Gas in transport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40" s="2" t="str">
        <x:v>Mixed: adaptable design, site-specific implementation</x:v>
      </x:c>
      <x:c r="H40" s="2" t="str">
        <x:v>Liquefied Petroleum Gas in transport is adaptable in capacity and configuration but site-specific in final engineering. Its principle remains the same, but resource quality, climate, scale, interfaces and safety constraints must be recalculated for each deployment.</x:v>
      </x:c>
      <x:c r="I40" s="2" t="str">
        <x:v>Primarily hard, with a soft component</x:v>
      </x:c>
      <x:c r="J40" s="2" t="str">
        <x:v>Liquefied Petroleum Gas in transport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40" s="2" t="str">
        <x:v>Equipment and operation</x:v>
      </x:c>
      <x:c r="L40" s="2" t="str">
        <x:v>Liquefied Petroleum Gas in transport is embodied mainly as an equipment-and-operation system. The deliverable is accepted only when measurable service, quality, safety and climate-performance criteria are met under real conditions.</x:v>
      </x:c>
      <x:c r="M40" s="2" t="str">
        <x:v>Yes, subject to life-cycle safeguards</x:v>
      </x:c>
      <x:c r="N40" s="2" t="str">
        <x:v>Liquefied Petroleum Gas in transport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40" s="2" t="str">
        <x:v>Liquefied Petroleum Gas in transport: powertrain, motor or engine, inverter, transmission, energy storage or fuel tanks, thermal management, braking, on-board control and refuelling or charging interface.</x:v>
      </x:c>
      <x:c r="P40" s="2" t="str">
        <x:v>Liquefied Petroleum Gas in transport: powertrain calibration, battery or fuel management, route-energy modelling, diagnostics, eco-driving logic, charging strategy and safety control.</x:v>
      </x:c>
      <x:c r="Q40" s="2" t="str">
        <x:v>Liquefied Petroleum Gas in transport: vehicle and fuel standards, homologation, charging or refuelling codes, maintenance competence, energy pricing, warranty and end-of-life responsibility.</x:v>
      </x:c>
      <x:c r="R40" s="2" t="str">
        <x:v>Liquefied Petroleum Gas in transport: vehicle production and maintenance facilities, depots, charging or refuelling stations, grid or fuel supply, rescue equipment and parts logistics.</x:v>
      </x:c>
      <x:c r="S40" s="2" t="str">
        <x:v>Liquefied Petroleum Gas in transport: electricity, liquid or gaseous fuel and auxiliary thermal loads; well-to-wheel carbon intensity and real operating efficiency determine the climate result.</x:v>
      </x:c>
      <x:c r="T40" s="2" t="str">
        <x:v>Liquefied Petroleum Gas in transport: steel, aluminium, copper, polymers, power electronics, magnets, catalysts and—where electrochemical storage is used—battery-active materials.</x:v>
      </x:c>
      <x:c r="U40" s="2" t="str">
        <x:v>Liquefied Petroleum Gas in transport: filters, fluids, seals, bearings, brake components, sensors, control modules, cables, connectors and battery or fuel-system service parts.</x:v>
      </x:c>
      <x:c r="V40" s="2" t="str">
        <x:v>https://www.ctc-n.org/sites/default/files/resources/ctcn_taxonomy_0.pdf</x:v>
      </x:c>
      <x:c r="W40" s="2" t="str">
        <x:v>https://institutoagricoladepueblobello.edu.co/colegiapp/archivostemas/GUIA%209.%5B25%5D.pdf</x:v>
      </x:c>
      <x:c r="X40" s="2" t="str">
        <x:v>https://iiasa.ac.at/what-is-technology</x:v>
      </x:c>
      <x:c r="Y40" s="2" t="str">
        <x:v>https://www.ipcc.ch/report/ar6/wg3/chapter/chapter-10/; https://www.iea.org/data-and-statistics/data-tools/etp-clean-energy-technology-guide; https://bogota.gov.co/en/international/new-era-transmilenio-transmiapp-and-largest-electric-fleet</x:v>
      </x:c>
      <x:c r="Z40" s="2" t="str">
        <x:v>Technology-specific analytical synthesis. The CTCN hierarchy is retained; classifications and component dependencies require validation against the selected design, site and supplier documentation before investment or policy use.</x:v>
      </x:c>
      <x:c r="AA40" s="2" t="str">
        <x:v>Physical deployment of Liquefied Petroleum Gas in transport requires vehicle production and maintenance facilities, depots, charging or refuelling stations, grid or fuel supply, rescue equipment and parts logistics; interfaces, foundations, access and environmental protection are sized to the specific resource and design load.</x:v>
      </x:c>
      <x:c r="AB40" s="2" t="str">
        <x:v>For Liquefied Petroleum Gas in transport,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40" s="2" t="str">
        <x:v>Construction and operation use steel, aluminium, copper, polymers, power electronics, magnets, catalysts and—where electrochemical storage is used—battery-active materials. For Liquefied Petroleum Gas in transport, specifications must include durability, compatibility, recycled content and recoverability.</x:v>
      </x:c>
      <x:c r="AD40" s="2" t="str">
        <x:v>Maintenance of Liquefied Petroleum Gas in transport depends on filters, fluids, seals, bearings, brake components, sensors, control modules, cables, connectors and battery or fuel-system service parts; critical spares are selected from failure-mode, lead-time and safety analysis for its installed configuration.</x:v>
      </x:c>
      <x:c r="AE40" s="2" t="str">
        <x:v>The software stack for Liquefied Petroleum Gas in transport requires databases, secure communications, version-controlled models, computing, backup and interfaces with field or operational systems.</x:v>
      </x:c>
      <x:c r="AF40" s="2" t="str">
        <x:v>For Liquefied Petroleum Gas in transport, software-related energy is electricity for sensing, computing, storage, communication and cooling; it is normally secondary but must be included for data-intensive or continuous services.</x:v>
      </x:c>
      <x:c r="AG40" s="2" t="str">
        <x:v>The non-physical inputs are calibrated data, metadata, algorithms, boundary conditions, emission or hazard factors, manuals and validation records specific to Liquefied Petroleum Gas in transport.</x:v>
      </x:c>
      <x:c r="AH40" s="2" t="str">
        <x:v>Software continuity for Liquefied Petroleum Gas in transport requires licences where applicable, updates, cybersecurity patches, backups, calibration files, model validation and technical support.</x:v>
      </x:c>
      <x:c r="AI40" s="2" t="str">
        <x:v>Orgware depends on the institutions, laboratories, training providers, regulators, operators and community interfaces needed to govern Liquefied Petroleum Gas in transport.</x:v>
      </x:c>
      <x:c r="AJ40" s="2" t="str">
        <x:v>The orgware supporting Liquefied Petroleum Gas in transport has mainly indirect energy use from offices, meetings, training and information systems; travel and field supervision may be material at dispersed sites.</x:v>
      </x:c>
      <x:c r="AK40" s="2" t="str">
        <x:v>Its organisational inputs are permits, budgets, trained staff, competence records, contracts, procedures, safeguards, monitoring evidence and stakeholder agreements tailored to Liquefied Petroleum Gas in transport.</x:v>
      </x:c>
      <x:c r="AL40" s="2" t="str">
        <x:v>Sustained implementation of Liquefied Petroleum Gas in transport requires procurement and service contracts, audit protocols, training material, reporting templates, insurance or guarantees and periodic independent review.</x:v>
      </x:c>
      <x:c r="AM40" s="2" t="str">
        <x:v>Iron ore / steel inputs; Copper; Tin; Rare earth elements; Bauxite / aluminium</x:v>
      </x:c>
      <x:c r="AN40" s="2" t="str">
        <x:v>Australia; Brazil; China; Chile; Democratic Republic of the Congo; Peru; Indonesia; Myanmar; United States; Guinea</x:v>
      </x:c>
      <x:c r="AO40" s="2" t="str">
        <x:v>China; India; Japan; Chile; Democratic Republic of the Congo; Indonesia; Malaysia; Estonia; Russia</x:v>
      </x:c>
      <x:c r="AP40" s="2" t="str">
        <x:v>Liquefied Petroleum Gas in transport: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 s="2" t="str">
        <x:v>2024–2025</x:v>
      </x:c>
      <x:c r="AR40" s="2" t="str">
        <x:v>https://pubs.usgs.gov/periodicals/mcs2026/mcs2026.pdf; https://www.iea.org/reports/global-critical-minerals-outlook-2025</x:v>
      </x:c>
    </x:row>
    <x:row r="41" ht="240" customHeight="1">
      <x:c r="A41" s="2" t="str">
        <x:v>MIT-0034</x:v>
      </x:c>
      <x:c r="B41" s="2" t="str">
        <x:v>Mitigation</x:v>
      </x:c>
      <x:c r="C41" s="2" t="str">
        <x:v>Transport</x:v>
      </x:c>
      <x:c r="D41" s="2" t="str">
        <x:v>Vehicle and fuel technologies</x:v>
      </x:c>
      <x:c r="E41" s="2" t="str">
        <x:v>Fuel cells for mobile applications</x:v>
      </x:c>
      <x:c r="F41" s="2" t="str">
        <x:v>Fuel cells for mobile applications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Fuel cells for mobile applications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41" s="2" t="str">
        <x:v>Mixed: adaptable design, site-specific implementation</x:v>
      </x:c>
      <x:c r="H41" s="2" t="str">
        <x:v>Fuel cells for mobile applications is adaptable in capacity and configuration but site-specific in final engineering. Its principle remains the same, but resource quality, climate, scale, interfaces and safety constraints must be recalculated for each deployment.</x:v>
      </x:c>
      <x:c r="I41" s="2" t="str">
        <x:v>Primarily hard, with a soft component</x:v>
      </x:c>
      <x:c r="J41" s="2" t="str">
        <x:v>Fuel cells for mobile applications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41" s="2" t="str">
        <x:v>Equipment and operation</x:v>
      </x:c>
      <x:c r="L41" s="2" t="str">
        <x:v>Fuel cells for mobile applications is embodied mainly as an equipment-and-operation system. The deliverable is accepted only when measurable service, quality, safety and climate-performance criteria are met under real conditions.</x:v>
      </x:c>
      <x:c r="M41" s="2" t="str">
        <x:v>Yes, subject to life-cycle safeguards</x:v>
      </x:c>
      <x:c r="N41" s="2" t="str">
        <x:v>Fuel cells for mobile applications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41" s="2" t="str">
        <x:v>Fuel cells for mobile applications: powertrain, motor or engine, inverter, transmission, energy storage or fuel tanks, thermal management, braking, on-board control and refuelling or charging interface.</x:v>
      </x:c>
      <x:c r="P41" s="2" t="str">
        <x:v>Fuel cells for mobile applications: powertrain calibration, battery or fuel management, route-energy modelling, diagnostics, eco-driving logic, charging strategy and safety control.</x:v>
      </x:c>
      <x:c r="Q41" s="2" t="str">
        <x:v>Fuel cells for mobile applications: vehicle and fuel standards, homologation, charging or refuelling codes, maintenance competence, energy pricing, warranty and end-of-life responsibility.</x:v>
      </x:c>
      <x:c r="R41" s="2" t="str">
        <x:v>Fuel cells for mobile applications: vehicle production and maintenance facilities, depots, charging or refuelling stations, grid or fuel supply, rescue equipment and parts logistics.</x:v>
      </x:c>
      <x:c r="S41" s="2" t="str">
        <x:v>Fuel cells for mobile applications: electricity, liquid or gaseous fuel and auxiliary thermal loads; well-to-wheel carbon intensity and real operating efficiency determine the climate result.</x:v>
      </x:c>
      <x:c r="T41" s="2" t="str">
        <x:v>Fuel cells for mobile applications: steel, aluminium, copper, polymers, power electronics, magnets, catalysts and—where electrochemical storage is used—battery-active materials.</x:v>
      </x:c>
      <x:c r="U41" s="2" t="str">
        <x:v>Fuel cells for mobile applications: filters, fluids, seals, bearings, brake components, sensors, control modules, cables, connectors and battery or fuel-system service parts.</x:v>
      </x:c>
      <x:c r="V41" s="2" t="str">
        <x:v>https://www.ctc-n.org/sites/default/files/resources/ctcn_taxonomy_0.pdf</x:v>
      </x:c>
      <x:c r="W41" s="2" t="str">
        <x:v>https://institutoagricoladepueblobello.edu.co/colegiapp/archivostemas/GUIA%209.%5B25%5D.pdf</x:v>
      </x:c>
      <x:c r="X41" s="2" t="str">
        <x:v>https://iiasa.ac.at/what-is-technology</x:v>
      </x:c>
      <x:c r="Y41" s="2" t="str">
        <x:v>https://www.ipcc.ch/report/ar6/wg3/chapter/chapter-10/; https://www.iea.org/data-and-statistics/data-tools/etp-clean-energy-technology-guide; https://bogota.gov.co/en/international/new-era-transmilenio-transmiapp-and-largest-electric-fleet</x:v>
      </x:c>
      <x:c r="Z41" s="2" t="str">
        <x:v>Technology-specific analytical synthesis. The CTCN hierarchy is retained; classifications and component dependencies require validation against the selected design, site and supplier documentation before investment or policy use.</x:v>
      </x:c>
      <x:c r="AA41" s="2" t="str">
        <x:v>Physical deployment of Fuel cells for mobile applications requires vehicle production and maintenance facilities, depots, charging or refuelling stations, grid or fuel supply, rescue equipment and parts logistics; interfaces, foundations, access and environmental protection are sized to the specific resource and design load.</x:v>
      </x:c>
      <x:c r="AB41" s="2" t="str">
        <x:v>For Fuel cells for mobile applications,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41" s="2" t="str">
        <x:v>Construction and operation use steel, aluminium, copper, polymers, power electronics, magnets, catalysts and—where electrochemical storage is used—battery-active materials. For Fuel cells for mobile applications, specifications must include durability, compatibility, recycled content and recoverability.</x:v>
      </x:c>
      <x:c r="AD41" s="2" t="str">
        <x:v>Maintenance of Fuel cells for mobile applications depends on filters, fluids, seals, bearings, brake components, sensors, control modules, cables, connectors and battery or fuel-system service parts; critical spares are selected from failure-mode, lead-time and safety analysis for its installed configuration.</x:v>
      </x:c>
      <x:c r="AE41" s="2" t="str">
        <x:v>The software stack for Fuel cells for mobile applications requires databases, secure communications, version-controlled models, computing, backup and interfaces with field or operational systems.</x:v>
      </x:c>
      <x:c r="AF41" s="2" t="str">
        <x:v>For Fuel cells for mobile applications, software-related energy is electricity for sensing, computing, storage, communication and cooling; it is normally secondary but must be included for data-intensive or continuous services.</x:v>
      </x:c>
      <x:c r="AG41" s="2" t="str">
        <x:v>The non-physical inputs are calibrated data, metadata, algorithms, boundary conditions, emission or hazard factors, manuals and validation records specific to Fuel cells for mobile applications.</x:v>
      </x:c>
      <x:c r="AH41" s="2" t="str">
        <x:v>Software continuity for Fuel cells for mobile applications requires licences where applicable, updates, cybersecurity patches, backups, calibration files, model validation and technical support.</x:v>
      </x:c>
      <x:c r="AI41" s="2" t="str">
        <x:v>Orgware depends on the institutions, laboratories, training providers, regulators, operators and community interfaces needed to govern Fuel cells for mobile applications.</x:v>
      </x:c>
      <x:c r="AJ41" s="2" t="str">
        <x:v>The orgware supporting Fuel cells for mobile applications has mainly indirect energy use from offices, meetings, training and information systems; travel and field supervision may be material at dispersed sites.</x:v>
      </x:c>
      <x:c r="AK41" s="2" t="str">
        <x:v>Its organisational inputs are permits, budgets, trained staff, competence records, contracts, procedures, safeguards, monitoring evidence and stakeholder agreements tailored to Fuel cells for mobile applications.</x:v>
      </x:c>
      <x:c r="AL41" s="2" t="str">
        <x:v>Sustained implementation of Fuel cells for mobile applications requires procurement and service contracts, audit protocols, training material, reporting templates, insurance or guarantees and periodic independent review.</x:v>
      </x:c>
      <x:c r="AM41" s="2" t="str">
        <x:v>Iron ore / steel inputs; Copper; Tin; Rare earth elements; Platinum-group metals; Bauxite / aluminium</x:v>
      </x:c>
      <x:c r="AN41" s="2" t="str">
        <x:v>Australia; Brazil; China; Chile; Democratic Republic of the Congo; Peru; Indonesia; Myanmar; United States; South Africa; Russia; Zimbabwe; Guinea</x:v>
      </x:c>
      <x:c r="AO41" s="2" t="str">
        <x:v>China; India; Japan; Chile; Democratic Republic of the Congo; Indonesia; Malaysia; Estonia; South Africa; Russia; Germany</x:v>
      </x:c>
      <x:c r="AP41" s="2" t="str">
        <x:v>Fuel cells for mobile applications: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 s="2" t="str">
        <x:v>2024–2025</x:v>
      </x:c>
      <x:c r="AR41" s="2" t="str">
        <x:v>https://pubs.usgs.gov/periodicals/mcs2026/mcs2026.pdf; https://www.iea.org/reports/global-critical-minerals-outlook-2025</x:v>
      </x:c>
    </x:row>
    <x:row r="42" ht="240" customHeight="1">
      <x:c r="A42" s="2" t="str">
        <x:v>MIT-0035</x:v>
      </x:c>
      <x:c r="B42" s="2" t="str">
        <x:v>Mitigation</x:v>
      </x:c>
      <x:c r="C42" s="2" t="str">
        <x:v>Transport</x:v>
      </x:c>
      <x:c r="D42" s="2" t="str">
        <x:v>Vehicle and fuel technologies</x:v>
      </x:c>
      <x:c r="E42" s="2" t="str">
        <x:v>Hybrid electric vehicles</x:v>
      </x:c>
      <x:c r="F42" s="2" t="str">
        <x:v>Hybrid electric vehicles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An electric motor converts battery electricity into traction with high drivetrain efficiency; charging strategy, battery thermal management and grid carbon intensity govern real climate performance.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42" s="2" t="str">
        <x:v>Mixed: adaptable design, site-specific implementation</x:v>
      </x:c>
      <x:c r="H42" s="2" t="str">
        <x:v>Hybrid electric vehicles is adaptable in capacity and configuration but site-specific in final engineering. Its principle remains the same, but resource quality, climate, scale, interfaces and safety constraints must be recalculated for each deployment.</x:v>
      </x:c>
      <x:c r="I42" s="2" t="str">
        <x:v>Primarily hard, with a soft component</x:v>
      </x:c>
      <x:c r="J42" s="2" t="str">
        <x:v>Hybrid electric vehicles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42" s="2" t="str">
        <x:v>Equipment and operation</x:v>
      </x:c>
      <x:c r="L42" s="2" t="str">
        <x:v>Hybrid electric vehicles is embodied mainly as an equipment-and-operation system. The deliverable is accepted only when measurable service, quality, safety and climate-performance criteria are met under real conditions.</x:v>
      </x:c>
      <x:c r="M42" s="2" t="str">
        <x:v>Yes, subject to life-cycle safeguards</x:v>
      </x:c>
      <x:c r="N42" s="2" t="str">
        <x:v>Hybrid electric vehicles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42" s="2" t="str">
        <x:v>Hybrid electric vehicles: powertrain, motor or engine, inverter, transmission, energy storage or fuel tanks, thermal management, braking, on-board control and refuelling or charging interface.</x:v>
      </x:c>
      <x:c r="P42" s="2" t="str">
        <x:v>Hybrid electric vehicles: powertrain calibration, battery or fuel management, route-energy modelling, diagnostics, eco-driving logic, charging strategy and safety control.</x:v>
      </x:c>
      <x:c r="Q42" s="2" t="str">
        <x:v>Hybrid electric vehicles: vehicle and fuel standards, homologation, charging or refuelling codes, maintenance competence, energy pricing, warranty and end-of-life responsibility.</x:v>
      </x:c>
      <x:c r="R42" s="2" t="str">
        <x:v>Hybrid electric vehicles: vehicle production and maintenance facilities, depots, charging or refuelling stations, grid or fuel supply, rescue equipment and parts logistics.</x:v>
      </x:c>
      <x:c r="S42" s="2" t="str">
        <x:v>Hybrid electric vehicles: electricity, liquid or gaseous fuel and auxiliary thermal loads; well-to-wheel carbon intensity and real operating efficiency determine the climate result.</x:v>
      </x:c>
      <x:c r="T42" s="2" t="str">
        <x:v>Hybrid electric vehicles: steel, aluminium, copper, polymers, power electronics, magnets, catalysts and—where electrochemical storage is used—battery-active materials.</x:v>
      </x:c>
      <x:c r="U42" s="2" t="str">
        <x:v>Hybrid electric vehicles: filters, fluids, seals, bearings, brake components, sensors, control modules, cables, connectors and battery or fuel-system service parts.</x:v>
      </x:c>
      <x:c r="V42" s="2" t="str">
        <x:v>https://www.ctc-n.org/sites/default/files/resources/ctcn_taxonomy_0.pdf</x:v>
      </x:c>
      <x:c r="W42" s="2" t="str">
        <x:v>https://institutoagricoladepueblobello.edu.co/colegiapp/archivostemas/GUIA%209.%5B25%5D.pdf</x:v>
      </x:c>
      <x:c r="X42" s="2" t="str">
        <x:v>https://iiasa.ac.at/what-is-technology</x:v>
      </x:c>
      <x:c r="Y42" s="2" t="str">
        <x:v>https://www.ipcc.ch/report/ar6/wg3/chapter/chapter-10/; https://www.iea.org/data-and-statistics/data-tools/etp-clean-energy-technology-guide; https://bogota.gov.co/en/international/new-era-transmilenio-transmiapp-and-largest-electric-fleet</x:v>
      </x:c>
      <x:c r="Z42" s="2" t="str">
        <x:v>Technology-specific analytical synthesis. The CTCN hierarchy is retained; classifications and component dependencies require validation against the selected design, site and supplier documentation before investment or policy use.</x:v>
      </x:c>
      <x:c r="AA42" s="2" t="str">
        <x:v>Physical deployment of Hybrid electric vehicles requires vehicle production and maintenance facilities, depots, charging or refuelling stations, grid or fuel supply, rescue equipment and parts logistics; interfaces, foundations, access and environmental protection are sized to the specific resource and design load.</x:v>
      </x:c>
      <x:c r="AB42" s="2" t="str">
        <x:v>For Hybrid electric vehicles,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42" s="2" t="str">
        <x:v>Construction and operation use steel, aluminium, copper, polymers, power electronics, magnets, catalysts and—where electrochemical storage is used—battery-active materials. For Hybrid electric vehicles, specifications must include durability, compatibility, recycled content and recoverability.</x:v>
      </x:c>
      <x:c r="AD42" s="2" t="str">
        <x:v>Maintenance of Hybrid electric vehicles depends on filters, fluids, seals, bearings, brake components, sensors, control modules, cables, connectors and battery or fuel-system service parts; critical spares are selected from failure-mode, lead-time and safety analysis for its installed configuration.</x:v>
      </x:c>
      <x:c r="AE42" s="2" t="str">
        <x:v>The software stack for Hybrid electric vehicles requires databases, secure communications, version-controlled models, computing, backup and interfaces with field or operational systems.</x:v>
      </x:c>
      <x:c r="AF42" s="2" t="str">
        <x:v>For Hybrid electric vehicles, software-related energy is electricity for sensing, computing, storage, communication and cooling; it is normally secondary but must be included for data-intensive or continuous services.</x:v>
      </x:c>
      <x:c r="AG42" s="2" t="str">
        <x:v>The non-physical inputs are calibrated data, metadata, algorithms, boundary conditions, emission or hazard factors, manuals and validation records specific to Hybrid electric vehicles.</x:v>
      </x:c>
      <x:c r="AH42" s="2" t="str">
        <x:v>Software continuity for Hybrid electric vehicles requires licences where applicable, updates, cybersecurity patches, backups, calibration files, model validation and technical support.</x:v>
      </x:c>
      <x:c r="AI42" s="2" t="str">
        <x:v>Orgware depends on the institutions, laboratories, training providers, regulators, operators and community interfaces needed to govern Hybrid electric vehicles.</x:v>
      </x:c>
      <x:c r="AJ42" s="2" t="str">
        <x:v>The orgware supporting Hybrid electric vehicles has mainly indirect energy use from offices, meetings, training and information systems; travel and field supervision may be material at dispersed sites.</x:v>
      </x:c>
      <x:c r="AK42" s="2" t="str">
        <x:v>Its organisational inputs are permits, budgets, trained staff, competence records, contracts, procedures, safeguards, monitoring evidence and stakeholder agreements tailored to Hybrid electric vehicles.</x:v>
      </x:c>
      <x:c r="AL42" s="2" t="str">
        <x:v>Sustained implementation of Hybrid electric vehicles requires procurement and service contracts, audit protocols, training material, reporting templates, insurance or guarantees and periodic independent review.</x:v>
      </x:c>
      <x:c r="AM42" s="2" t="str">
        <x:v>Iron ore / steel inputs; Copper; Tin; Lithium; Nickel; Cobalt; Natural graphite; Manganese; Rare earth elements; Bauxite / aluminium</x:v>
      </x:c>
      <x:c r="AN42" s="2" t="str">
        <x:v>Australia; Brazil; China; Chile; Democratic Republic of the Congo; Peru; Indonesia; Myanmar; Philippines; Russia; Madagascar; Mozambique; South Africa; Gabon; Ghana; United States; Guinea</x:v>
      </x:c>
      <x:c r="AO42" s="2" t="str">
        <x:v>China; India; Japan; Chile; Democratic Republic of the Congo; Indonesia; Malaysia; Argentina; Finland; Canada; South Korea; South Africa; Australia; Estonia; Russia</x:v>
      </x:c>
      <x:c r="AP42" s="2" t="str">
        <x:v>Hybrid electric vehicles: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 s="2" t="str">
        <x:v>2024–2025</x:v>
      </x:c>
      <x:c r="AR42" s="2" t="str">
        <x:v>https://pubs.usgs.gov/periodicals/mcs2026/mcs2026.pdf; https://www.iea.org/reports/global-critical-minerals-outlook-2025</x:v>
      </x:c>
    </x:row>
    <x:row r="43" ht="240" customHeight="1">
      <x:c r="A43" s="2" t="str">
        <x:v>MIT-0036</x:v>
      </x:c>
      <x:c r="B43" s="2" t="str">
        <x:v>Mitigation</x:v>
      </x:c>
      <x:c r="C43" s="2" t="str">
        <x:v>Transport</x:v>
      </x:c>
      <x:c r="D43" s="2" t="str">
        <x:v>Aviation</x:v>
      </x:c>
      <x:c r="E43" s="2" t="str">
        <x:v>Aviation support systems</x:v>
      </x:c>
      <x:c r="F43" s="2" t="str">
        <x:v>Aviation support systems is a mitigation technology in the Transport sector and the Aviation technology group. It is defined as a combined hardware–software–orgware system that changes vehicle kilometres, modal share, occupancy, speed profiles, routing or logistics so that the same mobility service is delivered with less final energy and fewer tailpipe emissions. Aviation support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43" s="2" t="str">
        <x:v>Mixed: adaptable design, site-specific implementation</x:v>
      </x:c>
      <x:c r="H43" s="2" t="str">
        <x:v>Aviation support systems is adaptable in capacity and configuration but site-specific in final engineering. Its principle remains the same, but resource quality, climate, scale, interfaces and safety constraints must be recalculated for each deployment.</x:v>
      </x:c>
      <x:c r="I43" s="2" t="str">
        <x:v>Primarily hard, with a soft component</x:v>
      </x:c>
      <x:c r="J43" s="2" t="str">
        <x:v>Aviation support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43" s="2" t="str">
        <x:v>Equipment and operation</x:v>
      </x:c>
      <x:c r="L43" s="2" t="str">
        <x:v>Aviation support systems is embodied mainly as an equipment-and-operation system. The deliverable is accepted only when measurable service, quality, safety and climate-performance criteria are met under real conditions.</x:v>
      </x:c>
      <x:c r="M43" s="2" t="str">
        <x:v>Yes, subject to life-cycle safeguards</x:v>
      </x:c>
      <x:c r="N43" s="2" t="str">
        <x:v>Aviation support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43" s="2" t="str">
        <x:v>Aviation support systems: corridor and station infrastructure, signalling, ticketing, communications, fleet equipment, traffic sensors and user interfaces as applicable.</x:v>
      </x:c>
      <x:c r="P43" s="2" t="str">
        <x:v>Aviation support systems: network and timetable design, demand models, traffic control, fleet dispatch, logistics optimisation, safety analysis and service-performance analytics.</x:v>
      </x:c>
      <x:c r="Q43" s="2" t="str">
        <x:v>Aviation support systems: transport authority mandates, operating contracts, tariffs, enforcement, street-space allocation, accessibility rules and coordination with land-use planning.</x:v>
      </x:c>
      <x:c r="R43" s="2" t="str">
        <x:v>Aviation support systems: rights-of-way, stops or terminals, depots, interchanges, control centres, communications and safe pedestrian or cycling access.</x:v>
      </x:c>
      <x:c r="S43" s="2" t="str">
        <x:v>Aviation support systems: electricity for control and stations plus the energy used by the affected vehicle fleet; the net result is governed by modal shift and occupancy.</x:v>
      </x:c>
      <x:c r="T43" s="2" t="str">
        <x:v>Aviation support systems: concrete, steel, asphalt, copper, signalling electronics, pavement materials and vehicle-related materials where new infrastructure is built.</x:v>
      </x:c>
      <x:c r="U43" s="2" t="str">
        <x:v>Aviation support systems: signal modules, communications equipment, validators, sensors, pavement components, station equipment and fleet consumables.</x:v>
      </x:c>
      <x:c r="V43" s="2" t="str">
        <x:v>https://www.ctc-n.org/sites/default/files/resources/ctcn_taxonomy_0.pdf</x:v>
      </x:c>
      <x:c r="W43" s="2" t="str">
        <x:v>https://institutoagricoladepueblobello.edu.co/colegiapp/archivostemas/GUIA%209.%5B25%5D.pdf</x:v>
      </x:c>
      <x:c r="X43" s="2" t="str">
        <x:v>https://iiasa.ac.at/what-is-technology</x:v>
      </x:c>
      <x:c r="Y43" s="2" t="str">
        <x:v>https://www.ipcc.ch/report/ar6/wg3/chapter/chapter-10/; https://ppp.worldbank.org/print/pdf/node/7300</x:v>
      </x:c>
      <x:c r="Z43" s="2" t="str">
        <x:v>Technology-specific analytical synthesis. The CTCN hierarchy is retained; classifications and component dependencies require validation against the selected design, site and supplier documentation before investment or policy use.</x:v>
      </x:c>
      <x:c r="AA43" s="2" t="str">
        <x:v>Physical deployment of Aviation support systems requires rights-of-way, stops or terminals, depots, interchanges, control centres, communications and safe pedestrian or cycling access; interfaces, foundations, access and environmental protection are sized to the specific resource and design load.</x:v>
      </x:c>
      <x:c r="AB43" s="2" t="str">
        <x:v>For Aviation support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43" s="2" t="str">
        <x:v>Construction and operation use concrete, steel, asphalt, copper, signalling electronics, pavement materials and vehicle-related materials where new infrastructure is built. For Aviation support systems, specifications must include durability, compatibility, recycled content and recoverability.</x:v>
      </x:c>
      <x:c r="AD43" s="2" t="str">
        <x:v>Maintenance of Aviation support systems depends on signal modules, communications equipment, validators, sensors, pavement components, station equipment and fleet consumables; critical spares are selected from failure-mode, lead-time and safety analysis for its installed configuration.</x:v>
      </x:c>
      <x:c r="AE43" s="2" t="str">
        <x:v>The software stack for Aviation support systems requires databases, secure communications, version-controlled models, computing, backup and interfaces with field or operational systems.</x:v>
      </x:c>
      <x:c r="AF43" s="2" t="str">
        <x:v>For Aviation support systems, software-related energy is electricity for sensing, computing, storage, communication and cooling; it is normally secondary but must be included for data-intensive or continuous services.</x:v>
      </x:c>
      <x:c r="AG43" s="2" t="str">
        <x:v>The non-physical inputs are calibrated data, metadata, algorithms, boundary conditions, emission or hazard factors, manuals and validation records specific to Aviation support systems.</x:v>
      </x:c>
      <x:c r="AH43" s="2" t="str">
        <x:v>Software continuity for Aviation support systems requires licences where applicable, updates, cybersecurity patches, backups, calibration files, model validation and technical support.</x:v>
      </x:c>
      <x:c r="AI43" s="2" t="str">
        <x:v>Orgware depends on the institutions, laboratories, training providers, regulators, operators and community interfaces needed to govern Aviation support systems.</x:v>
      </x:c>
      <x:c r="AJ43" s="2" t="str">
        <x:v>The orgware supporting Aviation support systems has mainly indirect energy use from offices, meetings, training and information systems; travel and field supervision may be material at dispersed sites.</x:v>
      </x:c>
      <x:c r="AK43" s="2" t="str">
        <x:v>Its organisational inputs are permits, budgets, trained staff, competence records, contracts, procedures, safeguards, monitoring evidence and stakeholder agreements tailored to Aviation support systems.</x:v>
      </x:c>
      <x:c r="AL43" s="2" t="str">
        <x:v>Sustained implementation of Aviation support systems requires procurement and service contracts, audit protocols, training material, reporting templates, insurance or guarantees and periodic independent review.</x:v>
      </x:c>
      <x:c r="AM43" s="2" t="str">
        <x:v>Iron ore / steel inputs; Bauxite / aluminium</x:v>
      </x:c>
      <x:c r="AN43" s="2" t="str">
        <x:v>Australia; Brazil; China; Guinea</x:v>
      </x:c>
      <x:c r="AO43" s="2" t="str">
        <x:v>China; India; Japan; Russia</x:v>
      </x:c>
      <x:c r="AP43" s="2" t="str">
        <x:v>Aviation support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 s="2" t="str">
        <x:v>2024–2025</x:v>
      </x:c>
      <x:c r="AR43" s="2" t="str">
        <x:v>https://pubs.usgs.gov/periodicals/mcs2026/mcs2026.pdf</x:v>
      </x:c>
    </x:row>
    <x:row r="44" ht="240" customHeight="1">
      <x:c r="A44" s="2" t="str">
        <x:v>MIT-0037</x:v>
      </x:c>
      <x:c r="B44" s="2" t="str">
        <x:v>Mitigation</x:v>
      </x:c>
      <x:c r="C44" s="2" t="str">
        <x:v>Transport</x:v>
      </x:c>
      <x:c r="D44" s="2" t="str">
        <x:v>Aviation</x:v>
      </x:c>
      <x:c r="E44" s="2" t="str">
        <x:v>Air cargo</x:v>
      </x:c>
      <x:c r="F44" s="2" t="str">
        <x:v>Air cargo is a mitigation technology in the Transport sector and the Aviation technology group. It is defined as a combined hardware–software–orgware system that changes vehicle kilometres, modal share, occupancy, speed profiles, routing or logistics so that the same mobility service is delivered with less final energy and fewer tailpipe emissions. Air cargo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44" s="2" t="str">
        <x:v>Mixed: adaptable design, site-specific implementation</x:v>
      </x:c>
      <x:c r="H44" s="2" t="str">
        <x:v>Air cargo is adaptable in capacity and configuration but site-specific in final engineering. Its principle remains the same, but resource quality, climate, scale, interfaces and safety constraints must be recalculated for each deployment.</x:v>
      </x:c>
      <x:c r="I44" s="2" t="str">
        <x:v>Primarily hard, with a soft component</x:v>
      </x:c>
      <x:c r="J44" s="2" t="str">
        <x:v>Air cargo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44" s="2" t="str">
        <x:v>Equipment and operation</x:v>
      </x:c>
      <x:c r="L44" s="2" t="str">
        <x:v>Air cargo is embodied mainly as an equipment-and-operation system. The deliverable is accepted only when measurable service, quality, safety and climate-performance criteria are met under real conditions.</x:v>
      </x:c>
      <x:c r="M44" s="2" t="str">
        <x:v>Yes, subject to life-cycle safeguards</x:v>
      </x:c>
      <x:c r="N44" s="2" t="str">
        <x:v>Air cargo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44" s="2" t="str">
        <x:v>Air cargo: corridor and station infrastructure, signalling, ticketing, communications, fleet equipment, traffic sensors and user interfaces as applicable.</x:v>
      </x:c>
      <x:c r="P44" s="2" t="str">
        <x:v>Air cargo: network and timetable design, demand models, traffic control, fleet dispatch, logistics optimisation, safety analysis and service-performance analytics.</x:v>
      </x:c>
      <x:c r="Q44" s="2" t="str">
        <x:v>Air cargo: transport authority mandates, operating contracts, tariffs, enforcement, street-space allocation, accessibility rules and coordination with land-use planning.</x:v>
      </x:c>
      <x:c r="R44" s="2" t="str">
        <x:v>Air cargo: rights-of-way, stops or terminals, depots, interchanges, control centres, communications and safe pedestrian or cycling access.</x:v>
      </x:c>
      <x:c r="S44" s="2" t="str">
        <x:v>Air cargo: electricity for control and stations plus the energy used by the affected vehicle fleet; the net result is governed by modal shift and occupancy.</x:v>
      </x:c>
      <x:c r="T44" s="2" t="str">
        <x:v>Air cargo: concrete, steel, asphalt, copper, signalling electronics, pavement materials and vehicle-related materials where new infrastructure is built.</x:v>
      </x:c>
      <x:c r="U44" s="2" t="str">
        <x:v>Air cargo: signal modules, communications equipment, validators, sensors, pavement components, station equipment and fleet consumables.</x:v>
      </x:c>
      <x:c r="V44" s="2" t="str">
        <x:v>https://www.ctc-n.org/sites/default/files/resources/ctcn_taxonomy_0.pdf</x:v>
      </x:c>
      <x:c r="W44" s="2" t="str">
        <x:v>https://institutoagricoladepueblobello.edu.co/colegiapp/archivostemas/GUIA%209.%5B25%5D.pdf</x:v>
      </x:c>
      <x:c r="X44" s="2" t="str">
        <x:v>https://iiasa.ac.at/what-is-technology</x:v>
      </x:c>
      <x:c r="Y44" s="2" t="str">
        <x:v>https://www.ipcc.ch/report/ar6/wg3/chapter/chapter-10/; https://ppp.worldbank.org/print/pdf/node/7300</x:v>
      </x:c>
      <x:c r="Z44" s="2" t="str">
        <x:v>Technology-specific analytical synthesis. The CTCN hierarchy is retained; classifications and component dependencies require validation against the selected design, site and supplier documentation before investment or policy use.</x:v>
      </x:c>
      <x:c r="AA44" s="2" t="str">
        <x:v>Physical deployment of Air cargo requires rights-of-way, stops or terminals, depots, interchanges, control centres, communications and safe pedestrian or cycling access; interfaces, foundations, access and environmental protection are sized to the specific resource and design load.</x:v>
      </x:c>
      <x:c r="AB44" s="2" t="str">
        <x:v>For Air cargo,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44" s="2" t="str">
        <x:v>Construction and operation use concrete, steel, asphalt, copper, signalling electronics, pavement materials and vehicle-related materials where new infrastructure is built. For Air cargo, specifications must include durability, compatibility, recycled content and recoverability.</x:v>
      </x:c>
      <x:c r="AD44" s="2" t="str">
        <x:v>Maintenance of Air cargo depends on signal modules, communications equipment, validators, sensors, pavement components, station equipment and fleet consumables; critical spares are selected from failure-mode, lead-time and safety analysis for its installed configuration.</x:v>
      </x:c>
      <x:c r="AE44" s="2" t="str">
        <x:v>The software stack for Air cargo requires databases, secure communications, version-controlled models, computing, backup and interfaces with field or operational systems.</x:v>
      </x:c>
      <x:c r="AF44" s="2" t="str">
        <x:v>For Air cargo, software-related energy is electricity for sensing, computing, storage, communication and cooling; it is normally secondary but must be included for data-intensive or continuous services.</x:v>
      </x:c>
      <x:c r="AG44" s="2" t="str">
        <x:v>The non-physical inputs are calibrated data, metadata, algorithms, boundary conditions, emission or hazard factors, manuals and validation records specific to Air cargo.</x:v>
      </x:c>
      <x:c r="AH44" s="2" t="str">
        <x:v>Software continuity for Air cargo requires licences where applicable, updates, cybersecurity patches, backups, calibration files, model validation and technical support.</x:v>
      </x:c>
      <x:c r="AI44" s="2" t="str">
        <x:v>Orgware depends on the institutions, laboratories, training providers, regulators, operators and community interfaces needed to govern Air cargo.</x:v>
      </x:c>
      <x:c r="AJ44" s="2" t="str">
        <x:v>The orgware supporting Air cargo has mainly indirect energy use from offices, meetings, training and information systems; travel and field supervision may be material at dispersed sites.</x:v>
      </x:c>
      <x:c r="AK44" s="2" t="str">
        <x:v>Its organisational inputs are permits, budgets, trained staff, competence records, contracts, procedures, safeguards, monitoring evidence and stakeholder agreements tailored to Air cargo.</x:v>
      </x:c>
      <x:c r="AL44" s="2" t="str">
        <x:v>Sustained implementation of Air cargo requires procurement and service contracts, audit protocols, training material, reporting templates, insurance or guarantees and periodic independent review.</x:v>
      </x:c>
      <x:c r="AM44" s="2" t="str">
        <x:v>Iron ore / steel inputs; Bauxite / aluminium</x:v>
      </x:c>
      <x:c r="AN44" s="2" t="str">
        <x:v>Australia; Brazil; China; Guinea</x:v>
      </x:c>
      <x:c r="AO44" s="2" t="str">
        <x:v>China; India; Japan; Russia</x:v>
      </x:c>
      <x:c r="AP44" s="2" t="str">
        <x:v>Air cargo: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 s="2" t="str">
        <x:v>2024–2025</x:v>
      </x:c>
      <x:c r="AR44" s="2" t="str">
        <x:v>https://pubs.usgs.gov/periodicals/mcs2026/mcs2026.pdf</x:v>
      </x:c>
    </x:row>
    <x:row r="45" ht="240" customHeight="1">
      <x:c r="A45" s="2" t="str">
        <x:v>MIT-0038</x:v>
      </x:c>
      <x:c r="B45" s="2" t="str">
        <x:v>Mitigation</x:v>
      </x:c>
      <x:c r="C45" s="2" t="str">
        <x:v>Energy efficiency</x:v>
      </x:c>
      <x:c r="D45" s="2" t="str">
        <x:v>Energy distribution</x:v>
      </x:c>
      <x:c r="E45" s="2" t="str">
        <x:v>Hydrogen infrastructure</x:v>
      </x:c>
      <x:c r="F45" s="2" t="str">
        <x:v>Hydrogen infrastructure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Hydrogen infrastructure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5" s="2" t="str">
        <x:v>Mixed: adaptable design, site-specific implementation</x:v>
      </x:c>
      <x:c r="H45" s="2" t="str">
        <x:v>Hydrogen infrastructure is adaptable in capacity and configuration but site-specific in final engineering. Its principle remains the same, but resource quality, climate, scale, interfaces and safety constraints must be recalculated for each deployment.</x:v>
      </x:c>
      <x:c r="I45" s="2" t="str">
        <x:v>Primarily hard, with a soft component</x:v>
      </x:c>
      <x:c r="J45" s="2" t="str">
        <x:v>Hydrogen infrastructure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5" s="2" t="str">
        <x:v>Equipment and operation</x:v>
      </x:c>
      <x:c r="L45" s="2" t="str">
        <x:v>Hydrogen infrastructure is embodied mainly as an equipment-and-operation system. The deliverable is accepted only when measurable service, quality, safety and climate-performance criteria are met under real conditions.</x:v>
      </x:c>
      <x:c r="M45" s="2" t="str">
        <x:v>Yes, subject to life-cycle safeguards</x:v>
      </x:c>
      <x:c r="N45" s="2" t="str">
        <x:v>Hydrogen infrastructure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5" s="2" t="str">
        <x:v>Hydrogen infrastructure: substations, conductors, transformers, switchgear, meters, protection relays, converters, storage interfaces, communications and control-centre equipment.</x:v>
      </x:c>
      <x:c r="P45" s="2" t="str">
        <x:v>Hydrogen infrastructure: load flow, state estimation, forecasting, optimal dispatch, protection coordination, demand response, cybersecurity and asset-health analytics.</x:v>
      </x:c>
      <x:c r="Q45" s="2" t="str">
        <x:v>Hydrogen infrastructure: grid codes, connection agreements, market rules, interoperability, data governance, system-operator procedures and cyber-incident response.</x:v>
      </x:c>
      <x:c r="R45" s="2" t="str">
        <x:v>Hydrogen infrastructure: generation and load connection points, distribution or transmission network, communications backbone, control centre, maintenance access and backup power.</x:v>
      </x:c>
      <x:c r="S45" s="2" t="str">
        <x:v>Hydrogen infrastructure: electricity for network operation, conversion, cooling and communications; losses and storage round-trip efficiency are explicit performance variables.</x:v>
      </x:c>
      <x:c r="T45" s="2" t="str">
        <x:v>Hydrogen infrastructure: copper or aluminium conductors, electrical steel, structural steel, concrete, polymers, semiconductors, insulation and battery materials where storage is included.</x:v>
      </x:c>
      <x:c r="U45" s="2" t="str">
        <x:v>Hydrogen infrastructure: breakers, fuses, relays, meters, sensors, communication modules, inverter parts, cooling equipment and transformer consumables.</x:v>
      </x:c>
      <x:c r="V45" s="2" t="str">
        <x:v>https://www.ctc-n.org/sites/default/files/resources/ctcn_taxonomy_0.pdf</x:v>
      </x:c>
      <x:c r="W45" s="2" t="str">
        <x:v>https://institutoagricoladepueblobello.edu.co/colegiapp/archivostemas/GUIA%209.%5B25%5D.pdf</x:v>
      </x:c>
      <x:c r="X45" s="2" t="str">
        <x:v>https://iiasa.ac.at/what-is-technology</x:v>
      </x:c>
      <x:c r="Y45" s="2" t="str">
        <x:v>https://www.ipcc.ch/report/ar6/wg3/chapter/chapter-9/; https://www.iea.org/data-and-statistics/data-tools/etp-clean-energy-technology-guide; https://docs.nrel.gov/docs/fy19osti/72586.pdf</x:v>
      </x:c>
      <x:c r="Z45" s="2" t="str">
        <x:v>Technology-specific analytical synthesis. The CTCN hierarchy is retained; classifications and component dependencies require validation against the selected design, site and supplier documentation before investment or policy use.</x:v>
      </x:c>
      <x:c r="AA45" s="2" t="str">
        <x:v>Physical deployment of Hydrogen infrastructure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5" s="2" t="str">
        <x:v>For Hydrogen infrastructure,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5" s="2" t="str">
        <x:v>Construction and operation use copper or aluminium conductors, electrical steel, structural steel, concrete, polymers, semiconductors, insulation and battery materials where storage is included. For Hydrogen infrastructure, specifications must include durability, compatibility, recycled content and recoverability.</x:v>
      </x:c>
      <x:c r="AD45" s="2" t="str">
        <x:v>Maintenance of Hydrogen infrastructure depends on breakers, fuses, relays, meters, sensors, communication modules, inverter parts, cooling equipment and transformer consumables; critical spares are selected from failure-mode, lead-time and safety analysis for its installed configuration.</x:v>
      </x:c>
      <x:c r="AE45" s="2" t="str">
        <x:v>The software stack for Hydrogen infrastructure requires databases, secure communications, version-controlled models, computing, backup and interfaces with field or operational systems.</x:v>
      </x:c>
      <x:c r="AF45" s="2" t="str">
        <x:v>For Hydrogen infrastructure, software-related energy is electricity for sensing, computing, storage, communication and cooling; it is normally secondary but must be included for data-intensive or continuous services.</x:v>
      </x:c>
      <x:c r="AG45" s="2" t="str">
        <x:v>The non-physical inputs are calibrated data, metadata, algorithms, boundary conditions, emission or hazard factors, manuals and validation records specific to Hydrogen infrastructure.</x:v>
      </x:c>
      <x:c r="AH45" s="2" t="str">
        <x:v>Software continuity for Hydrogen infrastructure requires licences where applicable, updates, cybersecurity patches, backups, calibration files, model validation and technical support.</x:v>
      </x:c>
      <x:c r="AI45" s="2" t="str">
        <x:v>Orgware depends on the institutions, laboratories, training providers, regulators, operators and community interfaces needed to govern Hydrogen infrastructure.</x:v>
      </x:c>
      <x:c r="AJ45" s="2" t="str">
        <x:v>The orgware supporting Hydrogen infrastructure has mainly indirect energy use from offices, meetings, training and information systems; travel and field supervision may be material at dispersed sites.</x:v>
      </x:c>
      <x:c r="AK45" s="2" t="str">
        <x:v>Its organisational inputs are permits, budgets, trained staff, competence records, contracts, procedures, safeguards, monitoring evidence and stakeholder agreements tailored to Hydrogen infrastructure.</x:v>
      </x:c>
      <x:c r="AL45" s="2" t="str">
        <x:v>Sustained implementation of Hydrogen infrastructure requires procurement and service contracts, audit protocols, training material, reporting templates, insurance or guarantees and periodic independent review.</x:v>
      </x:c>
      <x:c r="AM45" s="2" t="str">
        <x:v>Iron ore / steel inputs; Copper; Tin; Limestone / cement raw materials</x:v>
      </x:c>
      <x:c r="AN45" s="2" t="str">
        <x:v>Australia; Brazil; China; Chile; Democratic Republic of the Congo; Peru; Indonesia; Myanmar; India; Vietnam</x:v>
      </x:c>
      <x:c r="AO45" s="2" t="str">
        <x:v>China; India; Japan; Chile; Democratic Republic of the Congo; Indonesia; Malaysia; Vietnam</x:v>
      </x:c>
      <x:c r="AP45" s="2" t="str">
        <x:v>Hydrogen infrastructure: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 s="2" t="str">
        <x:v>2024–2025</x:v>
      </x:c>
      <x:c r="AR45" s="2" t="str">
        <x:v>https://pubs.usgs.gov/periodicals/mcs2026/mcs2026.pdf</x:v>
      </x:c>
    </x:row>
    <x:row r="46" ht="240" customHeight="1">
      <x:c r="A46" s="2" t="str">
        <x:v>MIT-0039</x:v>
      </x:c>
      <x:c r="B46" s="2" t="str">
        <x:v>Mitigation</x:v>
      </x:c>
      <x:c r="C46" s="2" t="str">
        <x:v>Energy efficiency</x:v>
      </x:c>
      <x:c r="D46" s="2" t="str">
        <x:v>Energy distribution</x:v>
      </x:c>
      <x:c r="E46" s="2" t="str">
        <x:v>District heating and cooling</x:v>
      </x:c>
      <x:c r="F46" s="2" t="str">
        <x:v>District heating and cooling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District heating and cooling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6" s="2" t="str">
        <x:v>Primarily fixed</x:v>
      </x:c>
      <x:c r="H46" s="2" t="str">
        <x:v>District heating and cooling is tied to long-lived, site-specific assets and design loads. Its principle remains the same, but resource quality, climate, scale, interfaces and safety constraints must be recalculated for each deployment.</x:v>
      </x:c>
      <x:c r="I46" s="2" t="str">
        <x:v>Primarily hard, with a soft component</x:v>
      </x:c>
      <x:c r="J46" s="2" t="str">
        <x:v>District heating and cooling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6" s="2" t="str">
        <x:v>Equipment and operation</x:v>
      </x:c>
      <x:c r="L46" s="2" t="str">
        <x:v>District heating and cooling is embodied mainly as an equipment-and-operation system. The deliverable is accepted only when measurable service, quality, safety and climate-performance criteria are met under real conditions.</x:v>
      </x:c>
      <x:c r="M46" s="2" t="str">
        <x:v>Yes, subject to life-cycle safeguards</x:v>
      </x:c>
      <x:c r="N46" s="2" t="str">
        <x:v>District heating and cooling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6" s="2" t="str">
        <x:v>District heating and cooling: substations, conductors, transformers, switchgear, meters, protection relays, converters, storage interfaces, communications and control-centre equipment.</x:v>
      </x:c>
      <x:c r="P46" s="2" t="str">
        <x:v>District heating and cooling: load flow, state estimation, forecasting, optimal dispatch, protection coordination, demand response, cybersecurity and asset-health analytics.</x:v>
      </x:c>
      <x:c r="Q46" s="2" t="str">
        <x:v>District heating and cooling: grid codes, connection agreements, market rules, interoperability, data governance, system-operator procedures and cyber-incident response.</x:v>
      </x:c>
      <x:c r="R46" s="2" t="str">
        <x:v>District heating and cooling: generation and load connection points, distribution or transmission network, communications backbone, control centre, maintenance access and backup power.</x:v>
      </x:c>
      <x:c r="S46" s="2" t="str">
        <x:v>District heating and cooling: electricity for network operation, conversion, cooling and communications; losses and storage round-trip efficiency are explicit performance variables.</x:v>
      </x:c>
      <x:c r="T46" s="2" t="str">
        <x:v>District heating and cooling: copper or aluminium conductors, electrical steel, structural steel, concrete, polymers, semiconductors, insulation and battery materials where storage is included.</x:v>
      </x:c>
      <x:c r="U46" s="2" t="str">
        <x:v>District heating and cooling: breakers, fuses, relays, meters, sensors, communication modules, inverter parts, cooling equipment and transformer consumables.</x:v>
      </x:c>
      <x:c r="V46" s="2" t="str">
        <x:v>https://www.ctc-n.org/sites/default/files/resources/ctcn_taxonomy_0.pdf</x:v>
      </x:c>
      <x:c r="W46" s="2" t="str">
        <x:v>https://institutoagricoladepueblobello.edu.co/colegiapp/archivostemas/GUIA%209.%5B25%5D.pdf</x:v>
      </x:c>
      <x:c r="X46" s="2" t="str">
        <x:v>https://iiasa.ac.at/what-is-technology</x:v>
      </x:c>
      <x:c r="Y46" s="2" t="str">
        <x:v>https://www.ipcc.ch/report/ar6/wg3/chapter/chapter-9/; https://www.iea.org/data-and-statistics/data-tools/etp-clean-energy-technology-guide; https://docs.nrel.gov/docs/fy19osti/72586.pdf</x:v>
      </x:c>
      <x:c r="Z46" s="2" t="str">
        <x:v>Technology-specific analytical synthesis. The CTCN hierarchy is retained; classifications and component dependencies require validation against the selected design, site and supplier documentation before investment or policy use.</x:v>
      </x:c>
      <x:c r="AA46" s="2" t="str">
        <x:v>Physical deployment of District heating and cooling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6" s="2" t="str">
        <x:v>For District heating and cooling,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6" s="2" t="str">
        <x:v>Construction and operation use copper or aluminium conductors, electrical steel, structural steel, concrete, polymers, semiconductors, insulation and battery materials where storage is included. For District heating and cooling, specifications must include durability, compatibility, recycled content and recoverability.</x:v>
      </x:c>
      <x:c r="AD46" s="2" t="str">
        <x:v>Maintenance of District heating and cooling depends on breakers, fuses, relays, meters, sensors, communication modules, inverter parts, cooling equipment and transformer consumables; critical spares are selected from failure-mode, lead-time and safety analysis for its installed configuration.</x:v>
      </x:c>
      <x:c r="AE46" s="2" t="str">
        <x:v>The software stack for District heating and cooling requires databases, secure communications, version-controlled models, computing, backup and interfaces with field or operational systems.</x:v>
      </x:c>
      <x:c r="AF46" s="2" t="str">
        <x:v>For District heating and cooling, software-related energy is electricity for sensing, computing, storage, communication and cooling; it is normally secondary but must be included for data-intensive or continuous services.</x:v>
      </x:c>
      <x:c r="AG46" s="2" t="str">
        <x:v>The non-physical inputs are calibrated data, metadata, algorithms, boundary conditions, emission or hazard factors, manuals and validation records specific to District heating and cooling.</x:v>
      </x:c>
      <x:c r="AH46" s="2" t="str">
        <x:v>Software continuity for District heating and cooling requires licences where applicable, updates, cybersecurity patches, backups, calibration files, model validation and technical support.</x:v>
      </x:c>
      <x:c r="AI46" s="2" t="str">
        <x:v>Orgware depends on the institutions, laboratories, training providers, regulators, operators and community interfaces needed to govern District heating and cooling.</x:v>
      </x:c>
      <x:c r="AJ46" s="2" t="str">
        <x:v>The orgware supporting District heating and cooling has mainly indirect energy use from offices, meetings, training and information systems; travel and field supervision may be material at dispersed sites.</x:v>
      </x:c>
      <x:c r="AK46" s="2" t="str">
        <x:v>Its organisational inputs are permits, budgets, trained staff, competence records, contracts, procedures, safeguards, monitoring evidence and stakeholder agreements tailored to District heating and cooling.</x:v>
      </x:c>
      <x:c r="AL46" s="2" t="str">
        <x:v>Sustained implementation of District heating and cooling requires procurement and service contracts, audit protocols, training material, reporting templates, insurance or guarantees and periodic independent review.</x:v>
      </x:c>
      <x:c r="AM46" s="2" t="str">
        <x:v>Iron ore / steel inputs</x:v>
      </x:c>
      <x:c r="AN46" s="2" t="str">
        <x:v>Australia; Brazil; China</x:v>
      </x:c>
      <x:c r="AO46" s="2" t="str">
        <x:v>China; India; Japan</x:v>
      </x:c>
      <x:c r="AP46" s="2" t="str">
        <x:v>District heating and cooling: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 s="2" t="str">
        <x:v>2024–2025</x:v>
      </x:c>
      <x:c r="AR46" s="2" t="str">
        <x:v>https://pubs.usgs.gov/periodicals/mcs2026/mcs2026.pdf</x:v>
      </x:c>
    </x:row>
    <x:row r="47" ht="240" customHeight="1">
      <x:c r="A47" s="2" t="str">
        <x:v>MIT-0040</x:v>
      </x:c>
      <x:c r="B47" s="2" t="str">
        <x:v>Mitigation</x:v>
      </x:c>
      <x:c r="C47" s="2" t="str">
        <x:v>Energy efficiency</x:v>
      </x:c>
      <x:c r="D47" s="2" t="str">
        <x:v>Energy distribution</x:v>
      </x:c>
      <x:c r="E47" s="2" t="str">
        <x:v>Micro-grid</x:v>
      </x:c>
      <x:c r="F47" s="2" t="str">
        <x:v>Micro-grid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Micro-grid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7" s="2" t="str">
        <x:v>Mixed: adaptable design, site-specific implementation</x:v>
      </x:c>
      <x:c r="H47" s="2" t="str">
        <x:v>Micro-grid is adaptable in capacity and configuration but site-specific in final engineering. Its principle remains the same, but resource quality, climate, scale, interfaces and safety constraints must be recalculated for each deployment.</x:v>
      </x:c>
      <x:c r="I47" s="2" t="str">
        <x:v>Primarily hard, with a soft component</x:v>
      </x:c>
      <x:c r="J47" s="2" t="str">
        <x:v>Micro-grid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7" s="2" t="str">
        <x:v>Equipment and operation</x:v>
      </x:c>
      <x:c r="L47" s="2" t="str">
        <x:v>Micro-grid is embodied mainly as an equipment-and-operation system. The deliverable is accepted only when measurable service, quality, safety and climate-performance criteria are met under real conditions.</x:v>
      </x:c>
      <x:c r="M47" s="2" t="str">
        <x:v>Yes, subject to life-cycle safeguards</x:v>
      </x:c>
      <x:c r="N47" s="2" t="str">
        <x:v>Micro-grid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7" s="2" t="str">
        <x:v>Micro-grid: substations, conductors, transformers, switchgear, meters, protection relays, converters, storage interfaces, communications and control-centre equipment.</x:v>
      </x:c>
      <x:c r="P47" s="2" t="str">
        <x:v>Micro-grid: load flow, state estimation, forecasting, optimal dispatch, protection coordination, demand response, cybersecurity and asset-health analytics.</x:v>
      </x:c>
      <x:c r="Q47" s="2" t="str">
        <x:v>Micro-grid: grid codes, connection agreements, market rules, interoperability, data governance, system-operator procedures and cyber-incident response.</x:v>
      </x:c>
      <x:c r="R47" s="2" t="str">
        <x:v>Micro-grid: generation and load connection points, distribution or transmission network, communications backbone, control centre, maintenance access and backup power.</x:v>
      </x:c>
      <x:c r="S47" s="2" t="str">
        <x:v>Micro-grid: electricity for network operation, conversion, cooling and communications; losses and storage round-trip efficiency are explicit performance variables.</x:v>
      </x:c>
      <x:c r="T47" s="2" t="str">
        <x:v>Micro-grid: copper or aluminium conductors, electrical steel, structural steel, concrete, polymers, semiconductors, insulation and battery materials where storage is included.</x:v>
      </x:c>
      <x:c r="U47" s="2" t="str">
        <x:v>Micro-grid: breakers, fuses, relays, meters, sensors, communication modules, inverter parts, cooling equipment and transformer consumables.</x:v>
      </x:c>
      <x:c r="V47" s="2" t="str">
        <x:v>https://www.ctc-n.org/sites/default/files/resources/ctcn_taxonomy_0.pdf</x:v>
      </x:c>
      <x:c r="W47" s="2" t="str">
        <x:v>https://institutoagricoladepueblobello.edu.co/colegiapp/archivostemas/GUIA%209.%5B25%5D.pdf</x:v>
      </x:c>
      <x:c r="X47" s="2" t="str">
        <x:v>https://iiasa.ac.at/what-is-technology</x:v>
      </x:c>
      <x:c r="Y47" s="2" t="str">
        <x:v>https://www.ipcc.ch/report/ar6/wg3/chapter/chapter-9/; https://www.iea.org/data-and-statistics/data-tools/etp-clean-energy-technology-guide; https://docs.nrel.gov/docs/fy19osti/72586.pdf</x:v>
      </x:c>
      <x:c r="Z47" s="2" t="str">
        <x:v>Technology-specific analytical synthesis. The CTCN hierarchy is retained; classifications and component dependencies require validation against the selected design, site and supplier documentation before investment or policy use.</x:v>
      </x:c>
      <x:c r="AA47" s="2" t="str">
        <x:v>Physical deployment of Micro-grid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7" s="2" t="str">
        <x:v>For Micro-grid,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7" s="2" t="str">
        <x:v>Construction and operation use copper or aluminium conductors, electrical steel, structural steel, concrete, polymers, semiconductors, insulation and battery materials where storage is included. For Micro-grid, specifications must include durability, compatibility, recycled content and recoverability.</x:v>
      </x:c>
      <x:c r="AD47" s="2" t="str">
        <x:v>Maintenance of Micro-grid depends on breakers, fuses, relays, meters, sensors, communication modules, inverter parts, cooling equipment and transformer consumables; critical spares are selected from failure-mode, lead-time and safety analysis for its installed configuration.</x:v>
      </x:c>
      <x:c r="AE47" s="2" t="str">
        <x:v>The software stack for Micro-grid requires databases, secure communications, version-controlled models, computing, backup and interfaces with field or operational systems.</x:v>
      </x:c>
      <x:c r="AF47" s="2" t="str">
        <x:v>For Micro-grid, software-related energy is electricity for sensing, computing, storage, communication and cooling; it is normally secondary but must be included for data-intensive or continuous services.</x:v>
      </x:c>
      <x:c r="AG47" s="2" t="str">
        <x:v>The non-physical inputs are calibrated data, metadata, algorithms, boundary conditions, emission or hazard factors, manuals and validation records specific to Micro-grid.</x:v>
      </x:c>
      <x:c r="AH47" s="2" t="str">
        <x:v>Software continuity for Micro-grid requires licences where applicable, updates, cybersecurity patches, backups, calibration files, model validation and technical support.</x:v>
      </x:c>
      <x:c r="AI47" s="2" t="str">
        <x:v>Orgware depends on the institutions, laboratories, training providers, regulators, operators and community interfaces needed to govern Micro-grid.</x:v>
      </x:c>
      <x:c r="AJ47" s="2" t="str">
        <x:v>The orgware supporting Micro-grid has mainly indirect energy use from offices, meetings, training and information systems; travel and field supervision may be material at dispersed sites.</x:v>
      </x:c>
      <x:c r="AK47" s="2" t="str">
        <x:v>Its organisational inputs are permits, budgets, trained staff, competence records, contracts, procedures, safeguards, monitoring evidence and stakeholder agreements tailored to Micro-grid.</x:v>
      </x:c>
      <x:c r="AL47" s="2" t="str">
        <x:v>Sustained implementation of Micro-grid requires procurement and service contracts, audit protocols, training material, reporting templates, insurance or guarantees and periodic independent review.</x:v>
      </x:c>
      <x:c r="AM47" s="2" t="str">
        <x:v>Iron ore / steel inputs; Copper; Tin</x:v>
      </x:c>
      <x:c r="AN47" s="2" t="str">
        <x:v>Australia; Brazil; China; Chile; Democratic Republic of the Congo; Peru; Indonesia; Myanmar</x:v>
      </x:c>
      <x:c r="AO47" s="2" t="str">
        <x:v>China; India; Japan; Chile; Democratic Republic of the Congo; Indonesia; Malaysia</x:v>
      </x:c>
      <x:c r="AP47" s="2" t="str">
        <x:v>Micro-grid: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7" s="2" t="str">
        <x:v>2024–2025</x:v>
      </x:c>
      <x:c r="AR47" s="2" t="str">
        <x:v>https://pubs.usgs.gov/periodicals/mcs2026/mcs2026.pdf</x:v>
      </x:c>
    </x:row>
    <x:row r="48" ht="240" customHeight="1">
      <x:c r="A48" s="2" t="str">
        <x:v>MIT-0041</x:v>
      </x:c>
      <x:c r="B48" s="2" t="str">
        <x:v>Mitigation</x:v>
      </x:c>
      <x:c r="C48" s="2" t="str">
        <x:v>Energy efficiency</x:v>
      </x:c>
      <x:c r="D48" s="2" t="str">
        <x:v>Energy distribution</x:v>
      </x:c>
      <x:c r="E48" s="2" t="str">
        <x:v>Smart grid</x:v>
      </x:c>
      <x:c r="F48" s="2" t="str">
        <x:v>Smart grid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Smart grid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8" s="2" t="str">
        <x:v>Mixed: adaptable design, site-specific implementation</x:v>
      </x:c>
      <x:c r="H48" s="2" t="str">
        <x:v>Smart grid is adaptable in capacity and configuration but site-specific in final engineering. Its principle remains the same, but resource quality, climate, scale, interfaces and safety constraints must be recalculated for each deployment.</x:v>
      </x:c>
      <x:c r="I48" s="2" t="str">
        <x:v>Primarily hard, with a soft component</x:v>
      </x:c>
      <x:c r="J48" s="2" t="str">
        <x:v>Smart grid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8" s="2" t="str">
        <x:v>Equipment and operation</x:v>
      </x:c>
      <x:c r="L48" s="2" t="str">
        <x:v>Smart grid is embodied mainly as an equipment-and-operation system. The deliverable is accepted only when measurable service, quality, safety and climate-performance criteria are met under real conditions.</x:v>
      </x:c>
      <x:c r="M48" s="2" t="str">
        <x:v>Yes, subject to life-cycle safeguards</x:v>
      </x:c>
      <x:c r="N48" s="2" t="str">
        <x:v>Smart grid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8" s="2" t="str">
        <x:v>Smart grid: substations, conductors, transformers, switchgear, meters, protection relays, converters, storage interfaces, communications and control-centre equipment.</x:v>
      </x:c>
      <x:c r="P48" s="2" t="str">
        <x:v>Smart grid: load flow, state estimation, forecasting, optimal dispatch, protection coordination, demand response, cybersecurity and asset-health analytics.</x:v>
      </x:c>
      <x:c r="Q48" s="2" t="str">
        <x:v>Smart grid: grid codes, connection agreements, market rules, interoperability, data governance, system-operator procedures and cyber-incident response.</x:v>
      </x:c>
      <x:c r="R48" s="2" t="str">
        <x:v>Smart grid: generation and load connection points, distribution or transmission network, communications backbone, control centre, maintenance access and backup power.</x:v>
      </x:c>
      <x:c r="S48" s="2" t="str">
        <x:v>Smart grid: electricity for network operation, conversion, cooling and communications; losses and storage round-trip efficiency are explicit performance variables.</x:v>
      </x:c>
      <x:c r="T48" s="2" t="str">
        <x:v>Smart grid: copper or aluminium conductors, electrical steel, structural steel, concrete, polymers, semiconductors, insulation and battery materials where storage is included.</x:v>
      </x:c>
      <x:c r="U48" s="2" t="str">
        <x:v>Smart grid: breakers, fuses, relays, meters, sensors, communication modules, inverter parts, cooling equipment and transformer consumables.</x:v>
      </x:c>
      <x:c r="V48" s="2" t="str">
        <x:v>https://www.ctc-n.org/sites/default/files/resources/ctcn_taxonomy_0.pdf</x:v>
      </x:c>
      <x:c r="W48" s="2" t="str">
        <x:v>https://institutoagricoladepueblobello.edu.co/colegiapp/archivostemas/GUIA%209.%5B25%5D.pdf</x:v>
      </x:c>
      <x:c r="X48" s="2" t="str">
        <x:v>https://iiasa.ac.at/what-is-technology</x:v>
      </x:c>
      <x:c r="Y48" s="2" t="str">
        <x:v>https://www.ipcc.ch/report/ar6/wg3/chapter/chapter-9/; https://www.iea.org/data-and-statistics/data-tools/etp-clean-energy-technology-guide; https://docs.nrel.gov/docs/fy19osti/72586.pdf</x:v>
      </x:c>
      <x:c r="Z48" s="2" t="str">
        <x:v>Technology-specific analytical synthesis. The CTCN hierarchy is retained; classifications and component dependencies require validation against the selected design, site and supplier documentation before investment or policy use.</x:v>
      </x:c>
      <x:c r="AA48" s="2" t="str">
        <x:v>Physical deployment of Smart grid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8" s="2" t="str">
        <x:v>For Smart grid,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8" s="2" t="str">
        <x:v>Construction and operation use copper or aluminium conductors, electrical steel, structural steel, concrete, polymers, semiconductors, insulation and battery materials where storage is included. For Smart grid, specifications must include durability, compatibility, recycled content and recoverability.</x:v>
      </x:c>
      <x:c r="AD48" s="2" t="str">
        <x:v>Maintenance of Smart grid depends on breakers, fuses, relays, meters, sensors, communication modules, inverter parts, cooling equipment and transformer consumables; critical spares are selected from failure-mode, lead-time and safety analysis for its installed configuration.</x:v>
      </x:c>
      <x:c r="AE48" s="2" t="str">
        <x:v>The software stack for Smart grid requires databases, secure communications, version-controlled models, computing, backup and interfaces with field or operational systems.</x:v>
      </x:c>
      <x:c r="AF48" s="2" t="str">
        <x:v>For Smart grid, software-related energy is electricity for sensing, computing, storage, communication and cooling; it is normally secondary but must be included for data-intensive or continuous services.</x:v>
      </x:c>
      <x:c r="AG48" s="2" t="str">
        <x:v>The non-physical inputs are calibrated data, metadata, algorithms, boundary conditions, emission or hazard factors, manuals and validation records specific to Smart grid.</x:v>
      </x:c>
      <x:c r="AH48" s="2" t="str">
        <x:v>Software continuity for Smart grid requires licences where applicable, updates, cybersecurity patches, backups, calibration files, model validation and technical support.</x:v>
      </x:c>
      <x:c r="AI48" s="2" t="str">
        <x:v>Orgware depends on the institutions, laboratories, training providers, regulators, operators and community interfaces needed to govern Smart grid.</x:v>
      </x:c>
      <x:c r="AJ48" s="2" t="str">
        <x:v>The orgware supporting Smart grid has mainly indirect energy use from offices, meetings, training and information systems; travel and field supervision may be material at dispersed sites.</x:v>
      </x:c>
      <x:c r="AK48" s="2" t="str">
        <x:v>Its organisational inputs are permits, budgets, trained staff, competence records, contracts, procedures, safeguards, monitoring evidence and stakeholder agreements tailored to Smart grid.</x:v>
      </x:c>
      <x:c r="AL48" s="2" t="str">
        <x:v>Sustained implementation of Smart grid requires procurement and service contracts, audit protocols, training material, reporting templates, insurance or guarantees and periodic independent review.</x:v>
      </x:c>
      <x:c r="AM48" s="2" t="str">
        <x:v>Iron ore / steel inputs; Copper; Tin; Tantalum</x:v>
      </x:c>
      <x:c r="AN48" s="2" t="str">
        <x:v>Australia; Brazil; China; Chile; Democratic Republic of the Congo; Peru; Indonesia; Myanmar; Rwanda; Nigeria</x:v>
      </x:c>
      <x:c r="AO48" s="2" t="str">
        <x:v>China; India; Japan; Chile; Democratic Republic of the Congo; Indonesia; Malaysia; Germany; United States</x:v>
      </x:c>
      <x:c r="AP48" s="2" t="str">
        <x:v>Smart grid: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8" s="2" t="str">
        <x:v>2024–2025</x:v>
      </x:c>
      <x:c r="AR48" s="2" t="str">
        <x:v>https://pubs.usgs.gov/periodicals/mcs2026/mcs2026.pdf</x:v>
      </x:c>
    </x:row>
    <x:row r="49" ht="240" customHeight="1">
      <x:c r="A49" s="2" t="str">
        <x:v>MIT-0042</x:v>
      </x:c>
      <x:c r="B49" s="2" t="str">
        <x:v>Mitigation</x:v>
      </x:c>
      <x:c r="C49" s="2" t="str">
        <x:v>Energy efficiency</x:v>
      </x:c>
      <x:c r="D49" s="2" t="str">
        <x:v>Energy distribution</x:v>
      </x:c>
      <x:c r="E49" s="2" t="str">
        <x:v>Connection of isolated grid</x:v>
      </x:c>
      <x:c r="F49" s="2" t="str">
        <x:v>Connection of isolated grid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Connection of isolated grid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9" s="2" t="str">
        <x:v>Mixed: adaptable design, site-specific implementation</x:v>
      </x:c>
      <x:c r="H49" s="2" t="str">
        <x:v>Connection of isolated grid is adaptable in capacity and configuration but site-specific in final engineering. Its principle remains the same, but resource quality, climate, scale, interfaces and safety constraints must be recalculated for each deployment.</x:v>
      </x:c>
      <x:c r="I49" s="2" t="str">
        <x:v>Primarily hard, with a soft component</x:v>
      </x:c>
      <x:c r="J49" s="2" t="str">
        <x:v>Connection of isolated grid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9" s="2" t="str">
        <x:v>Equipment and operation</x:v>
      </x:c>
      <x:c r="L49" s="2" t="str">
        <x:v>Connection of isolated grid is embodied mainly as an equipment-and-operation system. The deliverable is accepted only when measurable service, quality, safety and climate-performance criteria are met under real conditions.</x:v>
      </x:c>
      <x:c r="M49" s="2" t="str">
        <x:v>Yes, subject to life-cycle safeguards</x:v>
      </x:c>
      <x:c r="N49" s="2" t="str">
        <x:v>Connection of isolated grid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9" s="2" t="str">
        <x:v>Connection of isolated grid: substations, conductors, transformers, switchgear, meters, protection relays, converters, storage interfaces, communications and control-centre equipment.</x:v>
      </x:c>
      <x:c r="P49" s="2" t="str">
        <x:v>Connection of isolated grid: load flow, state estimation, forecasting, optimal dispatch, protection coordination, demand response, cybersecurity and asset-health analytics.</x:v>
      </x:c>
      <x:c r="Q49" s="2" t="str">
        <x:v>Connection of isolated grid: grid codes, connection agreements, market rules, interoperability, data governance, system-operator procedures and cyber-incident response.</x:v>
      </x:c>
      <x:c r="R49" s="2" t="str">
        <x:v>Connection of isolated grid: generation and load connection points, distribution or transmission network, communications backbone, control centre, maintenance access and backup power.</x:v>
      </x:c>
      <x:c r="S49" s="2" t="str">
        <x:v>Connection of isolated grid: electricity for network operation, conversion, cooling and communications; losses and storage round-trip efficiency are explicit performance variables.</x:v>
      </x:c>
      <x:c r="T49" s="2" t="str">
        <x:v>Connection of isolated grid: copper or aluminium conductors, electrical steel, structural steel, concrete, polymers, semiconductors, insulation and battery materials where storage is included.</x:v>
      </x:c>
      <x:c r="U49" s="2" t="str">
        <x:v>Connection of isolated grid: breakers, fuses, relays, meters, sensors, communication modules, inverter parts, cooling equipment and transformer consumables.</x:v>
      </x:c>
      <x:c r="V49" s="2" t="str">
        <x:v>https://www.ctc-n.org/sites/default/files/resources/ctcn_taxonomy_0.pdf</x:v>
      </x:c>
      <x:c r="W49" s="2" t="str">
        <x:v>https://institutoagricoladepueblobello.edu.co/colegiapp/archivostemas/GUIA%209.%5B25%5D.pdf</x:v>
      </x:c>
      <x:c r="X49" s="2" t="str">
        <x:v>https://iiasa.ac.at/what-is-technology</x:v>
      </x:c>
      <x:c r="Y49" s="2" t="str">
        <x:v>https://www.ipcc.ch/report/ar6/wg3/chapter/chapter-9/; https://www.iea.org/data-and-statistics/data-tools/etp-clean-energy-technology-guide; https://docs.nrel.gov/docs/fy19osti/72586.pdf</x:v>
      </x:c>
      <x:c r="Z49" s="2" t="str">
        <x:v>Technology-specific analytical synthesis. The CTCN hierarchy is retained; classifications and component dependencies require validation against the selected design, site and supplier documentation before investment or policy use.</x:v>
      </x:c>
      <x:c r="AA49" s="2" t="str">
        <x:v>Physical deployment of Connection of isolated grid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9" s="2" t="str">
        <x:v>For Connection of isolated grid,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9" s="2" t="str">
        <x:v>Construction and operation use copper or aluminium conductors, electrical steel, structural steel, concrete, polymers, semiconductors, insulation and battery materials where storage is included. For Connection of isolated grid, specifications must include durability, compatibility, recycled content and recoverability.</x:v>
      </x:c>
      <x:c r="AD49" s="2" t="str">
        <x:v>Maintenance of Connection of isolated grid depends on breakers, fuses, relays, meters, sensors, communication modules, inverter parts, cooling equipment and transformer consumables; critical spares are selected from failure-mode, lead-time and safety analysis for its installed configuration.</x:v>
      </x:c>
      <x:c r="AE49" s="2" t="str">
        <x:v>The software stack for Connection of isolated grid requires databases, secure communications, version-controlled models, computing, backup and interfaces with field or operational systems.</x:v>
      </x:c>
      <x:c r="AF49" s="2" t="str">
        <x:v>For Connection of isolated grid, software-related energy is electricity for sensing, computing, storage, communication and cooling; it is normally secondary but must be included for data-intensive or continuous services.</x:v>
      </x:c>
      <x:c r="AG49" s="2" t="str">
        <x:v>The non-physical inputs are calibrated data, metadata, algorithms, boundary conditions, emission or hazard factors, manuals and validation records specific to Connection of isolated grid.</x:v>
      </x:c>
      <x:c r="AH49" s="2" t="str">
        <x:v>Software continuity for Connection of isolated grid requires licences where applicable, updates, cybersecurity patches, backups, calibration files, model validation and technical support.</x:v>
      </x:c>
      <x:c r="AI49" s="2" t="str">
        <x:v>Orgware depends on the institutions, laboratories, training providers, regulators, operators and community interfaces needed to govern Connection of isolated grid.</x:v>
      </x:c>
      <x:c r="AJ49" s="2" t="str">
        <x:v>The orgware supporting Connection of isolated grid has mainly indirect energy use from offices, meetings, training and information systems; travel and field supervision may be material at dispersed sites.</x:v>
      </x:c>
      <x:c r="AK49" s="2" t="str">
        <x:v>Its organisational inputs are permits, budgets, trained staff, competence records, contracts, procedures, safeguards, monitoring evidence and stakeholder agreements tailored to Connection of isolated grid.</x:v>
      </x:c>
      <x:c r="AL49" s="2" t="str">
        <x:v>Sustained implementation of Connection of isolated grid requires procurement and service contracts, audit protocols, training material, reporting templates, insurance or guarantees and periodic independent review.</x:v>
      </x:c>
      <x:c r="AM49" s="2" t="str">
        <x:v>Iron ore / steel inputs; Copper; Tin</x:v>
      </x:c>
      <x:c r="AN49" s="2" t="str">
        <x:v>Australia; Brazil; China; Chile; Democratic Republic of the Congo; Peru; Indonesia; Myanmar</x:v>
      </x:c>
      <x:c r="AO49" s="2" t="str">
        <x:v>China; India; Japan; Chile; Democratic Republic of the Congo; Indonesia; Malaysia</x:v>
      </x:c>
      <x:c r="AP49" s="2" t="str">
        <x:v>Connection of isolated grid: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9" s="2" t="str">
        <x:v>2024–2025</x:v>
      </x:c>
      <x:c r="AR49" s="2" t="str">
        <x:v>https://pubs.usgs.gov/periodicals/mcs2026/mcs2026.pdf</x:v>
      </x:c>
    </x:row>
    <x:row r="50" ht="240" customHeight="1">
      <x:c r="A50" s="2" t="str">
        <x:v>MIT-0043</x:v>
      </x:c>
      <x:c r="B50" s="2" t="str">
        <x:v>Mitigation</x:v>
      </x:c>
      <x:c r="C50" s="2" t="str">
        <x:v>Energy efficiency</x:v>
      </x:c>
      <x:c r="D50" s="2" t="str">
        <x:v>Appliances and equipment</x:v>
      </x:c>
      <x:c r="E50" s="2" t="str">
        <x:v>Water efficiency</x:v>
      </x:c>
      <x:c r="F50" s="2" t="str">
        <x:v>Water efficiency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Water efficiency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0" s="2" t="str">
        <x:v>Mixed: adaptable design, site-specific implementation</x:v>
      </x:c>
      <x:c r="H50" s="2" t="str">
        <x:v>Water efficiency is adaptable in capacity and configuration but site-specific in final engineering. Its principle remains the same, but resource quality, climate, scale, interfaces and safety constraints must be recalculated for each deployment.</x:v>
      </x:c>
      <x:c r="I50" s="2" t="str">
        <x:v>Primarily hard, with a soft component</x:v>
      </x:c>
      <x:c r="J50" s="2" t="str">
        <x:v>Water efficiency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0" s="2" t="str">
        <x:v>Equipment and operation</x:v>
      </x:c>
      <x:c r="L50" s="2" t="str">
        <x:v>Water efficiency is embodied mainly as an equipment-and-operation system. The deliverable is accepted only when measurable service, quality, safety and climate-performance criteria are met under real conditions.</x:v>
      </x:c>
      <x:c r="M50" s="2" t="str">
        <x:v>Yes, subject to life-cycle safeguards</x:v>
      </x:c>
      <x:c r="N50" s="2" t="str">
        <x:v>Water efficiency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0" s="2" t="str">
        <x:v>Water efficiency: envelope assemblies, efficient equipment, sensors, actuators, meters and distribution systems.</x:v>
      </x:c>
      <x:c r="P50" s="2" t="str">
        <x:v>Water efficiency: energy simulation, load calculation, control sequences, commissioning data and building management.</x:v>
      </x:c>
      <x:c r="Q50" s="2" t="str">
        <x:v>Water efficiency: building codes, performance standards, procurement, commissioning, maintenance plans and occupant guidance.</x:v>
      </x:c>
      <x:c r="R50" s="2" t="str">
        <x:v>Water efficiency: building fabric, plant rooms, electrical and water networks, access for maintenance and metering.</x:v>
      </x:c>
      <x:c r="S50" s="2" t="str">
        <x:v>Water efficiency: electricity and thermal energy; peak demand, part-load efficiency and controls determine actual savings.</x:v>
      </x:c>
      <x:c r="T50" s="2" t="str">
        <x:v>Water efficiency: insulation, glass, concrete, steel, timber, aluminium, copper, refrigerants and electronic components as applicable.</x:v>
      </x:c>
      <x:c r="U50" s="2" t="str">
        <x:v>Water efficiency: filters, belts, seals, lamps or drivers, sensors, actuators, valves, control modules and envelope repair materials.</x:v>
      </x:c>
      <x:c r="V50" s="2" t="str">
        <x:v>https://www.ctc-n.org/sites/default/files/resources/ctcn_taxonomy_0.pdf</x:v>
      </x:c>
      <x:c r="W50" s="2" t="str">
        <x:v>https://institutoagricoladepueblobello.edu.co/colegiapp/archivostemas/GUIA%209.%5B25%5D.pdf</x:v>
      </x:c>
      <x:c r="X50" s="2" t="str">
        <x:v>https://iiasa.ac.at/what-is-technology</x:v>
      </x:c>
      <x:c r="Y50" s="2" t="str">
        <x:v>https://www.ipcc.ch/report/ar6/wg3/chapter/chapter-9/</x:v>
      </x:c>
      <x:c r="Z50" s="2" t="str">
        <x:v>Technology-specific analytical synthesis. The CTCN hierarchy is retained; classifications and component dependencies require validation against the selected design, site and supplier documentation before investment or policy use.</x:v>
      </x:c>
      <x:c r="AA50" s="2" t="str">
        <x:v>Physical deployment of Water efficiency requires building fabric, plant rooms, electrical and water networks, access for maintenance and metering; interfaces, foundations, access and environmental protection are sized to the specific resource and design load.</x:v>
      </x:c>
      <x:c r="AB50" s="2" t="str">
        <x:v>For Water efficiency, the hardware energy balance comprises electricity and thermal energy; peak demand, part-load efficiency and controls determine actual savings; metering must separate useful output, conversion losses and auxiliaries for the selected design.</x:v>
      </x:c>
      <x:c r="AC50" s="2" t="str">
        <x:v>Construction and operation use insulation, glass, concrete, steel, timber, aluminium, copper, refrigerants and electronic components as applicable. For Water efficiency, specifications must include durability, compatibility, recycled content and recoverability.</x:v>
      </x:c>
      <x:c r="AD50" s="2" t="str">
        <x:v>Maintenance of Water efficiency depends on filters, belts, seals, lamps or drivers, sensors, actuators, valves, control modules and envelope repair materials; critical spares are selected from failure-mode, lead-time and safety analysis for its installed configuration.</x:v>
      </x:c>
      <x:c r="AE50" s="2" t="str">
        <x:v>The software stack for Water efficiency requires databases, secure communications, version-controlled models, computing, backup and interfaces with field or operational systems.</x:v>
      </x:c>
      <x:c r="AF50" s="2" t="str">
        <x:v>For Water efficiency, software-related energy is electricity for sensing, computing, storage, communication and cooling; it is normally secondary but must be included for data-intensive or continuous services.</x:v>
      </x:c>
      <x:c r="AG50" s="2" t="str">
        <x:v>The non-physical inputs are calibrated data, metadata, algorithms, boundary conditions, emission or hazard factors, manuals and validation records specific to Water efficiency.</x:v>
      </x:c>
      <x:c r="AH50" s="2" t="str">
        <x:v>Software continuity for Water efficiency requires licences where applicable, updates, cybersecurity patches, backups, calibration files, model validation and technical support.</x:v>
      </x:c>
      <x:c r="AI50" s="2" t="str">
        <x:v>Orgware depends on the institutions, laboratories, training providers, regulators, operators and community interfaces needed to govern Water efficiency.</x:v>
      </x:c>
      <x:c r="AJ50" s="2" t="str">
        <x:v>The orgware supporting Water efficiency has mainly indirect energy use from offices, meetings, training and information systems; travel and field supervision may be material at dispersed sites.</x:v>
      </x:c>
      <x:c r="AK50" s="2" t="str">
        <x:v>Its organisational inputs are permits, budgets, trained staff, competence records, contracts, procedures, safeguards, monitoring evidence and stakeholder agreements tailored to Water efficiency.</x:v>
      </x:c>
      <x:c r="AL50" s="2" t="str">
        <x:v>Sustained implementation of Water efficiency requires procurement and service contracts, audit protocols, training material, reporting templates, insurance or guarantees and periodic independent review.</x:v>
      </x:c>
      <x:c r="AM50" s="2" t="str">
        <x:v>Iron ore / steel inputs</x:v>
      </x:c>
      <x:c r="AN50" s="2" t="str">
        <x:v>Australia; Brazil; China</x:v>
      </x:c>
      <x:c r="AO50" s="2" t="str">
        <x:v>China; India; Japan</x:v>
      </x:c>
      <x:c r="AP50" s="2" t="str">
        <x:v>Water efficiency: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0" s="2" t="str">
        <x:v>2024–2025</x:v>
      </x:c>
      <x:c r="AR50" s="2" t="str">
        <x:v>https://pubs.usgs.gov/periodicals/mcs2026/mcs2026.pdf</x:v>
      </x:c>
    </x:row>
    <x:row r="51" ht="240" customHeight="1">
      <x:c r="A51" s="2" t="str">
        <x:v>MIT-0044</x:v>
      </x:c>
      <x:c r="B51" s="2" t="str">
        <x:v>Mitigation</x:v>
      </x:c>
      <x:c r="C51" s="2" t="str">
        <x:v>Energy efficiency</x:v>
      </x:c>
      <x:c r="D51" s="2" t="str">
        <x:v>Appliances and equipment</x:v>
      </x:c>
      <x:c r="E51" s="2" t="str">
        <x:v>Residential water heaters</x:v>
      </x:c>
      <x:c r="F51" s="2" t="str">
        <x:v>Residential water heaters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Residential water heaters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1" s="2" t="str">
        <x:v>Mixed: adaptable design, site-specific implementation</x:v>
      </x:c>
      <x:c r="H51" s="2" t="str">
        <x:v>Residential water heaters is adaptable in capacity and configuration but site-specific in final engineering. Its principle remains the same, but resource quality, climate, scale, interfaces and safety constraints must be recalculated for each deployment.</x:v>
      </x:c>
      <x:c r="I51" s="2" t="str">
        <x:v>Primarily hard, with a soft component</x:v>
      </x:c>
      <x:c r="J51" s="2" t="str">
        <x:v>Residential water heaters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1" s="2" t="str">
        <x:v>Equipment and operation</x:v>
      </x:c>
      <x:c r="L51" s="2" t="str">
        <x:v>Residential water heaters is embodied mainly as an equipment-and-operation system. The deliverable is accepted only when measurable service, quality, safety and climate-performance criteria are met under real conditions.</x:v>
      </x:c>
      <x:c r="M51" s="2" t="str">
        <x:v>Yes, subject to life-cycle safeguards</x:v>
      </x:c>
      <x:c r="N51" s="2" t="str">
        <x:v>Residential water heaters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1" s="2" t="str">
        <x:v>Residential water heaters: envelope assemblies, efficient equipment, sensors, actuators, meters and distribution systems.</x:v>
      </x:c>
      <x:c r="P51" s="2" t="str">
        <x:v>Residential water heaters: energy simulation, load calculation, control sequences, commissioning data and building management.</x:v>
      </x:c>
      <x:c r="Q51" s="2" t="str">
        <x:v>Residential water heaters: building codes, performance standards, procurement, commissioning, maintenance plans and occupant guidance.</x:v>
      </x:c>
      <x:c r="R51" s="2" t="str">
        <x:v>Residential water heaters: building fabric, plant rooms, electrical and water networks, access for maintenance and metering.</x:v>
      </x:c>
      <x:c r="S51" s="2" t="str">
        <x:v>Residential water heaters: electricity and thermal energy; peak demand, part-load efficiency and controls determine actual savings.</x:v>
      </x:c>
      <x:c r="T51" s="2" t="str">
        <x:v>Residential water heaters: insulation, glass, concrete, steel, timber, aluminium, copper, refrigerants and electronic components as applicable.</x:v>
      </x:c>
      <x:c r="U51" s="2" t="str">
        <x:v>Residential water heaters: filters, belts, seals, lamps or drivers, sensors, actuators, valves, control modules and envelope repair materials.</x:v>
      </x:c>
      <x:c r="V51" s="2" t="str">
        <x:v>https://www.ctc-n.org/sites/default/files/resources/ctcn_taxonomy_0.pdf</x:v>
      </x:c>
      <x:c r="W51" s="2" t="str">
        <x:v>https://institutoagricoladepueblobello.edu.co/colegiapp/archivostemas/GUIA%209.%5B25%5D.pdf</x:v>
      </x:c>
      <x:c r="X51" s="2" t="str">
        <x:v>https://iiasa.ac.at/what-is-technology</x:v>
      </x:c>
      <x:c r="Y51" s="2" t="str">
        <x:v>https://www.ipcc.ch/report/ar6/wg3/chapter/chapter-9/</x:v>
      </x:c>
      <x:c r="Z51" s="2" t="str">
        <x:v>Technology-specific analytical synthesis. The CTCN hierarchy is retained; classifications and component dependencies require validation against the selected design, site and supplier documentation before investment or policy use.</x:v>
      </x:c>
      <x:c r="AA51" s="2" t="str">
        <x:v>Physical deployment of Residential water heaters requires building fabric, plant rooms, electrical and water networks, access for maintenance and metering; interfaces, foundations, access and environmental protection are sized to the specific resource and design load.</x:v>
      </x:c>
      <x:c r="AB51" s="2" t="str">
        <x:v>For Residential water heaters, the hardware energy balance comprises electricity and thermal energy; peak demand, part-load efficiency and controls determine actual savings; metering must separate useful output, conversion losses and auxiliaries for the selected design.</x:v>
      </x:c>
      <x:c r="AC51" s="2" t="str">
        <x:v>Construction and operation use insulation, glass, concrete, steel, timber, aluminium, copper, refrigerants and electronic components as applicable. For Residential water heaters, specifications must include durability, compatibility, recycled content and recoverability.</x:v>
      </x:c>
      <x:c r="AD51" s="2" t="str">
        <x:v>Maintenance of Residential water heaters depends on filters, belts, seals, lamps or drivers, sensors, actuators, valves, control modules and envelope repair materials; critical spares are selected from failure-mode, lead-time and safety analysis for its installed configuration.</x:v>
      </x:c>
      <x:c r="AE51" s="2" t="str">
        <x:v>The software stack for Residential water heaters requires databases, secure communications, version-controlled models, computing, backup and interfaces with field or operational systems.</x:v>
      </x:c>
      <x:c r="AF51" s="2" t="str">
        <x:v>For Residential water heaters, software-related energy is electricity for sensing, computing, storage, communication and cooling; it is normally secondary but must be included for data-intensive or continuous services.</x:v>
      </x:c>
      <x:c r="AG51" s="2" t="str">
        <x:v>The non-physical inputs are calibrated data, metadata, algorithms, boundary conditions, emission or hazard factors, manuals and validation records specific to Residential water heaters.</x:v>
      </x:c>
      <x:c r="AH51" s="2" t="str">
        <x:v>Software continuity for Residential water heaters requires licences where applicable, updates, cybersecurity patches, backups, calibration files, model validation and technical support.</x:v>
      </x:c>
      <x:c r="AI51" s="2" t="str">
        <x:v>Orgware depends on the institutions, laboratories, training providers, regulators, operators and community interfaces needed to govern Residential water heaters.</x:v>
      </x:c>
      <x:c r="AJ51" s="2" t="str">
        <x:v>The orgware supporting Residential water heaters has mainly indirect energy use from offices, meetings, training and information systems; travel and field supervision may be material at dispersed sites.</x:v>
      </x:c>
      <x:c r="AK51" s="2" t="str">
        <x:v>Its organisational inputs are permits, budgets, trained staff, competence records, contracts, procedures, safeguards, monitoring evidence and stakeholder agreements tailored to Residential water heaters.</x:v>
      </x:c>
      <x:c r="AL51" s="2" t="str">
        <x:v>Sustained implementation of Residential water heaters requires procurement and service contracts, audit protocols, training material, reporting templates, insurance or guarantees and periodic independent review.</x:v>
      </x:c>
      <x:c r="AM51" s="2" t="str">
        <x:v>Iron ore / steel inputs</x:v>
      </x:c>
      <x:c r="AN51" s="2" t="str">
        <x:v>Australia; Brazil; China</x:v>
      </x:c>
      <x:c r="AO51" s="2" t="str">
        <x:v>China; India; Japan</x:v>
      </x:c>
      <x:c r="AP51" s="2" t="str">
        <x:v>Residential water heaters: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1" s="2" t="str">
        <x:v>2024–2025</x:v>
      </x:c>
      <x:c r="AR51" s="2" t="str">
        <x:v>https://pubs.usgs.gov/periodicals/mcs2026/mcs2026.pdf</x:v>
      </x:c>
    </x:row>
    <x:row r="52" ht="240" customHeight="1">
      <x:c r="A52" s="2" t="str">
        <x:v>MIT-0045</x:v>
      </x:c>
      <x:c r="B52" s="2" t="str">
        <x:v>Mitigation</x:v>
      </x:c>
      <x:c r="C52" s="2" t="str">
        <x:v>Energy efficiency</x:v>
      </x:c>
      <x:c r="D52" s="2" t="str">
        <x:v>Appliances and equipment</x:v>
      </x:c>
      <x:c r="E52" s="2" t="str">
        <x:v>LPG and LNG for household and commercial cooking</x:v>
      </x:c>
      <x:c r="F52" s="2" t="str">
        <x:v>LPG and LNG for household and commercial cooking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LPG and LNG for household and commercial cooking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2" s="2" t="str">
        <x:v>Mixed: adaptable design, site-specific implementation</x:v>
      </x:c>
      <x:c r="H52" s="2" t="str">
        <x:v>LPG and LNG for household and commercial cooking is adaptable in capacity and configuration but site-specific in final engineering. Its principle remains the same, but resource quality, climate, scale, interfaces and safety constraints must be recalculated for each deployment.</x:v>
      </x:c>
      <x:c r="I52" s="2" t="str">
        <x:v>Primarily hard, with a soft component</x:v>
      </x:c>
      <x:c r="J52" s="2" t="str">
        <x:v>LPG and LNG for household and commercial cooking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2" s="2" t="str">
        <x:v>Equipment and operation</x:v>
      </x:c>
      <x:c r="L52" s="2" t="str">
        <x:v>LPG and LNG for household and commercial cooking is embodied mainly as an equipment-and-operation system. The deliverable is accepted only when measurable service, quality, safety and climate-performance criteria are met under real conditions.</x:v>
      </x:c>
      <x:c r="M52" s="2" t="str">
        <x:v>Conditional on performance and life cycle</x:v>
      </x:c>
      <x:c r="N52" s="2" t="str">
        <x:v>LPG and LNG for household and commercial cooking is classified as conditional.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2" s="2" t="str">
        <x:v>LPG and LNG for household and commercial cooking: envelope assemblies, efficient equipment, sensors, actuators, meters and distribution systems.</x:v>
      </x:c>
      <x:c r="P52" s="2" t="str">
        <x:v>LPG and LNG for household and commercial cooking: energy simulation, load calculation, control sequences, commissioning data and building management.</x:v>
      </x:c>
      <x:c r="Q52" s="2" t="str">
        <x:v>LPG and LNG for household and commercial cooking: building codes, performance standards, procurement, commissioning, maintenance plans and occupant guidance.</x:v>
      </x:c>
      <x:c r="R52" s="2" t="str">
        <x:v>LPG and LNG for household and commercial cooking: building fabric, plant rooms, electrical and water networks, access for maintenance and metering.</x:v>
      </x:c>
      <x:c r="S52" s="2" t="str">
        <x:v>LPG and LNG for household and commercial cooking: electricity and thermal energy; peak demand, part-load efficiency and controls determine actual savings.</x:v>
      </x:c>
      <x:c r="T52" s="2" t="str">
        <x:v>LPG and LNG for household and commercial cooking: insulation, glass, concrete, steel, timber, aluminium, copper, refrigerants and electronic components as applicable.</x:v>
      </x:c>
      <x:c r="U52" s="2" t="str">
        <x:v>LPG and LNG for household and commercial cooking: filters, belts, seals, lamps or drivers, sensors, actuators, valves, control modules and envelope repair materials.</x:v>
      </x:c>
      <x:c r="V52" s="2" t="str">
        <x:v>https://www.ctc-n.org/sites/default/files/resources/ctcn_taxonomy_0.pdf</x:v>
      </x:c>
      <x:c r="W52" s="2" t="str">
        <x:v>https://institutoagricoladepueblobello.edu.co/colegiapp/archivostemas/GUIA%209.%5B25%5D.pdf</x:v>
      </x:c>
      <x:c r="X52" s="2" t="str">
        <x:v>https://iiasa.ac.at/what-is-technology</x:v>
      </x:c>
      <x:c r="Y52" s="2" t="str">
        <x:v>https://www.ipcc.ch/report/ar6/wg3/chapter/chapter-9/</x:v>
      </x:c>
      <x:c r="Z52" s="2" t="str">
        <x:v>Technology-specific analytical synthesis. The CTCN hierarchy is retained; classifications and component dependencies require validation against the selected design, site and supplier documentation before investment or policy use.</x:v>
      </x:c>
      <x:c r="AA52" s="2" t="str">
        <x:v>Physical deployment of LPG and LNG for household and commercial cooking requires building fabric, plant rooms, electrical and water networks, access for maintenance and metering; interfaces, foundations, access and environmental protection are sized to the specific resource and design load.</x:v>
      </x:c>
      <x:c r="AB52" s="2" t="str">
        <x:v>For LPG and LNG for household and commercial cooking, the hardware energy balance comprises electricity and thermal energy; peak demand, part-load efficiency and controls determine actual savings; metering must separate useful output, conversion losses and auxiliaries for the selected design.</x:v>
      </x:c>
      <x:c r="AC52" s="2" t="str">
        <x:v>Construction and operation use insulation, glass, concrete, steel, timber, aluminium, copper, refrigerants and electronic components as applicable. For LPG and LNG for household and commercial cooking, specifications must include durability, compatibility, recycled content and recoverability.</x:v>
      </x:c>
      <x:c r="AD52" s="2" t="str">
        <x:v>Maintenance of LPG and LNG for household and commercial cooking depends on filters, belts, seals, lamps or drivers, sensors, actuators, valves, control modules and envelope repair materials; critical spares are selected from failure-mode, lead-time and safety analysis for its installed configuration.</x:v>
      </x:c>
      <x:c r="AE52" s="2" t="str">
        <x:v>The software stack for LPG and LNG for household and commercial cooking requires databases, secure communications, version-controlled models, computing, backup and interfaces with field or operational systems.</x:v>
      </x:c>
      <x:c r="AF52" s="2" t="str">
        <x:v>For LPG and LNG for household and commercial cooking, software-related energy is electricity for sensing, computing, storage, communication and cooling; it is normally secondary but must be included for data-intensive or continuous services.</x:v>
      </x:c>
      <x:c r="AG52" s="2" t="str">
        <x:v>The non-physical inputs are calibrated data, metadata, algorithms, boundary conditions, emission or hazard factors, manuals and validation records specific to LPG and LNG for household and commercial cooking.</x:v>
      </x:c>
      <x:c r="AH52" s="2" t="str">
        <x:v>Software continuity for LPG and LNG for household and commercial cooking requires licences where applicable, updates, cybersecurity patches, backups, calibration files, model validation and technical support.</x:v>
      </x:c>
      <x:c r="AI52" s="2" t="str">
        <x:v>Orgware depends on the institutions, laboratories, training providers, regulators, operators and community interfaces needed to govern LPG and LNG for household and commercial cooking.</x:v>
      </x:c>
      <x:c r="AJ52" s="2" t="str">
        <x:v>The orgware supporting LPG and LNG for household and commercial cooking has mainly indirect energy use from offices, meetings, training and information systems; travel and field supervision may be material at dispersed sites.</x:v>
      </x:c>
      <x:c r="AK52" s="2" t="str">
        <x:v>Its organisational inputs are permits, budgets, trained staff, competence records, contracts, procedures, safeguards, monitoring evidence and stakeholder agreements tailored to LPG and LNG for household and commercial cooking.</x:v>
      </x:c>
      <x:c r="AL52" s="2" t="str">
        <x:v>Sustained implementation of LPG and LNG for household and commercial cooking requires procurement and service contracts, audit protocols, training material, reporting templates, insurance or guarantees and periodic independent review.</x:v>
      </x:c>
      <x:c r="AM52" s="2" t="str">
        <x:v>Iron ore / steel inputs</x:v>
      </x:c>
      <x:c r="AN52" s="2" t="str">
        <x:v>Australia; Brazil; China</x:v>
      </x:c>
      <x:c r="AO52" s="2" t="str">
        <x:v>China; India; Japan</x:v>
      </x:c>
      <x:c r="AP52" s="2" t="str">
        <x:v>LPG and LNG for household and commercial cooking: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2" s="2" t="str">
        <x:v>2024–2025</x:v>
      </x:c>
      <x:c r="AR52" s="2" t="str">
        <x:v>https://pubs.usgs.gov/periodicals/mcs2026/mcs2026.pdf</x:v>
      </x:c>
    </x:row>
    <x:row r="53" ht="240" customHeight="1">
      <x:c r="A53" s="2" t="str">
        <x:v>MIT-0046</x:v>
      </x:c>
      <x:c r="B53" s="2" t="str">
        <x:v>Mitigation</x:v>
      </x:c>
      <x:c r="C53" s="2" t="str">
        <x:v>Energy efficiency</x:v>
      </x:c>
      <x:c r="D53" s="2" t="str">
        <x:v>Appliances and equipment</x:v>
      </x:c>
      <x:c r="E53" s="2" t="str">
        <x:v>Lighting</x:v>
      </x:c>
      <x:c r="F53" s="2" t="str">
        <x:v>Lighting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Lighting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3" s="2" t="str">
        <x:v>Mixed: adaptable design, site-specific implementation</x:v>
      </x:c>
      <x:c r="H53" s="2" t="str">
        <x:v>Lighting is adaptable in capacity and configuration but site-specific in final engineering. Its principle remains the same, but resource quality, climate, scale, interfaces and safety constraints must be recalculated for each deployment.</x:v>
      </x:c>
      <x:c r="I53" s="2" t="str">
        <x:v>Primarily hard, with a soft component</x:v>
      </x:c>
      <x:c r="J53" s="2" t="str">
        <x:v>Lighting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3" s="2" t="str">
        <x:v>Equipment and operation</x:v>
      </x:c>
      <x:c r="L53" s="2" t="str">
        <x:v>Lighting is embodied mainly as an equipment-and-operation system. The deliverable is accepted only when measurable service, quality, safety and climate-performance criteria are met under real conditions.</x:v>
      </x:c>
      <x:c r="M53" s="2" t="str">
        <x:v>Yes, subject to life-cycle safeguards</x:v>
      </x:c>
      <x:c r="N53" s="2" t="str">
        <x:v>Lighting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3" s="2" t="str">
        <x:v>Lighting: envelope assemblies, efficient equipment, sensors, actuators, meters and distribution systems.</x:v>
      </x:c>
      <x:c r="P53" s="2" t="str">
        <x:v>Lighting: energy simulation, load calculation, control sequences, commissioning data and building management.</x:v>
      </x:c>
      <x:c r="Q53" s="2" t="str">
        <x:v>Lighting: building codes, performance standards, procurement, commissioning, maintenance plans and occupant guidance.</x:v>
      </x:c>
      <x:c r="R53" s="2" t="str">
        <x:v>Lighting: building fabric, plant rooms, electrical and water networks, access for maintenance and metering.</x:v>
      </x:c>
      <x:c r="S53" s="2" t="str">
        <x:v>Lighting: electricity and thermal energy; peak demand, part-load efficiency and controls determine actual savings.</x:v>
      </x:c>
      <x:c r="T53" s="2" t="str">
        <x:v>Lighting: insulation, glass, concrete, steel, timber, aluminium, copper, refrigerants and electronic components as applicable.</x:v>
      </x:c>
      <x:c r="U53" s="2" t="str">
        <x:v>Lighting: filters, belts, seals, lamps or drivers, sensors, actuators, valves, control modules and envelope repair materials.</x:v>
      </x:c>
      <x:c r="V53" s="2" t="str">
        <x:v>https://www.ctc-n.org/sites/default/files/resources/ctcn_taxonomy_0.pdf</x:v>
      </x:c>
      <x:c r="W53" s="2" t="str">
        <x:v>https://institutoagricoladepueblobello.edu.co/colegiapp/archivostemas/GUIA%209.%5B25%5D.pdf</x:v>
      </x:c>
      <x:c r="X53" s="2" t="str">
        <x:v>https://iiasa.ac.at/what-is-technology</x:v>
      </x:c>
      <x:c r="Y53" s="2" t="str">
        <x:v>https://www.ipcc.ch/report/ar6/wg3/chapter/chapter-9/</x:v>
      </x:c>
      <x:c r="Z53" s="2" t="str">
        <x:v>Technology-specific analytical synthesis. The CTCN hierarchy is retained; classifications and component dependencies require validation against the selected design, site and supplier documentation before investment or policy use.</x:v>
      </x:c>
      <x:c r="AA53" s="2" t="str">
        <x:v>Physical deployment of Lighting requires building fabric, plant rooms, electrical and water networks, access for maintenance and metering; interfaces, foundations, access and environmental protection are sized to the specific resource and design load.</x:v>
      </x:c>
      <x:c r="AB53" s="2" t="str">
        <x:v>For Lighting, the hardware energy balance comprises electricity and thermal energy; peak demand, part-load efficiency and controls determine actual savings; metering must separate useful output, conversion losses and auxiliaries for the selected design.</x:v>
      </x:c>
      <x:c r="AC53" s="2" t="str">
        <x:v>Construction and operation use insulation, glass, concrete, steel, timber, aluminium, copper, refrigerants and electronic components as applicable. For Lighting, specifications must include durability, compatibility, recycled content and recoverability.</x:v>
      </x:c>
      <x:c r="AD53" s="2" t="str">
        <x:v>Maintenance of Lighting depends on filters, belts, seals, lamps or drivers, sensors, actuators, valves, control modules and envelope repair materials; critical spares are selected from failure-mode, lead-time and safety analysis for its installed configuration.</x:v>
      </x:c>
      <x:c r="AE53" s="2" t="str">
        <x:v>The software stack for Lighting requires databases, secure communications, version-controlled models, computing, backup and interfaces with field or operational systems.</x:v>
      </x:c>
      <x:c r="AF53" s="2" t="str">
        <x:v>For Lighting, software-related energy is electricity for sensing, computing, storage, communication and cooling; it is normally secondary but must be included for data-intensive or continuous services.</x:v>
      </x:c>
      <x:c r="AG53" s="2" t="str">
        <x:v>The non-physical inputs are calibrated data, metadata, algorithms, boundary conditions, emission or hazard factors, manuals and validation records specific to Lighting.</x:v>
      </x:c>
      <x:c r="AH53" s="2" t="str">
        <x:v>Software continuity for Lighting requires licences where applicable, updates, cybersecurity patches, backups, calibration files, model validation and technical support.</x:v>
      </x:c>
      <x:c r="AI53" s="2" t="str">
        <x:v>Orgware depends on the institutions, laboratories, training providers, regulators, operators and community interfaces needed to govern Lighting.</x:v>
      </x:c>
      <x:c r="AJ53" s="2" t="str">
        <x:v>The orgware supporting Lighting has mainly indirect energy use from offices, meetings, training and information systems; travel and field supervision may be material at dispersed sites.</x:v>
      </x:c>
      <x:c r="AK53" s="2" t="str">
        <x:v>Its organisational inputs are permits, budgets, trained staff, competence records, contracts, procedures, safeguards, monitoring evidence and stakeholder agreements tailored to Lighting.</x:v>
      </x:c>
      <x:c r="AL53" s="2" t="str">
        <x:v>Sustained implementation of Lighting requires procurement and service contracts, audit protocols, training material, reporting templates, insurance or guarantees and periodic independent review.</x:v>
      </x:c>
      <x:c r="AM53" s="2" t="str">
        <x:v>Iron ore / steel inputs; Copper; Tin</x:v>
      </x:c>
      <x:c r="AN53" s="2" t="str">
        <x:v>Australia; Brazil; China; Chile; Democratic Republic of the Congo; Peru; Indonesia; Myanmar</x:v>
      </x:c>
      <x:c r="AO53" s="2" t="str">
        <x:v>China; India; Japan; Chile; Democratic Republic of the Congo; Indonesia; Malaysia</x:v>
      </x:c>
      <x:c r="AP53" s="2" t="str">
        <x:v>Lighting: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3" s="2" t="str">
        <x:v>2024–2025</x:v>
      </x:c>
      <x:c r="AR53" s="2" t="str">
        <x:v>https://pubs.usgs.gov/periodicals/mcs2026/mcs2026.pdf</x:v>
      </x:c>
    </x:row>
    <x:row r="54" ht="240" customHeight="1">
      <x:c r="A54" s="2" t="str">
        <x:v>MIT-0047</x:v>
      </x:c>
      <x:c r="B54" s="2" t="str">
        <x:v>Mitigation</x:v>
      </x:c>
      <x:c r="C54" s="2" t="str">
        <x:v>Energy efficiency</x:v>
      </x:c>
      <x:c r="D54" s="2" t="str">
        <x:v>Appliances and equipment</x:v>
      </x:c>
      <x:c r="E54" s="2" t="str">
        <x:v>Community-based energy services</x:v>
      </x:c>
      <x:c r="F54" s="2" t="str">
        <x:v>Community-based energy services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Community-based energy services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4" s="2" t="str">
        <x:v>Mixed: adaptable design, site-specific implementation</x:v>
      </x:c>
      <x:c r="H54" s="2" t="str">
        <x:v>Community-based energy services is adaptable in capacity and configuration but site-specific in final engineering. Its principle remains the same, but resource quality, climate, scale, interfaces and safety constraints must be recalculated for each deployment.</x:v>
      </x:c>
      <x:c r="I54" s="2" t="str">
        <x:v>Primarily hard, with a soft component</x:v>
      </x:c>
      <x:c r="J54" s="2" t="str">
        <x:v>Community-based energy services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4" s="2" t="str">
        <x:v>Equipment and operation</x:v>
      </x:c>
      <x:c r="L54" s="2" t="str">
        <x:v>Community-based energy services is embodied mainly as an equipment-and-operation system. The deliverable is accepted only when measurable service, quality, safety and climate-performance criteria are met under real conditions.</x:v>
      </x:c>
      <x:c r="M54" s="2" t="str">
        <x:v>Yes, subject to life-cycle safeguards</x:v>
      </x:c>
      <x:c r="N54" s="2" t="str">
        <x:v>Community-based energy services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4" s="2" t="str">
        <x:v>Community-based energy services: envelope assemblies, efficient equipment, sensors, actuators, meters and distribution systems.</x:v>
      </x:c>
      <x:c r="P54" s="2" t="str">
        <x:v>Community-based energy services: energy simulation, load calculation, control sequences, commissioning data and building management.</x:v>
      </x:c>
      <x:c r="Q54" s="2" t="str">
        <x:v>Community-based energy services: building codes, performance standards, procurement, commissioning, maintenance plans and occupant guidance.</x:v>
      </x:c>
      <x:c r="R54" s="2" t="str">
        <x:v>Community-based energy services: building fabric, plant rooms, electrical and water networks, access for maintenance and metering.</x:v>
      </x:c>
      <x:c r="S54" s="2" t="str">
        <x:v>Community-based energy services: electricity and thermal energy; peak demand, part-load efficiency and controls determine actual savings.</x:v>
      </x:c>
      <x:c r="T54" s="2" t="str">
        <x:v>Community-based energy services: insulation, glass, concrete, steel, timber, aluminium, copper, refrigerants and electronic components as applicable.</x:v>
      </x:c>
      <x:c r="U54" s="2" t="str">
        <x:v>Community-based energy services: filters, belts, seals, lamps or drivers, sensors, actuators, valves, control modules and envelope repair materials.</x:v>
      </x:c>
      <x:c r="V54" s="2" t="str">
        <x:v>https://www.ctc-n.org/sites/default/files/resources/ctcn_taxonomy_0.pdf</x:v>
      </x:c>
      <x:c r="W54" s="2" t="str">
        <x:v>https://institutoagricoladepueblobello.edu.co/colegiapp/archivostemas/GUIA%209.%5B25%5D.pdf</x:v>
      </x:c>
      <x:c r="X54" s="2" t="str">
        <x:v>https://iiasa.ac.at/what-is-technology</x:v>
      </x:c>
      <x:c r="Y54" s="2" t="str">
        <x:v>https://www.ipcc.ch/report/ar6/wg3/chapter/chapter-9/</x:v>
      </x:c>
      <x:c r="Z54" s="2" t="str">
        <x:v>Technology-specific analytical synthesis. The CTCN hierarchy is retained; classifications and component dependencies require validation against the selected design, site and supplier documentation before investment or policy use.</x:v>
      </x:c>
      <x:c r="AA54" s="2" t="str">
        <x:v>Physical deployment of Community-based energy services requires building fabric, plant rooms, electrical and water networks, access for maintenance and metering; interfaces, foundations, access and environmental protection are sized to the specific resource and design load.</x:v>
      </x:c>
      <x:c r="AB54" s="2" t="str">
        <x:v>For Community-based energy services, the hardware energy balance comprises electricity and thermal energy; peak demand, part-load efficiency and controls determine actual savings; metering must separate useful output, conversion losses and auxiliaries for the selected design.</x:v>
      </x:c>
      <x:c r="AC54" s="2" t="str">
        <x:v>Construction and operation use insulation, glass, concrete, steel, timber, aluminium, copper, refrigerants and electronic components as applicable. For Community-based energy services, specifications must include durability, compatibility, recycled content and recoverability.</x:v>
      </x:c>
      <x:c r="AD54" s="2" t="str">
        <x:v>Maintenance of Community-based energy services depends on filters, belts, seals, lamps or drivers, sensors, actuators, valves, control modules and envelope repair materials; critical spares are selected from failure-mode, lead-time and safety analysis for its installed configuration.</x:v>
      </x:c>
      <x:c r="AE54" s="2" t="str">
        <x:v>The software stack for Community-based energy services requires databases, secure communications, version-controlled models, computing, backup and interfaces with field or operational systems.</x:v>
      </x:c>
      <x:c r="AF54" s="2" t="str">
        <x:v>For Community-based energy services, software-related energy is electricity for sensing, computing, storage, communication and cooling; it is normally secondary but must be included for data-intensive or continuous services.</x:v>
      </x:c>
      <x:c r="AG54" s="2" t="str">
        <x:v>The non-physical inputs are calibrated data, metadata, algorithms, boundary conditions, emission or hazard factors, manuals and validation records specific to Community-based energy services.</x:v>
      </x:c>
      <x:c r="AH54" s="2" t="str">
        <x:v>Software continuity for Community-based energy services requires licences where applicable, updates, cybersecurity patches, backups, calibration files, model validation and technical support.</x:v>
      </x:c>
      <x:c r="AI54" s="2" t="str">
        <x:v>Orgware depends on the institutions, laboratories, training providers, regulators, operators and community interfaces needed to govern Community-based energy services.</x:v>
      </x:c>
      <x:c r="AJ54" s="2" t="str">
        <x:v>The orgware supporting Community-based energy services has mainly indirect energy use from offices, meetings, training and information systems; travel and field supervision may be material at dispersed sites.</x:v>
      </x:c>
      <x:c r="AK54" s="2" t="str">
        <x:v>Its organisational inputs are permits, budgets, trained staff, competence records, contracts, procedures, safeguards, monitoring evidence and stakeholder agreements tailored to Community-based energy services.</x:v>
      </x:c>
      <x:c r="AL54" s="2" t="str">
        <x:v>Sustained implementation of Community-based energy services requires procurement and service contracts, audit protocols, training material, reporting templates, insurance or guarantees and periodic independent review.</x:v>
      </x:c>
      <x:c r="AM54" s="2" t="str">
        <x:v>Iron ore / steel inputs</x:v>
      </x:c>
      <x:c r="AN54" s="2" t="str">
        <x:v>Australia; Brazil; China</x:v>
      </x:c>
      <x:c r="AO54" s="2" t="str">
        <x:v>China; India; Japan</x:v>
      </x:c>
      <x:c r="AP54" s="2" t="str">
        <x:v>Community-based energy services: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4" s="2" t="str">
        <x:v>2024–2025</x:v>
      </x:c>
      <x:c r="AR54" s="2" t="str">
        <x:v>https://pubs.usgs.gov/periodicals/mcs2026/mcs2026.pdf</x:v>
      </x:c>
    </x:row>
    <x:row r="55" ht="240" customHeight="1">
      <x:c r="A55" s="2" t="str">
        <x:v>MIT-0048</x:v>
      </x:c>
      <x:c r="B55" s="2" t="str">
        <x:v>Mitigation</x:v>
      </x:c>
      <x:c r="C55" s="2" t="str">
        <x:v>Energy efficiency</x:v>
      </x:c>
      <x:c r="D55" s="2" t="str">
        <x:v>Appliances and equipment</x:v>
      </x:c>
      <x:c r="E55" s="2" t="str">
        <x:v>Appliance standards</x:v>
      </x:c>
      <x:c r="F55" s="2" t="str">
        <x:v>Appliance standards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Appliance standards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5" s="2" t="str">
        <x:v>Flexible</x:v>
      </x:c>
      <x:c r="H55" s="2" t="str">
        <x:v>Appliance standards is transferable through configurable methods, rules and operating parameters. Its principle remains the same, but resource quality, climate, scale, interfaces and safety constraints must be recalculated for each deployment.</x:v>
      </x:c>
      <x:c r="I55" s="2" t="str">
        <x:v>Primarily soft, with physical support</x:v>
      </x:c>
      <x:c r="J55" s="2" t="str">
        <x:v>Appliance standards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5" s="2" t="str">
        <x:v>Operation</x:v>
      </x:c>
      <x:c r="L55" s="2" t="str">
        <x:v>Appliance standards is embodied mainly as an operating practice. The deliverable is accepted only when measurable service, quality, safety and climate-performance criteria are met under real conditions.</x:v>
      </x:c>
      <x:c r="M55" s="2" t="str">
        <x:v>Yes, subject to life-cycle safeguards</x:v>
      </x:c>
      <x:c r="N55" s="2" t="str">
        <x:v>Appliance standards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5" s="2" t="str">
        <x:v>Appliance standards: envelope assemblies, efficient equipment, sensors, actuators, meters and distribution systems.</x:v>
      </x:c>
      <x:c r="P55" s="2" t="str">
        <x:v>Appliance standards: energy simulation, load calculation, control sequences, commissioning data and building management.</x:v>
      </x:c>
      <x:c r="Q55" s="2" t="str">
        <x:v>Appliance standards: building codes, performance standards, procurement, commissioning, maintenance plans and occupant guidance.</x:v>
      </x:c>
      <x:c r="R55" s="2" t="str">
        <x:v>Appliance standards: building fabric, plant rooms, electrical and water networks, access for maintenance and metering.</x:v>
      </x:c>
      <x:c r="S55" s="2" t="str">
        <x:v>Appliance standards: electricity and thermal energy; peak demand, part-load efficiency and controls determine actual savings.</x:v>
      </x:c>
      <x:c r="T55" s="2" t="str">
        <x:v>Appliance standards: insulation, glass, concrete, steel, timber, aluminium, copper, refrigerants and electronic components as applicable.</x:v>
      </x:c>
      <x:c r="U55" s="2" t="str">
        <x:v>Appliance standards: filters, belts, seals, lamps or drivers, sensors, actuators, valves, control modules and envelope repair materials.</x:v>
      </x:c>
      <x:c r="V55" s="2" t="str">
        <x:v>https://www.ctc-n.org/sites/default/files/resources/ctcn_taxonomy_0.pdf</x:v>
      </x:c>
      <x:c r="W55" s="2" t="str">
        <x:v>https://institutoagricoladepueblobello.edu.co/colegiapp/archivostemas/GUIA%209.%5B25%5D.pdf</x:v>
      </x:c>
      <x:c r="X55" s="2" t="str">
        <x:v>https://iiasa.ac.at/what-is-technology</x:v>
      </x:c>
      <x:c r="Y55" s="2" t="str">
        <x:v>https://www.ipcc.ch/report/ar6/wg3/chapter/chapter-9/</x:v>
      </x:c>
      <x:c r="Z55" s="2" t="str">
        <x:v>Technology-specific analytical synthesis. The CTCN hierarchy is retained; classifications and component dependencies require validation against the selected design, site and supplier documentation before investment or policy use.</x:v>
      </x:c>
      <x:c r="AA55" s="2" t="str">
        <x:v>Physical deployment of Appliance standards requires building fabric, plant rooms, electrical and water networks, access for maintenance and metering; interfaces, foundations, access and environmental protection are sized to the specific resource and design load.</x:v>
      </x:c>
      <x:c r="AB55" s="2" t="str">
        <x:v>For Appliance standards, the hardware energy balance comprises electricity and thermal energy; peak demand, part-load efficiency and controls determine actual savings; metering must separate useful output, conversion losses and auxiliaries for the selected design.</x:v>
      </x:c>
      <x:c r="AC55" s="2" t="str">
        <x:v>Construction and operation use insulation, glass, concrete, steel, timber, aluminium, copper, refrigerants and electronic components as applicable. For Appliance standards, specifications must include durability, compatibility, recycled content and recoverability.</x:v>
      </x:c>
      <x:c r="AD55" s="2" t="str">
        <x:v>Maintenance of Appliance standards depends on filters, belts, seals, lamps or drivers, sensors, actuators, valves, control modules and envelope repair materials; critical spares are selected from failure-mode, lead-time and safety analysis for its installed configuration.</x:v>
      </x:c>
      <x:c r="AE55" s="2" t="str">
        <x:v>The software stack for Appliance standards requires databases, secure communications, version-controlled models, computing, backup and interfaces with field or operational systems.</x:v>
      </x:c>
      <x:c r="AF55" s="2" t="str">
        <x:v>For Appliance standards, software-related energy is electricity for sensing, computing, storage, communication and cooling; it is normally secondary but must be included for data-intensive or continuous services.</x:v>
      </x:c>
      <x:c r="AG55" s="2" t="str">
        <x:v>The non-physical inputs are calibrated data, metadata, algorithms, boundary conditions, emission or hazard factors, manuals and validation records specific to Appliance standards.</x:v>
      </x:c>
      <x:c r="AH55" s="2" t="str">
        <x:v>Software continuity for Appliance standards requires licences where applicable, updates, cybersecurity patches, backups, calibration files, model validation and technical support.</x:v>
      </x:c>
      <x:c r="AI55" s="2" t="str">
        <x:v>Orgware depends on the institutions, laboratories, training providers, regulators, operators and community interfaces needed to govern Appliance standards.</x:v>
      </x:c>
      <x:c r="AJ55" s="2" t="str">
        <x:v>The orgware supporting Appliance standards has mainly indirect energy use from offices, meetings, training and information systems; travel and field supervision may be material at dispersed sites.</x:v>
      </x:c>
      <x:c r="AK55" s="2" t="str">
        <x:v>Its organisational inputs are permits, budgets, trained staff, competence records, contracts, procedures, safeguards, monitoring evidence and stakeholder agreements tailored to Appliance standards.</x:v>
      </x:c>
      <x:c r="AL55" s="2" t="str">
        <x:v>Sustained implementation of Appliance standards requires procurement and service contracts, audit protocols, training material, reporting templates, insurance or guarantees and periodic independent review.</x:v>
      </x:c>
      <x:c r="AM55" s="2" t="str">
        <x:v>Iron ore / steel inputs</x:v>
      </x:c>
      <x:c r="AN55" s="2" t="str">
        <x:v>Australia; Brazil; China</x:v>
      </x:c>
      <x:c r="AO55" s="2" t="str">
        <x:v>China; India; Japan</x:v>
      </x:c>
      <x:c r="AP55" s="2" t="str">
        <x:v>Appliance standards: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5" s="2" t="str">
        <x:v>2024–2025</x:v>
      </x:c>
      <x:c r="AR55" s="2" t="str">
        <x:v>https://pubs.usgs.gov/periodicals/mcs2026/mcs2026.pdf</x:v>
      </x:c>
    </x:row>
    <x:row r="56" ht="240" customHeight="1">
      <x:c r="A56" s="2" t="str">
        <x:v>MIT-0049</x:v>
      </x:c>
      <x:c r="B56" s="2" t="str">
        <x:v>Mitigation</x:v>
      </x:c>
      <x:c r="C56" s="2" t="str">
        <x:v>Energy efficiency</x:v>
      </x:c>
      <x:c r="D56" s="2" t="str">
        <x:v>Appliances and equipment</x:v>
      </x:c>
      <x:c r="E56" s="2" t="str">
        <x:v>Efficient server and network technology</x:v>
      </x:c>
      <x:c r="F56" s="2" t="str">
        <x:v>Efficient server and network technology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Efficient server and network technology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6" s="2" t="str">
        <x:v>Mixed: adaptable design, site-specific implementation</x:v>
      </x:c>
      <x:c r="H56" s="2" t="str">
        <x:v>Efficient server and network technology is adaptable in capacity and configuration but site-specific in final engineering. Its principle remains the same, but resource quality, climate, scale, interfaces and safety constraints must be recalculated for each deployment.</x:v>
      </x:c>
      <x:c r="I56" s="2" t="str">
        <x:v>Primarily hard, with a soft component</x:v>
      </x:c>
      <x:c r="J56" s="2" t="str">
        <x:v>Efficient server and network technology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6" s="2" t="str">
        <x:v>Equipment and operation</x:v>
      </x:c>
      <x:c r="L56" s="2" t="str">
        <x:v>Efficient server and network technology is embodied mainly as an equipment-and-operation system. The deliverable is accepted only when measurable service, quality, safety and climate-performance criteria are met under real conditions.</x:v>
      </x:c>
      <x:c r="M56" s="2" t="str">
        <x:v>Yes, subject to life-cycle safeguards</x:v>
      </x:c>
      <x:c r="N56" s="2" t="str">
        <x:v>Efficient server and network technology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6" s="2" t="str">
        <x:v>Efficient server and network technology: envelope assemblies, efficient equipment, sensors, actuators, meters and distribution systems.</x:v>
      </x:c>
      <x:c r="P56" s="2" t="str">
        <x:v>Efficient server and network technology: energy simulation, load calculation, control sequences, commissioning data and building management.</x:v>
      </x:c>
      <x:c r="Q56" s="2" t="str">
        <x:v>Efficient server and network technology: building codes, performance standards, procurement, commissioning, maintenance plans and occupant guidance.</x:v>
      </x:c>
      <x:c r="R56" s="2" t="str">
        <x:v>Efficient server and network technology: building fabric, plant rooms, electrical and water networks, access for maintenance and metering.</x:v>
      </x:c>
      <x:c r="S56" s="2" t="str">
        <x:v>Efficient server and network technology: electricity and thermal energy; peak demand, part-load efficiency and controls determine actual savings.</x:v>
      </x:c>
      <x:c r="T56" s="2" t="str">
        <x:v>Efficient server and network technology: insulation, glass, concrete, steel, timber, aluminium, copper, refrigerants and electronic components as applicable.</x:v>
      </x:c>
      <x:c r="U56" s="2" t="str">
        <x:v>Efficient server and network technology: filters, belts, seals, lamps or drivers, sensors, actuators, valves, control modules and envelope repair materials.</x:v>
      </x:c>
      <x:c r="V56" s="2" t="str">
        <x:v>https://www.ctc-n.org/sites/default/files/resources/ctcn_taxonomy_0.pdf</x:v>
      </x:c>
      <x:c r="W56" s="2" t="str">
        <x:v>https://institutoagricoladepueblobello.edu.co/colegiapp/archivostemas/GUIA%209.%5B25%5D.pdf</x:v>
      </x:c>
      <x:c r="X56" s="2" t="str">
        <x:v>https://iiasa.ac.at/what-is-technology</x:v>
      </x:c>
      <x:c r="Y56" s="2" t="str">
        <x:v>https://www.ipcc.ch/report/ar6/wg3/chapter/chapter-9/</x:v>
      </x:c>
      <x:c r="Z56" s="2" t="str">
        <x:v>Technology-specific analytical synthesis. The CTCN hierarchy is retained; classifications and component dependencies require validation against the selected design, site and supplier documentation before investment or policy use.</x:v>
      </x:c>
      <x:c r="AA56" s="2" t="str">
        <x:v>Physical deployment of Efficient server and network technology requires building fabric, plant rooms, electrical and water networks, access for maintenance and metering; interfaces, foundations, access and environmental protection are sized to the specific resource and design load.</x:v>
      </x:c>
      <x:c r="AB56" s="2" t="str">
        <x:v>For Efficient server and network technology, the hardware energy balance comprises electricity and thermal energy; peak demand, part-load efficiency and controls determine actual savings; metering must separate useful output, conversion losses and auxiliaries for the selected design.</x:v>
      </x:c>
      <x:c r="AC56" s="2" t="str">
        <x:v>Construction and operation use insulation, glass, concrete, steel, timber, aluminium, copper, refrigerants and electronic components as applicable. For Efficient server and network technology, specifications must include durability, compatibility, recycled content and recoverability.</x:v>
      </x:c>
      <x:c r="AD56" s="2" t="str">
        <x:v>Maintenance of Efficient server and network technology depends on filters, belts, seals, lamps or drivers, sensors, actuators, valves, control modules and envelope repair materials; critical spares are selected from failure-mode, lead-time and safety analysis for its installed configuration.</x:v>
      </x:c>
      <x:c r="AE56" s="2" t="str">
        <x:v>The software stack for Efficient server and network technology requires databases, secure communications, version-controlled models, computing, backup and interfaces with field or operational systems.</x:v>
      </x:c>
      <x:c r="AF56" s="2" t="str">
        <x:v>For Efficient server and network technology, software-related energy is electricity for sensing, computing, storage, communication and cooling; it is normally secondary but must be included for data-intensive or continuous services.</x:v>
      </x:c>
      <x:c r="AG56" s="2" t="str">
        <x:v>The non-physical inputs are calibrated data, metadata, algorithms, boundary conditions, emission or hazard factors, manuals and validation records specific to Efficient server and network technology.</x:v>
      </x:c>
      <x:c r="AH56" s="2" t="str">
        <x:v>Software continuity for Efficient server and network technology requires licences where applicable, updates, cybersecurity patches, backups, calibration files, model validation and technical support.</x:v>
      </x:c>
      <x:c r="AI56" s="2" t="str">
        <x:v>Orgware depends on the institutions, laboratories, training providers, regulators, operators and community interfaces needed to govern Efficient server and network technology.</x:v>
      </x:c>
      <x:c r="AJ56" s="2" t="str">
        <x:v>The orgware supporting Efficient server and network technology has mainly indirect energy use from offices, meetings, training and information systems; travel and field supervision may be material at dispersed sites.</x:v>
      </x:c>
      <x:c r="AK56" s="2" t="str">
        <x:v>Its organisational inputs are permits, budgets, trained staff, competence records, contracts, procedures, safeguards, monitoring evidence and stakeholder agreements tailored to Efficient server and network technology.</x:v>
      </x:c>
      <x:c r="AL56" s="2" t="str">
        <x:v>Sustained implementation of Efficient server and network technology requires procurement and service contracts, audit protocols, training material, reporting templates, insurance or guarantees and periodic independent review.</x:v>
      </x:c>
      <x:c r="AM56" s="2" t="str">
        <x:v>Iron ore / steel inputs; Copper; Tin; Tantalum</x:v>
      </x:c>
      <x:c r="AN56" s="2" t="str">
        <x:v>Australia; Brazil; China; Chile; Democratic Republic of the Congo; Peru; Indonesia; Myanmar; Rwanda; Nigeria</x:v>
      </x:c>
      <x:c r="AO56" s="2" t="str">
        <x:v>China; India; Japan; Chile; Democratic Republic of the Congo; Indonesia; Malaysia; Germany; United States</x:v>
      </x:c>
      <x:c r="AP56" s="2" t="str">
        <x:v>Efficient server and network technology: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6" s="2" t="str">
        <x:v>2024–2025</x:v>
      </x:c>
      <x:c r="AR56" s="2" t="str">
        <x:v>https://pubs.usgs.gov/periodicals/mcs2026/mcs2026.pdf</x:v>
      </x:c>
    </x:row>
    <x:row r="57" ht="240" customHeight="1">
      <x:c r="A57" s="2" t="str">
        <x:v>MIT-0050</x:v>
      </x:c>
      <x:c r="B57" s="2" t="str">
        <x:v>Mitigation</x:v>
      </x:c>
      <x:c r="C57" s="2" t="str">
        <x:v>Energy efficiency</x:v>
      </x:c>
      <x:c r="D57" s="2" t="str">
        <x:v>Appliances and equipment</x:v>
      </x:c>
      <x:c r="E57" s="2" t="str">
        <x:v>Improved cook stoves</x:v>
      </x:c>
      <x:c r="F57" s="2" t="str">
        <x:v>Improved cook stoves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Improved cook stoves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7" s="2" t="str">
        <x:v>Mixed: adaptable design, site-specific implementation</x:v>
      </x:c>
      <x:c r="H57" s="2" t="str">
        <x:v>Improved cook stoves is adaptable in capacity and configuration but site-specific in final engineering. Its principle remains the same, but resource quality, climate, scale, interfaces and safety constraints must be recalculated for each deployment.</x:v>
      </x:c>
      <x:c r="I57" s="2" t="str">
        <x:v>Primarily hard, with a soft component</x:v>
      </x:c>
      <x:c r="J57" s="2" t="str">
        <x:v>Improved cook stoves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7" s="2" t="str">
        <x:v>Equipment and operation</x:v>
      </x:c>
      <x:c r="L57" s="2" t="str">
        <x:v>Improved cook stoves is embodied mainly as an equipment-and-operation system. The deliverable is accepted only when measurable service, quality, safety and climate-performance criteria are met under real conditions.</x:v>
      </x:c>
      <x:c r="M57" s="2" t="str">
        <x:v>Yes, subject to life-cycle safeguards</x:v>
      </x:c>
      <x:c r="N57" s="2" t="str">
        <x:v>Improved cook stoves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7" s="2" t="str">
        <x:v>Improved cook stoves: envelope assemblies, efficient equipment, sensors, actuators, meters and distribution systems.</x:v>
      </x:c>
      <x:c r="P57" s="2" t="str">
        <x:v>Improved cook stoves: energy simulation, load calculation, control sequences, commissioning data and building management.</x:v>
      </x:c>
      <x:c r="Q57" s="2" t="str">
        <x:v>Improved cook stoves: building codes, performance standards, procurement, commissioning, maintenance plans and occupant guidance.</x:v>
      </x:c>
      <x:c r="R57" s="2" t="str">
        <x:v>Improved cook stoves: building fabric, plant rooms, electrical and water networks, access for maintenance and metering.</x:v>
      </x:c>
      <x:c r="S57" s="2" t="str">
        <x:v>Improved cook stoves: electricity and thermal energy; peak demand, part-load efficiency and controls determine actual savings.</x:v>
      </x:c>
      <x:c r="T57" s="2" t="str">
        <x:v>Improved cook stoves: insulation, glass, concrete, steel, timber, aluminium, copper, refrigerants and electronic components as applicable.</x:v>
      </x:c>
      <x:c r="U57" s="2" t="str">
        <x:v>Improved cook stoves: filters, belts, seals, lamps or drivers, sensors, actuators, valves, control modules and envelope repair materials.</x:v>
      </x:c>
      <x:c r="V57" s="2" t="str">
        <x:v>https://www.ctc-n.org/sites/default/files/resources/ctcn_taxonomy_0.pdf</x:v>
      </x:c>
      <x:c r="W57" s="2" t="str">
        <x:v>https://institutoagricoladepueblobello.edu.co/colegiapp/archivostemas/GUIA%209.%5B25%5D.pdf</x:v>
      </x:c>
      <x:c r="X57" s="2" t="str">
        <x:v>https://iiasa.ac.at/what-is-technology</x:v>
      </x:c>
      <x:c r="Y57" s="2" t="str">
        <x:v>https://www.ipcc.ch/report/ar6/wg3/chapter/chapter-9/</x:v>
      </x:c>
      <x:c r="Z57" s="2" t="str">
        <x:v>Technology-specific analytical synthesis. The CTCN hierarchy is retained; classifications and component dependencies require validation against the selected design, site and supplier documentation before investment or policy use.</x:v>
      </x:c>
      <x:c r="AA57" s="2" t="str">
        <x:v>Physical deployment of Improved cook stoves requires building fabric, plant rooms, electrical and water networks, access for maintenance and metering; interfaces, foundations, access and environmental protection are sized to the specific resource and design load.</x:v>
      </x:c>
      <x:c r="AB57" s="2" t="str">
        <x:v>For Improved cook stoves, the hardware energy balance comprises electricity and thermal energy; peak demand, part-load efficiency and controls determine actual savings; metering must separate useful output, conversion losses and auxiliaries for the selected design.</x:v>
      </x:c>
      <x:c r="AC57" s="2" t="str">
        <x:v>Construction and operation use insulation, glass, concrete, steel, timber, aluminium, copper, refrigerants and electronic components as applicable. For Improved cook stoves, specifications must include durability, compatibility, recycled content and recoverability.</x:v>
      </x:c>
      <x:c r="AD57" s="2" t="str">
        <x:v>Maintenance of Improved cook stoves depends on filters, belts, seals, lamps or drivers, sensors, actuators, valves, control modules and envelope repair materials; critical spares are selected from failure-mode, lead-time and safety analysis for its installed configuration.</x:v>
      </x:c>
      <x:c r="AE57" s="2" t="str">
        <x:v>The software stack for Improved cook stoves requires databases, secure communications, version-controlled models, computing, backup and interfaces with field or operational systems.</x:v>
      </x:c>
      <x:c r="AF57" s="2" t="str">
        <x:v>For Improved cook stoves, software-related energy is electricity for sensing, computing, storage, communication and cooling; it is normally secondary but must be included for data-intensive or continuous services.</x:v>
      </x:c>
      <x:c r="AG57" s="2" t="str">
        <x:v>The non-physical inputs are calibrated data, metadata, algorithms, boundary conditions, emission or hazard factors, manuals and validation records specific to Improved cook stoves.</x:v>
      </x:c>
      <x:c r="AH57" s="2" t="str">
        <x:v>Software continuity for Improved cook stoves requires licences where applicable, updates, cybersecurity patches, backups, calibration files, model validation and technical support.</x:v>
      </x:c>
      <x:c r="AI57" s="2" t="str">
        <x:v>Orgware depends on the institutions, laboratories, training providers, regulators, operators and community interfaces needed to govern Improved cook stoves.</x:v>
      </x:c>
      <x:c r="AJ57" s="2" t="str">
        <x:v>The orgware supporting Improved cook stoves has mainly indirect energy use from offices, meetings, training and information systems; travel and field supervision may be material at dispersed sites.</x:v>
      </x:c>
      <x:c r="AK57" s="2" t="str">
        <x:v>Its organisational inputs are permits, budgets, trained staff, competence records, contracts, procedures, safeguards, monitoring evidence and stakeholder agreements tailored to Improved cook stoves.</x:v>
      </x:c>
      <x:c r="AL57" s="2" t="str">
        <x:v>Sustained implementation of Improved cook stoves requires procurement and service contracts, audit protocols, training material, reporting templates, insurance or guarantees and periodic independent review.</x:v>
      </x:c>
      <x:c r="AM57" s="2" t="str">
        <x:v>Iron ore / steel inputs</x:v>
      </x:c>
      <x:c r="AN57" s="2" t="str">
        <x:v>Australia; Brazil; China</x:v>
      </x:c>
      <x:c r="AO57" s="2" t="str">
        <x:v>China; India; Japan</x:v>
      </x:c>
      <x:c r="AP57" s="2" t="str">
        <x:v>Improved cook stoves: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7" s="2" t="str">
        <x:v>2024–2025</x:v>
      </x:c>
      <x:c r="AR57" s="2" t="str">
        <x:v>https://pubs.usgs.gov/periodicals/mcs2026/mcs2026.pdf</x:v>
      </x:c>
    </x:row>
    <x:row r="58" ht="240" customHeight="1">
      <x:c r="A58" s="2" t="str">
        <x:v>MIT-0051</x:v>
      </x:c>
      <x:c r="B58" s="2" t="str">
        <x:v>Mitigation</x:v>
      </x:c>
      <x:c r="C58" s="2" t="str">
        <x:v>Energy efficiency</x:v>
      </x:c>
      <x:c r="D58" s="2" t="str">
        <x:v>Appliances and equipment</x:v>
      </x:c>
      <x:c r="E58" s="2" t="str">
        <x:v>Fuel cell technologies</x:v>
      </x:c>
      <x:c r="F58" s="2" t="str">
        <x:v>Fuel cell technologies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Fuel cell technologies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8" s="2" t="str">
        <x:v>Mixed: adaptable design, site-specific implementation</x:v>
      </x:c>
      <x:c r="H58" s="2" t="str">
        <x:v>Fuel cell technologies is adaptable in capacity and configuration but site-specific in final engineering. Its principle remains the same, but resource quality, climate, scale, interfaces and safety constraints must be recalculated for each deployment.</x:v>
      </x:c>
      <x:c r="I58" s="2" t="str">
        <x:v>Primarily hard, with a soft component</x:v>
      </x:c>
      <x:c r="J58" s="2" t="str">
        <x:v>Fuel cell technologies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8" s="2" t="str">
        <x:v>Equipment and operation</x:v>
      </x:c>
      <x:c r="L58" s="2" t="str">
        <x:v>Fuel cell technologies is embodied mainly as an equipment-and-operation system. The deliverable is accepted only when measurable service, quality, safety and climate-performance criteria are met under real conditions.</x:v>
      </x:c>
      <x:c r="M58" s="2" t="str">
        <x:v>Yes, subject to life-cycle safeguards</x:v>
      </x:c>
      <x:c r="N58" s="2" t="str">
        <x:v>Fuel cell technologies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8" s="2" t="str">
        <x:v>Fuel cell technologies: envelope assemblies, efficient equipment, sensors, actuators, meters and distribution systems.</x:v>
      </x:c>
      <x:c r="P58" s="2" t="str">
        <x:v>Fuel cell technologies: energy simulation, load calculation, control sequences, commissioning data and building management.</x:v>
      </x:c>
      <x:c r="Q58" s="2" t="str">
        <x:v>Fuel cell technologies: building codes, performance standards, procurement, commissioning, maintenance plans and occupant guidance.</x:v>
      </x:c>
      <x:c r="R58" s="2" t="str">
        <x:v>Fuel cell technologies: building fabric, plant rooms, electrical and water networks, access for maintenance and metering.</x:v>
      </x:c>
      <x:c r="S58" s="2" t="str">
        <x:v>Fuel cell technologies: electricity and thermal energy; peak demand, part-load efficiency and controls determine actual savings.</x:v>
      </x:c>
      <x:c r="T58" s="2" t="str">
        <x:v>Fuel cell technologies: insulation, glass, concrete, steel, timber, aluminium, copper, refrigerants and electronic components as applicable.</x:v>
      </x:c>
      <x:c r="U58" s="2" t="str">
        <x:v>Fuel cell technologies: filters, belts, seals, lamps or drivers, sensors, actuators, valves, control modules and envelope repair materials.</x:v>
      </x:c>
      <x:c r="V58" s="2" t="str">
        <x:v>https://www.ctc-n.org/sites/default/files/resources/ctcn_taxonomy_0.pdf</x:v>
      </x:c>
      <x:c r="W58" s="2" t="str">
        <x:v>https://institutoagricoladepueblobello.edu.co/colegiapp/archivostemas/GUIA%209.%5B25%5D.pdf</x:v>
      </x:c>
      <x:c r="X58" s="2" t="str">
        <x:v>https://iiasa.ac.at/what-is-technology</x:v>
      </x:c>
      <x:c r="Y58" s="2" t="str">
        <x:v>https://www.ipcc.ch/report/ar6/wg3/chapter/chapter-9/</x:v>
      </x:c>
      <x:c r="Z58" s="2" t="str">
        <x:v>Technology-specific analytical synthesis. The CTCN hierarchy is retained; classifications and component dependencies require validation against the selected design, site and supplier documentation before investment or policy use.</x:v>
      </x:c>
      <x:c r="AA58" s="2" t="str">
        <x:v>Physical deployment of Fuel cell technologies requires building fabric, plant rooms, electrical and water networks, access for maintenance and metering; interfaces, foundations, access and environmental protection are sized to the specific resource and design load.</x:v>
      </x:c>
      <x:c r="AB58" s="2" t="str">
        <x:v>For Fuel cell technologies, the hardware energy balance comprises electricity and thermal energy; peak demand, part-load efficiency and controls determine actual savings; metering must separate useful output, conversion losses and auxiliaries for the selected design.</x:v>
      </x:c>
      <x:c r="AC58" s="2" t="str">
        <x:v>Construction and operation use insulation, glass, concrete, steel, timber, aluminium, copper, refrigerants and electronic components as applicable. For Fuel cell technologies, specifications must include durability, compatibility, recycled content and recoverability.</x:v>
      </x:c>
      <x:c r="AD58" s="2" t="str">
        <x:v>Maintenance of Fuel cell technologies depends on filters, belts, seals, lamps or drivers, sensors, actuators, valves, control modules and envelope repair materials; critical spares are selected from failure-mode, lead-time and safety analysis for its installed configuration.</x:v>
      </x:c>
      <x:c r="AE58" s="2" t="str">
        <x:v>The software stack for Fuel cell technologies requires databases, secure communications, version-controlled models, computing, backup and interfaces with field or operational systems.</x:v>
      </x:c>
      <x:c r="AF58" s="2" t="str">
        <x:v>For Fuel cell technologies, software-related energy is electricity for sensing, computing, storage, communication and cooling; it is normally secondary but must be included for data-intensive or continuous services.</x:v>
      </x:c>
      <x:c r="AG58" s="2" t="str">
        <x:v>The non-physical inputs are calibrated data, metadata, algorithms, boundary conditions, emission or hazard factors, manuals and validation records specific to Fuel cell technologies.</x:v>
      </x:c>
      <x:c r="AH58" s="2" t="str">
        <x:v>Software continuity for Fuel cell technologies requires licences where applicable, updates, cybersecurity patches, backups, calibration files, model validation and technical support.</x:v>
      </x:c>
      <x:c r="AI58" s="2" t="str">
        <x:v>Orgware depends on the institutions, laboratories, training providers, regulators, operators and community interfaces needed to govern Fuel cell technologies.</x:v>
      </x:c>
      <x:c r="AJ58" s="2" t="str">
        <x:v>The orgware supporting Fuel cell technologies has mainly indirect energy use from offices, meetings, training and information systems; travel and field supervision may be material at dispersed sites.</x:v>
      </x:c>
      <x:c r="AK58" s="2" t="str">
        <x:v>Its organisational inputs are permits, budgets, trained staff, competence records, contracts, procedures, safeguards, monitoring evidence and stakeholder agreements tailored to Fuel cell technologies.</x:v>
      </x:c>
      <x:c r="AL58" s="2" t="str">
        <x:v>Sustained implementation of Fuel cell technologies requires procurement and service contracts, audit protocols, training material, reporting templates, insurance or guarantees and periodic independent review.</x:v>
      </x:c>
      <x:c r="AM58" s="2" t="str">
        <x:v>Iron ore / steel inputs; Copper; Tin; Platinum-group metals</x:v>
      </x:c>
      <x:c r="AN58" s="2" t="str">
        <x:v>Australia; Brazil; China; Chile; Democratic Republic of the Congo; Peru; Indonesia; Myanmar; South Africa; Russia; Zimbabwe</x:v>
      </x:c>
      <x:c r="AO58" s="2" t="str">
        <x:v>China; India; Japan; Chile; Democratic Republic of the Congo; Indonesia; Malaysia; South Africa; Russia; Germany</x:v>
      </x:c>
      <x:c r="AP58" s="2" t="str">
        <x:v>Fuel cell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8" s="2" t="str">
        <x:v>2024–2025</x:v>
      </x:c>
      <x:c r="AR58" s="2" t="str">
        <x:v>https://pubs.usgs.gov/periodicals/mcs2026/mcs2026.pdf</x:v>
      </x:c>
    </x:row>
    <x:row r="59" ht="240" customHeight="1">
      <x:c r="A59" s="2" t="str">
        <x:v>MIT-0052</x:v>
      </x:c>
      <x:c r="B59" s="2" t="str">
        <x:v>Mitigation</x:v>
      </x:c>
      <x:c r="C59" s="2" t="str">
        <x:v>Energy efficiency</x:v>
      </x:c>
      <x:c r="D59" s="2" t="str">
        <x:v>Appliances and equipment</x:v>
      </x:c>
      <x:c r="E59" s="2" t="str">
        <x:v>Appliances</x:v>
      </x:c>
      <x:c r="F59" s="2" t="str">
        <x:v>Appliances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Appliances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9" s="2" t="str">
        <x:v>Mixed: adaptable design, site-specific implementation</x:v>
      </x:c>
      <x:c r="H59" s="2" t="str">
        <x:v>Appliances is adaptable in capacity and configuration but site-specific in final engineering. Its principle remains the same, but resource quality, climate, scale, interfaces and safety constraints must be recalculated for each deployment.</x:v>
      </x:c>
      <x:c r="I59" s="2" t="str">
        <x:v>Primarily hard, with a soft component</x:v>
      </x:c>
      <x:c r="J59" s="2" t="str">
        <x:v>Appliances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9" s="2" t="str">
        <x:v>Equipment and operation</x:v>
      </x:c>
      <x:c r="L59" s="2" t="str">
        <x:v>Appliances is embodied mainly as an equipment-and-operation system. The deliverable is accepted only when measurable service, quality, safety and climate-performance criteria are met under real conditions.</x:v>
      </x:c>
      <x:c r="M59" s="2" t="str">
        <x:v>Yes, subject to life-cycle safeguards</x:v>
      </x:c>
      <x:c r="N59" s="2" t="str">
        <x:v>Appliances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9" s="2" t="str">
        <x:v>Appliances: envelope assemblies, efficient equipment, sensors, actuators, meters and distribution systems.</x:v>
      </x:c>
      <x:c r="P59" s="2" t="str">
        <x:v>Appliances: energy simulation, load calculation, control sequences, commissioning data and building management.</x:v>
      </x:c>
      <x:c r="Q59" s="2" t="str">
        <x:v>Appliances: building codes, performance standards, procurement, commissioning, maintenance plans and occupant guidance.</x:v>
      </x:c>
      <x:c r="R59" s="2" t="str">
        <x:v>Appliances: building fabric, plant rooms, electrical and water networks, access for maintenance and metering.</x:v>
      </x:c>
      <x:c r="S59" s="2" t="str">
        <x:v>Appliances: electricity and thermal energy; peak demand, part-load efficiency and controls determine actual savings.</x:v>
      </x:c>
      <x:c r="T59" s="2" t="str">
        <x:v>Appliances: insulation, glass, concrete, steel, timber, aluminium, copper, refrigerants and electronic components as applicable.</x:v>
      </x:c>
      <x:c r="U59" s="2" t="str">
        <x:v>Appliances: filters, belts, seals, lamps or drivers, sensors, actuators, valves, control modules and envelope repair materials.</x:v>
      </x:c>
      <x:c r="V59" s="2" t="str">
        <x:v>https://www.ctc-n.org/sites/default/files/resources/ctcn_taxonomy_0.pdf</x:v>
      </x:c>
      <x:c r="W59" s="2" t="str">
        <x:v>https://institutoagricoladepueblobello.edu.co/colegiapp/archivostemas/GUIA%209.%5B25%5D.pdf</x:v>
      </x:c>
      <x:c r="X59" s="2" t="str">
        <x:v>https://iiasa.ac.at/what-is-technology</x:v>
      </x:c>
      <x:c r="Y59" s="2" t="str">
        <x:v>https://www.ipcc.ch/report/ar6/wg3/chapter/chapter-9/</x:v>
      </x:c>
      <x:c r="Z59" s="2" t="str">
        <x:v>Technology-specific analytical synthesis. The CTCN hierarchy is retained; classifications and component dependencies require validation against the selected design, site and supplier documentation before investment or policy use.</x:v>
      </x:c>
      <x:c r="AA59" s="2" t="str">
        <x:v>Physical deployment of Appliances requires building fabric, plant rooms, electrical and water networks, access for maintenance and metering; interfaces, foundations, access and environmental protection are sized to the specific resource and design load.</x:v>
      </x:c>
      <x:c r="AB59" s="2" t="str">
        <x:v>For Appliances, the hardware energy balance comprises electricity and thermal energy; peak demand, part-load efficiency and controls determine actual savings; metering must separate useful output, conversion losses and auxiliaries for the selected design.</x:v>
      </x:c>
      <x:c r="AC59" s="2" t="str">
        <x:v>Construction and operation use insulation, glass, concrete, steel, timber, aluminium, copper, refrigerants and electronic components as applicable. For Appliances, specifications must include durability, compatibility, recycled content and recoverability.</x:v>
      </x:c>
      <x:c r="AD59" s="2" t="str">
        <x:v>Maintenance of Appliances depends on filters, belts, seals, lamps or drivers, sensors, actuators, valves, control modules and envelope repair materials; critical spares are selected from failure-mode, lead-time and safety analysis for its installed configuration.</x:v>
      </x:c>
      <x:c r="AE59" s="2" t="str">
        <x:v>The software stack for Appliances requires databases, secure communications, version-controlled models, computing, backup and interfaces with field or operational systems.</x:v>
      </x:c>
      <x:c r="AF59" s="2" t="str">
        <x:v>For Appliances, software-related energy is electricity for sensing, computing, storage, communication and cooling; it is normally secondary but must be included for data-intensive or continuous services.</x:v>
      </x:c>
      <x:c r="AG59" s="2" t="str">
        <x:v>The non-physical inputs are calibrated data, metadata, algorithms, boundary conditions, emission or hazard factors, manuals and validation records specific to Appliances.</x:v>
      </x:c>
      <x:c r="AH59" s="2" t="str">
        <x:v>Software continuity for Appliances requires licences where applicable, updates, cybersecurity patches, backups, calibration files, model validation and technical support.</x:v>
      </x:c>
      <x:c r="AI59" s="2" t="str">
        <x:v>Orgware depends on the institutions, laboratories, training providers, regulators, operators and community interfaces needed to govern Appliances.</x:v>
      </x:c>
      <x:c r="AJ59" s="2" t="str">
        <x:v>The orgware supporting Appliances has mainly indirect energy use from offices, meetings, training and information systems; travel and field supervision may be material at dispersed sites.</x:v>
      </x:c>
      <x:c r="AK59" s="2" t="str">
        <x:v>Its organisational inputs are permits, budgets, trained staff, competence records, contracts, procedures, safeguards, monitoring evidence and stakeholder agreements tailored to Appliances.</x:v>
      </x:c>
      <x:c r="AL59" s="2" t="str">
        <x:v>Sustained implementation of Appliances requires procurement and service contracts, audit protocols, training material, reporting templates, insurance or guarantees and periodic independent review.</x:v>
      </x:c>
      <x:c r="AM59" s="2" t="str">
        <x:v>Iron ore / steel inputs</x:v>
      </x:c>
      <x:c r="AN59" s="2" t="str">
        <x:v>Australia; Brazil; China</x:v>
      </x:c>
      <x:c r="AO59" s="2" t="str">
        <x:v>China; India; Japan</x:v>
      </x:c>
      <x:c r="AP59" s="2" t="str">
        <x:v>Appliances: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9" s="2" t="str">
        <x:v>2024–2025</x:v>
      </x:c>
      <x:c r="AR59" s="2" t="str">
        <x:v>https://pubs.usgs.gov/periodicals/mcs2026/mcs2026.pdf</x:v>
      </x:c>
    </x:row>
    <x:row r="60" ht="240" customHeight="1">
      <x:c r="A60" s="2" t="str">
        <x:v>MIT-0053</x:v>
      </x:c>
      <x:c r="B60" s="2" t="str">
        <x:v>Mitigation</x:v>
      </x:c>
      <x:c r="C60" s="2" t="str">
        <x:v>Energy efficiency</x:v>
      </x:c>
      <x:c r="D60" s="2" t="str">
        <x:v>Appliances and equipment</x:v>
      </x:c>
      <x:c r="E60" s="2" t="str">
        <x:v>Water purification</x:v>
      </x:c>
      <x:c r="F60" s="2" t="str">
        <x:v>Water purification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Water purification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0" s="2" t="str">
        <x:v>Mixed: adaptable design, site-specific implementation</x:v>
      </x:c>
      <x:c r="H60" s="2" t="str">
        <x:v>Water purification is adaptable in capacity and configuration but site-specific in final engineering. Its principle remains the same, but resource quality, climate, scale, interfaces and safety constraints must be recalculated for each deployment.</x:v>
      </x:c>
      <x:c r="I60" s="2" t="str">
        <x:v>Primarily hard, with a soft component</x:v>
      </x:c>
      <x:c r="J60" s="2" t="str">
        <x:v>Water purification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0" s="2" t="str">
        <x:v>Equipment and operation</x:v>
      </x:c>
      <x:c r="L60" s="2" t="str">
        <x:v>Water purification is embodied mainly as an equipment-and-operation system. The deliverable is accepted only when measurable service, quality, safety and climate-performance criteria are met under real conditions.</x:v>
      </x:c>
      <x:c r="M60" s="2" t="str">
        <x:v>Yes, subject to life-cycle safeguards</x:v>
      </x:c>
      <x:c r="N60" s="2" t="str">
        <x:v>Water purification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0" s="2" t="str">
        <x:v>Water purification: envelope assemblies, efficient equipment, sensors, actuators, meters and distribution systems.</x:v>
      </x:c>
      <x:c r="P60" s="2" t="str">
        <x:v>Water purification: energy simulation, load calculation, control sequences, commissioning data and building management.</x:v>
      </x:c>
      <x:c r="Q60" s="2" t="str">
        <x:v>Water purification: building codes, performance standards, procurement, commissioning, maintenance plans and occupant guidance.</x:v>
      </x:c>
      <x:c r="R60" s="2" t="str">
        <x:v>Water purification: building fabric, plant rooms, electrical and water networks, access for maintenance and metering.</x:v>
      </x:c>
      <x:c r="S60" s="2" t="str">
        <x:v>Water purification: electricity and thermal energy; peak demand, part-load efficiency and controls determine actual savings.</x:v>
      </x:c>
      <x:c r="T60" s="2" t="str">
        <x:v>Water purification: insulation, glass, concrete, steel, timber, aluminium, copper, refrigerants and electronic components as applicable.</x:v>
      </x:c>
      <x:c r="U60" s="2" t="str">
        <x:v>Water purification: filters, belts, seals, lamps or drivers, sensors, actuators, valves, control modules and envelope repair materials.</x:v>
      </x:c>
      <x:c r="V60" s="2" t="str">
        <x:v>https://www.ctc-n.org/sites/default/files/resources/ctcn_taxonomy_0.pdf</x:v>
      </x:c>
      <x:c r="W60" s="2" t="str">
        <x:v>https://institutoagricoladepueblobello.edu.co/colegiapp/archivostemas/GUIA%209.%5B25%5D.pdf</x:v>
      </x:c>
      <x:c r="X60" s="2" t="str">
        <x:v>https://iiasa.ac.at/what-is-technology</x:v>
      </x:c>
      <x:c r="Y60" s="2" t="str">
        <x:v>https://www.ipcc.ch/report/ar6/wg3/chapter/chapter-9/</x:v>
      </x:c>
      <x:c r="Z60" s="2" t="str">
        <x:v>Technology-specific analytical synthesis. The CTCN hierarchy is retained; classifications and component dependencies require validation against the selected design, site and supplier documentation before investment or policy use.</x:v>
      </x:c>
      <x:c r="AA60" s="2" t="str">
        <x:v>Physical deployment of Water purification requires building fabric, plant rooms, electrical and water networks, access for maintenance and metering; interfaces, foundations, access and environmental protection are sized to the specific resource and design load.</x:v>
      </x:c>
      <x:c r="AB60" s="2" t="str">
        <x:v>For Water purification, the hardware energy balance comprises electricity and thermal energy; peak demand, part-load efficiency and controls determine actual savings; metering must separate useful output, conversion losses and auxiliaries for the selected design.</x:v>
      </x:c>
      <x:c r="AC60" s="2" t="str">
        <x:v>Construction and operation use insulation, glass, concrete, steel, timber, aluminium, copper, refrigerants and electronic components as applicable. For Water purification, specifications must include durability, compatibility, recycled content and recoverability.</x:v>
      </x:c>
      <x:c r="AD60" s="2" t="str">
        <x:v>Maintenance of Water purification depends on filters, belts, seals, lamps or drivers, sensors, actuators, valves, control modules and envelope repair materials; critical spares are selected from failure-mode, lead-time and safety analysis for its installed configuration.</x:v>
      </x:c>
      <x:c r="AE60" s="2" t="str">
        <x:v>The software stack for Water purification requires databases, secure communications, version-controlled models, computing, backup and interfaces with field or operational systems.</x:v>
      </x:c>
      <x:c r="AF60" s="2" t="str">
        <x:v>For Water purification, software-related energy is electricity for sensing, computing, storage, communication and cooling; it is normally secondary but must be included for data-intensive or continuous services.</x:v>
      </x:c>
      <x:c r="AG60" s="2" t="str">
        <x:v>The non-physical inputs are calibrated data, metadata, algorithms, boundary conditions, emission or hazard factors, manuals and validation records specific to Water purification.</x:v>
      </x:c>
      <x:c r="AH60" s="2" t="str">
        <x:v>Software continuity for Water purification requires licences where applicable, updates, cybersecurity patches, backups, calibration files, model validation and technical support.</x:v>
      </x:c>
      <x:c r="AI60" s="2" t="str">
        <x:v>Orgware depends on the institutions, laboratories, training providers, regulators, operators and community interfaces needed to govern Water purification.</x:v>
      </x:c>
      <x:c r="AJ60" s="2" t="str">
        <x:v>The orgware supporting Water purification has mainly indirect energy use from offices, meetings, training and information systems; travel and field supervision may be material at dispersed sites.</x:v>
      </x:c>
      <x:c r="AK60" s="2" t="str">
        <x:v>Its organisational inputs are permits, budgets, trained staff, competence records, contracts, procedures, safeguards, monitoring evidence and stakeholder agreements tailored to Water purification.</x:v>
      </x:c>
      <x:c r="AL60" s="2" t="str">
        <x:v>Sustained implementation of Water purification requires procurement and service contracts, audit protocols, training material, reporting templates, insurance or guarantees and periodic independent review.</x:v>
      </x:c>
      <x:c r="AM60" s="2" t="str">
        <x:v>Iron ore / steel inputs</x:v>
      </x:c>
      <x:c r="AN60" s="2" t="str">
        <x:v>Australia; Brazil; China</x:v>
      </x:c>
      <x:c r="AO60" s="2" t="str">
        <x:v>China; India; Japan</x:v>
      </x:c>
      <x:c r="AP60" s="2" t="str">
        <x:v>Water purification: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0" s="2" t="str">
        <x:v>2024–2025</x:v>
      </x:c>
      <x:c r="AR60" s="2" t="str">
        <x:v>https://pubs.usgs.gov/periodicals/mcs2026/mcs2026.pdf</x:v>
      </x:c>
    </x:row>
    <x:row r="61" ht="240" customHeight="1">
      <x:c r="A61" s="2" t="str">
        <x:v>MIT-0054</x:v>
      </x:c>
      <x:c r="B61" s="2" t="str">
        <x:v>Mitigation</x:v>
      </x:c>
      <x:c r="C61" s="2" t="str">
        <x:v>Energy efficiency</x:v>
      </x:c>
      <x:c r="D61" s="2" t="str">
        <x:v>Appliances and equipment</x:v>
      </x:c>
      <x:c r="E61" s="2" t="str">
        <x:v>Energy labelling</x:v>
      </x:c>
      <x:c r="F61" s="2" t="str">
        <x:v>Energy labelling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Energy labelling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1" s="2" t="str">
        <x:v>Mixed: adaptable design, site-specific implementation</x:v>
      </x:c>
      <x:c r="H61" s="2" t="str">
        <x:v>Energy labelling is adaptable in capacity and configuration but site-specific in final engineering. Its principle remains the same, but resource quality, climate, scale, interfaces and safety constraints must be recalculated for each deployment.</x:v>
      </x:c>
      <x:c r="I61" s="2" t="str">
        <x:v>Primarily hard, with a soft component</x:v>
      </x:c>
      <x:c r="J61" s="2" t="str">
        <x:v>Energy labelling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1" s="2" t="str">
        <x:v>Equipment and operation</x:v>
      </x:c>
      <x:c r="L61" s="2" t="str">
        <x:v>Energy labelling is embodied mainly as an equipment-and-operation system. The deliverable is accepted only when measurable service, quality, safety and climate-performance criteria are met under real conditions.</x:v>
      </x:c>
      <x:c r="M61" s="2" t="str">
        <x:v>Yes, subject to life-cycle safeguards</x:v>
      </x:c>
      <x:c r="N61" s="2" t="str">
        <x:v>Energy labelling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1" s="2" t="str">
        <x:v>Energy labelling: envelope assemblies, efficient equipment, sensors, actuators, meters and distribution systems.</x:v>
      </x:c>
      <x:c r="P61" s="2" t="str">
        <x:v>Energy labelling: energy simulation, load calculation, control sequences, commissioning data and building management.</x:v>
      </x:c>
      <x:c r="Q61" s="2" t="str">
        <x:v>Energy labelling: building codes, performance standards, procurement, commissioning, maintenance plans and occupant guidance.</x:v>
      </x:c>
      <x:c r="R61" s="2" t="str">
        <x:v>Energy labelling: building fabric, plant rooms, electrical and water networks, access for maintenance and metering.</x:v>
      </x:c>
      <x:c r="S61" s="2" t="str">
        <x:v>Energy labelling: electricity and thermal energy; peak demand, part-load efficiency and controls determine actual savings.</x:v>
      </x:c>
      <x:c r="T61" s="2" t="str">
        <x:v>Energy labelling: insulation, glass, concrete, steel, timber, aluminium, copper, refrigerants and electronic components as applicable.</x:v>
      </x:c>
      <x:c r="U61" s="2" t="str">
        <x:v>Energy labelling: filters, belts, seals, lamps or drivers, sensors, actuators, valves, control modules and envelope repair materials.</x:v>
      </x:c>
      <x:c r="V61" s="2" t="str">
        <x:v>https://www.ctc-n.org/sites/default/files/resources/ctcn_taxonomy_0.pdf</x:v>
      </x:c>
      <x:c r="W61" s="2" t="str">
        <x:v>https://institutoagricoladepueblobello.edu.co/colegiapp/archivostemas/GUIA%209.%5B25%5D.pdf</x:v>
      </x:c>
      <x:c r="X61" s="2" t="str">
        <x:v>https://iiasa.ac.at/what-is-technology</x:v>
      </x:c>
      <x:c r="Y61" s="2" t="str">
        <x:v>https://www.ipcc.ch/report/ar6/wg3/chapter/chapter-9/</x:v>
      </x:c>
      <x:c r="Z61" s="2" t="str">
        <x:v>Technology-specific analytical synthesis. The CTCN hierarchy is retained; classifications and component dependencies require validation against the selected design, site and supplier documentation before investment or policy use.</x:v>
      </x:c>
      <x:c r="AA61" s="2" t="str">
        <x:v>Physical deployment of Energy labelling requires building fabric, plant rooms, electrical and water networks, access for maintenance and metering; interfaces, foundations, access and environmental protection are sized to the specific resource and design load.</x:v>
      </x:c>
      <x:c r="AB61" s="2" t="str">
        <x:v>For Energy labelling, the hardware energy balance comprises electricity and thermal energy; peak demand, part-load efficiency and controls determine actual savings; metering must separate useful output, conversion losses and auxiliaries for the selected design.</x:v>
      </x:c>
      <x:c r="AC61" s="2" t="str">
        <x:v>Construction and operation use insulation, glass, concrete, steel, timber, aluminium, copper, refrigerants and electronic components as applicable. For Energy labelling, specifications must include durability, compatibility, recycled content and recoverability.</x:v>
      </x:c>
      <x:c r="AD61" s="2" t="str">
        <x:v>Maintenance of Energy labelling depends on filters, belts, seals, lamps or drivers, sensors, actuators, valves, control modules and envelope repair materials; critical spares are selected from failure-mode, lead-time and safety analysis for its installed configuration.</x:v>
      </x:c>
      <x:c r="AE61" s="2" t="str">
        <x:v>The software stack for Energy labelling requires databases, secure communications, version-controlled models, computing, backup and interfaces with field or operational systems.</x:v>
      </x:c>
      <x:c r="AF61" s="2" t="str">
        <x:v>For Energy labelling, software-related energy is electricity for sensing, computing, storage, communication and cooling; it is normally secondary but must be included for data-intensive or continuous services.</x:v>
      </x:c>
      <x:c r="AG61" s="2" t="str">
        <x:v>The non-physical inputs are calibrated data, metadata, algorithms, boundary conditions, emission or hazard factors, manuals and validation records specific to Energy labelling.</x:v>
      </x:c>
      <x:c r="AH61" s="2" t="str">
        <x:v>Software continuity for Energy labelling requires licences where applicable, updates, cybersecurity patches, backups, calibration files, model validation and technical support.</x:v>
      </x:c>
      <x:c r="AI61" s="2" t="str">
        <x:v>Orgware depends on the institutions, laboratories, training providers, regulators, operators and community interfaces needed to govern Energy labelling.</x:v>
      </x:c>
      <x:c r="AJ61" s="2" t="str">
        <x:v>The orgware supporting Energy labelling has mainly indirect energy use from offices, meetings, training and information systems; travel and field supervision may be material at dispersed sites.</x:v>
      </x:c>
      <x:c r="AK61" s="2" t="str">
        <x:v>Its organisational inputs are permits, budgets, trained staff, competence records, contracts, procedures, safeguards, monitoring evidence and stakeholder agreements tailored to Energy labelling.</x:v>
      </x:c>
      <x:c r="AL61" s="2" t="str">
        <x:v>Sustained implementation of Energy labelling requires procurement and service contracts, audit protocols, training material, reporting templates, insurance or guarantees and periodic independent review.</x:v>
      </x:c>
      <x:c r="AM61" s="2" t="str">
        <x:v>Iron ore / steel inputs</x:v>
      </x:c>
      <x:c r="AN61" s="2" t="str">
        <x:v>Australia; Brazil; China</x:v>
      </x:c>
      <x:c r="AO61" s="2" t="str">
        <x:v>China; India; Japan</x:v>
      </x:c>
      <x:c r="AP61" s="2" t="str">
        <x:v>Energy labelling: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1" s="2" t="str">
        <x:v>2024–2025</x:v>
      </x:c>
      <x:c r="AR61" s="2" t="str">
        <x:v>https://pubs.usgs.gov/periodicals/mcs2026/mcs2026.pdf</x:v>
      </x:c>
    </x:row>
    <x:row r="62" ht="240" customHeight="1">
      <x:c r="A62" s="2" t="str">
        <x:v>MIT-0055</x:v>
      </x:c>
      <x:c r="B62" s="2" t="str">
        <x:v>Mitigation</x:v>
      </x:c>
      <x:c r="C62" s="2" t="str">
        <x:v>Energy efficiency</x:v>
      </x:c>
      <x:c r="D62" s="2" t="str">
        <x:v>Appliances and equipment</x:v>
      </x:c>
      <x:c r="E62" s="2" t="str">
        <x:v>Water pumping</x:v>
      </x:c>
      <x:c r="F62" s="2" t="str">
        <x:v>Water pumping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Water pumping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2" s="2" t="str">
        <x:v>Mixed: adaptable design, site-specific implementation</x:v>
      </x:c>
      <x:c r="H62" s="2" t="str">
        <x:v>Water pumping is adaptable in capacity and configuration but site-specific in final engineering. Its principle remains the same, but resource quality, climate, scale, interfaces and safety constraints must be recalculated for each deployment.</x:v>
      </x:c>
      <x:c r="I62" s="2" t="str">
        <x:v>Primarily hard, with a soft component</x:v>
      </x:c>
      <x:c r="J62" s="2" t="str">
        <x:v>Water pumping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2" s="2" t="str">
        <x:v>Equipment and operation</x:v>
      </x:c>
      <x:c r="L62" s="2" t="str">
        <x:v>Water pumping is embodied mainly as an equipment-and-operation system. The deliverable is accepted only when measurable service, quality, safety and climate-performance criteria are met under real conditions.</x:v>
      </x:c>
      <x:c r="M62" s="2" t="str">
        <x:v>Yes, subject to life-cycle safeguards</x:v>
      </x:c>
      <x:c r="N62" s="2" t="str">
        <x:v>Water pumping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2" s="2" t="str">
        <x:v>Water pumping: envelope assemblies, efficient equipment, sensors, actuators, meters and distribution systems.</x:v>
      </x:c>
      <x:c r="P62" s="2" t="str">
        <x:v>Water pumping: energy simulation, load calculation, control sequences, commissioning data and building management.</x:v>
      </x:c>
      <x:c r="Q62" s="2" t="str">
        <x:v>Water pumping: building codes, performance standards, procurement, commissioning, maintenance plans and occupant guidance.</x:v>
      </x:c>
      <x:c r="R62" s="2" t="str">
        <x:v>Water pumping: building fabric, plant rooms, electrical and water networks, access for maintenance and metering.</x:v>
      </x:c>
      <x:c r="S62" s="2" t="str">
        <x:v>Water pumping: electricity and thermal energy; peak demand, part-load efficiency and controls determine actual savings.</x:v>
      </x:c>
      <x:c r="T62" s="2" t="str">
        <x:v>Water pumping: insulation, glass, concrete, steel, timber, aluminium, copper, refrigerants and electronic components as applicable.</x:v>
      </x:c>
      <x:c r="U62" s="2" t="str">
        <x:v>Water pumping: filters, belts, seals, lamps or drivers, sensors, actuators, valves, control modules and envelope repair materials.</x:v>
      </x:c>
      <x:c r="V62" s="2" t="str">
        <x:v>https://www.ctc-n.org/sites/default/files/resources/ctcn_taxonomy_0.pdf</x:v>
      </x:c>
      <x:c r="W62" s="2" t="str">
        <x:v>https://institutoagricoladepueblobello.edu.co/colegiapp/archivostemas/GUIA%209.%5B25%5D.pdf</x:v>
      </x:c>
      <x:c r="X62" s="2" t="str">
        <x:v>https://iiasa.ac.at/what-is-technology</x:v>
      </x:c>
      <x:c r="Y62" s="2" t="str">
        <x:v>https://www.ipcc.ch/report/ar6/wg3/chapter/chapter-9/</x:v>
      </x:c>
      <x:c r="Z62" s="2" t="str">
        <x:v>Technology-specific analytical synthesis. The CTCN hierarchy is retained; classifications and component dependencies require validation against the selected design, site and supplier documentation before investment or policy use.</x:v>
      </x:c>
      <x:c r="AA62" s="2" t="str">
        <x:v>Physical deployment of Water pumping requires building fabric, plant rooms, electrical and water networks, access for maintenance and metering; interfaces, foundations, access and environmental protection are sized to the specific resource and design load.</x:v>
      </x:c>
      <x:c r="AB62" s="2" t="str">
        <x:v>For Water pumping, the hardware energy balance comprises electricity and thermal energy; peak demand, part-load efficiency and controls determine actual savings; metering must separate useful output, conversion losses and auxiliaries for the selected design.</x:v>
      </x:c>
      <x:c r="AC62" s="2" t="str">
        <x:v>Construction and operation use insulation, glass, concrete, steel, timber, aluminium, copper, refrigerants and electronic components as applicable. For Water pumping, specifications must include durability, compatibility, recycled content and recoverability.</x:v>
      </x:c>
      <x:c r="AD62" s="2" t="str">
        <x:v>Maintenance of Water pumping depends on filters, belts, seals, lamps or drivers, sensors, actuators, valves, control modules and envelope repair materials; critical spares are selected from failure-mode, lead-time and safety analysis for its installed configuration.</x:v>
      </x:c>
      <x:c r="AE62" s="2" t="str">
        <x:v>The software stack for Water pumping requires databases, secure communications, version-controlled models, computing, backup and interfaces with field or operational systems.</x:v>
      </x:c>
      <x:c r="AF62" s="2" t="str">
        <x:v>For Water pumping, software-related energy is electricity for sensing, computing, storage, communication and cooling; it is normally secondary but must be included for data-intensive or continuous services.</x:v>
      </x:c>
      <x:c r="AG62" s="2" t="str">
        <x:v>The non-physical inputs are calibrated data, metadata, algorithms, boundary conditions, emission or hazard factors, manuals and validation records specific to Water pumping.</x:v>
      </x:c>
      <x:c r="AH62" s="2" t="str">
        <x:v>Software continuity for Water pumping requires licences where applicable, updates, cybersecurity patches, backups, calibration files, model validation and technical support.</x:v>
      </x:c>
      <x:c r="AI62" s="2" t="str">
        <x:v>Orgware depends on the institutions, laboratories, training providers, regulators, operators and community interfaces needed to govern Water pumping.</x:v>
      </x:c>
      <x:c r="AJ62" s="2" t="str">
        <x:v>The orgware supporting Water pumping has mainly indirect energy use from offices, meetings, training and information systems; travel and field supervision may be material at dispersed sites.</x:v>
      </x:c>
      <x:c r="AK62" s="2" t="str">
        <x:v>Its organisational inputs are permits, budgets, trained staff, competence records, contracts, procedures, safeguards, monitoring evidence and stakeholder agreements tailored to Water pumping.</x:v>
      </x:c>
      <x:c r="AL62" s="2" t="str">
        <x:v>Sustained implementation of Water pumping requires procurement and service contracts, audit protocols, training material, reporting templates, insurance or guarantees and periodic independent review.</x:v>
      </x:c>
      <x:c r="AM62" s="2" t="str">
        <x:v>Iron ore / steel inputs; Copper; Tin</x:v>
      </x:c>
      <x:c r="AN62" s="2" t="str">
        <x:v>Australia; Brazil; China; Chile; Democratic Republic of the Congo; Peru; Indonesia; Myanmar</x:v>
      </x:c>
      <x:c r="AO62" s="2" t="str">
        <x:v>China; India; Japan; Chile; Democratic Republic of the Congo; Indonesia; Malaysia</x:v>
      </x:c>
      <x:c r="AP62" s="2" t="str">
        <x:v>Water pumping: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2" s="2" t="str">
        <x:v>2024–2025</x:v>
      </x:c>
      <x:c r="AR62" s="2" t="str">
        <x:v>https://pubs.usgs.gov/periodicals/mcs2026/mcs2026.pdf</x:v>
      </x:c>
    </x:row>
    <x:row r="63" ht="240" customHeight="1">
      <x:c r="A63" s="2" t="str">
        <x:v>MIT-0056</x:v>
      </x:c>
      <x:c r="B63" s="2" t="str">
        <x:v>Mitigation</x:v>
      </x:c>
      <x:c r="C63" s="2" t="str">
        <x:v>Energy efficiency</x:v>
      </x:c>
      <x:c r="D63" s="2" t="str">
        <x:v>Buildings</x:v>
      </x:c>
      <x:c r="E63" s="2" t="str">
        <x:v>Sustainable design</x:v>
      </x:c>
      <x:c r="F63" s="2" t="str">
        <x:v>Sustainable design is a mitigation technology in the Energy efficiency sector and the Buildings technology group. It is defined as a combined hardware–software–orgware system that reduces thermal, electrical or water demand through passive design, efficient equipment, controls and low-impact materials. Sustainable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3" s="2" t="str">
        <x:v>Mixed: adaptable design, site-specific implementation</x:v>
      </x:c>
      <x:c r="H63" s="2" t="str">
        <x:v>Sustainable design is adaptable in capacity and configuration but site-specific in final engineering. Its principle remains the same, but resource quality, climate, scale, interfaces and safety constraints must be recalculated for each deployment.</x:v>
      </x:c>
      <x:c r="I63" s="2" t="str">
        <x:v>Primarily hard, with a soft component</x:v>
      </x:c>
      <x:c r="J63" s="2" t="str">
        <x:v>Sustainable design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3" s="2" t="str">
        <x:v>Equipment and operation</x:v>
      </x:c>
      <x:c r="L63" s="2" t="str">
        <x:v>Sustainable design is embodied mainly as an equipment-and-operation system. The deliverable is accepted only when measurable service, quality, safety and climate-performance criteria are met under real conditions.</x:v>
      </x:c>
      <x:c r="M63" s="2" t="str">
        <x:v>Yes, subject to life-cycle safeguards</x:v>
      </x:c>
      <x:c r="N63" s="2" t="str">
        <x:v>Sustainable design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3" s="2" t="str">
        <x:v>Sustainable design: envelope assemblies, efficient equipment, sensors, actuators, meters and distribution systems.</x:v>
      </x:c>
      <x:c r="P63" s="2" t="str">
        <x:v>Sustainable design: energy simulation, load calculation, control sequences, commissioning data and building management.</x:v>
      </x:c>
      <x:c r="Q63" s="2" t="str">
        <x:v>Sustainable design: building codes, performance standards, procurement, commissioning, maintenance plans and occupant guidance.</x:v>
      </x:c>
      <x:c r="R63" s="2" t="str">
        <x:v>Sustainable design: building fabric, plant rooms, electrical and water networks, access for maintenance and metering.</x:v>
      </x:c>
      <x:c r="S63" s="2" t="str">
        <x:v>Sustainable design: electricity and thermal energy; peak demand, part-load efficiency and controls determine actual savings.</x:v>
      </x:c>
      <x:c r="T63" s="2" t="str">
        <x:v>Sustainable design: insulation, glass, concrete, steel, timber, aluminium, copper, refrigerants and electronic components as applicable.</x:v>
      </x:c>
      <x:c r="U63" s="2" t="str">
        <x:v>Sustainable design: filters, belts, seals, lamps or drivers, sensors, actuators, valves, control modules and envelope repair materials.</x:v>
      </x:c>
      <x:c r="V63" s="2" t="str">
        <x:v>https://www.ctc-n.org/sites/default/files/resources/ctcn_taxonomy_0.pdf</x:v>
      </x:c>
      <x:c r="W63" s="2" t="str">
        <x:v>https://institutoagricoladepueblobello.edu.co/colegiapp/archivostemas/GUIA%209.%5B25%5D.pdf</x:v>
      </x:c>
      <x:c r="X63" s="2" t="str">
        <x:v>https://iiasa.ac.at/what-is-technology</x:v>
      </x:c>
      <x:c r="Y63" s="2" t="str">
        <x:v>https://www.ipcc.ch/report/ar6/wg3/chapter/chapter-9/</x:v>
      </x:c>
      <x:c r="Z63" s="2" t="str">
        <x:v>Technology-specific analytical synthesis. The CTCN hierarchy is retained; classifications and component dependencies require validation against the selected design, site and supplier documentation before investment or policy use.</x:v>
      </x:c>
      <x:c r="AA63" s="2" t="str">
        <x:v>Physical deployment of Sustainable design requires building fabric, plant rooms, electrical and water networks, access for maintenance and metering; interfaces, foundations, access and environmental protection are sized to the specific resource and design load.</x:v>
      </x:c>
      <x:c r="AB63" s="2" t="str">
        <x:v>For Sustainable design, the hardware energy balance comprises electricity and thermal energy; peak demand, part-load efficiency and controls determine actual savings; metering must separate useful output, conversion losses and auxiliaries for the selected design.</x:v>
      </x:c>
      <x:c r="AC63" s="2" t="str">
        <x:v>Construction and operation use insulation, glass, concrete, steel, timber, aluminium, copper, refrigerants and electronic components as applicable. For Sustainable design, specifications must include durability, compatibility, recycled content and recoverability.</x:v>
      </x:c>
      <x:c r="AD63" s="2" t="str">
        <x:v>Maintenance of Sustainable design depends on filters, belts, seals, lamps or drivers, sensors, actuators, valves, control modules and envelope repair materials; critical spares are selected from failure-mode, lead-time and safety analysis for its installed configuration.</x:v>
      </x:c>
      <x:c r="AE63" s="2" t="str">
        <x:v>The software stack for Sustainable design requires databases, secure communications, version-controlled models, computing, backup and interfaces with field or operational systems.</x:v>
      </x:c>
      <x:c r="AF63" s="2" t="str">
        <x:v>For Sustainable design, software-related energy is electricity for sensing, computing, storage, communication and cooling; it is normally secondary but must be included for data-intensive or continuous services.</x:v>
      </x:c>
      <x:c r="AG63" s="2" t="str">
        <x:v>The non-physical inputs are calibrated data, metadata, algorithms, boundary conditions, emission or hazard factors, manuals and validation records specific to Sustainable design.</x:v>
      </x:c>
      <x:c r="AH63" s="2" t="str">
        <x:v>Software continuity for Sustainable design requires licences where applicable, updates, cybersecurity patches, backups, calibration files, model validation and technical support.</x:v>
      </x:c>
      <x:c r="AI63" s="2" t="str">
        <x:v>Orgware depends on the institutions, laboratories, training providers, regulators, operators and community interfaces needed to govern Sustainable design.</x:v>
      </x:c>
      <x:c r="AJ63" s="2" t="str">
        <x:v>The orgware supporting Sustainable design has mainly indirect energy use from offices, meetings, training and information systems; travel and field supervision may be material at dispersed sites.</x:v>
      </x:c>
      <x:c r="AK63" s="2" t="str">
        <x:v>Its organisational inputs are permits, budgets, trained staff, competence records, contracts, procedures, safeguards, monitoring evidence and stakeholder agreements tailored to Sustainable design.</x:v>
      </x:c>
      <x:c r="AL63" s="2" t="str">
        <x:v>Sustained implementation of Sustainable design requires procurement and service contracts, audit protocols, training material, reporting templates, insurance or guarantees and periodic independent review.</x:v>
      </x:c>
      <x:c r="AM63" s="2" t="str">
        <x:v>Iron ore / steel inputs; Limestone / cement raw materials</x:v>
      </x:c>
      <x:c r="AN63" s="2" t="str">
        <x:v>Australia; Brazil; China; India; Vietnam</x:v>
      </x:c>
      <x:c r="AO63" s="2" t="str">
        <x:v>China; India; Japan; Vietnam</x:v>
      </x:c>
      <x:c r="AP63" s="2" t="str">
        <x:v>Sustainable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3" s="2" t="str">
        <x:v>2024–2025</x:v>
      </x:c>
      <x:c r="AR63" s="2" t="str">
        <x:v>https://pubs.usgs.gov/periodicals/mcs2026/mcs2026.pdf</x:v>
      </x:c>
    </x:row>
    <x:row r="64" ht="240" customHeight="1">
      <x:c r="A64" s="2" t="str">
        <x:v>MIT-0057</x:v>
      </x:c>
      <x:c r="B64" s="2" t="str">
        <x:v>Mitigation</x:v>
      </x:c>
      <x:c r="C64" s="2" t="str">
        <x:v>Energy efficiency</x:v>
      </x:c>
      <x:c r="D64" s="2" t="str">
        <x:v>Buildings</x:v>
      </x:c>
      <x:c r="E64" s="2" t="str">
        <x:v>Daylight harnessing</x:v>
      </x:c>
      <x:c r="F64" s="2" t="str">
        <x:v>Daylight harnessing is a mitigation technology in the Energy efficiency sector and the Buildings technology group. It is defined as a combined hardware–software–orgware system that reduces thermal, electrical or water demand through passive design, efficient equipment, controls and low-impact materials. Daylight harnessing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4" s="2" t="str">
        <x:v>Mixed: adaptable design, site-specific implementation</x:v>
      </x:c>
      <x:c r="H64" s="2" t="str">
        <x:v>Daylight harnessing is adaptable in capacity and configuration but site-specific in final engineering. Its principle remains the same, but resource quality, climate, scale, interfaces and safety constraints must be recalculated for each deployment.</x:v>
      </x:c>
      <x:c r="I64" s="2" t="str">
        <x:v>Primarily hard, with a soft component</x:v>
      </x:c>
      <x:c r="J64" s="2" t="str">
        <x:v>Daylight harnessing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4" s="2" t="str">
        <x:v>Equipment and operation</x:v>
      </x:c>
      <x:c r="L64" s="2" t="str">
        <x:v>Daylight harnessing is embodied mainly as an equipment-and-operation system. The deliverable is accepted only when measurable service, quality, safety and climate-performance criteria are met under real conditions.</x:v>
      </x:c>
      <x:c r="M64" s="2" t="str">
        <x:v>Yes, subject to life-cycle safeguards</x:v>
      </x:c>
      <x:c r="N64" s="2" t="str">
        <x:v>Daylight harnessing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4" s="2" t="str">
        <x:v>Daylight harnessing: envelope assemblies, efficient equipment, sensors, actuators, meters and distribution systems.</x:v>
      </x:c>
      <x:c r="P64" s="2" t="str">
        <x:v>Daylight harnessing: energy simulation, load calculation, control sequences, commissioning data and building management.</x:v>
      </x:c>
      <x:c r="Q64" s="2" t="str">
        <x:v>Daylight harnessing: building codes, performance standards, procurement, commissioning, maintenance plans and occupant guidance.</x:v>
      </x:c>
      <x:c r="R64" s="2" t="str">
        <x:v>Daylight harnessing: building fabric, plant rooms, electrical and water networks, access for maintenance and metering.</x:v>
      </x:c>
      <x:c r="S64" s="2" t="str">
        <x:v>Daylight harnessing: electricity and thermal energy; peak demand, part-load efficiency and controls determine actual savings.</x:v>
      </x:c>
      <x:c r="T64" s="2" t="str">
        <x:v>Daylight harnessing: insulation, glass, concrete, steel, timber, aluminium, copper, refrigerants and electronic components as applicable.</x:v>
      </x:c>
      <x:c r="U64" s="2" t="str">
        <x:v>Daylight harnessing: filters, belts, seals, lamps or drivers, sensors, actuators, valves, control modules and envelope repair materials.</x:v>
      </x:c>
      <x:c r="V64" s="2" t="str">
        <x:v>https://www.ctc-n.org/sites/default/files/resources/ctcn_taxonomy_0.pdf</x:v>
      </x:c>
      <x:c r="W64" s="2" t="str">
        <x:v>https://institutoagricoladepueblobello.edu.co/colegiapp/archivostemas/GUIA%209.%5B25%5D.pdf</x:v>
      </x:c>
      <x:c r="X64" s="2" t="str">
        <x:v>https://iiasa.ac.at/what-is-technology</x:v>
      </x:c>
      <x:c r="Y64" s="2" t="str">
        <x:v>https://www.ipcc.ch/report/ar6/wg3/chapter/chapter-9/</x:v>
      </x:c>
      <x:c r="Z64" s="2" t="str">
        <x:v>Technology-specific analytical synthesis. The CTCN hierarchy is retained; classifications and component dependencies require validation against the selected design, site and supplier documentation before investment or policy use.</x:v>
      </x:c>
      <x:c r="AA64" s="2" t="str">
        <x:v>Physical deployment of Daylight harnessing requires building fabric, plant rooms, electrical and water networks, access for maintenance and metering; interfaces, foundations, access and environmental protection are sized to the specific resource and design load.</x:v>
      </x:c>
      <x:c r="AB64" s="2" t="str">
        <x:v>For Daylight harnessing, the hardware energy balance comprises electricity and thermal energy; peak demand, part-load efficiency and controls determine actual savings; metering must separate useful output, conversion losses and auxiliaries for the selected design.</x:v>
      </x:c>
      <x:c r="AC64" s="2" t="str">
        <x:v>Construction and operation use insulation, glass, concrete, steel, timber, aluminium, copper, refrigerants and electronic components as applicable. For Daylight harnessing, specifications must include durability, compatibility, recycled content and recoverability.</x:v>
      </x:c>
      <x:c r="AD64" s="2" t="str">
        <x:v>Maintenance of Daylight harnessing depends on filters, belts, seals, lamps or drivers, sensors, actuators, valves, control modules and envelope repair materials; critical spares are selected from failure-mode, lead-time and safety analysis for its installed configuration.</x:v>
      </x:c>
      <x:c r="AE64" s="2" t="str">
        <x:v>The software stack for Daylight harnessing requires databases, secure communications, version-controlled models, computing, backup and interfaces with field or operational systems.</x:v>
      </x:c>
      <x:c r="AF64" s="2" t="str">
        <x:v>For Daylight harnessing, software-related energy is electricity for sensing, computing, storage, communication and cooling; it is normally secondary but must be included for data-intensive or continuous services.</x:v>
      </x:c>
      <x:c r="AG64" s="2" t="str">
        <x:v>The non-physical inputs are calibrated data, metadata, algorithms, boundary conditions, emission or hazard factors, manuals and validation records specific to Daylight harnessing.</x:v>
      </x:c>
      <x:c r="AH64" s="2" t="str">
        <x:v>Software continuity for Daylight harnessing requires licences where applicable, updates, cybersecurity patches, backups, calibration files, model validation and technical support.</x:v>
      </x:c>
      <x:c r="AI64" s="2" t="str">
        <x:v>Orgware depends on the institutions, laboratories, training providers, regulators, operators and community interfaces needed to govern Daylight harnessing.</x:v>
      </x:c>
      <x:c r="AJ64" s="2" t="str">
        <x:v>The orgware supporting Daylight harnessing has mainly indirect energy use from offices, meetings, training and information systems; travel and field supervision may be material at dispersed sites.</x:v>
      </x:c>
      <x:c r="AK64" s="2" t="str">
        <x:v>Its organisational inputs are permits, budgets, trained staff, competence records, contracts, procedures, safeguards, monitoring evidence and stakeholder agreements tailored to Daylight harnessing.</x:v>
      </x:c>
      <x:c r="AL64" s="2" t="str">
        <x:v>Sustained implementation of Daylight harnessing requires procurement and service contracts, audit protocols, training material, reporting templates, insurance or guarantees and periodic independent review.</x:v>
      </x:c>
      <x:c r="AM64" s="2" t="str">
        <x:v>Iron ore / steel inputs; Limestone / cement raw materials</x:v>
      </x:c>
      <x:c r="AN64" s="2" t="str">
        <x:v>Australia; Brazil; China; India; Vietnam</x:v>
      </x:c>
      <x:c r="AO64" s="2" t="str">
        <x:v>China; India; Japan; Vietnam</x:v>
      </x:c>
      <x:c r="AP64" s="2" t="str">
        <x:v>Daylight harnessing: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4" s="2" t="str">
        <x:v>2024–2025</x:v>
      </x:c>
      <x:c r="AR64" s="2" t="str">
        <x:v>https://pubs.usgs.gov/periodicals/mcs2026/mcs2026.pdf</x:v>
      </x:c>
    </x:row>
    <x:row r="65" ht="240" customHeight="1">
      <x:c r="A65" s="2" t="str">
        <x:v>MIT-0058</x:v>
      </x:c>
      <x:c r="B65" s="2" t="str">
        <x:v>Mitigation</x:v>
      </x:c>
      <x:c r="C65" s="2" t="str">
        <x:v>Energy efficiency</x:v>
      </x:c>
      <x:c r="D65" s="2" t="str">
        <x:v>Buildings</x:v>
      </x:c>
      <x:c r="E65" s="2" t="str">
        <x:v>New building design</x:v>
      </x:c>
      <x:c r="F65" s="2" t="str">
        <x:v>New building design is a mitigation technology in the Energy efficiency sector and the Buildings technology group. It is defined as a combined hardware–software–orgware system that reduces thermal, electrical or water demand through passive design, efficient equipment, controls and low-impact materials. New building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5" s="2" t="str">
        <x:v>Mixed: adaptable design, site-specific implementation</x:v>
      </x:c>
      <x:c r="H65" s="2" t="str">
        <x:v>New building design is adaptable in capacity and configuration but site-specific in final engineering. Its principle remains the same, but resource quality, climate, scale, interfaces and safety constraints must be recalculated for each deployment.</x:v>
      </x:c>
      <x:c r="I65" s="2" t="str">
        <x:v>Primarily hard, with a soft component</x:v>
      </x:c>
      <x:c r="J65" s="2" t="str">
        <x:v>New building design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5" s="2" t="str">
        <x:v>Equipment and operation</x:v>
      </x:c>
      <x:c r="L65" s="2" t="str">
        <x:v>New building design is embodied mainly as an equipment-and-operation system. The deliverable is accepted only when measurable service, quality, safety and climate-performance criteria are met under real conditions.</x:v>
      </x:c>
      <x:c r="M65" s="2" t="str">
        <x:v>Yes, subject to life-cycle safeguards</x:v>
      </x:c>
      <x:c r="N65" s="2" t="str">
        <x:v>New building design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5" s="2" t="str">
        <x:v>New building design: envelope assemblies, efficient equipment, sensors, actuators, meters and distribution systems.</x:v>
      </x:c>
      <x:c r="P65" s="2" t="str">
        <x:v>New building design: energy simulation, load calculation, control sequences, commissioning data and building management.</x:v>
      </x:c>
      <x:c r="Q65" s="2" t="str">
        <x:v>New building design: building codes, performance standards, procurement, commissioning, maintenance plans and occupant guidance.</x:v>
      </x:c>
      <x:c r="R65" s="2" t="str">
        <x:v>New building design: building fabric, plant rooms, electrical and water networks, access for maintenance and metering.</x:v>
      </x:c>
      <x:c r="S65" s="2" t="str">
        <x:v>New building design: electricity and thermal energy; peak demand, part-load efficiency and controls determine actual savings.</x:v>
      </x:c>
      <x:c r="T65" s="2" t="str">
        <x:v>New building design: insulation, glass, concrete, steel, timber, aluminium, copper, refrigerants and electronic components as applicable.</x:v>
      </x:c>
      <x:c r="U65" s="2" t="str">
        <x:v>New building design: filters, belts, seals, lamps or drivers, sensors, actuators, valves, control modules and envelope repair materials.</x:v>
      </x:c>
      <x:c r="V65" s="2" t="str">
        <x:v>https://www.ctc-n.org/sites/default/files/resources/ctcn_taxonomy_0.pdf</x:v>
      </x:c>
      <x:c r="W65" s="2" t="str">
        <x:v>https://institutoagricoladepueblobello.edu.co/colegiapp/archivostemas/GUIA%209.%5B25%5D.pdf</x:v>
      </x:c>
      <x:c r="X65" s="2" t="str">
        <x:v>https://iiasa.ac.at/what-is-technology</x:v>
      </x:c>
      <x:c r="Y65" s="2" t="str">
        <x:v>https://www.ipcc.ch/report/ar6/wg3/chapter/chapter-9/</x:v>
      </x:c>
      <x:c r="Z65" s="2" t="str">
        <x:v>Technology-specific analytical synthesis. The CTCN hierarchy is retained; classifications and component dependencies require validation against the selected design, site and supplier documentation before investment or policy use.</x:v>
      </x:c>
      <x:c r="AA65" s="2" t="str">
        <x:v>Physical deployment of New building design requires building fabric, plant rooms, electrical and water networks, access for maintenance and metering; interfaces, foundations, access and environmental protection are sized to the specific resource and design load.</x:v>
      </x:c>
      <x:c r="AB65" s="2" t="str">
        <x:v>For New building design, the hardware energy balance comprises electricity and thermal energy; peak demand, part-load efficiency and controls determine actual savings; metering must separate useful output, conversion losses and auxiliaries for the selected design.</x:v>
      </x:c>
      <x:c r="AC65" s="2" t="str">
        <x:v>Construction and operation use insulation, glass, concrete, steel, timber, aluminium, copper, refrigerants and electronic components as applicable. For New building design, specifications must include durability, compatibility, recycled content and recoverability.</x:v>
      </x:c>
      <x:c r="AD65" s="2" t="str">
        <x:v>Maintenance of New building design depends on filters, belts, seals, lamps or drivers, sensors, actuators, valves, control modules and envelope repair materials; critical spares are selected from failure-mode, lead-time and safety analysis for its installed configuration.</x:v>
      </x:c>
      <x:c r="AE65" s="2" t="str">
        <x:v>The software stack for New building design requires databases, secure communications, version-controlled models, computing, backup and interfaces with field or operational systems.</x:v>
      </x:c>
      <x:c r="AF65" s="2" t="str">
        <x:v>For New building design, software-related energy is electricity for sensing, computing, storage, communication and cooling; it is normally secondary but must be included for data-intensive or continuous services.</x:v>
      </x:c>
      <x:c r="AG65" s="2" t="str">
        <x:v>The non-physical inputs are calibrated data, metadata, algorithms, boundary conditions, emission or hazard factors, manuals and validation records specific to New building design.</x:v>
      </x:c>
      <x:c r="AH65" s="2" t="str">
        <x:v>Software continuity for New building design requires licences where applicable, updates, cybersecurity patches, backups, calibration files, model validation and technical support.</x:v>
      </x:c>
      <x:c r="AI65" s="2" t="str">
        <x:v>Orgware depends on the institutions, laboratories, training providers, regulators, operators and community interfaces needed to govern New building design.</x:v>
      </x:c>
      <x:c r="AJ65" s="2" t="str">
        <x:v>The orgware supporting New building design has mainly indirect energy use from offices, meetings, training and information systems; travel and field supervision may be material at dispersed sites.</x:v>
      </x:c>
      <x:c r="AK65" s="2" t="str">
        <x:v>Its organisational inputs are permits, budgets, trained staff, competence records, contracts, procedures, safeguards, monitoring evidence and stakeholder agreements tailored to New building design.</x:v>
      </x:c>
      <x:c r="AL65" s="2" t="str">
        <x:v>Sustained implementation of New building design requires procurement and service contracts, audit protocols, training material, reporting templates, insurance or guarantees and periodic independent review.</x:v>
      </x:c>
      <x:c r="AM65" s="2" t="str">
        <x:v>Iron ore / steel inputs; Limestone / cement raw materials</x:v>
      </x:c>
      <x:c r="AN65" s="2" t="str">
        <x:v>Australia; Brazil; China; India; Vietnam</x:v>
      </x:c>
      <x:c r="AO65" s="2" t="str">
        <x:v>China; India; Japan; Vietnam</x:v>
      </x:c>
      <x:c r="AP65" s="2" t="str">
        <x:v>New building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5" s="2" t="str">
        <x:v>2024–2025</x:v>
      </x:c>
      <x:c r="AR65" s="2" t="str">
        <x:v>https://pubs.usgs.gov/periodicals/mcs2026/mcs2026.pdf</x:v>
      </x:c>
    </x:row>
    <x:row r="66" ht="240" customHeight="1">
      <x:c r="A66" s="2" t="str">
        <x:v>MIT-0059</x:v>
      </x:c>
      <x:c r="B66" s="2" t="str">
        <x:v>Mitigation</x:v>
      </x:c>
      <x:c r="C66" s="2" t="str">
        <x:v>Energy efficiency</x:v>
      </x:c>
      <x:c r="D66" s="2" t="str">
        <x:v>Buildings</x:v>
      </x:c>
      <x:c r="E66" s="2" t="str">
        <x:v>Insulation in buildings</x:v>
      </x:c>
      <x:c r="F66" s="2" t="str">
        <x:v>Insulation in buildings is a mitigation technology in the Energy efficiency sector and the Buildings technology group. It is defined as a combined hardware–software–orgware system that reduces thermal, electrical or water demand through passive design, efficient equipment, controls and low-impact materials. Insulation in buildings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6" s="2" t="str">
        <x:v>Mixed: adaptable design, site-specific implementation</x:v>
      </x:c>
      <x:c r="H66" s="2" t="str">
        <x:v>Insulation in buildings is adaptable in capacity and configuration but site-specific in final engineering. Its principle remains the same, but resource quality, climate, scale, interfaces and safety constraints must be recalculated for each deployment.</x:v>
      </x:c>
      <x:c r="I66" s="2" t="str">
        <x:v>Primarily hard, with a soft component</x:v>
      </x:c>
      <x:c r="J66" s="2" t="str">
        <x:v>Insulation in buildings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6" s="2" t="str">
        <x:v>Equipment and operation</x:v>
      </x:c>
      <x:c r="L66" s="2" t="str">
        <x:v>Insulation in buildings is embodied mainly as an equipment-and-operation system. The deliverable is accepted only when measurable service, quality, safety and climate-performance criteria are met under real conditions.</x:v>
      </x:c>
      <x:c r="M66" s="2" t="str">
        <x:v>Yes, subject to life-cycle safeguards</x:v>
      </x:c>
      <x:c r="N66" s="2" t="str">
        <x:v>Insulation in buildings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6" s="2" t="str">
        <x:v>Insulation in buildings: envelope assemblies, efficient equipment, sensors, actuators, meters and distribution systems.</x:v>
      </x:c>
      <x:c r="P66" s="2" t="str">
        <x:v>Insulation in buildings: energy simulation, load calculation, control sequences, commissioning data and building management.</x:v>
      </x:c>
      <x:c r="Q66" s="2" t="str">
        <x:v>Insulation in buildings: building codes, performance standards, procurement, commissioning, maintenance plans and occupant guidance.</x:v>
      </x:c>
      <x:c r="R66" s="2" t="str">
        <x:v>Insulation in buildings: building fabric, plant rooms, electrical and water networks, access for maintenance and metering.</x:v>
      </x:c>
      <x:c r="S66" s="2" t="str">
        <x:v>Insulation in buildings: electricity and thermal energy; peak demand, part-load efficiency and controls determine actual savings.</x:v>
      </x:c>
      <x:c r="T66" s="2" t="str">
        <x:v>Insulation in buildings: insulation, glass, concrete, steel, timber, aluminium, copper, refrigerants and electronic components as applicable.</x:v>
      </x:c>
      <x:c r="U66" s="2" t="str">
        <x:v>Insulation in buildings: filters, belts, seals, lamps or drivers, sensors, actuators, valves, control modules and envelope repair materials.</x:v>
      </x:c>
      <x:c r="V66" s="2" t="str">
        <x:v>https://www.ctc-n.org/sites/default/files/resources/ctcn_taxonomy_0.pdf</x:v>
      </x:c>
      <x:c r="W66" s="2" t="str">
        <x:v>https://institutoagricoladepueblobello.edu.co/colegiapp/archivostemas/GUIA%209.%5B25%5D.pdf</x:v>
      </x:c>
      <x:c r="X66" s="2" t="str">
        <x:v>https://iiasa.ac.at/what-is-technology</x:v>
      </x:c>
      <x:c r="Y66" s="2" t="str">
        <x:v>https://www.ipcc.ch/report/ar6/wg3/chapter/chapter-9/</x:v>
      </x:c>
      <x:c r="Z66" s="2" t="str">
        <x:v>Technology-specific analytical synthesis. The CTCN hierarchy is retained; classifications and component dependencies require validation against the selected design, site and supplier documentation before investment or policy use.</x:v>
      </x:c>
      <x:c r="AA66" s="2" t="str">
        <x:v>Physical deployment of Insulation in buildings requires building fabric, plant rooms, electrical and water networks, access for maintenance and metering; interfaces, foundations, access and environmental protection are sized to the specific resource and design load.</x:v>
      </x:c>
      <x:c r="AB66" s="2" t="str">
        <x:v>For Insulation in buildings, the hardware energy balance comprises electricity and thermal energy; peak demand, part-load efficiency and controls determine actual savings; metering must separate useful output, conversion losses and auxiliaries for the selected design.</x:v>
      </x:c>
      <x:c r="AC66" s="2" t="str">
        <x:v>Construction and operation use insulation, glass, concrete, steel, timber, aluminium, copper, refrigerants and electronic components as applicable. For Insulation in buildings, specifications must include durability, compatibility, recycled content and recoverability.</x:v>
      </x:c>
      <x:c r="AD66" s="2" t="str">
        <x:v>Maintenance of Insulation in buildings depends on filters, belts, seals, lamps or drivers, sensors, actuators, valves, control modules and envelope repair materials; critical spares are selected from failure-mode, lead-time and safety analysis for its installed configuration.</x:v>
      </x:c>
      <x:c r="AE66" s="2" t="str">
        <x:v>The software stack for Insulation in buildings requires databases, secure communications, version-controlled models, computing, backup and interfaces with field or operational systems.</x:v>
      </x:c>
      <x:c r="AF66" s="2" t="str">
        <x:v>For Insulation in buildings, software-related energy is electricity for sensing, computing, storage, communication and cooling; it is normally secondary but must be included for data-intensive or continuous services.</x:v>
      </x:c>
      <x:c r="AG66" s="2" t="str">
        <x:v>The non-physical inputs are calibrated data, metadata, algorithms, boundary conditions, emission or hazard factors, manuals and validation records specific to Insulation in buildings.</x:v>
      </x:c>
      <x:c r="AH66" s="2" t="str">
        <x:v>Software continuity for Insulation in buildings requires licences where applicable, updates, cybersecurity patches, backups, calibration files, model validation and technical support.</x:v>
      </x:c>
      <x:c r="AI66" s="2" t="str">
        <x:v>Orgware depends on the institutions, laboratories, training providers, regulators, operators and community interfaces needed to govern Insulation in buildings.</x:v>
      </x:c>
      <x:c r="AJ66" s="2" t="str">
        <x:v>The orgware supporting Insulation in buildings has mainly indirect energy use from offices, meetings, training and information systems; travel and field supervision may be material at dispersed sites.</x:v>
      </x:c>
      <x:c r="AK66" s="2" t="str">
        <x:v>Its organisational inputs are permits, budgets, trained staff, competence records, contracts, procedures, safeguards, monitoring evidence and stakeholder agreements tailored to Insulation in buildings.</x:v>
      </x:c>
      <x:c r="AL66" s="2" t="str">
        <x:v>Sustained implementation of Insulation in buildings requires procurement and service contracts, audit protocols, training material, reporting templates, insurance or guarantees and periodic independent review.</x:v>
      </x:c>
      <x:c r="AM66" s="2" t="str">
        <x:v>Iron ore / steel inputs; Limestone / cement raw materials</x:v>
      </x:c>
      <x:c r="AN66" s="2" t="str">
        <x:v>Australia; Brazil; China; India; Vietnam</x:v>
      </x:c>
      <x:c r="AO66" s="2" t="str">
        <x:v>China; India; Japan; Vietnam</x:v>
      </x:c>
      <x:c r="AP66" s="2" t="str">
        <x:v>Insulation in buildings: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6" s="2" t="str">
        <x:v>2024–2025</x:v>
      </x:c>
      <x:c r="AR66" s="2" t="str">
        <x:v>https://pubs.usgs.gov/periodicals/mcs2026/mcs2026.pdf</x:v>
      </x:c>
    </x:row>
    <x:row r="67" ht="240" customHeight="1">
      <x:c r="A67" s="2" t="str">
        <x:v>MIT-0060</x:v>
      </x:c>
      <x:c r="B67" s="2" t="str">
        <x:v>Mitigation</x:v>
      </x:c>
      <x:c r="C67" s="2" t="str">
        <x:v>Energy efficiency</x:v>
      </x:c>
      <x:c r="D67" s="2" t="str">
        <x:v>Buildings</x:v>
      </x:c>
      <x:c r="E67" s="2" t="str">
        <x:v>Building envelope thermal insulation</x:v>
      </x:c>
      <x:c r="F67" s="2" t="str">
        <x:v>Building envelope thermal insulation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envelope thermal insulation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7" s="2" t="str">
        <x:v>Mixed: adaptable design, site-specific implementation</x:v>
      </x:c>
      <x:c r="H67" s="2" t="str">
        <x:v>Building envelope thermal insulation is adaptable in capacity and configuration but site-specific in final engineering. Its principle remains the same, but resource quality, climate, scale, interfaces and safety constraints must be recalculated for each deployment.</x:v>
      </x:c>
      <x:c r="I67" s="2" t="str">
        <x:v>Primarily hard, with a soft component</x:v>
      </x:c>
      <x:c r="J67" s="2" t="str">
        <x:v>Building envelope thermal insulation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7" s="2" t="str">
        <x:v>Equipment and operation</x:v>
      </x:c>
      <x:c r="L67" s="2" t="str">
        <x:v>Building envelope thermal insulation is embodied mainly as an equipment-and-operation system. The deliverable is accepted only when measurable service, quality, safety and climate-performance criteria are met under real conditions.</x:v>
      </x:c>
      <x:c r="M67" s="2" t="str">
        <x:v>Yes, subject to life-cycle safeguards</x:v>
      </x:c>
      <x:c r="N67" s="2" t="str">
        <x:v>Building envelope thermal insulation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7" s="2" t="str">
        <x:v>Building envelope thermal insulation: envelope assemblies, efficient equipment, sensors, actuators, meters and distribution systems.</x:v>
      </x:c>
      <x:c r="P67" s="2" t="str">
        <x:v>Building envelope thermal insulation: energy simulation, load calculation, control sequences, commissioning data and building management.</x:v>
      </x:c>
      <x:c r="Q67" s="2" t="str">
        <x:v>Building envelope thermal insulation: building codes, performance standards, procurement, commissioning, maintenance plans and occupant guidance.</x:v>
      </x:c>
      <x:c r="R67" s="2" t="str">
        <x:v>Building envelope thermal insulation: building fabric, plant rooms, electrical and water networks, access for maintenance and metering.</x:v>
      </x:c>
      <x:c r="S67" s="2" t="str">
        <x:v>Building envelope thermal insulation: electricity and thermal energy; peak demand, part-load efficiency and controls determine actual savings.</x:v>
      </x:c>
      <x:c r="T67" s="2" t="str">
        <x:v>Building envelope thermal insulation: insulation, glass, concrete, steel, timber, aluminium, copper, refrigerants and electronic components as applicable.</x:v>
      </x:c>
      <x:c r="U67" s="2" t="str">
        <x:v>Building envelope thermal insulation: filters, belts, seals, lamps or drivers, sensors, actuators, valves, control modules and envelope repair materials.</x:v>
      </x:c>
      <x:c r="V67" s="2" t="str">
        <x:v>https://www.ctc-n.org/sites/default/files/resources/ctcn_taxonomy_0.pdf</x:v>
      </x:c>
      <x:c r="W67" s="2" t="str">
        <x:v>https://institutoagricoladepueblobello.edu.co/colegiapp/archivostemas/GUIA%209.%5B25%5D.pdf</x:v>
      </x:c>
      <x:c r="X67" s="2" t="str">
        <x:v>https://iiasa.ac.at/what-is-technology</x:v>
      </x:c>
      <x:c r="Y67" s="2" t="str">
        <x:v>https://www.ipcc.ch/report/ar6/wg3/chapter/chapter-9/</x:v>
      </x:c>
      <x:c r="Z67" s="2" t="str">
        <x:v>Technology-specific analytical synthesis. The CTCN hierarchy is retained; classifications and component dependencies require validation against the selected design, site and supplier documentation before investment or policy use.</x:v>
      </x:c>
      <x:c r="AA67" s="2" t="str">
        <x:v>Physical deployment of Building envelope thermal insulation requires building fabric, plant rooms, electrical and water networks, access for maintenance and metering; interfaces, foundations, access and environmental protection are sized to the specific resource and design load.</x:v>
      </x:c>
      <x:c r="AB67" s="2" t="str">
        <x:v>For Building envelope thermal insulation, the hardware energy balance comprises electricity and thermal energy; peak demand, part-load efficiency and controls determine actual savings; metering must separate useful output, conversion losses and auxiliaries for the selected design.</x:v>
      </x:c>
      <x:c r="AC67" s="2" t="str">
        <x:v>Construction and operation use insulation, glass, concrete, steel, timber, aluminium, copper, refrigerants and electronic components as applicable. For Building envelope thermal insulation, specifications must include durability, compatibility, recycled content and recoverability.</x:v>
      </x:c>
      <x:c r="AD67" s="2" t="str">
        <x:v>Maintenance of Building envelope thermal insulation depends on filters, belts, seals, lamps or drivers, sensors, actuators, valves, control modules and envelope repair materials; critical spares are selected from failure-mode, lead-time and safety analysis for its installed configuration.</x:v>
      </x:c>
      <x:c r="AE67" s="2" t="str">
        <x:v>The software stack for Building envelope thermal insulation requires databases, secure communications, version-controlled models, computing, backup and interfaces with field or operational systems.</x:v>
      </x:c>
      <x:c r="AF67" s="2" t="str">
        <x:v>For Building envelope thermal insulation, software-related energy is electricity for sensing, computing, storage, communication and cooling; it is normally secondary but must be included for data-intensive or continuous services.</x:v>
      </x:c>
      <x:c r="AG67" s="2" t="str">
        <x:v>The non-physical inputs are calibrated data, metadata, algorithms, boundary conditions, emission or hazard factors, manuals and validation records specific to Building envelope thermal insulation.</x:v>
      </x:c>
      <x:c r="AH67" s="2" t="str">
        <x:v>Software continuity for Building envelope thermal insulation requires licences where applicable, updates, cybersecurity patches, backups, calibration files, model validation and technical support.</x:v>
      </x:c>
      <x:c r="AI67" s="2" t="str">
        <x:v>Orgware depends on the institutions, laboratories, training providers, regulators, operators and community interfaces needed to govern Building envelope thermal insulation.</x:v>
      </x:c>
      <x:c r="AJ67" s="2" t="str">
        <x:v>The orgware supporting Building envelope thermal insulation has mainly indirect energy use from offices, meetings, training and information systems; travel and field supervision may be material at dispersed sites.</x:v>
      </x:c>
      <x:c r="AK67" s="2" t="str">
        <x:v>Its organisational inputs are permits, budgets, trained staff, competence records, contracts, procedures, safeguards, monitoring evidence and stakeholder agreements tailored to Building envelope thermal insulation.</x:v>
      </x:c>
      <x:c r="AL67" s="2" t="str">
        <x:v>Sustained implementation of Building envelope thermal insulation requires procurement and service contracts, audit protocols, training material, reporting templates, insurance or guarantees and periodic independent review.</x:v>
      </x:c>
      <x:c r="AM67" s="2" t="str">
        <x:v>Iron ore / steel inputs; Limestone / cement raw materials</x:v>
      </x:c>
      <x:c r="AN67" s="2" t="str">
        <x:v>Australia; Brazil; China; India; Vietnam</x:v>
      </x:c>
      <x:c r="AO67" s="2" t="str">
        <x:v>China; India; Japan; Vietnam</x:v>
      </x:c>
      <x:c r="AP67" s="2" t="str">
        <x:v>Building envelope thermal insulation: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7" s="2" t="str">
        <x:v>2024–2025</x:v>
      </x:c>
      <x:c r="AR67" s="2" t="str">
        <x:v>https://pubs.usgs.gov/periodicals/mcs2026/mcs2026.pdf</x:v>
      </x:c>
    </x:row>
    <x:row r="68" ht="240" customHeight="1">
      <x:c r="A68" s="2" t="str">
        <x:v>MIT-0061</x:v>
      </x:c>
      <x:c r="B68" s="2" t="str">
        <x:v>Mitigation</x:v>
      </x:c>
      <x:c r="C68" s="2" t="str">
        <x:v>Energy efficiency</x:v>
      </x:c>
      <x:c r="D68" s="2" t="str">
        <x:v>Buildings</x:v>
      </x:c>
      <x:c r="E68" s="2" t="str">
        <x:v>Building materials</x:v>
      </x:c>
      <x:c r="F68" s="2" t="str">
        <x:v>Building materials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materials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8" s="2" t="str">
        <x:v>Mixed: adaptable design, site-specific implementation</x:v>
      </x:c>
      <x:c r="H68" s="2" t="str">
        <x:v>Building materials is adaptable in capacity and configuration but site-specific in final engineering. Its principle remains the same, but resource quality, climate, scale, interfaces and safety constraints must be recalculated for each deployment.</x:v>
      </x:c>
      <x:c r="I68" s="2" t="str">
        <x:v>Primarily hard, with a soft component</x:v>
      </x:c>
      <x:c r="J68" s="2" t="str">
        <x:v>Building materials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8" s="2" t="str">
        <x:v>Product and equipment; complementary operation</x:v>
      </x:c>
      <x:c r="L68" s="2" t="str">
        <x:v>Building materials is embodied mainly as a product/equipment package. The deliverable is accepted only when measurable service, quality, safety and climate-performance criteria are met under real conditions.</x:v>
      </x:c>
      <x:c r="M68" s="2" t="str">
        <x:v>Yes, subject to life-cycle safeguards</x:v>
      </x:c>
      <x:c r="N68" s="2" t="str">
        <x:v>Building materials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8" s="2" t="str">
        <x:v>Building materials: envelope assemblies, efficient equipment, sensors, actuators, meters and distribution systems.</x:v>
      </x:c>
      <x:c r="P68" s="2" t="str">
        <x:v>Building materials: energy simulation, load calculation, control sequences, commissioning data and building management.</x:v>
      </x:c>
      <x:c r="Q68" s="2" t="str">
        <x:v>Building materials: building codes, performance standards, procurement, commissioning, maintenance plans and occupant guidance.</x:v>
      </x:c>
      <x:c r="R68" s="2" t="str">
        <x:v>Building materials: building fabric, plant rooms, electrical and water networks, access for maintenance and metering.</x:v>
      </x:c>
      <x:c r="S68" s="2" t="str">
        <x:v>Building materials: electricity and thermal energy; peak demand, part-load efficiency and controls determine actual savings.</x:v>
      </x:c>
      <x:c r="T68" s="2" t="str">
        <x:v>Building materials: insulation, glass, concrete, steel, timber, aluminium, copper, refrigerants and electronic components as applicable.</x:v>
      </x:c>
      <x:c r="U68" s="2" t="str">
        <x:v>Building materials: filters, belts, seals, lamps or drivers, sensors, actuators, valves, control modules and envelope repair materials.</x:v>
      </x:c>
      <x:c r="V68" s="2" t="str">
        <x:v>https://www.ctc-n.org/sites/default/files/resources/ctcn_taxonomy_0.pdf</x:v>
      </x:c>
      <x:c r="W68" s="2" t="str">
        <x:v>https://institutoagricoladepueblobello.edu.co/colegiapp/archivostemas/GUIA%209.%5B25%5D.pdf</x:v>
      </x:c>
      <x:c r="X68" s="2" t="str">
        <x:v>https://iiasa.ac.at/what-is-technology</x:v>
      </x:c>
      <x:c r="Y68" s="2" t="str">
        <x:v>https://www.ipcc.ch/report/ar6/wg3/chapter/chapter-9/</x:v>
      </x:c>
      <x:c r="Z68" s="2" t="str">
        <x:v>Technology-specific analytical synthesis. The CTCN hierarchy is retained; classifications and component dependencies require validation against the selected design, site and supplier documentation before investment or policy use.</x:v>
      </x:c>
      <x:c r="AA68" s="2" t="str">
        <x:v>Physical deployment of Building materials requires building fabric, plant rooms, electrical and water networks, access for maintenance and metering; interfaces, foundations, access and environmental protection are sized to the specific resource and design load.</x:v>
      </x:c>
      <x:c r="AB68" s="2" t="str">
        <x:v>For Building materials, the hardware energy balance comprises electricity and thermal energy; peak demand, part-load efficiency and controls determine actual savings; metering must separate useful output, conversion losses and auxiliaries for the selected design.</x:v>
      </x:c>
      <x:c r="AC68" s="2" t="str">
        <x:v>Construction and operation use insulation, glass, concrete, steel, timber, aluminium, copper, refrigerants and electronic components as applicable. For Building materials, specifications must include durability, compatibility, recycled content and recoverability.</x:v>
      </x:c>
      <x:c r="AD68" s="2" t="str">
        <x:v>Maintenance of Building materials depends on filters, belts, seals, lamps or drivers, sensors, actuators, valves, control modules and envelope repair materials; critical spares are selected from failure-mode, lead-time and safety analysis for its installed configuration.</x:v>
      </x:c>
      <x:c r="AE68" s="2" t="str">
        <x:v>The software stack for Building materials requires databases, secure communications, version-controlled models, computing, backup and interfaces with field or operational systems.</x:v>
      </x:c>
      <x:c r="AF68" s="2" t="str">
        <x:v>For Building materials, software-related energy is electricity for sensing, computing, storage, communication and cooling; it is normally secondary but must be included for data-intensive or continuous services.</x:v>
      </x:c>
      <x:c r="AG68" s="2" t="str">
        <x:v>The non-physical inputs are calibrated data, metadata, algorithms, boundary conditions, emission or hazard factors, manuals and validation records specific to Building materials.</x:v>
      </x:c>
      <x:c r="AH68" s="2" t="str">
        <x:v>Software continuity for Building materials requires licences where applicable, updates, cybersecurity patches, backups, calibration files, model validation and technical support.</x:v>
      </x:c>
      <x:c r="AI68" s="2" t="str">
        <x:v>Orgware depends on the institutions, laboratories, training providers, regulators, operators and community interfaces needed to govern Building materials.</x:v>
      </x:c>
      <x:c r="AJ68" s="2" t="str">
        <x:v>The orgware supporting Building materials has mainly indirect energy use from offices, meetings, training and information systems; travel and field supervision may be material at dispersed sites.</x:v>
      </x:c>
      <x:c r="AK68" s="2" t="str">
        <x:v>Its organisational inputs are permits, budgets, trained staff, competence records, contracts, procedures, safeguards, monitoring evidence and stakeholder agreements tailored to Building materials.</x:v>
      </x:c>
      <x:c r="AL68" s="2" t="str">
        <x:v>Sustained implementation of Building materials requires procurement and service contracts, audit protocols, training material, reporting templates, insurance or guarantees and periodic independent review.</x:v>
      </x:c>
      <x:c r="AM68" s="2" t="str">
        <x:v>Iron ore / steel inputs; Limestone / cement raw materials</x:v>
      </x:c>
      <x:c r="AN68" s="2" t="str">
        <x:v>Australia; Brazil; China; India; Vietnam</x:v>
      </x:c>
      <x:c r="AO68" s="2" t="str">
        <x:v>China; India; Japan; Vietnam</x:v>
      </x:c>
      <x:c r="AP68" s="2" t="str">
        <x:v>Building materials: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8" s="2" t="str">
        <x:v>2024–2025</x:v>
      </x:c>
      <x:c r="AR68" s="2" t="str">
        <x:v>https://pubs.usgs.gov/periodicals/mcs2026/mcs2026.pdf</x:v>
      </x:c>
    </x:row>
    <x:row r="69" ht="240" customHeight="1">
      <x:c r="A69" s="2" t="str">
        <x:v>MIT-0062</x:v>
      </x:c>
      <x:c r="B69" s="2" t="str">
        <x:v>Mitigation</x:v>
      </x:c>
      <x:c r="C69" s="2" t="str">
        <x:v>Energy efficiency</x:v>
      </x:c>
      <x:c r="D69" s="2" t="str">
        <x:v>Buildings</x:v>
      </x:c>
      <x:c r="E69" s="2" t="str">
        <x:v>Building life cycle and integrated design process</x:v>
      </x:c>
      <x:c r="F69" s="2" t="str">
        <x:v>Building life cycle and integrated design process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life cycle and integrated design process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9" s="2" t="str">
        <x:v>Mixed: adaptable design, site-specific implementation</x:v>
      </x:c>
      <x:c r="H69" s="2" t="str">
        <x:v>Building life cycle and integrated design process is adaptable in capacity and configuration but site-specific in final engineering. Its principle remains the same, but resource quality, climate, scale, interfaces and safety constraints must be recalculated for each deployment.</x:v>
      </x:c>
      <x:c r="I69" s="2" t="str">
        <x:v>Primarily hard, with a soft component</x:v>
      </x:c>
      <x:c r="J69" s="2" t="str">
        <x:v>Building life cycle and integrated design process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9" s="2" t="str">
        <x:v>Equipment and operation</x:v>
      </x:c>
      <x:c r="L69" s="2" t="str">
        <x:v>Building life cycle and integrated design process is embodied mainly as an equipment-and-operation system. The deliverable is accepted only when measurable service, quality, safety and climate-performance criteria are met under real conditions.</x:v>
      </x:c>
      <x:c r="M69" s="2" t="str">
        <x:v>Yes, subject to life-cycle safeguards</x:v>
      </x:c>
      <x:c r="N69" s="2" t="str">
        <x:v>Building life cycle and integrated design process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9" s="2" t="str">
        <x:v>Building life cycle and integrated design process: envelope assemblies, efficient equipment, sensors, actuators, meters and distribution systems.</x:v>
      </x:c>
      <x:c r="P69" s="2" t="str">
        <x:v>Building life cycle and integrated design process: energy simulation, load calculation, control sequences, commissioning data and building management.</x:v>
      </x:c>
      <x:c r="Q69" s="2" t="str">
        <x:v>Building life cycle and integrated design process: building codes, performance standards, procurement, commissioning, maintenance plans and occupant guidance.</x:v>
      </x:c>
      <x:c r="R69" s="2" t="str">
        <x:v>Building life cycle and integrated design process: building fabric, plant rooms, electrical and water networks, access for maintenance and metering.</x:v>
      </x:c>
      <x:c r="S69" s="2" t="str">
        <x:v>Building life cycle and integrated design process: electricity and thermal energy; peak demand, part-load efficiency and controls determine actual savings.</x:v>
      </x:c>
      <x:c r="T69" s="2" t="str">
        <x:v>Building life cycle and integrated design process: insulation, glass, concrete, steel, timber, aluminium, copper, refrigerants and electronic components as applicable.</x:v>
      </x:c>
      <x:c r="U69" s="2" t="str">
        <x:v>Building life cycle and integrated design process: filters, belts, seals, lamps or drivers, sensors, actuators, valves, control modules and envelope repair materials.</x:v>
      </x:c>
      <x:c r="V69" s="2" t="str">
        <x:v>https://www.ctc-n.org/sites/default/files/resources/ctcn_taxonomy_0.pdf</x:v>
      </x:c>
      <x:c r="W69" s="2" t="str">
        <x:v>https://institutoagricoladepueblobello.edu.co/colegiapp/archivostemas/GUIA%209.%5B25%5D.pdf</x:v>
      </x:c>
      <x:c r="X69" s="2" t="str">
        <x:v>https://iiasa.ac.at/what-is-technology</x:v>
      </x:c>
      <x:c r="Y69" s="2" t="str">
        <x:v>https://www.ipcc.ch/report/ar6/wg3/chapter/chapter-9/</x:v>
      </x:c>
      <x:c r="Z69" s="2" t="str">
        <x:v>Technology-specific analytical synthesis. The CTCN hierarchy is retained; classifications and component dependencies require validation against the selected design, site and supplier documentation before investment or policy use.</x:v>
      </x:c>
      <x:c r="AA69" s="2" t="str">
        <x:v>Physical deployment of Building life cycle and integrated design process requires building fabric, plant rooms, electrical and water networks, access for maintenance and metering; interfaces, foundations, access and environmental protection are sized to the specific resource and design load.</x:v>
      </x:c>
      <x:c r="AB69" s="2" t="str">
        <x:v>For Building life cycle and integrated design process, the hardware energy balance comprises electricity and thermal energy; peak demand, part-load efficiency and controls determine actual savings; metering must separate useful output, conversion losses and auxiliaries for the selected design.</x:v>
      </x:c>
      <x:c r="AC69" s="2" t="str">
        <x:v>Construction and operation use insulation, glass, concrete, steel, timber, aluminium, copper, refrigerants and electronic components as applicable. For Building life cycle and integrated design process, specifications must include durability, compatibility, recycled content and recoverability.</x:v>
      </x:c>
      <x:c r="AD69" s="2" t="str">
        <x:v>Maintenance of Building life cycle and integrated design process depends on filters, belts, seals, lamps or drivers, sensors, actuators, valves, control modules and envelope repair materials; critical spares are selected from failure-mode, lead-time and safety analysis for its installed configuration.</x:v>
      </x:c>
      <x:c r="AE69" s="2" t="str">
        <x:v>The software stack for Building life cycle and integrated design process requires databases, secure communications, version-controlled models, computing, backup and interfaces with field or operational systems.</x:v>
      </x:c>
      <x:c r="AF69" s="2" t="str">
        <x:v>For Building life cycle and integrated design process, software-related energy is electricity for sensing, computing, storage, communication and cooling; it is normally secondary but must be included for data-intensive or continuous services.</x:v>
      </x:c>
      <x:c r="AG69" s="2" t="str">
        <x:v>The non-physical inputs are calibrated data, metadata, algorithms, boundary conditions, emission or hazard factors, manuals and validation records specific to Building life cycle and integrated design process.</x:v>
      </x:c>
      <x:c r="AH69" s="2" t="str">
        <x:v>Software continuity for Building life cycle and integrated design process requires licences where applicable, updates, cybersecurity patches, backups, calibration files, model validation and technical support.</x:v>
      </x:c>
      <x:c r="AI69" s="2" t="str">
        <x:v>Orgware depends on the institutions, laboratories, training providers, regulators, operators and community interfaces needed to govern Building life cycle and integrated design process.</x:v>
      </x:c>
      <x:c r="AJ69" s="2" t="str">
        <x:v>The orgware supporting Building life cycle and integrated design process has mainly indirect energy use from offices, meetings, training and information systems; travel and field supervision may be material at dispersed sites.</x:v>
      </x:c>
      <x:c r="AK69" s="2" t="str">
        <x:v>Its organisational inputs are permits, budgets, trained staff, competence records, contracts, procedures, safeguards, monitoring evidence and stakeholder agreements tailored to Building life cycle and integrated design process.</x:v>
      </x:c>
      <x:c r="AL69" s="2" t="str">
        <x:v>Sustained implementation of Building life cycle and integrated design process requires procurement and service contracts, audit protocols, training material, reporting templates, insurance or guarantees and periodic independent review.</x:v>
      </x:c>
      <x:c r="AM69" s="2" t="str">
        <x:v>Iron ore / steel inputs; Limestone / cement raw materials</x:v>
      </x:c>
      <x:c r="AN69" s="2" t="str">
        <x:v>Australia; Brazil; China; India; Vietnam</x:v>
      </x:c>
      <x:c r="AO69" s="2" t="str">
        <x:v>China; India; Japan; Vietnam</x:v>
      </x:c>
      <x:c r="AP69" s="2" t="str">
        <x:v>Building life cycle and integrated design process: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9" s="2" t="str">
        <x:v>2024–2025</x:v>
      </x:c>
      <x:c r="AR69" s="2" t="str">
        <x:v>https://pubs.usgs.gov/periodicals/mcs2026/mcs2026.pdf</x:v>
      </x:c>
    </x:row>
    <x:row r="70" ht="240" customHeight="1">
      <x:c r="A70" s="2" t="str">
        <x:v>MIT-0063</x:v>
      </x:c>
      <x:c r="B70" s="2" t="str">
        <x:v>Mitigation</x:v>
      </x:c>
      <x:c r="C70" s="2" t="str">
        <x:v>Energy efficiency</x:v>
      </x:c>
      <x:c r="D70" s="2" t="str">
        <x:v>Buildings</x:v>
      </x:c>
      <x:c r="E70" s="2" t="str">
        <x:v>Building standards and codes</x:v>
      </x:c>
      <x:c r="F70" s="2" t="str">
        <x:v>Building standards and codes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standards and codes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0" s="2" t="str">
        <x:v>Flexible</x:v>
      </x:c>
      <x:c r="H70" s="2" t="str">
        <x:v>Building standards and codes is transferable through configurable methods, rules and operating parameters. Its principle remains the same, but resource quality, climate, scale, interfaces and safety constraints must be recalculated for each deployment.</x:v>
      </x:c>
      <x:c r="I70" s="2" t="str">
        <x:v>Primarily soft, with physical support</x:v>
      </x:c>
      <x:c r="J70" s="2" t="str">
        <x:v>Building standards and codes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0" s="2" t="str">
        <x:v>Operation</x:v>
      </x:c>
      <x:c r="L70" s="2" t="str">
        <x:v>Building standards and codes is embodied mainly as an operating practice. The deliverable is accepted only when measurable service, quality, safety and climate-performance criteria are met under real conditions.</x:v>
      </x:c>
      <x:c r="M70" s="2" t="str">
        <x:v>Yes, subject to life-cycle safeguards</x:v>
      </x:c>
      <x:c r="N70" s="2" t="str">
        <x:v>Building standards and codes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0" s="2" t="str">
        <x:v>Building standards and codes: envelope assemblies, efficient equipment, sensors, actuators, meters and distribution systems.</x:v>
      </x:c>
      <x:c r="P70" s="2" t="str">
        <x:v>Building standards and codes: energy simulation, load calculation, control sequences, commissioning data and building management.</x:v>
      </x:c>
      <x:c r="Q70" s="2" t="str">
        <x:v>Building standards and codes: building codes, performance standards, procurement, commissioning, maintenance plans and occupant guidance.</x:v>
      </x:c>
      <x:c r="R70" s="2" t="str">
        <x:v>Building standards and codes: building fabric, plant rooms, electrical and water networks, access for maintenance and metering.</x:v>
      </x:c>
      <x:c r="S70" s="2" t="str">
        <x:v>Building standards and codes: electricity and thermal energy; peak demand, part-load efficiency and controls determine actual savings.</x:v>
      </x:c>
      <x:c r="T70" s="2" t="str">
        <x:v>Building standards and codes: insulation, glass, concrete, steel, timber, aluminium, copper, refrigerants and electronic components as applicable.</x:v>
      </x:c>
      <x:c r="U70" s="2" t="str">
        <x:v>Building standards and codes: filters, belts, seals, lamps or drivers, sensors, actuators, valves, control modules and envelope repair materials.</x:v>
      </x:c>
      <x:c r="V70" s="2" t="str">
        <x:v>https://www.ctc-n.org/sites/default/files/resources/ctcn_taxonomy_0.pdf</x:v>
      </x:c>
      <x:c r="W70" s="2" t="str">
        <x:v>https://institutoagricoladepueblobello.edu.co/colegiapp/archivostemas/GUIA%209.%5B25%5D.pdf</x:v>
      </x:c>
      <x:c r="X70" s="2" t="str">
        <x:v>https://iiasa.ac.at/what-is-technology</x:v>
      </x:c>
      <x:c r="Y70" s="2" t="str">
        <x:v>https://www.ipcc.ch/report/ar6/wg3/chapter/chapter-9/</x:v>
      </x:c>
      <x:c r="Z70" s="2" t="str">
        <x:v>Technology-specific analytical synthesis. The CTCN hierarchy is retained; classifications and component dependencies require validation against the selected design, site and supplier documentation before investment or policy use.</x:v>
      </x:c>
      <x:c r="AA70" s="2" t="str">
        <x:v>Physical deployment of Building standards and codes requires building fabric, plant rooms, electrical and water networks, access for maintenance and metering; interfaces, foundations, access and environmental protection are sized to the specific resource and design load.</x:v>
      </x:c>
      <x:c r="AB70" s="2" t="str">
        <x:v>For Building standards and codes, the hardware energy balance comprises electricity and thermal energy; peak demand, part-load efficiency and controls determine actual savings; metering must separate useful output, conversion losses and auxiliaries for the selected design.</x:v>
      </x:c>
      <x:c r="AC70" s="2" t="str">
        <x:v>Construction and operation use insulation, glass, concrete, steel, timber, aluminium, copper, refrigerants and electronic components as applicable. For Building standards and codes, specifications must include durability, compatibility, recycled content and recoverability.</x:v>
      </x:c>
      <x:c r="AD70" s="2" t="str">
        <x:v>Maintenance of Building standards and codes depends on filters, belts, seals, lamps or drivers, sensors, actuators, valves, control modules and envelope repair materials; critical spares are selected from failure-mode, lead-time and safety analysis for its installed configuration.</x:v>
      </x:c>
      <x:c r="AE70" s="2" t="str">
        <x:v>The software stack for Building standards and codes requires databases, secure communications, version-controlled models, computing, backup and interfaces with field or operational systems.</x:v>
      </x:c>
      <x:c r="AF70" s="2" t="str">
        <x:v>For Building standards and codes, software-related energy is electricity for sensing, computing, storage, communication and cooling; it is normally secondary but must be included for data-intensive or continuous services.</x:v>
      </x:c>
      <x:c r="AG70" s="2" t="str">
        <x:v>The non-physical inputs are calibrated data, metadata, algorithms, boundary conditions, emission or hazard factors, manuals and validation records specific to Building standards and codes.</x:v>
      </x:c>
      <x:c r="AH70" s="2" t="str">
        <x:v>Software continuity for Building standards and codes requires licences where applicable, updates, cybersecurity patches, backups, calibration files, model validation and technical support.</x:v>
      </x:c>
      <x:c r="AI70" s="2" t="str">
        <x:v>Orgware depends on the institutions, laboratories, training providers, regulators, operators and community interfaces needed to govern Building standards and codes.</x:v>
      </x:c>
      <x:c r="AJ70" s="2" t="str">
        <x:v>The orgware supporting Building standards and codes has mainly indirect energy use from offices, meetings, training and information systems; travel and field supervision may be material at dispersed sites.</x:v>
      </x:c>
      <x:c r="AK70" s="2" t="str">
        <x:v>Its organisational inputs are permits, budgets, trained staff, competence records, contracts, procedures, safeguards, monitoring evidence and stakeholder agreements tailored to Building standards and codes.</x:v>
      </x:c>
      <x:c r="AL70" s="2" t="str">
        <x:v>Sustained implementation of Building standards and codes requires procurement and service contracts, audit protocols, training material, reporting templates, insurance or guarantees and periodic independent review.</x:v>
      </x:c>
      <x:c r="AM70" s="2" t="str">
        <x:v>Iron ore / steel inputs; Limestone / cement raw materials</x:v>
      </x:c>
      <x:c r="AN70" s="2" t="str">
        <x:v>Australia; Brazil; China; India; Vietnam</x:v>
      </x:c>
      <x:c r="AO70" s="2" t="str">
        <x:v>China; India; Japan; Vietnam</x:v>
      </x:c>
      <x:c r="AP70" s="2" t="str">
        <x:v>Building standards and codes: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0" s="2" t="str">
        <x:v>2024–2025</x:v>
      </x:c>
      <x:c r="AR70" s="2" t="str">
        <x:v>https://pubs.usgs.gov/periodicals/mcs2026/mcs2026.pdf</x:v>
      </x:c>
    </x:row>
    <x:row r="71" ht="240" customHeight="1">
      <x:c r="A71" s="2" t="str">
        <x:v>MIT-0064</x:v>
      </x:c>
      <x:c r="B71" s="2" t="str">
        <x:v>Mitigation</x:v>
      </x:c>
      <x:c r="C71" s="2" t="str">
        <x:v>Energy efficiency</x:v>
      </x:c>
      <x:c r="D71" s="2" t="str">
        <x:v>Buildings</x:v>
      </x:c>
      <x:c r="E71" s="2" t="str">
        <x:v>Greening the built environment</x:v>
      </x:c>
      <x:c r="F71" s="2" t="str">
        <x:v>Greening the built environment is a mitigation technology in the Energy efficiency sector and the Buildings technology group. It is defined as a combined hardware–software–orgware system that reduces thermal, electrical or water demand through passive design, efficient equipment, controls and low-impact materials. Greening the built environment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1" s="2" t="str">
        <x:v>Mixed: adaptable design, site-specific implementation</x:v>
      </x:c>
      <x:c r="H71" s="2" t="str">
        <x:v>Greening the built environment is adaptable in capacity and configuration but site-specific in final engineering. Its principle remains the same, but resource quality, climate, scale, interfaces and safety constraints must be recalculated for each deployment.</x:v>
      </x:c>
      <x:c r="I71" s="2" t="str">
        <x:v>Primarily hard, with a soft component</x:v>
      </x:c>
      <x:c r="J71" s="2" t="str">
        <x:v>Greening the built environment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1" s="2" t="str">
        <x:v>Equipment and operation</x:v>
      </x:c>
      <x:c r="L71" s="2" t="str">
        <x:v>Greening the built environment is embodied mainly as an equipment-and-operation system. The deliverable is accepted only when measurable service, quality, safety and climate-performance criteria are met under real conditions.</x:v>
      </x:c>
      <x:c r="M71" s="2" t="str">
        <x:v>Yes, subject to life-cycle safeguards</x:v>
      </x:c>
      <x:c r="N71" s="2" t="str">
        <x:v>Greening the built environment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1" s="2" t="str">
        <x:v>Greening the built environment: envelope assemblies, efficient equipment, sensors, actuators, meters and distribution systems.</x:v>
      </x:c>
      <x:c r="P71" s="2" t="str">
        <x:v>Greening the built environment: energy simulation, load calculation, control sequences, commissioning data and building management.</x:v>
      </x:c>
      <x:c r="Q71" s="2" t="str">
        <x:v>Greening the built environment: building codes, performance standards, procurement, commissioning, maintenance plans and occupant guidance.</x:v>
      </x:c>
      <x:c r="R71" s="2" t="str">
        <x:v>Greening the built environment: building fabric, plant rooms, electrical and water networks, access for maintenance and metering.</x:v>
      </x:c>
      <x:c r="S71" s="2" t="str">
        <x:v>Greening the built environment: electricity and thermal energy; peak demand, part-load efficiency and controls determine actual savings.</x:v>
      </x:c>
      <x:c r="T71" s="2" t="str">
        <x:v>Greening the built environment: insulation, glass, concrete, steel, timber, aluminium, copper, refrigerants and electronic components as applicable.</x:v>
      </x:c>
      <x:c r="U71" s="2" t="str">
        <x:v>Greening the built environment: filters, belts, seals, lamps or drivers, sensors, actuators, valves, control modules and envelope repair materials.</x:v>
      </x:c>
      <x:c r="V71" s="2" t="str">
        <x:v>https://www.ctc-n.org/sites/default/files/resources/ctcn_taxonomy_0.pdf</x:v>
      </x:c>
      <x:c r="W71" s="2" t="str">
        <x:v>https://institutoagricoladepueblobello.edu.co/colegiapp/archivostemas/GUIA%209.%5B25%5D.pdf</x:v>
      </x:c>
      <x:c r="X71" s="2" t="str">
        <x:v>https://iiasa.ac.at/what-is-technology</x:v>
      </x:c>
      <x:c r="Y71" s="2" t="str">
        <x:v>https://www.ipcc.ch/report/ar6/wg3/chapter/chapter-9/</x:v>
      </x:c>
      <x:c r="Z71" s="2" t="str">
        <x:v>Technology-specific analytical synthesis. The CTCN hierarchy is retained; classifications and component dependencies require validation against the selected design, site and supplier documentation before investment or policy use.</x:v>
      </x:c>
      <x:c r="AA71" s="2" t="str">
        <x:v>Physical deployment of Greening the built environment requires building fabric, plant rooms, electrical and water networks, access for maintenance and metering; interfaces, foundations, access and environmental protection are sized to the specific resource and design load.</x:v>
      </x:c>
      <x:c r="AB71" s="2" t="str">
        <x:v>For Greening the built environment, the hardware energy balance comprises electricity and thermal energy; peak demand, part-load efficiency and controls determine actual savings; metering must separate useful output, conversion losses and auxiliaries for the selected design.</x:v>
      </x:c>
      <x:c r="AC71" s="2" t="str">
        <x:v>Construction and operation use insulation, glass, concrete, steel, timber, aluminium, copper, refrigerants and electronic components as applicable. For Greening the built environment, specifications must include durability, compatibility, recycled content and recoverability.</x:v>
      </x:c>
      <x:c r="AD71" s="2" t="str">
        <x:v>Maintenance of Greening the built environment depends on filters, belts, seals, lamps or drivers, sensors, actuators, valves, control modules and envelope repair materials; critical spares are selected from failure-mode, lead-time and safety analysis for its installed configuration.</x:v>
      </x:c>
      <x:c r="AE71" s="2" t="str">
        <x:v>The software stack for Greening the built environment requires databases, secure communications, version-controlled models, computing, backup and interfaces with field or operational systems.</x:v>
      </x:c>
      <x:c r="AF71" s="2" t="str">
        <x:v>For Greening the built environment, software-related energy is electricity for sensing, computing, storage, communication and cooling; it is normally secondary but must be included for data-intensive or continuous services.</x:v>
      </x:c>
      <x:c r="AG71" s="2" t="str">
        <x:v>The non-physical inputs are calibrated data, metadata, algorithms, boundary conditions, emission or hazard factors, manuals and validation records specific to Greening the built environment.</x:v>
      </x:c>
      <x:c r="AH71" s="2" t="str">
        <x:v>Software continuity for Greening the built environment requires licences where applicable, updates, cybersecurity patches, backups, calibration files, model validation and technical support.</x:v>
      </x:c>
      <x:c r="AI71" s="2" t="str">
        <x:v>Orgware depends on the institutions, laboratories, training providers, regulators, operators and community interfaces needed to govern Greening the built environment.</x:v>
      </x:c>
      <x:c r="AJ71" s="2" t="str">
        <x:v>The orgware supporting Greening the built environment has mainly indirect energy use from offices, meetings, training and information systems; travel and field supervision may be material at dispersed sites.</x:v>
      </x:c>
      <x:c r="AK71" s="2" t="str">
        <x:v>Its organisational inputs are permits, budgets, trained staff, competence records, contracts, procedures, safeguards, monitoring evidence and stakeholder agreements tailored to Greening the built environment.</x:v>
      </x:c>
      <x:c r="AL71" s="2" t="str">
        <x:v>Sustained implementation of Greening the built environment requires procurement and service contracts, audit protocols, training material, reporting templates, insurance or guarantees and periodic independent review.</x:v>
      </x:c>
      <x:c r="AM71" s="2" t="str">
        <x:v>Iron ore / steel inputs; Limestone / cement raw materials</x:v>
      </x:c>
      <x:c r="AN71" s="2" t="str">
        <x:v>Australia; Brazil; China; India; Vietnam</x:v>
      </x:c>
      <x:c r="AO71" s="2" t="str">
        <x:v>China; India; Japan; Vietnam</x:v>
      </x:c>
      <x:c r="AP71" s="2" t="str">
        <x:v>Greening the built environment: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1" s="2" t="str">
        <x:v>2024–2025</x:v>
      </x:c>
      <x:c r="AR71" s="2" t="str">
        <x:v>https://pubs.usgs.gov/periodicals/mcs2026/mcs2026.pdf</x:v>
      </x:c>
    </x:row>
    <x:row r="72" ht="240" customHeight="1">
      <x:c r="A72" s="2" t="str">
        <x:v>MIT-0065</x:v>
      </x:c>
      <x:c r="B72" s="2" t="str">
        <x:v>Mitigation</x:v>
      </x:c>
      <x:c r="C72" s="2" t="str">
        <x:v>Energy efficiency</x:v>
      </x:c>
      <x:c r="D72" s="2" t="str">
        <x:v>Buildings</x:v>
      </x:c>
      <x:c r="E72" s="2" t="str">
        <x:v>Retrofitting of existing buildings</x:v>
      </x:c>
      <x:c r="F72" s="2" t="str">
        <x:v>Retrofitting of existing buildings is a mitigation technology in the Energy efficiency sector and the Buildings technology group. It is defined as a combined hardware–software–orgware system that reduces thermal, electrical or water demand through passive design, efficient equipment, controls and low-impact materials. Retrofitting of existing buildings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2" s="2" t="str">
        <x:v>Mixed: adaptable design, site-specific implementation</x:v>
      </x:c>
      <x:c r="H72" s="2" t="str">
        <x:v>Retrofitting of existing buildings is adaptable in capacity and configuration but site-specific in final engineering. Its principle remains the same, but resource quality, climate, scale, interfaces and safety constraints must be recalculated for each deployment.</x:v>
      </x:c>
      <x:c r="I72" s="2" t="str">
        <x:v>Primarily hard, with a soft component</x:v>
      </x:c>
      <x:c r="J72" s="2" t="str">
        <x:v>Retrofitting of existing buildings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2" s="2" t="str">
        <x:v>Equipment and operation</x:v>
      </x:c>
      <x:c r="L72" s="2" t="str">
        <x:v>Retrofitting of existing buildings is embodied mainly as an equipment-and-operation system. The deliverable is accepted only when measurable service, quality, safety and climate-performance criteria are met under real conditions.</x:v>
      </x:c>
      <x:c r="M72" s="2" t="str">
        <x:v>Yes, subject to life-cycle safeguards</x:v>
      </x:c>
      <x:c r="N72" s="2" t="str">
        <x:v>Retrofitting of existing buildings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2" s="2" t="str">
        <x:v>Retrofitting of existing buildings: envelope assemblies, efficient equipment, sensors, actuators, meters and distribution systems.</x:v>
      </x:c>
      <x:c r="P72" s="2" t="str">
        <x:v>Retrofitting of existing buildings: energy simulation, load calculation, control sequences, commissioning data and building management.</x:v>
      </x:c>
      <x:c r="Q72" s="2" t="str">
        <x:v>Retrofitting of existing buildings: building codes, performance standards, procurement, commissioning, maintenance plans and occupant guidance.</x:v>
      </x:c>
      <x:c r="R72" s="2" t="str">
        <x:v>Retrofitting of existing buildings: building fabric, plant rooms, electrical and water networks, access for maintenance and metering.</x:v>
      </x:c>
      <x:c r="S72" s="2" t="str">
        <x:v>Retrofitting of existing buildings: electricity and thermal energy; peak demand, part-load efficiency and controls determine actual savings.</x:v>
      </x:c>
      <x:c r="T72" s="2" t="str">
        <x:v>Retrofitting of existing buildings: insulation, glass, concrete, steel, timber, aluminium, copper, refrigerants and electronic components as applicable.</x:v>
      </x:c>
      <x:c r="U72" s="2" t="str">
        <x:v>Retrofitting of existing buildings: filters, belts, seals, lamps or drivers, sensors, actuators, valves, control modules and envelope repair materials.</x:v>
      </x:c>
      <x:c r="V72" s="2" t="str">
        <x:v>https://www.ctc-n.org/sites/default/files/resources/ctcn_taxonomy_0.pdf</x:v>
      </x:c>
      <x:c r="W72" s="2" t="str">
        <x:v>https://institutoagricoladepueblobello.edu.co/colegiapp/archivostemas/GUIA%209.%5B25%5D.pdf</x:v>
      </x:c>
      <x:c r="X72" s="2" t="str">
        <x:v>https://iiasa.ac.at/what-is-technology</x:v>
      </x:c>
      <x:c r="Y72" s="2" t="str">
        <x:v>https://www.ipcc.ch/report/ar6/wg3/chapter/chapter-9/</x:v>
      </x:c>
      <x:c r="Z72" s="2" t="str">
        <x:v>Technology-specific analytical synthesis. The CTCN hierarchy is retained; classifications and component dependencies require validation against the selected design, site and supplier documentation before investment or policy use.</x:v>
      </x:c>
      <x:c r="AA72" s="2" t="str">
        <x:v>Physical deployment of Retrofitting of existing buildings requires building fabric, plant rooms, electrical and water networks, access for maintenance and metering; interfaces, foundations, access and environmental protection are sized to the specific resource and design load.</x:v>
      </x:c>
      <x:c r="AB72" s="2" t="str">
        <x:v>For Retrofitting of existing buildings, the hardware energy balance comprises electricity and thermal energy; peak demand, part-load efficiency and controls determine actual savings; metering must separate useful output, conversion losses and auxiliaries for the selected design.</x:v>
      </x:c>
      <x:c r="AC72" s="2" t="str">
        <x:v>Construction and operation use insulation, glass, concrete, steel, timber, aluminium, copper, refrigerants and electronic components as applicable. For Retrofitting of existing buildings, specifications must include durability, compatibility, recycled content and recoverability.</x:v>
      </x:c>
      <x:c r="AD72" s="2" t="str">
        <x:v>Maintenance of Retrofitting of existing buildings depends on filters, belts, seals, lamps or drivers, sensors, actuators, valves, control modules and envelope repair materials; critical spares are selected from failure-mode, lead-time and safety analysis for its installed configuration.</x:v>
      </x:c>
      <x:c r="AE72" s="2" t="str">
        <x:v>The software stack for Retrofitting of existing buildings requires databases, secure communications, version-controlled models, computing, backup and interfaces with field or operational systems.</x:v>
      </x:c>
      <x:c r="AF72" s="2" t="str">
        <x:v>For Retrofitting of existing buildings, software-related energy is electricity for sensing, computing, storage, communication and cooling; it is normally secondary but must be included for data-intensive or continuous services.</x:v>
      </x:c>
      <x:c r="AG72" s="2" t="str">
        <x:v>The non-physical inputs are calibrated data, metadata, algorithms, boundary conditions, emission or hazard factors, manuals and validation records specific to Retrofitting of existing buildings.</x:v>
      </x:c>
      <x:c r="AH72" s="2" t="str">
        <x:v>Software continuity for Retrofitting of existing buildings requires licences where applicable, updates, cybersecurity patches, backups, calibration files, model validation and technical support.</x:v>
      </x:c>
      <x:c r="AI72" s="2" t="str">
        <x:v>Orgware depends on the institutions, laboratories, training providers, regulators, operators and community interfaces needed to govern Retrofitting of existing buildings.</x:v>
      </x:c>
      <x:c r="AJ72" s="2" t="str">
        <x:v>The orgware supporting Retrofitting of existing buildings has mainly indirect energy use from offices, meetings, training and information systems; travel and field supervision may be material at dispersed sites.</x:v>
      </x:c>
      <x:c r="AK72" s="2" t="str">
        <x:v>Its organisational inputs are permits, budgets, trained staff, competence records, contracts, procedures, safeguards, monitoring evidence and stakeholder agreements tailored to Retrofitting of existing buildings.</x:v>
      </x:c>
      <x:c r="AL72" s="2" t="str">
        <x:v>Sustained implementation of Retrofitting of existing buildings requires procurement and service contracts, audit protocols, training material, reporting templates, insurance or guarantees and periodic independent review.</x:v>
      </x:c>
      <x:c r="AM72" s="2" t="str">
        <x:v>Iron ore / steel inputs; Limestone / cement raw materials</x:v>
      </x:c>
      <x:c r="AN72" s="2" t="str">
        <x:v>Australia; Brazil; China; India; Vietnam</x:v>
      </x:c>
      <x:c r="AO72" s="2" t="str">
        <x:v>China; India; Japan; Vietnam</x:v>
      </x:c>
      <x:c r="AP72" s="2" t="str">
        <x:v>Retrofitting of existing buildings: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2" s="2" t="str">
        <x:v>2024–2025</x:v>
      </x:c>
      <x:c r="AR72" s="2" t="str">
        <x:v>https://pubs.usgs.gov/periodicals/mcs2026/mcs2026.pdf</x:v>
      </x:c>
    </x:row>
    <x:row r="73" ht="240" customHeight="1">
      <x:c r="A73" s="2" t="str">
        <x:v>MIT-0066</x:v>
      </x:c>
      <x:c r="B73" s="2" t="str">
        <x:v>Mitigation</x:v>
      </x:c>
      <x:c r="C73" s="2" t="str">
        <x:v>Energy efficiency</x:v>
      </x:c>
      <x:c r="D73" s="2" t="str">
        <x:v>Buildings</x:v>
      </x:c>
      <x:c r="E73" s="2" t="str">
        <x:v>Building automation</x:v>
      </x:c>
      <x:c r="F73" s="2" t="str">
        <x:v>Building automation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automation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3" s="2" t="str">
        <x:v>Mixed: adaptable design, site-specific implementation</x:v>
      </x:c>
      <x:c r="H73" s="2" t="str">
        <x:v>Building automation is adaptable in capacity and configuration but site-specific in final engineering. Its principle remains the same, but resource quality, climate, scale, interfaces and safety constraints must be recalculated for each deployment.</x:v>
      </x:c>
      <x:c r="I73" s="2" t="str">
        <x:v>Primarily hard, with a soft component</x:v>
      </x:c>
      <x:c r="J73" s="2" t="str">
        <x:v>Building automation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3" s="2" t="str">
        <x:v>Equipment and operation</x:v>
      </x:c>
      <x:c r="L73" s="2" t="str">
        <x:v>Building automation is embodied mainly as an equipment-and-operation system. The deliverable is accepted only when measurable service, quality, safety and climate-performance criteria are met under real conditions.</x:v>
      </x:c>
      <x:c r="M73" s="2" t="str">
        <x:v>Yes, subject to life-cycle safeguards</x:v>
      </x:c>
      <x:c r="N73" s="2" t="str">
        <x:v>Building automation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3" s="2" t="str">
        <x:v>Building automation: envelope assemblies, efficient equipment, sensors, actuators, meters and distribution systems.</x:v>
      </x:c>
      <x:c r="P73" s="2" t="str">
        <x:v>Building automation: energy simulation, load calculation, control sequences, commissioning data and building management.</x:v>
      </x:c>
      <x:c r="Q73" s="2" t="str">
        <x:v>Building automation: building codes, performance standards, procurement, commissioning, maintenance plans and occupant guidance.</x:v>
      </x:c>
      <x:c r="R73" s="2" t="str">
        <x:v>Building automation: building fabric, plant rooms, electrical and water networks, access for maintenance and metering.</x:v>
      </x:c>
      <x:c r="S73" s="2" t="str">
        <x:v>Building automation: electricity and thermal energy; peak demand, part-load efficiency and controls determine actual savings.</x:v>
      </x:c>
      <x:c r="T73" s="2" t="str">
        <x:v>Building automation: insulation, glass, concrete, steel, timber, aluminium, copper, refrigerants and electronic components as applicable.</x:v>
      </x:c>
      <x:c r="U73" s="2" t="str">
        <x:v>Building automation: filters, belts, seals, lamps or drivers, sensors, actuators, valves, control modules and envelope repair materials.</x:v>
      </x:c>
      <x:c r="V73" s="2" t="str">
        <x:v>https://www.ctc-n.org/sites/default/files/resources/ctcn_taxonomy_0.pdf</x:v>
      </x:c>
      <x:c r="W73" s="2" t="str">
        <x:v>https://institutoagricoladepueblobello.edu.co/colegiapp/archivostemas/GUIA%209.%5B25%5D.pdf</x:v>
      </x:c>
      <x:c r="X73" s="2" t="str">
        <x:v>https://iiasa.ac.at/what-is-technology</x:v>
      </x:c>
      <x:c r="Y73" s="2" t="str">
        <x:v>https://www.ipcc.ch/report/ar6/wg3/chapter/chapter-9/</x:v>
      </x:c>
      <x:c r="Z73" s="2" t="str">
        <x:v>Technology-specific analytical synthesis. The CTCN hierarchy is retained; classifications and component dependencies require validation against the selected design, site and supplier documentation before investment or policy use.</x:v>
      </x:c>
      <x:c r="AA73" s="2" t="str">
        <x:v>Physical deployment of Building automation requires building fabric, plant rooms, electrical and water networks, access for maintenance and metering; interfaces, foundations, access and environmental protection are sized to the specific resource and design load.</x:v>
      </x:c>
      <x:c r="AB73" s="2" t="str">
        <x:v>For Building automation, the hardware energy balance comprises electricity and thermal energy; peak demand, part-load efficiency and controls determine actual savings; metering must separate useful output, conversion losses and auxiliaries for the selected design.</x:v>
      </x:c>
      <x:c r="AC73" s="2" t="str">
        <x:v>Construction and operation use insulation, glass, concrete, steel, timber, aluminium, copper, refrigerants and electronic components as applicable. For Building automation, specifications must include durability, compatibility, recycled content and recoverability.</x:v>
      </x:c>
      <x:c r="AD73" s="2" t="str">
        <x:v>Maintenance of Building automation depends on filters, belts, seals, lamps or drivers, sensors, actuators, valves, control modules and envelope repair materials; critical spares are selected from failure-mode, lead-time and safety analysis for its installed configuration.</x:v>
      </x:c>
      <x:c r="AE73" s="2" t="str">
        <x:v>The software stack for Building automation requires databases, secure communications, version-controlled models, computing, backup and interfaces with field or operational systems.</x:v>
      </x:c>
      <x:c r="AF73" s="2" t="str">
        <x:v>For Building automation, software-related energy is electricity for sensing, computing, storage, communication and cooling; it is normally secondary but must be included for data-intensive or continuous services.</x:v>
      </x:c>
      <x:c r="AG73" s="2" t="str">
        <x:v>The non-physical inputs are calibrated data, metadata, algorithms, boundary conditions, emission or hazard factors, manuals and validation records specific to Building automation.</x:v>
      </x:c>
      <x:c r="AH73" s="2" t="str">
        <x:v>Software continuity for Building automation requires licences where applicable, updates, cybersecurity patches, backups, calibration files, model validation and technical support.</x:v>
      </x:c>
      <x:c r="AI73" s="2" t="str">
        <x:v>Orgware depends on the institutions, laboratories, training providers, regulators, operators and community interfaces needed to govern Building automation.</x:v>
      </x:c>
      <x:c r="AJ73" s="2" t="str">
        <x:v>The orgware supporting Building automation has mainly indirect energy use from offices, meetings, training and information systems; travel and field supervision may be material at dispersed sites.</x:v>
      </x:c>
      <x:c r="AK73" s="2" t="str">
        <x:v>Its organisational inputs are permits, budgets, trained staff, competence records, contracts, procedures, safeguards, monitoring evidence and stakeholder agreements tailored to Building automation.</x:v>
      </x:c>
      <x:c r="AL73" s="2" t="str">
        <x:v>Sustained implementation of Building automation requires procurement and service contracts, audit protocols, training material, reporting templates, insurance or guarantees and periodic independent review.</x:v>
      </x:c>
      <x:c r="AM73" s="2" t="str">
        <x:v>Iron ore / steel inputs; Limestone / cement raw materials</x:v>
      </x:c>
      <x:c r="AN73" s="2" t="str">
        <x:v>Australia; Brazil; China; India; Vietnam</x:v>
      </x:c>
      <x:c r="AO73" s="2" t="str">
        <x:v>China; India; Japan; Vietnam</x:v>
      </x:c>
      <x:c r="AP73" s="2" t="str">
        <x:v>Building automation: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3" s="2" t="str">
        <x:v>2024–2025</x:v>
      </x:c>
      <x:c r="AR73" s="2" t="str">
        <x:v>https://pubs.usgs.gov/periodicals/mcs2026/mcs2026.pdf</x:v>
      </x:c>
    </x:row>
    <x:row r="74" ht="240" customHeight="1">
      <x:c r="A74" s="2" t="str">
        <x:v>MIT-0067</x:v>
      </x:c>
      <x:c r="B74" s="2" t="str">
        <x:v>Mitigation</x:v>
      </x:c>
      <x:c r="C74" s="2" t="str">
        <x:v>Energy efficiency</x:v>
      </x:c>
      <x:c r="D74" s="2" t="str">
        <x:v>Buildings</x:v>
      </x:c>
      <x:c r="E74" s="2" t="str">
        <x:v>Building Energy Management Systems</x:v>
      </x:c>
      <x:c r="F74" s="2" t="str">
        <x:v>Building Energy Management Systems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Energy Management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4" s="2" t="str">
        <x:v>Flexible</x:v>
      </x:c>
      <x:c r="H74" s="2" t="str">
        <x:v>Building Energy Management Systems is transferable through configurable methods, rules and operating parameters. Its principle remains the same, but resource quality, climate, scale, interfaces and safety constraints must be recalculated for each deployment.</x:v>
      </x:c>
      <x:c r="I74" s="2" t="str">
        <x:v>Primarily soft, with physical support</x:v>
      </x:c>
      <x:c r="J74" s="2" t="str">
        <x:v>Building Energy Management Systems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4" s="2" t="str">
        <x:v>Operation</x:v>
      </x:c>
      <x:c r="L74" s="2" t="str">
        <x:v>Building Energy Management Systems is embodied mainly as an operating practice. The deliverable is accepted only when measurable service, quality, safety and climate-performance criteria are met under real conditions.</x:v>
      </x:c>
      <x:c r="M74" s="2" t="str">
        <x:v>Yes, subject to life-cycle safeguards</x:v>
      </x:c>
      <x:c r="N74" s="2" t="str">
        <x:v>Building Energy Management Systems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4" s="2" t="str">
        <x:v>Building Energy Management Systems: envelope assemblies, efficient equipment, sensors, actuators, meters and distribution systems.</x:v>
      </x:c>
      <x:c r="P74" s="2" t="str">
        <x:v>Building Energy Management Systems: energy simulation, load calculation, control sequences, commissioning data and building management.</x:v>
      </x:c>
      <x:c r="Q74" s="2" t="str">
        <x:v>Building Energy Management Systems: building codes, performance standards, procurement, commissioning, maintenance plans and occupant guidance.</x:v>
      </x:c>
      <x:c r="R74" s="2" t="str">
        <x:v>Building Energy Management Systems: building fabric, plant rooms, electrical and water networks, access for maintenance and metering.</x:v>
      </x:c>
      <x:c r="S74" s="2" t="str">
        <x:v>Building Energy Management Systems: electricity and thermal energy; peak demand, part-load efficiency and controls determine actual savings.</x:v>
      </x:c>
      <x:c r="T74" s="2" t="str">
        <x:v>Building Energy Management Systems: insulation, glass, concrete, steel, timber, aluminium, copper, refrigerants and electronic components as applicable.</x:v>
      </x:c>
      <x:c r="U74" s="2" t="str">
        <x:v>Building Energy Management Systems: filters, belts, seals, lamps or drivers, sensors, actuators, valves, control modules and envelope repair materials.</x:v>
      </x:c>
      <x:c r="V74" s="2" t="str">
        <x:v>https://www.ctc-n.org/sites/default/files/resources/ctcn_taxonomy_0.pdf</x:v>
      </x:c>
      <x:c r="W74" s="2" t="str">
        <x:v>https://institutoagricoladepueblobello.edu.co/colegiapp/archivostemas/GUIA%209.%5B25%5D.pdf</x:v>
      </x:c>
      <x:c r="X74" s="2" t="str">
        <x:v>https://iiasa.ac.at/what-is-technology</x:v>
      </x:c>
      <x:c r="Y74" s="2" t="str">
        <x:v>https://www.ipcc.ch/report/ar6/wg3/chapter/chapter-9/</x:v>
      </x:c>
      <x:c r="Z74" s="2" t="str">
        <x:v>Technology-specific analytical synthesis. The CTCN hierarchy is retained; classifications and component dependencies require validation against the selected design, site and supplier documentation before investment or policy use.</x:v>
      </x:c>
      <x:c r="AA74" s="2" t="str">
        <x:v>Physical deployment of Building Energy Management Systems requires building fabric, plant rooms, electrical and water networks, access for maintenance and metering; interfaces, foundations, access and environmental protection are sized to the specific resource and design load.</x:v>
      </x:c>
      <x:c r="AB74" s="2" t="str">
        <x:v>For Building Energy Management Systems, the hardware energy balance comprises electricity and thermal energy; peak demand, part-load efficiency and controls determine actual savings; metering must separate useful output, conversion losses and auxiliaries for the selected design.</x:v>
      </x:c>
      <x:c r="AC74" s="2" t="str">
        <x:v>Construction and operation use insulation, glass, concrete, steel, timber, aluminium, copper, refrigerants and electronic components as applicable. For Building Energy Management Systems, specifications must include durability, compatibility, recycled content and recoverability.</x:v>
      </x:c>
      <x:c r="AD74" s="2" t="str">
        <x:v>Maintenance of Building Energy Management Systems depends on filters, belts, seals, lamps or drivers, sensors, actuators, valves, control modules and envelope repair materials; critical spares are selected from failure-mode, lead-time and safety analysis for its installed configuration.</x:v>
      </x:c>
      <x:c r="AE74" s="2" t="str">
        <x:v>The software stack for Building Energy Management Systems requires databases, secure communications, version-controlled models, computing, backup and interfaces with field or operational systems.</x:v>
      </x:c>
      <x:c r="AF74" s="2" t="str">
        <x:v>For Building Energy Management Systems, software-related energy is electricity for sensing, computing, storage, communication and cooling; it is normally secondary but must be included for data-intensive or continuous services.</x:v>
      </x:c>
      <x:c r="AG74" s="2" t="str">
        <x:v>The non-physical inputs are calibrated data, metadata, algorithms, boundary conditions, emission or hazard factors, manuals and validation records specific to Building Energy Management Systems.</x:v>
      </x:c>
      <x:c r="AH74" s="2" t="str">
        <x:v>Software continuity for Building Energy Management Systems requires licences where applicable, updates, cybersecurity patches, backups, calibration files, model validation and technical support.</x:v>
      </x:c>
      <x:c r="AI74" s="2" t="str">
        <x:v>Orgware depends on the institutions, laboratories, training providers, regulators, operators and community interfaces needed to govern Building Energy Management Systems.</x:v>
      </x:c>
      <x:c r="AJ74" s="2" t="str">
        <x:v>The orgware supporting Building Energy Management Systems has mainly indirect energy use from offices, meetings, training and information systems; travel and field supervision may be material at dispersed sites.</x:v>
      </x:c>
      <x:c r="AK74" s="2" t="str">
        <x:v>Its organisational inputs are permits, budgets, trained staff, competence records, contracts, procedures, safeguards, monitoring evidence and stakeholder agreements tailored to Building Energy Management Systems.</x:v>
      </x:c>
      <x:c r="AL74" s="2" t="str">
        <x:v>Sustained implementation of Building Energy Management Systems requires procurement and service contracts, audit protocols, training material, reporting templates, insurance or guarantees and periodic independent review.</x:v>
      </x:c>
      <x:c r="AM74" s="2" t="str">
        <x:v>Iron ore / steel inputs; Limestone / cement raw materials</x:v>
      </x:c>
      <x:c r="AN74" s="2" t="str">
        <x:v>Australia; Brazil; China; India; Vietnam</x:v>
      </x:c>
      <x:c r="AO74" s="2" t="str">
        <x:v>China; India; Japan; Vietnam</x:v>
      </x:c>
      <x:c r="AP74" s="2" t="str">
        <x:v>Building Energy Management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4" s="2" t="str">
        <x:v>2024–2025</x:v>
      </x:c>
      <x:c r="AR74" s="2" t="str">
        <x:v>https://pubs.usgs.gov/periodicals/mcs2026/mcs2026.pdf</x:v>
      </x:c>
    </x:row>
    <x:row r="75" ht="240" customHeight="1">
      <x:c r="A75" s="2" t="str">
        <x:v>MIT-0068</x:v>
      </x:c>
      <x:c r="B75" s="2" t="str">
        <x:v>Mitigation</x:v>
      </x:c>
      <x:c r="C75" s="2" t="str">
        <x:v>Energy efficiency</x:v>
      </x:c>
      <x:c r="D75" s="2" t="str">
        <x:v>Buildings</x:v>
      </x:c>
      <x:c r="E75" s="2" t="str">
        <x:v>Carbon sink and low-carbon building materials</x:v>
      </x:c>
      <x:c r="F75" s="2" t="str">
        <x:v>Carbon sink and low-carbon building materials is a mitigation technology in the Energy efficiency sector and the Buildings technology group. It is defined as a combined hardware–software–orgware system that reduces thermal, electrical or water demand through passive design, efficient equipment, controls and low-impact materials. Carbon sink and low-carbon building materials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5" s="2" t="str">
        <x:v>Mixed: adaptable design, site-specific implementation</x:v>
      </x:c>
      <x:c r="H75" s="2" t="str">
        <x:v>Carbon sink and low-carbon building materials is adaptable in capacity and configuration but site-specific in final engineering. Its principle remains the same, but resource quality, climate, scale, interfaces and safety constraints must be recalculated for each deployment.</x:v>
      </x:c>
      <x:c r="I75" s="2" t="str">
        <x:v>Primarily hard, with a soft component</x:v>
      </x:c>
      <x:c r="J75" s="2" t="str">
        <x:v>Carbon sink and low-carbon building materials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5" s="2" t="str">
        <x:v>Product and equipment; complementary operation</x:v>
      </x:c>
      <x:c r="L75" s="2" t="str">
        <x:v>Carbon sink and low-carbon building materials is embodied mainly as a product/equipment package. The deliverable is accepted only when measurable service, quality, safety and climate-performance criteria are met under real conditions.</x:v>
      </x:c>
      <x:c r="M75" s="2" t="str">
        <x:v>Yes, subject to life-cycle safeguards</x:v>
      </x:c>
      <x:c r="N75" s="2" t="str">
        <x:v>Carbon sink and low-carbon building materials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5" s="2" t="str">
        <x:v>Carbon sink and low-carbon building materials: envelope assemblies, efficient equipment, sensors, actuators, meters and distribution systems.</x:v>
      </x:c>
      <x:c r="P75" s="2" t="str">
        <x:v>Carbon sink and low-carbon building materials: energy simulation, load calculation, control sequences, commissioning data and building management.</x:v>
      </x:c>
      <x:c r="Q75" s="2" t="str">
        <x:v>Carbon sink and low-carbon building materials: building codes, performance standards, procurement, commissioning, maintenance plans and occupant guidance.</x:v>
      </x:c>
      <x:c r="R75" s="2" t="str">
        <x:v>Carbon sink and low-carbon building materials: building fabric, plant rooms, electrical and water networks, access for maintenance and metering.</x:v>
      </x:c>
      <x:c r="S75" s="2" t="str">
        <x:v>Carbon sink and low-carbon building materials: electricity and thermal energy; peak demand, part-load efficiency and controls determine actual savings.</x:v>
      </x:c>
      <x:c r="T75" s="2" t="str">
        <x:v>Carbon sink and low-carbon building materials: insulation, glass, concrete, steel, timber, aluminium, copper, refrigerants and electronic components as applicable.</x:v>
      </x:c>
      <x:c r="U75" s="2" t="str">
        <x:v>Carbon sink and low-carbon building materials: filters, belts, seals, lamps or drivers, sensors, actuators, valves, control modules and envelope repair materials.</x:v>
      </x:c>
      <x:c r="V75" s="2" t="str">
        <x:v>https://www.ctc-n.org/sites/default/files/resources/ctcn_taxonomy_0.pdf</x:v>
      </x:c>
      <x:c r="W75" s="2" t="str">
        <x:v>https://institutoagricoladepueblobello.edu.co/colegiapp/archivostemas/GUIA%209.%5B25%5D.pdf</x:v>
      </x:c>
      <x:c r="X75" s="2" t="str">
        <x:v>https://iiasa.ac.at/what-is-technology</x:v>
      </x:c>
      <x:c r="Y75" s="2" t="str">
        <x:v>https://www.ipcc.ch/report/ar6/wg3/chapter/chapter-9/</x:v>
      </x:c>
      <x:c r="Z75" s="2" t="str">
        <x:v>Technology-specific analytical synthesis. The CTCN hierarchy is retained; classifications and component dependencies require validation against the selected design, site and supplier documentation before investment or policy use.</x:v>
      </x:c>
      <x:c r="AA75" s="2" t="str">
        <x:v>Physical deployment of Carbon sink and low-carbon building materials requires building fabric, plant rooms, electrical and water networks, access for maintenance and metering; interfaces, foundations, access and environmental protection are sized to the specific resource and design load.</x:v>
      </x:c>
      <x:c r="AB75" s="2" t="str">
        <x:v>For Carbon sink and low-carbon building materials, the hardware energy balance comprises electricity and thermal energy; peak demand, part-load efficiency and controls determine actual savings; metering must separate useful output, conversion losses and auxiliaries for the selected design.</x:v>
      </x:c>
      <x:c r="AC75" s="2" t="str">
        <x:v>Construction and operation use insulation, glass, concrete, steel, timber, aluminium, copper, refrigerants and electronic components as applicable. For Carbon sink and low-carbon building materials, specifications must include durability, compatibility, recycled content and recoverability.</x:v>
      </x:c>
      <x:c r="AD75" s="2" t="str">
        <x:v>Maintenance of Carbon sink and low-carbon building materials depends on filters, belts, seals, lamps or drivers, sensors, actuators, valves, control modules and envelope repair materials; critical spares are selected from failure-mode, lead-time and safety analysis for its installed configuration.</x:v>
      </x:c>
      <x:c r="AE75" s="2" t="str">
        <x:v>The software stack for Carbon sink and low-carbon building materials requires databases, secure communications, version-controlled models, computing, backup and interfaces with field or operational systems.</x:v>
      </x:c>
      <x:c r="AF75" s="2" t="str">
        <x:v>For Carbon sink and low-carbon building materials, software-related energy is electricity for sensing, computing, storage, communication and cooling; it is normally secondary but must be included for data-intensive or continuous services.</x:v>
      </x:c>
      <x:c r="AG75" s="2" t="str">
        <x:v>The non-physical inputs are calibrated data, metadata, algorithms, boundary conditions, emission or hazard factors, manuals and validation records specific to Carbon sink and low-carbon building materials.</x:v>
      </x:c>
      <x:c r="AH75" s="2" t="str">
        <x:v>Software continuity for Carbon sink and low-carbon building materials requires licences where applicable, updates, cybersecurity patches, backups, calibration files, model validation and technical support.</x:v>
      </x:c>
      <x:c r="AI75" s="2" t="str">
        <x:v>Orgware depends on the institutions, laboratories, training providers, regulators, operators and community interfaces needed to govern Carbon sink and low-carbon building materials.</x:v>
      </x:c>
      <x:c r="AJ75" s="2" t="str">
        <x:v>The orgware supporting Carbon sink and low-carbon building materials has mainly indirect energy use from offices, meetings, training and information systems; travel and field supervision may be material at dispersed sites.</x:v>
      </x:c>
      <x:c r="AK75" s="2" t="str">
        <x:v>Its organisational inputs are permits, budgets, trained staff, competence records, contracts, procedures, safeguards, monitoring evidence and stakeholder agreements tailored to Carbon sink and low-carbon building materials.</x:v>
      </x:c>
      <x:c r="AL75" s="2" t="str">
        <x:v>Sustained implementation of Carbon sink and low-carbon building materials requires procurement and service contracts, audit protocols, training material, reporting templates, insurance or guarantees and periodic independent review.</x:v>
      </x:c>
      <x:c r="AM75" s="2" t="str">
        <x:v>Iron ore / steel inputs; Limestone / cement raw materials</x:v>
      </x:c>
      <x:c r="AN75" s="2" t="str">
        <x:v>Australia; Brazil; China; India; Vietnam</x:v>
      </x:c>
      <x:c r="AO75" s="2" t="str">
        <x:v>China; India; Japan; Vietnam</x:v>
      </x:c>
      <x:c r="AP75" s="2" t="str">
        <x:v>Carbon sink and low-carbon building materials: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5" s="2" t="str">
        <x:v>2024–2025</x:v>
      </x:c>
      <x:c r="AR75" s="2" t="str">
        <x:v>https://pubs.usgs.gov/periodicals/mcs2026/mcs2026.pdf</x:v>
      </x:c>
    </x:row>
    <x:row r="76" ht="240" customHeight="1">
      <x:c r="A76" s="2" t="str">
        <x:v>MIT-0069</x:v>
      </x:c>
      <x:c r="B76" s="2" t="str">
        <x:v>Mitigation</x:v>
      </x:c>
      <x:c r="C76" s="2" t="str">
        <x:v>Energy efficiency</x:v>
      </x:c>
      <x:c r="D76" s="2" t="str">
        <x:v>Buildings</x:v>
      </x:c>
      <x:c r="E76" s="2" t="str">
        <x:v>Heating - Ventilation and Air Conditioning</x:v>
      </x:c>
      <x:c r="F76" s="2" t="str">
        <x:v>Heating - Ventilation and Air Conditioning is a mitigation technology in the Energy efficiency sector and the Buildings technology group. It is defined as a combined hardware–software–orgware system that reduces thermal, electrical or water demand through passive design, efficient equipment, controls and low-impact materials. Heating - Ventilation and Air Conditioning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6" s="2" t="str">
        <x:v>Mixed: adaptable design, site-specific implementation</x:v>
      </x:c>
      <x:c r="H76" s="2" t="str">
        <x:v>Heating - Ventilation and Air Conditioning is adaptable in capacity and configuration but site-specific in final engineering. Its principle remains the same, but resource quality, climate, scale, interfaces and safety constraints must be recalculated for each deployment.</x:v>
      </x:c>
      <x:c r="I76" s="2" t="str">
        <x:v>Primarily hard, with a soft component</x:v>
      </x:c>
      <x:c r="J76" s="2" t="str">
        <x:v>Heating - Ventilation and Air Conditioning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6" s="2" t="str">
        <x:v>Equipment and operation</x:v>
      </x:c>
      <x:c r="L76" s="2" t="str">
        <x:v>Heating - Ventilation and Air Conditioning is embodied mainly as an equipment-and-operation system. The deliverable is accepted only when measurable service, quality, safety and climate-performance criteria are met under real conditions.</x:v>
      </x:c>
      <x:c r="M76" s="2" t="str">
        <x:v>Yes, subject to life-cycle safeguards</x:v>
      </x:c>
      <x:c r="N76" s="2" t="str">
        <x:v>Heating - Ventilation and Air Conditioning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6" s="2" t="str">
        <x:v>Heating - Ventilation and Air Conditioning: envelope assemblies, efficient equipment, sensors, actuators, meters and distribution systems.</x:v>
      </x:c>
      <x:c r="P76" s="2" t="str">
        <x:v>Heating - Ventilation and Air Conditioning: energy simulation, load calculation, control sequences, commissioning data and building management.</x:v>
      </x:c>
      <x:c r="Q76" s="2" t="str">
        <x:v>Heating - Ventilation and Air Conditioning: building codes, performance standards, procurement, commissioning, maintenance plans and occupant guidance.</x:v>
      </x:c>
      <x:c r="R76" s="2" t="str">
        <x:v>Heating - Ventilation and Air Conditioning: building fabric, plant rooms, electrical and water networks, access for maintenance and metering.</x:v>
      </x:c>
      <x:c r="S76" s="2" t="str">
        <x:v>Heating - Ventilation and Air Conditioning: electricity and thermal energy; peak demand, part-load efficiency and controls determine actual savings.</x:v>
      </x:c>
      <x:c r="T76" s="2" t="str">
        <x:v>Heating - Ventilation and Air Conditioning: insulation, glass, concrete, steel, timber, aluminium, copper, refrigerants and electronic components as applicable.</x:v>
      </x:c>
      <x:c r="U76" s="2" t="str">
        <x:v>Heating - Ventilation and Air Conditioning: filters, belts, seals, lamps or drivers, sensors, actuators, valves, control modules and envelope repair materials.</x:v>
      </x:c>
      <x:c r="V76" s="2" t="str">
        <x:v>https://www.ctc-n.org/sites/default/files/resources/ctcn_taxonomy_0.pdf</x:v>
      </x:c>
      <x:c r="W76" s="2" t="str">
        <x:v>https://institutoagricoladepueblobello.edu.co/colegiapp/archivostemas/GUIA%209.%5B25%5D.pdf</x:v>
      </x:c>
      <x:c r="X76" s="2" t="str">
        <x:v>https://iiasa.ac.at/what-is-technology</x:v>
      </x:c>
      <x:c r="Y76" s="2" t="str">
        <x:v>https://www.ipcc.ch/report/ar6/wg3/chapter/chapter-9/</x:v>
      </x:c>
      <x:c r="Z76" s="2" t="str">
        <x:v>Technology-specific analytical synthesis. The CTCN hierarchy is retained; classifications and component dependencies require validation against the selected design, site and supplier documentation before investment or policy use.</x:v>
      </x:c>
      <x:c r="AA76" s="2" t="str">
        <x:v>Physical deployment of Heating - Ventilation and Air Conditioning requires building fabric, plant rooms, electrical and water networks, access for maintenance and metering; interfaces, foundations, access and environmental protection are sized to the specific resource and design load.</x:v>
      </x:c>
      <x:c r="AB76" s="2" t="str">
        <x:v>For Heating - Ventilation and Air Conditioning, the hardware energy balance comprises electricity and thermal energy; peak demand, part-load efficiency and controls determine actual savings; metering must separate useful output, conversion losses and auxiliaries for the selected design.</x:v>
      </x:c>
      <x:c r="AC76" s="2" t="str">
        <x:v>Construction and operation use insulation, glass, concrete, steel, timber, aluminium, copper, refrigerants and electronic components as applicable. For Heating - Ventilation and Air Conditioning, specifications must include durability, compatibility, recycled content and recoverability.</x:v>
      </x:c>
      <x:c r="AD76" s="2" t="str">
        <x:v>Maintenance of Heating - Ventilation and Air Conditioning depends on filters, belts, seals, lamps or drivers, sensors, actuators, valves, control modules and envelope repair materials; critical spares are selected from failure-mode, lead-time and safety analysis for its installed configuration.</x:v>
      </x:c>
      <x:c r="AE76" s="2" t="str">
        <x:v>The software stack for Heating - Ventilation and Air Conditioning requires databases, secure communications, version-controlled models, computing, backup and interfaces with field or operational systems.</x:v>
      </x:c>
      <x:c r="AF76" s="2" t="str">
        <x:v>For Heating - Ventilation and Air Conditioning, software-related energy is electricity for sensing, computing, storage, communication and cooling; it is normally secondary but must be included for data-intensive or continuous services.</x:v>
      </x:c>
      <x:c r="AG76" s="2" t="str">
        <x:v>The non-physical inputs are calibrated data, metadata, algorithms, boundary conditions, emission or hazard factors, manuals and validation records specific to Heating - Ventilation and Air Conditioning.</x:v>
      </x:c>
      <x:c r="AH76" s="2" t="str">
        <x:v>Software continuity for Heating - Ventilation and Air Conditioning requires licences where applicable, updates, cybersecurity patches, backups, calibration files, model validation and technical support.</x:v>
      </x:c>
      <x:c r="AI76" s="2" t="str">
        <x:v>Orgware depends on the institutions, laboratories, training providers, regulators, operators and community interfaces needed to govern Heating - Ventilation and Air Conditioning.</x:v>
      </x:c>
      <x:c r="AJ76" s="2" t="str">
        <x:v>The orgware supporting Heating - Ventilation and Air Conditioning has mainly indirect energy use from offices, meetings, training and information systems; travel and field supervision may be material at dispersed sites.</x:v>
      </x:c>
      <x:c r="AK76" s="2" t="str">
        <x:v>Its organisational inputs are permits, budgets, trained staff, competence records, contracts, procedures, safeguards, monitoring evidence and stakeholder agreements tailored to Heating - Ventilation and Air Conditioning.</x:v>
      </x:c>
      <x:c r="AL76" s="2" t="str">
        <x:v>Sustained implementation of Heating - Ventilation and Air Conditioning requires procurement and service contracts, audit protocols, training material, reporting templates, insurance or guarantees and periodic independent review.</x:v>
      </x:c>
      <x:c r="AM76" s="2" t="str">
        <x:v>Iron ore / steel inputs; Copper; Tin; Limestone / cement raw materials</x:v>
      </x:c>
      <x:c r="AN76" s="2" t="str">
        <x:v>Australia; Brazil; China; Chile; Democratic Republic of the Congo; Peru; Indonesia; Myanmar; India; Vietnam</x:v>
      </x:c>
      <x:c r="AO76" s="2" t="str">
        <x:v>China; India; Japan; Chile; Democratic Republic of the Congo; Indonesia; Malaysia; Vietnam</x:v>
      </x:c>
      <x:c r="AP76" s="2" t="str">
        <x:v>Heating - Ventilation and Air Conditioning: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6" s="2" t="str">
        <x:v>2024–2025</x:v>
      </x:c>
      <x:c r="AR76" s="2" t="str">
        <x:v>https://pubs.usgs.gov/periodicals/mcs2026/mcs2026.pdf</x:v>
      </x:c>
    </x:row>
    <x:row r="77" ht="240" customHeight="1">
      <x:c r="A77" s="2" t="str">
        <x:v>MIT-0070</x:v>
      </x:c>
      <x:c r="B77" s="2" t="str">
        <x:v>Mitigation</x:v>
      </x:c>
      <x:c r="C77" s="2" t="str">
        <x:v>Energy efficiency</x:v>
      </x:c>
      <x:c r="D77" s="2" t="str">
        <x:v>Buildings</x:v>
      </x:c>
      <x:c r="E77" s="2" t="str">
        <x:v>Design for Deconstruction</x:v>
      </x:c>
      <x:c r="F77" s="2" t="str">
        <x:v>Design for Deconstruction is a mitigation technology in the Energy efficiency sector and the Buildings technology group. It is defined as a combined hardware–software–orgware system that reduces thermal, electrical or water demand through passive design, efficient equipment, controls and low-impact materials. Design for Deconstruction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7" s="2" t="str">
        <x:v>Mixed: adaptable design, site-specific implementation</x:v>
      </x:c>
      <x:c r="H77" s="2" t="str">
        <x:v>Design for Deconstruction is adaptable in capacity and configuration but site-specific in final engineering. Its principle remains the same, but resource quality, climate, scale, interfaces and safety constraints must be recalculated for each deployment.</x:v>
      </x:c>
      <x:c r="I77" s="2" t="str">
        <x:v>Primarily hard, with a soft component</x:v>
      </x:c>
      <x:c r="J77" s="2" t="str">
        <x:v>Design for Deconstruction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7" s="2" t="str">
        <x:v>Equipment and operation</x:v>
      </x:c>
      <x:c r="L77" s="2" t="str">
        <x:v>Design for Deconstruction is embodied mainly as an equipment-and-operation system. The deliverable is accepted only when measurable service, quality, safety and climate-performance criteria are met under real conditions.</x:v>
      </x:c>
      <x:c r="M77" s="2" t="str">
        <x:v>Yes, subject to life-cycle safeguards</x:v>
      </x:c>
      <x:c r="N77" s="2" t="str">
        <x:v>Design for Deconstruction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7" s="2" t="str">
        <x:v>Design for Deconstruction: envelope assemblies, efficient equipment, sensors, actuators, meters and distribution systems.</x:v>
      </x:c>
      <x:c r="P77" s="2" t="str">
        <x:v>Design for Deconstruction: energy simulation, load calculation, control sequences, commissioning data and building management.</x:v>
      </x:c>
      <x:c r="Q77" s="2" t="str">
        <x:v>Design for Deconstruction: building codes, performance standards, procurement, commissioning, maintenance plans and occupant guidance.</x:v>
      </x:c>
      <x:c r="R77" s="2" t="str">
        <x:v>Design for Deconstruction: building fabric, plant rooms, electrical and water networks, access for maintenance and metering.</x:v>
      </x:c>
      <x:c r="S77" s="2" t="str">
        <x:v>Design for Deconstruction: electricity and thermal energy; peak demand, part-load efficiency and controls determine actual savings.</x:v>
      </x:c>
      <x:c r="T77" s="2" t="str">
        <x:v>Design for Deconstruction: insulation, glass, concrete, steel, timber, aluminium, copper, refrigerants and electronic components as applicable.</x:v>
      </x:c>
      <x:c r="U77" s="2" t="str">
        <x:v>Design for Deconstruction: filters, belts, seals, lamps or drivers, sensors, actuators, valves, control modules and envelope repair materials.</x:v>
      </x:c>
      <x:c r="V77" s="2" t="str">
        <x:v>https://www.ctc-n.org/sites/default/files/resources/ctcn_taxonomy_0.pdf</x:v>
      </x:c>
      <x:c r="W77" s="2" t="str">
        <x:v>https://institutoagricoladepueblobello.edu.co/colegiapp/archivostemas/GUIA%209.%5B25%5D.pdf</x:v>
      </x:c>
      <x:c r="X77" s="2" t="str">
        <x:v>https://iiasa.ac.at/what-is-technology</x:v>
      </x:c>
      <x:c r="Y77" s="2" t="str">
        <x:v>https://www.ipcc.ch/report/ar6/wg3/chapter/chapter-9/</x:v>
      </x:c>
      <x:c r="Z77" s="2" t="str">
        <x:v>Technology-specific analytical synthesis. The CTCN hierarchy is retained; classifications and component dependencies require validation against the selected design, site and supplier documentation before investment or policy use.</x:v>
      </x:c>
      <x:c r="AA77" s="2" t="str">
        <x:v>Physical deployment of Design for Deconstruction requires building fabric, plant rooms, electrical and water networks, access for maintenance and metering; interfaces, foundations, access and environmental protection are sized to the specific resource and design load.</x:v>
      </x:c>
      <x:c r="AB77" s="2" t="str">
        <x:v>For Design for Deconstruction, the hardware energy balance comprises electricity and thermal energy; peak demand, part-load efficiency and controls determine actual savings; metering must separate useful output, conversion losses and auxiliaries for the selected design.</x:v>
      </x:c>
      <x:c r="AC77" s="2" t="str">
        <x:v>Construction and operation use insulation, glass, concrete, steel, timber, aluminium, copper, refrigerants and electronic components as applicable. For Design for Deconstruction, specifications must include durability, compatibility, recycled content and recoverability.</x:v>
      </x:c>
      <x:c r="AD77" s="2" t="str">
        <x:v>Maintenance of Design for Deconstruction depends on filters, belts, seals, lamps or drivers, sensors, actuators, valves, control modules and envelope repair materials; critical spares are selected from failure-mode, lead-time and safety analysis for its installed configuration.</x:v>
      </x:c>
      <x:c r="AE77" s="2" t="str">
        <x:v>The software stack for Design for Deconstruction requires databases, secure communications, version-controlled models, computing, backup and interfaces with field or operational systems.</x:v>
      </x:c>
      <x:c r="AF77" s="2" t="str">
        <x:v>For Design for Deconstruction, software-related energy is electricity for sensing, computing, storage, communication and cooling; it is normally secondary but must be included for data-intensive or continuous services.</x:v>
      </x:c>
      <x:c r="AG77" s="2" t="str">
        <x:v>The non-physical inputs are calibrated data, metadata, algorithms, boundary conditions, emission or hazard factors, manuals and validation records specific to Design for Deconstruction.</x:v>
      </x:c>
      <x:c r="AH77" s="2" t="str">
        <x:v>Software continuity for Design for Deconstruction requires licences where applicable, updates, cybersecurity patches, backups, calibration files, model validation and technical support.</x:v>
      </x:c>
      <x:c r="AI77" s="2" t="str">
        <x:v>Orgware depends on the institutions, laboratories, training providers, regulators, operators and community interfaces needed to govern Design for Deconstruction.</x:v>
      </x:c>
      <x:c r="AJ77" s="2" t="str">
        <x:v>The orgware supporting Design for Deconstruction has mainly indirect energy use from offices, meetings, training and information systems; travel and field supervision may be material at dispersed sites.</x:v>
      </x:c>
      <x:c r="AK77" s="2" t="str">
        <x:v>Its organisational inputs are permits, budgets, trained staff, competence records, contracts, procedures, safeguards, monitoring evidence and stakeholder agreements tailored to Design for Deconstruction.</x:v>
      </x:c>
      <x:c r="AL77" s="2" t="str">
        <x:v>Sustained implementation of Design for Deconstruction requires procurement and service contracts, audit protocols, training material, reporting templates, insurance or guarantees and periodic independent review.</x:v>
      </x:c>
      <x:c r="AM77" s="2" t="str">
        <x:v>Iron ore / steel inputs; Limestone / cement raw materials</x:v>
      </x:c>
      <x:c r="AN77" s="2" t="str">
        <x:v>Australia; Brazil; China; India; Vietnam</x:v>
      </x:c>
      <x:c r="AO77" s="2" t="str">
        <x:v>China; India; Japan; Vietnam</x:v>
      </x:c>
      <x:c r="AP77" s="2" t="str">
        <x:v>Design for Deconstruction: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7" s="2" t="str">
        <x:v>2024–2025</x:v>
      </x:c>
      <x:c r="AR77" s="2" t="str">
        <x:v>https://pubs.usgs.gov/periodicals/mcs2026/mcs2026.pdf</x:v>
      </x:c>
    </x:row>
    <x:row r="78" ht="240" customHeight="1">
      <x:c r="A78" s="2" t="str">
        <x:v>MIT-0071</x:v>
      </x:c>
      <x:c r="B78" s="2" t="str">
        <x:v>Mitigation</x:v>
      </x:c>
      <x:c r="C78" s="2" t="str">
        <x:v>Energy efficiency</x:v>
      </x:c>
      <x:c r="D78" s="2" t="str">
        <x:v>Buildings</x:v>
      </x:c>
      <x:c r="E78" s="2" t="str">
        <x:v>High performance building facades</x:v>
      </x:c>
      <x:c r="F78" s="2" t="str">
        <x:v>High performance building facades is a mitigation technology in the Energy efficiency sector and the Buildings technology group. It is defined as a combined hardware–software–orgware system that reduces thermal, electrical or water demand through passive design, efficient equipment, controls and low-impact materials. High performance building facades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8" s="2" t="str">
        <x:v>Mixed: adaptable design, site-specific implementation</x:v>
      </x:c>
      <x:c r="H78" s="2" t="str">
        <x:v>High performance building facades is adaptable in capacity and configuration but site-specific in final engineering. Its principle remains the same, but resource quality, climate, scale, interfaces and safety constraints must be recalculated for each deployment.</x:v>
      </x:c>
      <x:c r="I78" s="2" t="str">
        <x:v>Primarily hard, with a soft component</x:v>
      </x:c>
      <x:c r="J78" s="2" t="str">
        <x:v>High performance building facades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8" s="2" t="str">
        <x:v>Equipment and operation</x:v>
      </x:c>
      <x:c r="L78" s="2" t="str">
        <x:v>High performance building facades is embodied mainly as an equipment-and-operation system. The deliverable is accepted only when measurable service, quality, safety and climate-performance criteria are met under real conditions.</x:v>
      </x:c>
      <x:c r="M78" s="2" t="str">
        <x:v>Yes, subject to life-cycle safeguards</x:v>
      </x:c>
      <x:c r="N78" s="2" t="str">
        <x:v>High performance building facades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8" s="2" t="str">
        <x:v>High performance building facades: envelope assemblies, efficient equipment, sensors, actuators, meters and distribution systems.</x:v>
      </x:c>
      <x:c r="P78" s="2" t="str">
        <x:v>High performance building facades: energy simulation, load calculation, control sequences, commissioning data and building management.</x:v>
      </x:c>
      <x:c r="Q78" s="2" t="str">
        <x:v>High performance building facades: building codes, performance standards, procurement, commissioning, maintenance plans and occupant guidance.</x:v>
      </x:c>
      <x:c r="R78" s="2" t="str">
        <x:v>High performance building facades: building fabric, plant rooms, electrical and water networks, access for maintenance and metering.</x:v>
      </x:c>
      <x:c r="S78" s="2" t="str">
        <x:v>High performance building facades: electricity and thermal energy; peak demand, part-load efficiency and controls determine actual savings.</x:v>
      </x:c>
      <x:c r="T78" s="2" t="str">
        <x:v>High performance building facades: insulation, glass, concrete, steel, timber, aluminium, copper, refrigerants and electronic components as applicable.</x:v>
      </x:c>
      <x:c r="U78" s="2" t="str">
        <x:v>High performance building facades: filters, belts, seals, lamps or drivers, sensors, actuators, valves, control modules and envelope repair materials.</x:v>
      </x:c>
      <x:c r="V78" s="2" t="str">
        <x:v>https://www.ctc-n.org/sites/default/files/resources/ctcn_taxonomy_0.pdf</x:v>
      </x:c>
      <x:c r="W78" s="2" t="str">
        <x:v>https://institutoagricoladepueblobello.edu.co/colegiapp/archivostemas/GUIA%209.%5B25%5D.pdf</x:v>
      </x:c>
      <x:c r="X78" s="2" t="str">
        <x:v>https://iiasa.ac.at/what-is-technology</x:v>
      </x:c>
      <x:c r="Y78" s="2" t="str">
        <x:v>https://www.ipcc.ch/report/ar6/wg3/chapter/chapter-9/</x:v>
      </x:c>
      <x:c r="Z78" s="2" t="str">
        <x:v>Technology-specific analytical synthesis. The CTCN hierarchy is retained; classifications and component dependencies require validation against the selected design, site and supplier documentation before investment or policy use.</x:v>
      </x:c>
      <x:c r="AA78" s="2" t="str">
        <x:v>Physical deployment of High performance building facades requires building fabric, plant rooms, electrical and water networks, access for maintenance and metering; interfaces, foundations, access and environmental protection are sized to the specific resource and design load.</x:v>
      </x:c>
      <x:c r="AB78" s="2" t="str">
        <x:v>For High performance building facades, the hardware energy balance comprises electricity and thermal energy; peak demand, part-load efficiency and controls determine actual savings; metering must separate useful output, conversion losses and auxiliaries for the selected design.</x:v>
      </x:c>
      <x:c r="AC78" s="2" t="str">
        <x:v>Construction and operation use insulation, glass, concrete, steel, timber, aluminium, copper, refrigerants and electronic components as applicable. For High performance building facades, specifications must include durability, compatibility, recycled content and recoverability.</x:v>
      </x:c>
      <x:c r="AD78" s="2" t="str">
        <x:v>Maintenance of High performance building facades depends on filters, belts, seals, lamps or drivers, sensors, actuators, valves, control modules and envelope repair materials; critical spares are selected from failure-mode, lead-time and safety analysis for its installed configuration.</x:v>
      </x:c>
      <x:c r="AE78" s="2" t="str">
        <x:v>The software stack for High performance building facades requires databases, secure communications, version-controlled models, computing, backup and interfaces with field or operational systems.</x:v>
      </x:c>
      <x:c r="AF78" s="2" t="str">
        <x:v>For High performance building facades, software-related energy is electricity for sensing, computing, storage, communication and cooling; it is normally secondary but must be included for data-intensive or continuous services.</x:v>
      </x:c>
      <x:c r="AG78" s="2" t="str">
        <x:v>The non-physical inputs are calibrated data, metadata, algorithms, boundary conditions, emission or hazard factors, manuals and validation records specific to High performance building facades.</x:v>
      </x:c>
      <x:c r="AH78" s="2" t="str">
        <x:v>Software continuity for High performance building facades requires licences where applicable, updates, cybersecurity patches, backups, calibration files, model validation and technical support.</x:v>
      </x:c>
      <x:c r="AI78" s="2" t="str">
        <x:v>Orgware depends on the institutions, laboratories, training providers, regulators, operators and community interfaces needed to govern High performance building facades.</x:v>
      </x:c>
      <x:c r="AJ78" s="2" t="str">
        <x:v>The orgware supporting High performance building facades has mainly indirect energy use from offices, meetings, training and information systems; travel and field supervision may be material at dispersed sites.</x:v>
      </x:c>
      <x:c r="AK78" s="2" t="str">
        <x:v>Its organisational inputs are permits, budgets, trained staff, competence records, contracts, procedures, safeguards, monitoring evidence and stakeholder agreements tailored to High performance building facades.</x:v>
      </x:c>
      <x:c r="AL78" s="2" t="str">
        <x:v>Sustained implementation of High performance building facades requires procurement and service contracts, audit protocols, training material, reporting templates, insurance or guarantees and periodic independent review.</x:v>
      </x:c>
      <x:c r="AM78" s="2" t="str">
        <x:v>Iron ore / steel inputs; Limestone / cement raw materials; Bauxite / aluminium</x:v>
      </x:c>
      <x:c r="AN78" s="2" t="str">
        <x:v>Australia; Brazil; China; India; Vietnam; Guinea</x:v>
      </x:c>
      <x:c r="AO78" s="2" t="str">
        <x:v>China; India; Japan; Vietnam; Russia</x:v>
      </x:c>
      <x:c r="AP78" s="2" t="str">
        <x:v>High performance building facades: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8" s="2" t="str">
        <x:v>2024–2025</x:v>
      </x:c>
      <x:c r="AR78" s="2" t="str">
        <x:v>https://pubs.usgs.gov/periodicals/mcs2026/mcs2026.pdf</x:v>
      </x:c>
    </x:row>
    <x:row r="79" ht="240" customHeight="1">
      <x:c r="A79" s="2" t="str">
        <x:v>MIT-0072</x:v>
      </x:c>
      <x:c r="B79" s="2" t="str">
        <x:v>Mitigation</x:v>
      </x:c>
      <x:c r="C79" s="2" t="str">
        <x:v>Energy efficiency</x:v>
      </x:c>
      <x:c r="D79" s="2" t="str">
        <x:v>Buildings</x:v>
      </x:c>
      <x:c r="E79" s="2" t="str">
        <x:v>Passive house design</x:v>
      </x:c>
      <x:c r="F79" s="2" t="str">
        <x:v>Passive house design is a mitigation technology in the Energy efficiency sector and the Buildings technology group. It is defined as a combined hardware–software–orgware system that reduces thermal, electrical or water demand through passive design, efficient equipment, controls and low-impact materials. Passive house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9" s="2" t="str">
        <x:v>Mixed: adaptable design, site-specific implementation</x:v>
      </x:c>
      <x:c r="H79" s="2" t="str">
        <x:v>Passive house design is adaptable in capacity and configuration but site-specific in final engineering. Its principle remains the same, but resource quality, climate, scale, interfaces and safety constraints must be recalculated for each deployment.</x:v>
      </x:c>
      <x:c r="I79" s="2" t="str">
        <x:v>Primarily hard, with a soft component</x:v>
      </x:c>
      <x:c r="J79" s="2" t="str">
        <x:v>Passive house design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9" s="2" t="str">
        <x:v>Equipment and operation</x:v>
      </x:c>
      <x:c r="L79" s="2" t="str">
        <x:v>Passive house design is embodied mainly as an equipment-and-operation system. The deliverable is accepted only when measurable service, quality, safety and climate-performance criteria are met under real conditions.</x:v>
      </x:c>
      <x:c r="M79" s="2" t="str">
        <x:v>Yes, subject to life-cycle safeguards</x:v>
      </x:c>
      <x:c r="N79" s="2" t="str">
        <x:v>Passive house design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9" s="2" t="str">
        <x:v>Passive house design: envelope assemblies, efficient equipment, sensors, actuators, meters and distribution systems.</x:v>
      </x:c>
      <x:c r="P79" s="2" t="str">
        <x:v>Passive house design: energy simulation, load calculation, control sequences, commissioning data and building management.</x:v>
      </x:c>
      <x:c r="Q79" s="2" t="str">
        <x:v>Passive house design: building codes, performance standards, procurement, commissioning, maintenance plans and occupant guidance.</x:v>
      </x:c>
      <x:c r="R79" s="2" t="str">
        <x:v>Passive house design: building fabric, plant rooms, electrical and water networks, access for maintenance and metering.</x:v>
      </x:c>
      <x:c r="S79" s="2" t="str">
        <x:v>Passive house design: electricity and thermal energy; peak demand, part-load efficiency and controls determine actual savings.</x:v>
      </x:c>
      <x:c r="T79" s="2" t="str">
        <x:v>Passive house design: insulation, glass, concrete, steel, timber, aluminium, copper, refrigerants and electronic components as applicable.</x:v>
      </x:c>
      <x:c r="U79" s="2" t="str">
        <x:v>Passive house design: filters, belts, seals, lamps or drivers, sensors, actuators, valves, control modules and envelope repair materials.</x:v>
      </x:c>
      <x:c r="V79" s="2" t="str">
        <x:v>https://www.ctc-n.org/sites/default/files/resources/ctcn_taxonomy_0.pdf</x:v>
      </x:c>
      <x:c r="W79" s="2" t="str">
        <x:v>https://institutoagricoladepueblobello.edu.co/colegiapp/archivostemas/GUIA%209.%5B25%5D.pdf</x:v>
      </x:c>
      <x:c r="X79" s="2" t="str">
        <x:v>https://iiasa.ac.at/what-is-technology</x:v>
      </x:c>
      <x:c r="Y79" s="2" t="str">
        <x:v>https://www.ipcc.ch/report/ar6/wg3/chapter/chapter-9/</x:v>
      </x:c>
      <x:c r="Z79" s="2" t="str">
        <x:v>Technology-specific analytical synthesis. The CTCN hierarchy is retained; classifications and component dependencies require validation against the selected design, site and supplier documentation before investment or policy use.</x:v>
      </x:c>
      <x:c r="AA79" s="2" t="str">
        <x:v>Physical deployment of Passive house design requires building fabric, plant rooms, electrical and water networks, access for maintenance and metering; interfaces, foundations, access and environmental protection are sized to the specific resource and design load.</x:v>
      </x:c>
      <x:c r="AB79" s="2" t="str">
        <x:v>For Passive house design, the hardware energy balance comprises electricity and thermal energy; peak demand, part-load efficiency and controls determine actual savings; metering must separate useful output, conversion losses and auxiliaries for the selected design.</x:v>
      </x:c>
      <x:c r="AC79" s="2" t="str">
        <x:v>Construction and operation use insulation, glass, concrete, steel, timber, aluminium, copper, refrigerants and electronic components as applicable. For Passive house design, specifications must include durability, compatibility, recycled content and recoverability.</x:v>
      </x:c>
      <x:c r="AD79" s="2" t="str">
        <x:v>Maintenance of Passive house design depends on filters, belts, seals, lamps or drivers, sensors, actuators, valves, control modules and envelope repair materials; critical spares are selected from failure-mode, lead-time and safety analysis for its installed configuration.</x:v>
      </x:c>
      <x:c r="AE79" s="2" t="str">
        <x:v>The software stack for Passive house design requires databases, secure communications, version-controlled models, computing, backup and interfaces with field or operational systems.</x:v>
      </x:c>
      <x:c r="AF79" s="2" t="str">
        <x:v>For Passive house design, software-related energy is electricity for sensing, computing, storage, communication and cooling; it is normally secondary but must be included for data-intensive or continuous services.</x:v>
      </x:c>
      <x:c r="AG79" s="2" t="str">
        <x:v>The non-physical inputs are calibrated data, metadata, algorithms, boundary conditions, emission or hazard factors, manuals and validation records specific to Passive house design.</x:v>
      </x:c>
      <x:c r="AH79" s="2" t="str">
        <x:v>Software continuity for Passive house design requires licences where applicable, updates, cybersecurity patches, backups, calibration files, model validation and technical support.</x:v>
      </x:c>
      <x:c r="AI79" s="2" t="str">
        <x:v>Orgware depends on the institutions, laboratories, training providers, regulators, operators and community interfaces needed to govern Passive house design.</x:v>
      </x:c>
      <x:c r="AJ79" s="2" t="str">
        <x:v>The orgware supporting Passive house design has mainly indirect energy use from offices, meetings, training and information systems; travel and field supervision may be material at dispersed sites.</x:v>
      </x:c>
      <x:c r="AK79" s="2" t="str">
        <x:v>Its organisational inputs are permits, budgets, trained staff, competence records, contracts, procedures, safeguards, monitoring evidence and stakeholder agreements tailored to Passive house design.</x:v>
      </x:c>
      <x:c r="AL79" s="2" t="str">
        <x:v>Sustained implementation of Passive house design requires procurement and service contracts, audit protocols, training material, reporting templates, insurance or guarantees and periodic independent review.</x:v>
      </x:c>
      <x:c r="AM79" s="2" t="str">
        <x:v>Iron ore / steel inputs; Limestone / cement raw materials</x:v>
      </x:c>
      <x:c r="AN79" s="2" t="str">
        <x:v>Australia; Brazil; China; India; Vietnam</x:v>
      </x:c>
      <x:c r="AO79" s="2" t="str">
        <x:v>China; India; Japan; Vietnam</x:v>
      </x:c>
      <x:c r="AP79" s="2" t="str">
        <x:v>Passive house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9" s="2" t="str">
        <x:v>2024–2025</x:v>
      </x:c>
      <x:c r="AR79" s="2" t="str">
        <x:v>https://pubs.usgs.gov/periodicals/mcs2026/mcs2026.pdf</x:v>
      </x:c>
    </x:row>
    <x:row r="80" ht="240" customHeight="1">
      <x:c r="A80" s="2" t="str">
        <x:v>MIT-0073</x:v>
      </x:c>
      <x:c r="B80" s="2" t="str">
        <x:v>Mitigation</x:v>
      </x:c>
      <x:c r="C80" s="2" t="str">
        <x:v>Energy efficiency</x:v>
      </x:c>
      <x:c r="D80" s="2" t="str">
        <x:v>Buildings</x:v>
      </x:c>
      <x:c r="E80" s="2" t="str">
        <x:v>Traditional building materials and design</x:v>
      </x:c>
      <x:c r="F80" s="2" t="str">
        <x:v>Traditional building materials and design is a mitigation technology in the Energy efficiency sector and the Buildings technology group. It is defined as a combined hardware–software–orgware system that reduces thermal, electrical or water demand through passive design, efficient equipment, controls and low-impact materials. Traditional building materials and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0" s="2" t="str">
        <x:v>Mixed: adaptable design, site-specific implementation</x:v>
      </x:c>
      <x:c r="H80" s="2" t="str">
        <x:v>Traditional building materials and design is adaptable in capacity and configuration but site-specific in final engineering. Its principle remains the same, but resource quality, climate, scale, interfaces and safety constraints must be recalculated for each deployment.</x:v>
      </x:c>
      <x:c r="I80" s="2" t="str">
        <x:v>Primarily hard, with a soft component</x:v>
      </x:c>
      <x:c r="J80" s="2" t="str">
        <x:v>Traditional building materials and design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0" s="2" t="str">
        <x:v>Product and equipment; complementary operation</x:v>
      </x:c>
      <x:c r="L80" s="2" t="str">
        <x:v>Traditional building materials and design is embodied mainly as a product/equipment package. The deliverable is accepted only when measurable service, quality, safety and climate-performance criteria are met under real conditions.</x:v>
      </x:c>
      <x:c r="M80" s="2" t="str">
        <x:v>Yes, subject to life-cycle safeguards</x:v>
      </x:c>
      <x:c r="N80" s="2" t="str">
        <x:v>Traditional building materials and design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0" s="2" t="str">
        <x:v>Traditional building materials and design: envelope assemblies, efficient equipment, sensors, actuators, meters and distribution systems.</x:v>
      </x:c>
      <x:c r="P80" s="2" t="str">
        <x:v>Traditional building materials and design: energy simulation, load calculation, control sequences, commissioning data and building management.</x:v>
      </x:c>
      <x:c r="Q80" s="2" t="str">
        <x:v>Traditional building materials and design: building codes, performance standards, procurement, commissioning, maintenance plans and occupant guidance.</x:v>
      </x:c>
      <x:c r="R80" s="2" t="str">
        <x:v>Traditional building materials and design: building fabric, plant rooms, electrical and water networks, access for maintenance and metering.</x:v>
      </x:c>
      <x:c r="S80" s="2" t="str">
        <x:v>Traditional building materials and design: electricity and thermal energy; peak demand, part-load efficiency and controls determine actual savings.</x:v>
      </x:c>
      <x:c r="T80" s="2" t="str">
        <x:v>Traditional building materials and design: insulation, glass, concrete, steel, timber, aluminium, copper, refrigerants and electronic components as applicable.</x:v>
      </x:c>
      <x:c r="U80" s="2" t="str">
        <x:v>Traditional building materials and design: filters, belts, seals, lamps or drivers, sensors, actuators, valves, control modules and envelope repair materials.</x:v>
      </x:c>
      <x:c r="V80" s="2" t="str">
        <x:v>https://www.ctc-n.org/sites/default/files/resources/ctcn_taxonomy_0.pdf</x:v>
      </x:c>
      <x:c r="W80" s="2" t="str">
        <x:v>https://institutoagricoladepueblobello.edu.co/colegiapp/archivostemas/GUIA%209.%5B25%5D.pdf</x:v>
      </x:c>
      <x:c r="X80" s="2" t="str">
        <x:v>https://iiasa.ac.at/what-is-technology</x:v>
      </x:c>
      <x:c r="Y80" s="2" t="str">
        <x:v>https://www.ipcc.ch/report/ar6/wg3/chapter/chapter-9/</x:v>
      </x:c>
      <x:c r="Z80" s="2" t="str">
        <x:v>Technology-specific analytical synthesis. The CTCN hierarchy is retained; classifications and component dependencies require validation against the selected design, site and supplier documentation before investment or policy use.</x:v>
      </x:c>
      <x:c r="AA80" s="2" t="str">
        <x:v>Physical deployment of Traditional building materials and design requires building fabric, plant rooms, electrical and water networks, access for maintenance and metering; interfaces, foundations, access and environmental protection are sized to the specific resource and design load.</x:v>
      </x:c>
      <x:c r="AB80" s="2" t="str">
        <x:v>For Traditional building materials and design, the hardware energy balance comprises electricity and thermal energy; peak demand, part-load efficiency and controls determine actual savings; metering must separate useful output, conversion losses and auxiliaries for the selected design.</x:v>
      </x:c>
      <x:c r="AC80" s="2" t="str">
        <x:v>Construction and operation use insulation, glass, concrete, steel, timber, aluminium, copper, refrigerants and electronic components as applicable. For Traditional building materials and design, specifications must include durability, compatibility, recycled content and recoverability.</x:v>
      </x:c>
      <x:c r="AD80" s="2" t="str">
        <x:v>Maintenance of Traditional building materials and design depends on filters, belts, seals, lamps or drivers, sensors, actuators, valves, control modules and envelope repair materials; critical spares are selected from failure-mode, lead-time and safety analysis for its installed configuration.</x:v>
      </x:c>
      <x:c r="AE80" s="2" t="str">
        <x:v>The software stack for Traditional building materials and design requires databases, secure communications, version-controlled models, computing, backup and interfaces with field or operational systems.</x:v>
      </x:c>
      <x:c r="AF80" s="2" t="str">
        <x:v>For Traditional building materials and design, software-related energy is electricity for sensing, computing, storage, communication and cooling; it is normally secondary but must be included for data-intensive or continuous services.</x:v>
      </x:c>
      <x:c r="AG80" s="2" t="str">
        <x:v>The non-physical inputs are calibrated data, metadata, algorithms, boundary conditions, emission or hazard factors, manuals and validation records specific to Traditional building materials and design.</x:v>
      </x:c>
      <x:c r="AH80" s="2" t="str">
        <x:v>Software continuity for Traditional building materials and design requires licences where applicable, updates, cybersecurity patches, backups, calibration files, model validation and technical support.</x:v>
      </x:c>
      <x:c r="AI80" s="2" t="str">
        <x:v>Orgware depends on the institutions, laboratories, training providers, regulators, operators and community interfaces needed to govern Traditional building materials and design.</x:v>
      </x:c>
      <x:c r="AJ80" s="2" t="str">
        <x:v>The orgware supporting Traditional building materials and design has mainly indirect energy use from offices, meetings, training and information systems; travel and field supervision may be material at dispersed sites.</x:v>
      </x:c>
      <x:c r="AK80" s="2" t="str">
        <x:v>Its organisational inputs are permits, budgets, trained staff, competence records, contracts, procedures, safeguards, monitoring evidence and stakeholder agreements tailored to Traditional building materials and design.</x:v>
      </x:c>
      <x:c r="AL80" s="2" t="str">
        <x:v>Sustained implementation of Traditional building materials and design requires procurement and service contracts, audit protocols, training material, reporting templates, insurance or guarantees and periodic independent review.</x:v>
      </x:c>
      <x:c r="AM80" s="2" t="str">
        <x:v>Iron ore / steel inputs; Limestone / cement raw materials</x:v>
      </x:c>
      <x:c r="AN80" s="2" t="str">
        <x:v>Australia; Brazil; China; India; Vietnam</x:v>
      </x:c>
      <x:c r="AO80" s="2" t="str">
        <x:v>China; India; Japan; Vietnam</x:v>
      </x:c>
      <x:c r="AP80" s="2" t="str">
        <x:v>Traditional building materials and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0" s="2" t="str">
        <x:v>2024–2025</x:v>
      </x:c>
      <x:c r="AR80" s="2" t="str">
        <x:v>https://pubs.usgs.gov/periodicals/mcs2026/mcs2026.pdf</x:v>
      </x:c>
    </x:row>
    <x:row r="81" ht="240" customHeight="1">
      <x:c r="A81" s="2" t="str">
        <x:v>MIT-0074</x:v>
      </x:c>
      <x:c r="B81" s="2" t="str">
        <x:v>Mitigation</x:v>
      </x:c>
      <x:c r="C81" s="2" t="str">
        <x:v>Energy efficiency</x:v>
      </x:c>
      <x:c r="D81" s="2" t="str">
        <x:v>Buildings</x:v>
      </x:c>
      <x:c r="E81" s="2" t="str">
        <x:v>Sustainable spatial planning</x:v>
      </x:c>
      <x:c r="F81" s="2" t="str">
        <x:v>Sustainable spatial planning is a mitigation technology in the Energy efficiency sector and the Buildings technology group. It is defined as a combined hardware–software–orgware system that reduces thermal, electrical or water demand through passive design, efficient equipment, controls and low-impact materials. Sustainable spatial planning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1" s="2" t="str">
        <x:v>Flexible</x:v>
      </x:c>
      <x:c r="H81" s="2" t="str">
        <x:v>Sustainable spatial planning is transferable through configurable methods, rules and operating parameters. Its principle remains the same, but resource quality, climate, scale, interfaces and safety constraints must be recalculated for each deployment.</x:v>
      </x:c>
      <x:c r="I81" s="2" t="str">
        <x:v>Hard and soft</x:v>
      </x:c>
      <x:c r="J81" s="2" t="str">
        <x:v>Sustainable spatial planning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1" s="2" t="str">
        <x:v>Operation and information service</x:v>
      </x:c>
      <x:c r="L81" s="2" t="str">
        <x:v>Sustainable spatial planning is embodied mainly as an information and decision service. The deliverable is accepted only when measurable service, quality, safety and climate-performance criteria are met under real conditions.</x:v>
      </x:c>
      <x:c r="M81" s="2" t="str">
        <x:v>Yes, subject to life-cycle safeguards</x:v>
      </x:c>
      <x:c r="N81" s="2" t="str">
        <x:v>Sustainable spatial planning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1" s="2" t="str">
        <x:v>Sustainable spatial planning: envelope assemblies, efficient equipment, sensors, actuators, meters and distribution systems.</x:v>
      </x:c>
      <x:c r="P81" s="2" t="str">
        <x:v>Sustainable spatial planning: energy simulation, load calculation, control sequences, commissioning data and building management.</x:v>
      </x:c>
      <x:c r="Q81" s="2" t="str">
        <x:v>Sustainable spatial planning: building codes, performance standards, procurement, commissioning, maintenance plans and occupant guidance.</x:v>
      </x:c>
      <x:c r="R81" s="2" t="str">
        <x:v>Sustainable spatial planning: building fabric, plant rooms, electrical and water networks, access for maintenance and metering.</x:v>
      </x:c>
      <x:c r="S81" s="2" t="str">
        <x:v>Sustainable spatial planning: electricity and thermal energy; peak demand, part-load efficiency and controls determine actual savings.</x:v>
      </x:c>
      <x:c r="T81" s="2" t="str">
        <x:v>Sustainable spatial planning: insulation, glass, concrete, steel, timber, aluminium, copper, refrigerants and electronic components as applicable.</x:v>
      </x:c>
      <x:c r="U81" s="2" t="str">
        <x:v>Sustainable spatial planning: filters, belts, seals, lamps or drivers, sensors, actuators, valves, control modules and envelope repair materials.</x:v>
      </x:c>
      <x:c r="V81" s="2" t="str">
        <x:v>https://www.ctc-n.org/sites/default/files/resources/ctcn_taxonomy_0.pdf</x:v>
      </x:c>
      <x:c r="W81" s="2" t="str">
        <x:v>https://institutoagricoladepueblobello.edu.co/colegiapp/archivostemas/GUIA%209.%5B25%5D.pdf</x:v>
      </x:c>
      <x:c r="X81" s="2" t="str">
        <x:v>https://iiasa.ac.at/what-is-technology</x:v>
      </x:c>
      <x:c r="Y81" s="2" t="str">
        <x:v>https://www.ipcc.ch/report/ar6/wg3/chapter/chapter-9/</x:v>
      </x:c>
      <x:c r="Z81" s="2" t="str">
        <x:v>Technology-specific analytical synthesis. The CTCN hierarchy is retained; classifications and component dependencies require validation against the selected design, site and supplier documentation before investment or policy use.</x:v>
      </x:c>
      <x:c r="AA81" s="2" t="str">
        <x:v>Physical deployment of Sustainable spatial planning requires building fabric, plant rooms, electrical and water networks, access for maintenance and metering; interfaces, foundations, access and environmental protection are sized to the specific resource and design load.</x:v>
      </x:c>
      <x:c r="AB81" s="2" t="str">
        <x:v>For Sustainable spatial planning, the hardware energy balance comprises electricity and thermal energy; peak demand, part-load efficiency and controls determine actual savings; metering must separate useful output, conversion losses and auxiliaries for the selected design.</x:v>
      </x:c>
      <x:c r="AC81" s="2" t="str">
        <x:v>Construction and operation use insulation, glass, concrete, steel, timber, aluminium, copper, refrigerants and electronic components as applicable. For Sustainable spatial planning, specifications must include durability, compatibility, recycled content and recoverability.</x:v>
      </x:c>
      <x:c r="AD81" s="2" t="str">
        <x:v>Maintenance of Sustainable spatial planning depends on filters, belts, seals, lamps or drivers, sensors, actuators, valves, control modules and envelope repair materials; critical spares are selected from failure-mode, lead-time and safety analysis for its installed configuration.</x:v>
      </x:c>
      <x:c r="AE81" s="2" t="str">
        <x:v>The software stack for Sustainable spatial planning requires databases, secure communications, version-controlled models, computing, backup and interfaces with field or operational systems.</x:v>
      </x:c>
      <x:c r="AF81" s="2" t="str">
        <x:v>For Sustainable spatial planning, software-related energy is electricity for sensing, computing, storage, communication and cooling; it is normally secondary but must be included for data-intensive or continuous services.</x:v>
      </x:c>
      <x:c r="AG81" s="2" t="str">
        <x:v>The non-physical inputs are calibrated data, metadata, algorithms, boundary conditions, emission or hazard factors, manuals and validation records specific to Sustainable spatial planning.</x:v>
      </x:c>
      <x:c r="AH81" s="2" t="str">
        <x:v>Software continuity for Sustainable spatial planning requires licences where applicable, updates, cybersecurity patches, backups, calibration files, model validation and technical support.</x:v>
      </x:c>
      <x:c r="AI81" s="2" t="str">
        <x:v>Orgware depends on the institutions, laboratories, training providers, regulators, operators and community interfaces needed to govern Sustainable spatial planning.</x:v>
      </x:c>
      <x:c r="AJ81" s="2" t="str">
        <x:v>The orgware supporting Sustainable spatial planning has mainly indirect energy use from offices, meetings, training and information systems; travel and field supervision may be material at dispersed sites.</x:v>
      </x:c>
      <x:c r="AK81" s="2" t="str">
        <x:v>Its organisational inputs are permits, budgets, trained staff, competence records, contracts, procedures, safeguards, monitoring evidence and stakeholder agreements tailored to Sustainable spatial planning.</x:v>
      </x:c>
      <x:c r="AL81" s="2" t="str">
        <x:v>Sustained implementation of Sustainable spatial planning requires procurement and service contracts, audit protocols, training material, reporting templates, insurance or guarantees and periodic independent review.</x:v>
      </x:c>
      <x:c r="AM81" s="2" t="str">
        <x:v>Limestone / cement raw materials</x:v>
      </x:c>
      <x:c r="AN81" s="2" t="str">
        <x:v>China; India; Vietnam</x:v>
      </x:c>
      <x:c r="AO81" s="2" t="str">
        <x:v>China; India; Vietnam</x:v>
      </x:c>
      <x:c r="AP81" s="2" t="str">
        <x:v>Sustainable spatial planning: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1" s="2" t="str">
        <x:v>2024–2025</x:v>
      </x:c>
      <x:c r="AR81" s="2" t="str">
        <x:v>https://pubs.usgs.gov/periodicals/mcs2026/mcs2026.pdf</x:v>
      </x:c>
    </x:row>
    <x:row r="82" ht="240" customHeight="1">
      <x:c r="A82" s="2" t="str">
        <x:v>MIT-0075</x:v>
      </x:c>
      <x:c r="B82" s="2" t="str">
        <x:v>Mitigation</x:v>
      </x:c>
      <x:c r="C82" s="2" t="str">
        <x:v>Energy efficiency</x:v>
      </x:c>
      <x:c r="D82" s="2" t="str">
        <x:v>Buildings</x:v>
      </x:c>
      <x:c r="E82" s="2" t="str">
        <x:v>Cool roofs</x:v>
      </x:c>
      <x:c r="F82" s="2" t="str">
        <x:v>Cool roofs is a mitigation technology in the Energy efficiency sector and the Buildings technology group. It is defined as a combined hardware–software–orgware system that reduces thermal, electrical or water demand through passive design, efficient equipment, controls and low-impact materials. Cool roofs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2" s="2" t="str">
        <x:v>Mixed: adaptable design, site-specific implementation</x:v>
      </x:c>
      <x:c r="H82" s="2" t="str">
        <x:v>Cool roofs is adaptable in capacity and configuration but site-specific in final engineering. Its principle remains the same, but resource quality, climate, scale, interfaces and safety constraints must be recalculated for each deployment.</x:v>
      </x:c>
      <x:c r="I82" s="2" t="str">
        <x:v>Primarily hard, with a soft component</x:v>
      </x:c>
      <x:c r="J82" s="2" t="str">
        <x:v>Cool roofs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2" s="2" t="str">
        <x:v>Equipment and operation</x:v>
      </x:c>
      <x:c r="L82" s="2" t="str">
        <x:v>Cool roofs is embodied mainly as an equipment-and-operation system. The deliverable is accepted only when measurable service, quality, safety and climate-performance criteria are met under real conditions.</x:v>
      </x:c>
      <x:c r="M82" s="2" t="str">
        <x:v>Yes, subject to life-cycle safeguards</x:v>
      </x:c>
      <x:c r="N82" s="2" t="str">
        <x:v>Cool roofs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2" s="2" t="str">
        <x:v>Cool roofs: envelope assemblies, efficient equipment, sensors, actuators, meters and distribution systems.</x:v>
      </x:c>
      <x:c r="P82" s="2" t="str">
        <x:v>Cool roofs: energy simulation, load calculation, control sequences, commissioning data and building management.</x:v>
      </x:c>
      <x:c r="Q82" s="2" t="str">
        <x:v>Cool roofs: building codes, performance standards, procurement, commissioning, maintenance plans and occupant guidance.</x:v>
      </x:c>
      <x:c r="R82" s="2" t="str">
        <x:v>Cool roofs: building fabric, plant rooms, electrical and water networks, access for maintenance and metering.</x:v>
      </x:c>
      <x:c r="S82" s="2" t="str">
        <x:v>Cool roofs: electricity and thermal energy; peak demand, part-load efficiency and controls determine actual savings.</x:v>
      </x:c>
      <x:c r="T82" s="2" t="str">
        <x:v>Cool roofs: insulation, glass, concrete, steel, timber, aluminium, copper, refrigerants and electronic components as applicable.</x:v>
      </x:c>
      <x:c r="U82" s="2" t="str">
        <x:v>Cool roofs: filters, belts, seals, lamps or drivers, sensors, actuators, valves, control modules and envelope repair materials.</x:v>
      </x:c>
      <x:c r="V82" s="2" t="str">
        <x:v>https://www.ctc-n.org/sites/default/files/resources/ctcn_taxonomy_0.pdf</x:v>
      </x:c>
      <x:c r="W82" s="2" t="str">
        <x:v>https://institutoagricoladepueblobello.edu.co/colegiapp/archivostemas/GUIA%209.%5B25%5D.pdf</x:v>
      </x:c>
      <x:c r="X82" s="2" t="str">
        <x:v>https://iiasa.ac.at/what-is-technology</x:v>
      </x:c>
      <x:c r="Y82" s="2" t="str">
        <x:v>https://www.ipcc.ch/report/ar6/wg3/chapter/chapter-9/</x:v>
      </x:c>
      <x:c r="Z82" s="2" t="str">
        <x:v>Technology-specific analytical synthesis. The CTCN hierarchy is retained; classifications and component dependencies require validation against the selected design, site and supplier documentation before investment or policy use.</x:v>
      </x:c>
      <x:c r="AA82" s="2" t="str">
        <x:v>Physical deployment of Cool roofs requires building fabric, plant rooms, electrical and water networks, access for maintenance and metering; interfaces, foundations, access and environmental protection are sized to the specific resource and design load.</x:v>
      </x:c>
      <x:c r="AB82" s="2" t="str">
        <x:v>For Cool roofs, the hardware energy balance comprises electricity and thermal energy; peak demand, part-load efficiency and controls determine actual savings; metering must separate useful output, conversion losses and auxiliaries for the selected design.</x:v>
      </x:c>
      <x:c r="AC82" s="2" t="str">
        <x:v>Construction and operation use insulation, glass, concrete, steel, timber, aluminium, copper, refrigerants and electronic components as applicable. For Cool roofs, specifications must include durability, compatibility, recycled content and recoverability.</x:v>
      </x:c>
      <x:c r="AD82" s="2" t="str">
        <x:v>Maintenance of Cool roofs depends on filters, belts, seals, lamps or drivers, sensors, actuators, valves, control modules and envelope repair materials; critical spares are selected from failure-mode, lead-time and safety analysis for its installed configuration.</x:v>
      </x:c>
      <x:c r="AE82" s="2" t="str">
        <x:v>The software stack for Cool roofs requires databases, secure communications, version-controlled models, computing, backup and interfaces with field or operational systems.</x:v>
      </x:c>
      <x:c r="AF82" s="2" t="str">
        <x:v>For Cool roofs, software-related energy is electricity for sensing, computing, storage, communication and cooling; it is normally secondary but must be included for data-intensive or continuous services.</x:v>
      </x:c>
      <x:c r="AG82" s="2" t="str">
        <x:v>The non-physical inputs are calibrated data, metadata, algorithms, boundary conditions, emission or hazard factors, manuals and validation records specific to Cool roofs.</x:v>
      </x:c>
      <x:c r="AH82" s="2" t="str">
        <x:v>Software continuity for Cool roofs requires licences where applicable, updates, cybersecurity patches, backups, calibration files, model validation and technical support.</x:v>
      </x:c>
      <x:c r="AI82" s="2" t="str">
        <x:v>Orgware depends on the institutions, laboratories, training providers, regulators, operators and community interfaces needed to govern Cool roofs.</x:v>
      </x:c>
      <x:c r="AJ82" s="2" t="str">
        <x:v>The orgware supporting Cool roofs has mainly indirect energy use from offices, meetings, training and information systems; travel and field supervision may be material at dispersed sites.</x:v>
      </x:c>
      <x:c r="AK82" s="2" t="str">
        <x:v>Its organisational inputs are permits, budgets, trained staff, competence records, contracts, procedures, safeguards, monitoring evidence and stakeholder agreements tailored to Cool roofs.</x:v>
      </x:c>
      <x:c r="AL82" s="2" t="str">
        <x:v>Sustained implementation of Cool roofs requires procurement and service contracts, audit protocols, training material, reporting templates, insurance or guarantees and periodic independent review.</x:v>
      </x:c>
      <x:c r="AM82" s="2" t="str">
        <x:v>Iron ore / steel inputs; Limestone / cement raw materials</x:v>
      </x:c>
      <x:c r="AN82" s="2" t="str">
        <x:v>Australia; Brazil; China; India; Vietnam</x:v>
      </x:c>
      <x:c r="AO82" s="2" t="str">
        <x:v>China; India; Japan; Vietnam</x:v>
      </x:c>
      <x:c r="AP82" s="2" t="str">
        <x:v>Cool roofs: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2" s="2" t="str">
        <x:v>2024–2025</x:v>
      </x:c>
      <x:c r="AR82" s="2" t="str">
        <x:v>https://pubs.usgs.gov/periodicals/mcs2026/mcs2026.pdf</x:v>
      </x:c>
    </x:row>
    <x:row r="83" ht="240" customHeight="1">
      <x:c r="A83" s="2" t="str">
        <x:v>MIT-0076</x:v>
      </x:c>
      <x:c r="B83" s="2" t="str">
        <x:v>Mitigation</x:v>
      </x:c>
      <x:c r="C83" s="2" t="str">
        <x:v>Energy efficiency</x:v>
      </x:c>
      <x:c r="D83" s="2" t="str">
        <x:v>Buildings</x:v>
      </x:c>
      <x:c r="E83" s="2" t="str">
        <x:v>Efficient air conditioning systems</x:v>
      </x:c>
      <x:c r="F83" s="2" t="str">
        <x:v>Efficient air conditioning systems is a mitigation technology in the Energy efficiency sector and the Buildings technology group. It is defined as a combined hardware–software–orgware system that reduces thermal, electrical or water demand through passive design, efficient equipment, controls and low-impact materials. Efficient air conditioning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3" s="2" t="str">
        <x:v>Mixed: adaptable design, site-specific implementation</x:v>
      </x:c>
      <x:c r="H83" s="2" t="str">
        <x:v>Efficient air conditioning systems is adaptable in capacity and configuration but site-specific in final engineering. Its principle remains the same, but resource quality, climate, scale, interfaces and safety constraints must be recalculated for each deployment.</x:v>
      </x:c>
      <x:c r="I83" s="2" t="str">
        <x:v>Primarily hard, with a soft component</x:v>
      </x:c>
      <x:c r="J83" s="2" t="str">
        <x:v>Efficient air conditioning systems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3" s="2" t="str">
        <x:v>Equipment and operation</x:v>
      </x:c>
      <x:c r="L83" s="2" t="str">
        <x:v>Efficient air conditioning systems is embodied mainly as an equipment-and-operation system. The deliverable is accepted only when measurable service, quality, safety and climate-performance criteria are met under real conditions.</x:v>
      </x:c>
      <x:c r="M83" s="2" t="str">
        <x:v>Yes, subject to life-cycle safeguards</x:v>
      </x:c>
      <x:c r="N83" s="2" t="str">
        <x:v>Efficient air conditioning systems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3" s="2" t="str">
        <x:v>Efficient air conditioning systems: envelope assemblies, efficient equipment, sensors, actuators, meters and distribution systems.</x:v>
      </x:c>
      <x:c r="P83" s="2" t="str">
        <x:v>Efficient air conditioning systems: energy simulation, load calculation, control sequences, commissioning data and building management.</x:v>
      </x:c>
      <x:c r="Q83" s="2" t="str">
        <x:v>Efficient air conditioning systems: building codes, performance standards, procurement, commissioning, maintenance plans and occupant guidance.</x:v>
      </x:c>
      <x:c r="R83" s="2" t="str">
        <x:v>Efficient air conditioning systems: building fabric, plant rooms, electrical and water networks, access for maintenance and metering.</x:v>
      </x:c>
      <x:c r="S83" s="2" t="str">
        <x:v>Efficient air conditioning systems: electricity and thermal energy; peak demand, part-load efficiency and controls determine actual savings.</x:v>
      </x:c>
      <x:c r="T83" s="2" t="str">
        <x:v>Efficient air conditioning systems: insulation, glass, concrete, steel, timber, aluminium, copper, refrigerants and electronic components as applicable.</x:v>
      </x:c>
      <x:c r="U83" s="2" t="str">
        <x:v>Efficient air conditioning systems: filters, belts, seals, lamps or drivers, sensors, actuators, valves, control modules and envelope repair materials.</x:v>
      </x:c>
      <x:c r="V83" s="2" t="str">
        <x:v>https://www.ctc-n.org/sites/default/files/resources/ctcn_taxonomy_0.pdf</x:v>
      </x:c>
      <x:c r="W83" s="2" t="str">
        <x:v>https://institutoagricoladepueblobello.edu.co/colegiapp/archivostemas/GUIA%209.%5B25%5D.pdf</x:v>
      </x:c>
      <x:c r="X83" s="2" t="str">
        <x:v>https://iiasa.ac.at/what-is-technology</x:v>
      </x:c>
      <x:c r="Y83" s="2" t="str">
        <x:v>https://www.ipcc.ch/report/ar6/wg3/chapter/chapter-9/</x:v>
      </x:c>
      <x:c r="Z83" s="2" t="str">
        <x:v>Technology-specific analytical synthesis. The CTCN hierarchy is retained; classifications and component dependencies require validation against the selected design, site and supplier documentation before investment or policy use.</x:v>
      </x:c>
      <x:c r="AA83" s="2" t="str">
        <x:v>Physical deployment of Efficient air conditioning systems requires building fabric, plant rooms, electrical and water networks, access for maintenance and metering; interfaces, foundations, access and environmental protection are sized to the specific resource and design load.</x:v>
      </x:c>
      <x:c r="AB83" s="2" t="str">
        <x:v>For Efficient air conditioning systems, the hardware energy balance comprises electricity and thermal energy; peak demand, part-load efficiency and controls determine actual savings; metering must separate useful output, conversion losses and auxiliaries for the selected design.</x:v>
      </x:c>
      <x:c r="AC83" s="2" t="str">
        <x:v>Construction and operation use insulation, glass, concrete, steel, timber, aluminium, copper, refrigerants and electronic components as applicable. For Efficient air conditioning systems, specifications must include durability, compatibility, recycled content and recoverability.</x:v>
      </x:c>
      <x:c r="AD83" s="2" t="str">
        <x:v>Maintenance of Efficient air conditioning systems depends on filters, belts, seals, lamps or drivers, sensors, actuators, valves, control modules and envelope repair materials; critical spares are selected from failure-mode, lead-time and safety analysis for its installed configuration.</x:v>
      </x:c>
      <x:c r="AE83" s="2" t="str">
        <x:v>The software stack for Efficient air conditioning systems requires databases, secure communications, version-controlled models, computing, backup and interfaces with field or operational systems.</x:v>
      </x:c>
      <x:c r="AF83" s="2" t="str">
        <x:v>For Efficient air conditioning systems, software-related energy is electricity for sensing, computing, storage, communication and cooling; it is normally secondary but must be included for data-intensive or continuous services.</x:v>
      </x:c>
      <x:c r="AG83" s="2" t="str">
        <x:v>The non-physical inputs are calibrated data, metadata, algorithms, boundary conditions, emission or hazard factors, manuals and validation records specific to Efficient air conditioning systems.</x:v>
      </x:c>
      <x:c r="AH83" s="2" t="str">
        <x:v>Software continuity for Efficient air conditioning systems requires licences where applicable, updates, cybersecurity patches, backups, calibration files, model validation and technical support.</x:v>
      </x:c>
      <x:c r="AI83" s="2" t="str">
        <x:v>Orgware depends on the institutions, laboratories, training providers, regulators, operators and community interfaces needed to govern Efficient air conditioning systems.</x:v>
      </x:c>
      <x:c r="AJ83" s="2" t="str">
        <x:v>The orgware supporting Efficient air conditioning systems has mainly indirect energy use from offices, meetings, training and information systems; travel and field supervision may be material at dispersed sites.</x:v>
      </x:c>
      <x:c r="AK83" s="2" t="str">
        <x:v>Its organisational inputs are permits, budgets, trained staff, competence records, contracts, procedures, safeguards, monitoring evidence and stakeholder agreements tailored to Efficient air conditioning systems.</x:v>
      </x:c>
      <x:c r="AL83" s="2" t="str">
        <x:v>Sustained implementation of Efficient air conditioning systems requires procurement and service contracts, audit protocols, training material, reporting templates, insurance or guarantees and periodic independent review.</x:v>
      </x:c>
      <x:c r="AM83" s="2" t="str">
        <x:v>Iron ore / steel inputs; Copper; Tin; Limestone / cement raw materials</x:v>
      </x:c>
      <x:c r="AN83" s="2" t="str">
        <x:v>Australia; Brazil; China; Chile; Democratic Republic of the Congo; Peru; Indonesia; Myanmar; India; Vietnam</x:v>
      </x:c>
      <x:c r="AO83" s="2" t="str">
        <x:v>China; India; Japan; Chile; Democratic Republic of the Congo; Indonesia; Malaysia; Vietnam</x:v>
      </x:c>
      <x:c r="AP83" s="2" t="str">
        <x:v>Efficient air conditioning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3" s="2" t="str">
        <x:v>2024–2025</x:v>
      </x:c>
      <x:c r="AR83" s="2" t="str">
        <x:v>https://pubs.usgs.gov/periodicals/mcs2026/mcs2026.pdf</x:v>
      </x:c>
    </x:row>
    <x:row r="84" ht="240" customHeight="1">
      <x:c r="A84" s="2" t="str">
        <x:v>MIT-0077</x:v>
      </x:c>
      <x:c r="B84" s="2" t="str">
        <x:v>Mitigation</x:v>
      </x:c>
      <x:c r="C84" s="2" t="str">
        <x:v>Energy efficiency</x:v>
      </x:c>
      <x:c r="D84" s="2" t="str">
        <x:v>Buildings</x:v>
      </x:c>
      <x:c r="E84" s="2" t="str">
        <x:v>Indirect evaporative cooling</x:v>
      </x:c>
      <x:c r="F84" s="2" t="str">
        <x:v>Indirect evaporative cooling is a mitigation technology in the Energy efficiency sector and the Buildings technology group. It is defined as a combined hardware–software–orgware system that reduces thermal, electrical or water demand through passive design, efficient equipment, controls and low-impact materials. Indirect evaporative cooling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4" s="2" t="str">
        <x:v>Mixed: adaptable design, site-specific implementation</x:v>
      </x:c>
      <x:c r="H84" s="2" t="str">
        <x:v>Indirect evaporative cooling is adaptable in capacity and configuration but site-specific in final engineering. Its principle remains the same, but resource quality, climate, scale, interfaces and safety constraints must be recalculated for each deployment.</x:v>
      </x:c>
      <x:c r="I84" s="2" t="str">
        <x:v>Primarily hard, with a soft component</x:v>
      </x:c>
      <x:c r="J84" s="2" t="str">
        <x:v>Indirect evaporative cooling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4" s="2" t="str">
        <x:v>Equipment and operation</x:v>
      </x:c>
      <x:c r="L84" s="2" t="str">
        <x:v>Indirect evaporative cooling is embodied mainly as an equipment-and-operation system. The deliverable is accepted only when measurable service, quality, safety and climate-performance criteria are met under real conditions.</x:v>
      </x:c>
      <x:c r="M84" s="2" t="str">
        <x:v>Yes, subject to life-cycle safeguards</x:v>
      </x:c>
      <x:c r="N84" s="2" t="str">
        <x:v>Indirect evaporative cooling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4" s="2" t="str">
        <x:v>Indirect evaporative cooling: envelope assemblies, efficient equipment, sensors, actuators, meters and distribution systems.</x:v>
      </x:c>
      <x:c r="P84" s="2" t="str">
        <x:v>Indirect evaporative cooling: energy simulation, load calculation, control sequences, commissioning data and building management.</x:v>
      </x:c>
      <x:c r="Q84" s="2" t="str">
        <x:v>Indirect evaporative cooling: building codes, performance standards, procurement, commissioning, maintenance plans and occupant guidance.</x:v>
      </x:c>
      <x:c r="R84" s="2" t="str">
        <x:v>Indirect evaporative cooling: building fabric, plant rooms, electrical and water networks, access for maintenance and metering.</x:v>
      </x:c>
      <x:c r="S84" s="2" t="str">
        <x:v>Indirect evaporative cooling: electricity and thermal energy; peak demand, part-load efficiency and controls determine actual savings.</x:v>
      </x:c>
      <x:c r="T84" s="2" t="str">
        <x:v>Indirect evaporative cooling: insulation, glass, concrete, steel, timber, aluminium, copper, refrigerants and electronic components as applicable.</x:v>
      </x:c>
      <x:c r="U84" s="2" t="str">
        <x:v>Indirect evaporative cooling: filters, belts, seals, lamps or drivers, sensors, actuators, valves, control modules and envelope repair materials.</x:v>
      </x:c>
      <x:c r="V84" s="2" t="str">
        <x:v>https://www.ctc-n.org/sites/default/files/resources/ctcn_taxonomy_0.pdf</x:v>
      </x:c>
      <x:c r="W84" s="2" t="str">
        <x:v>https://institutoagricoladepueblobello.edu.co/colegiapp/archivostemas/GUIA%209.%5B25%5D.pdf</x:v>
      </x:c>
      <x:c r="X84" s="2" t="str">
        <x:v>https://iiasa.ac.at/what-is-technology</x:v>
      </x:c>
      <x:c r="Y84" s="2" t="str">
        <x:v>https://www.ipcc.ch/report/ar6/wg3/chapter/chapter-9/</x:v>
      </x:c>
      <x:c r="Z84" s="2" t="str">
        <x:v>Technology-specific analytical synthesis. The CTCN hierarchy is retained; classifications and component dependencies require validation against the selected design, site and supplier documentation before investment or policy use.</x:v>
      </x:c>
      <x:c r="AA84" s="2" t="str">
        <x:v>Physical deployment of Indirect evaporative cooling requires building fabric, plant rooms, electrical and water networks, access for maintenance and metering; interfaces, foundations, access and environmental protection are sized to the specific resource and design load.</x:v>
      </x:c>
      <x:c r="AB84" s="2" t="str">
        <x:v>For Indirect evaporative cooling, the hardware energy balance comprises electricity and thermal energy; peak demand, part-load efficiency and controls determine actual savings; metering must separate useful output, conversion losses and auxiliaries for the selected design.</x:v>
      </x:c>
      <x:c r="AC84" s="2" t="str">
        <x:v>Construction and operation use insulation, glass, concrete, steel, timber, aluminium, copper, refrigerants and electronic components as applicable. For Indirect evaporative cooling, specifications must include durability, compatibility, recycled content and recoverability.</x:v>
      </x:c>
      <x:c r="AD84" s="2" t="str">
        <x:v>Maintenance of Indirect evaporative cooling depends on filters, belts, seals, lamps or drivers, sensors, actuators, valves, control modules and envelope repair materials; critical spares are selected from failure-mode, lead-time and safety analysis for its installed configuration.</x:v>
      </x:c>
      <x:c r="AE84" s="2" t="str">
        <x:v>The software stack for Indirect evaporative cooling requires databases, secure communications, version-controlled models, computing, backup and interfaces with field or operational systems.</x:v>
      </x:c>
      <x:c r="AF84" s="2" t="str">
        <x:v>For Indirect evaporative cooling, software-related energy is electricity for sensing, computing, storage, communication and cooling; it is normally secondary but must be included for data-intensive or continuous services.</x:v>
      </x:c>
      <x:c r="AG84" s="2" t="str">
        <x:v>The non-physical inputs are calibrated data, metadata, algorithms, boundary conditions, emission or hazard factors, manuals and validation records specific to Indirect evaporative cooling.</x:v>
      </x:c>
      <x:c r="AH84" s="2" t="str">
        <x:v>Software continuity for Indirect evaporative cooling requires licences where applicable, updates, cybersecurity patches, backups, calibration files, model validation and technical support.</x:v>
      </x:c>
      <x:c r="AI84" s="2" t="str">
        <x:v>Orgware depends on the institutions, laboratories, training providers, regulators, operators and community interfaces needed to govern Indirect evaporative cooling.</x:v>
      </x:c>
      <x:c r="AJ84" s="2" t="str">
        <x:v>The orgware supporting Indirect evaporative cooling has mainly indirect energy use from offices, meetings, training and information systems; travel and field supervision may be material at dispersed sites.</x:v>
      </x:c>
      <x:c r="AK84" s="2" t="str">
        <x:v>Its organisational inputs are permits, budgets, trained staff, competence records, contracts, procedures, safeguards, monitoring evidence and stakeholder agreements tailored to Indirect evaporative cooling.</x:v>
      </x:c>
      <x:c r="AL84" s="2" t="str">
        <x:v>Sustained implementation of Indirect evaporative cooling requires procurement and service contracts, audit protocols, training material, reporting templates, insurance or guarantees and periodic independent review.</x:v>
      </x:c>
      <x:c r="AM84" s="2" t="str">
        <x:v>Iron ore / steel inputs; Limestone / cement raw materials</x:v>
      </x:c>
      <x:c r="AN84" s="2" t="str">
        <x:v>Australia; Brazil; China; India; Vietnam</x:v>
      </x:c>
      <x:c r="AO84" s="2" t="str">
        <x:v>China; India; Japan; Vietnam</x:v>
      </x:c>
      <x:c r="AP84" s="2" t="str">
        <x:v>Indirect evaporative cooling: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4" s="2" t="str">
        <x:v>2024–2025</x:v>
      </x:c>
      <x:c r="AR84" s="2" t="str">
        <x:v>https://pubs.usgs.gov/periodicals/mcs2026/mcs2026.pdf</x:v>
      </x:c>
    </x:row>
    <x:row r="85" ht="240" customHeight="1">
      <x:c r="A85" s="2" t="str">
        <x:v>MIT-0078</x:v>
      </x:c>
      <x:c r="B85" s="2" t="str">
        <x:v>Mitigation</x:v>
      </x:c>
      <x:c r="C85" s="2" t="str">
        <x:v>Energy efficiency</x:v>
      </x:c>
      <x:c r="D85" s="2" t="str">
        <x:v>Energy storage</x:v>
      </x:c>
      <x:c r="E85" s="2" t="str">
        <x:v>Compressed air energy storage</x:v>
      </x:c>
      <x:c r="F85" s="2" t="str">
        <x:v>Compressed air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Surplus electricity compresses air into a vessel or cavern; discharge releases and heats the air to drive an expander-generator, with efficiency strongly affected by thermal management.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5" s="2" t="str">
        <x:v>Mixed: adaptable design, site-specific implementation</x:v>
      </x:c>
      <x:c r="H85" s="2" t="str">
        <x:v>Compressed air energy storage is adaptable in capacity and configuration but site-specific in final engineering. Its principle remains the same, but resource quality, climate, scale, interfaces and safety constraints must be recalculated for each deployment.</x:v>
      </x:c>
      <x:c r="I85" s="2" t="str">
        <x:v>Primarily hard, with a soft component</x:v>
      </x:c>
      <x:c r="J85" s="2" t="str">
        <x:v>Compressed air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5" s="2" t="str">
        <x:v>Equipment and operation</x:v>
      </x:c>
      <x:c r="L85" s="2" t="str">
        <x:v>Compressed air energy storage is embodied mainly as an equipment-and-operation system. The deliverable is accepted only when measurable service, quality, safety and climate-performance criteria are met under real conditions.</x:v>
      </x:c>
      <x:c r="M85" s="2" t="str">
        <x:v>Yes, subject to life-cycle safeguards</x:v>
      </x:c>
      <x:c r="N85" s="2" t="str">
        <x:v>Compressed air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5" s="2" t="str">
        <x:v>Compressed air energy storage: storage medium, containment, power conversion, protection, thermal management, sensors and connection equipment.</x:v>
      </x:c>
      <x:c r="P85" s="2" t="str">
        <x:v>Compressed air energy storage: state estimation, charge–discharge control, degradation model, dispatch optimisation, safety logic and event logging.</x:v>
      </x:c>
      <x:c r="Q85" s="2" t="str">
        <x:v>Compressed air energy storage: interconnection rules, operating envelope, fire and pressure safety, market participation, warranty and end-of-life responsibility.</x:v>
      </x:c>
      <x:c r="R85" s="2" t="str">
        <x:v>Compressed air energy storage: foundations or caverns, electrical connection, ventilation or cooling, fire protection, drainage and secure maintenance access.</x:v>
      </x:c>
      <x:c r="S85" s="2" t="str">
        <x:v>Compressed air energy storage: charging electricity and auxiliary energy for pumps, compressors, vacuum, cryogenics or cooling; round-trip efficiency is technology-specific.</x:v>
      </x:c>
      <x:c r="T85" s="2" t="str">
        <x:v>Compressed air energy storage: steel, concrete, copper, power semiconductors and a technology-specific medium such as battery chemicals, water, air, phase-change material or superconductors.</x:v>
      </x:c>
      <x:c r="U85" s="2" t="str">
        <x:v>Compressed air energy storage: converter modules, seals, bearings, pumps, fans, sensors, cooling parts, fire-suppression agents and replaceable storage modules.</x:v>
      </x:c>
      <x:c r="V85" s="2" t="str">
        <x:v>https://www.ctc-n.org/sites/default/files/resources/ctcn_taxonomy_0.pdf</x:v>
      </x:c>
      <x:c r="W85" s="2" t="str">
        <x:v>https://institutoagricoladepueblobello.edu.co/colegiapp/archivostemas/GUIA%209.%5B25%5D.pdf</x:v>
      </x:c>
      <x:c r="X85" s="2" t="str">
        <x:v>https://iiasa.ac.at/what-is-technology</x:v>
      </x:c>
      <x:c r="Y85" s="2" t="str">
        <x:v>https://www.ipcc.ch/report/ar6/wg3/chapter/chapter-9/; https://www.energy.gov/oe/articles/grid-energy-storage-december-2013</x:v>
      </x:c>
      <x:c r="Z85" s="2" t="str">
        <x:v>Technology-specific analytical synthesis. The CTCN hierarchy is retained; classifications and component dependencies require validation against the selected design, site and supplier documentation before investment or policy use.</x:v>
      </x:c>
      <x:c r="AA85" s="2" t="str">
        <x:v>Physical deployment of Compressed air energy storage requires foundations or caverns, electrical connection, ventilation or cooling, fire protection, drainage and secure maintenance access; interfaces, foundations, access and environmental protection are sized to the specific resource and design load.</x:v>
      </x:c>
      <x:c r="AB85" s="2" t="str">
        <x:v>For Compressed air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5" s="2" t="str">
        <x:v>Construction and operation use steel, concrete, copper, power semiconductors and a technology-specific medium such as battery chemicals, water, air, phase-change material or superconductors. For Compressed air energy storage, specifications must include durability, compatibility, recycled content and recoverability.</x:v>
      </x:c>
      <x:c r="AD85" s="2" t="str">
        <x:v>Maintenance of Compressed air energy storage depends on converter modules, seals, bearings, pumps, fans, sensors, cooling parts, fire-suppression agents and replaceable storage modules; critical spares are selected from failure-mode, lead-time and safety analysis for its installed configuration.</x:v>
      </x:c>
      <x:c r="AE85" s="2" t="str">
        <x:v>The software stack for Compressed air energy storage requires databases, secure communications, version-controlled models, computing, backup and interfaces with field or operational systems.</x:v>
      </x:c>
      <x:c r="AF85" s="2" t="str">
        <x:v>For Compressed air energy storage, software-related energy is electricity for sensing, computing, storage, communication and cooling; it is normally secondary but must be included for data-intensive or continuous services.</x:v>
      </x:c>
      <x:c r="AG85" s="2" t="str">
        <x:v>The non-physical inputs are calibrated data, metadata, algorithms, boundary conditions, emission or hazard factors, manuals and validation records specific to Compressed air energy storage.</x:v>
      </x:c>
      <x:c r="AH85" s="2" t="str">
        <x:v>Software continuity for Compressed air energy storage requires licences where applicable, updates, cybersecurity patches, backups, calibration files, model validation and technical support.</x:v>
      </x:c>
      <x:c r="AI85" s="2" t="str">
        <x:v>Orgware depends on the institutions, laboratories, training providers, regulators, operators and community interfaces needed to govern Compressed air energy storage.</x:v>
      </x:c>
      <x:c r="AJ85" s="2" t="str">
        <x:v>The orgware supporting Compressed air energy storage has mainly indirect energy use from offices, meetings, training and information systems; travel and field supervision may be material at dispersed sites.</x:v>
      </x:c>
      <x:c r="AK85" s="2" t="str">
        <x:v>Its organisational inputs are permits, budgets, trained staff, competence records, contracts, procedures, safeguards, monitoring evidence and stakeholder agreements tailored to Compressed air energy storage.</x:v>
      </x:c>
      <x:c r="AL85" s="2" t="str">
        <x:v>Sustained implementation of Compressed air energy storage requires procurement and service contracts, audit protocols, training material, reporting templates, insurance or guarantees and periodic independent review.</x:v>
      </x:c>
      <x:c r="AM85" s="2" t="str">
        <x:v>Iron ore / steel inputs</x:v>
      </x:c>
      <x:c r="AN85" s="2" t="str">
        <x:v>Australia; Brazil; China</x:v>
      </x:c>
      <x:c r="AO85" s="2" t="str">
        <x:v>China; India; Japan</x:v>
      </x:c>
      <x:c r="AP85" s="2" t="str">
        <x:v>Compressed air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5" s="2" t="str">
        <x:v>2024–2025</x:v>
      </x:c>
      <x:c r="AR85" s="2" t="str">
        <x:v>https://pubs.usgs.gov/periodicals/mcs2026/mcs2026.pdf</x:v>
      </x:c>
    </x:row>
    <x:row r="86" ht="240" customHeight="1">
      <x:c r="A86" s="2" t="str">
        <x:v>MIT-0079</x:v>
      </x:c>
      <x:c r="B86" s="2" t="str">
        <x:v>Mitigation</x:v>
      </x:c>
      <x:c r="C86" s="2" t="str">
        <x:v>Energy efficiency</x:v>
      </x:c>
      <x:c r="D86" s="2" t="str">
        <x:v>Energy storage</x:v>
      </x:c>
      <x:c r="E86" s="2" t="str">
        <x:v>Phase change materials for thermal energy storage</x:v>
      </x:c>
      <x:c r="F86" s="2" t="str">
        <x:v>Phase change materials for thermal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The storage medium absorbs or releases latent heat during a controlled phase transition, providing high thermal capacity within a narrow temperature range.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6" s="2" t="str">
        <x:v>Mixed: adaptable design, site-specific implementation</x:v>
      </x:c>
      <x:c r="H86" s="2" t="str">
        <x:v>Phase change materials for thermal energy storage is adaptable in capacity and configuration but site-specific in final engineering. Its principle remains the same, but resource quality, climate, scale, interfaces and safety constraints must be recalculated for each deployment.</x:v>
      </x:c>
      <x:c r="I86" s="2" t="str">
        <x:v>Primarily hard, with a soft component</x:v>
      </x:c>
      <x:c r="J86" s="2" t="str">
        <x:v>Phase change materials for thermal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6" s="2" t="str">
        <x:v>Product and equipment; complementary operation</x:v>
      </x:c>
      <x:c r="L86" s="2" t="str">
        <x:v>Phase change materials for thermal energy storage is embodied mainly as a product/equipment package. The deliverable is accepted only when measurable service, quality, safety and climate-performance criteria are met under real conditions.</x:v>
      </x:c>
      <x:c r="M86" s="2" t="str">
        <x:v>Yes, subject to life-cycle safeguards</x:v>
      </x:c>
      <x:c r="N86" s="2" t="str">
        <x:v>Phase change materials for thermal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6" s="2" t="str">
        <x:v>Phase change materials for thermal energy storage: storage medium, containment, power conversion, protection, thermal management, sensors and connection equipment.</x:v>
      </x:c>
      <x:c r="P86" s="2" t="str">
        <x:v>Phase change materials for thermal energy storage: state estimation, charge–discharge control, degradation model, dispatch optimisation, safety logic and event logging.</x:v>
      </x:c>
      <x:c r="Q86" s="2" t="str">
        <x:v>Phase change materials for thermal energy storage: interconnection rules, operating envelope, fire and pressure safety, market participation, warranty and end-of-life responsibility.</x:v>
      </x:c>
      <x:c r="R86" s="2" t="str">
        <x:v>Phase change materials for thermal energy storage: foundations or caverns, electrical connection, ventilation or cooling, fire protection, drainage and secure maintenance access.</x:v>
      </x:c>
      <x:c r="S86" s="2" t="str">
        <x:v>Phase change materials for thermal energy storage: charging electricity and auxiliary energy for pumps, compressors, vacuum, cryogenics or cooling; round-trip efficiency is technology-specific.</x:v>
      </x:c>
      <x:c r="T86" s="2" t="str">
        <x:v>Phase change materials for thermal energy storage: steel, concrete, copper, power semiconductors and a technology-specific medium such as battery chemicals, water, air, phase-change material or superconductors.</x:v>
      </x:c>
      <x:c r="U86" s="2" t="str">
        <x:v>Phase change materials for thermal energy storage: converter modules, seals, bearings, pumps, fans, sensors, cooling parts, fire-suppression agents and replaceable storage modules.</x:v>
      </x:c>
      <x:c r="V86" s="2" t="str">
        <x:v>https://www.ctc-n.org/sites/default/files/resources/ctcn_taxonomy_0.pdf</x:v>
      </x:c>
      <x:c r="W86" s="2" t="str">
        <x:v>https://institutoagricoladepueblobello.edu.co/colegiapp/archivostemas/GUIA%209.%5B25%5D.pdf</x:v>
      </x:c>
      <x:c r="X86" s="2" t="str">
        <x:v>https://iiasa.ac.at/what-is-technology</x:v>
      </x:c>
      <x:c r="Y86" s="2" t="str">
        <x:v>https://www.ipcc.ch/report/ar6/wg3/chapter/chapter-9/; https://www.energy.gov/oe/articles/grid-energy-storage-december-2013</x:v>
      </x:c>
      <x:c r="Z86" s="2" t="str">
        <x:v>Technology-specific analytical synthesis. The CTCN hierarchy is retained; classifications and component dependencies require validation against the selected design, site and supplier documentation before investment or policy use.</x:v>
      </x:c>
      <x:c r="AA86" s="2" t="str">
        <x:v>Physical deployment of Phase change materials for thermal energy storage requires foundations or caverns, electrical connection, ventilation or cooling, fire protection, drainage and secure maintenance access; interfaces, foundations, access and environmental protection are sized to the specific resource and design load.</x:v>
      </x:c>
      <x:c r="AB86" s="2" t="str">
        <x:v>For Phase change materials for thermal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6" s="2" t="str">
        <x:v>Construction and operation use steel, concrete, copper, power semiconductors and a technology-specific medium such as battery chemicals, water, air, phase-change material or superconductors. For Phase change materials for thermal energy storage, specifications must include durability, compatibility, recycled content and recoverability.</x:v>
      </x:c>
      <x:c r="AD86" s="2" t="str">
        <x:v>Maintenance of Phase change materials for thermal energy storage depends on converter modules, seals, bearings, pumps, fans, sensors, cooling parts, fire-suppression agents and replaceable storage modules; critical spares are selected from failure-mode, lead-time and safety analysis for its installed configuration.</x:v>
      </x:c>
      <x:c r="AE86" s="2" t="str">
        <x:v>The software stack for Phase change materials for thermal energy storage requires databases, secure communications, version-controlled models, computing, backup and interfaces with field or operational systems.</x:v>
      </x:c>
      <x:c r="AF86" s="2" t="str">
        <x:v>For Phase change materials for thermal energy storage, software-related energy is electricity for sensing, computing, storage, communication and cooling; it is normally secondary but must be included for data-intensive or continuous services.</x:v>
      </x:c>
      <x:c r="AG86" s="2" t="str">
        <x:v>The non-physical inputs are calibrated data, metadata, algorithms, boundary conditions, emission or hazard factors, manuals and validation records specific to Phase change materials for thermal energy storage.</x:v>
      </x:c>
      <x:c r="AH86" s="2" t="str">
        <x:v>Software continuity for Phase change materials for thermal energy storage requires licences where applicable, updates, cybersecurity patches, backups, calibration files, model validation and technical support.</x:v>
      </x:c>
      <x:c r="AI86" s="2" t="str">
        <x:v>Orgware depends on the institutions, laboratories, training providers, regulators, operators and community interfaces needed to govern Phase change materials for thermal energy storage.</x:v>
      </x:c>
      <x:c r="AJ86" s="2" t="str">
        <x:v>The orgware supporting Phase change materials for thermal energy storage has mainly indirect energy use from offices, meetings, training and information systems; travel and field supervision may be material at dispersed sites.</x:v>
      </x:c>
      <x:c r="AK86" s="2" t="str">
        <x:v>Its organisational inputs are permits, budgets, trained staff, competence records, contracts, procedures, safeguards, monitoring evidence and stakeholder agreements tailored to Phase change materials for thermal energy storage.</x:v>
      </x:c>
      <x:c r="AL86" s="2" t="str">
        <x:v>Sustained implementation of Phase change materials for thermal energy storage requires procurement and service contracts, audit protocols, training material, reporting templates, insurance or guarantees and periodic independent review.</x:v>
      </x:c>
      <x:c r="AM86" s="2" t="str">
        <x:v>Iron ore / steel inputs</x:v>
      </x:c>
      <x:c r="AN86" s="2" t="str">
        <x:v>Australia; Brazil; China</x:v>
      </x:c>
      <x:c r="AO86" s="2" t="str">
        <x:v>China; India; Japan</x:v>
      </x:c>
      <x:c r="AP86" s="2" t="str">
        <x:v>Phase change materials for thermal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6" s="2" t="str">
        <x:v>2024–2025</x:v>
      </x:c>
      <x:c r="AR86" s="2" t="str">
        <x:v>https://pubs.usgs.gov/periodicals/mcs2026/mcs2026.pdf</x:v>
      </x:c>
    </x:row>
    <x:row r="87" ht="240" customHeight="1">
      <x:c r="A87" s="2" t="str">
        <x:v>MIT-0080</x:v>
      </x:c>
      <x:c r="B87" s="2" t="str">
        <x:v>Mitigation</x:v>
      </x:c>
      <x:c r="C87" s="2" t="str">
        <x:v>Energy efficiency</x:v>
      </x:c>
      <x:c r="D87" s="2" t="str">
        <x:v>Energy storage</x:v>
      </x:c>
      <x:c r="E87" s="2" t="str">
        <x:v>Capacitors</x:v>
      </x:c>
      <x:c r="F87" s="2" t="str">
        <x:v>Capacitors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Capacitors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7" s="2" t="str">
        <x:v>Mixed: adaptable design, site-specific implementation</x:v>
      </x:c>
      <x:c r="H87" s="2" t="str">
        <x:v>Capacitors is adaptable in capacity and configuration but site-specific in final engineering. Its principle remains the same, but resource quality, climate, scale, interfaces and safety constraints must be recalculated for each deployment.</x:v>
      </x:c>
      <x:c r="I87" s="2" t="str">
        <x:v>Primarily hard, with a soft component</x:v>
      </x:c>
      <x:c r="J87" s="2" t="str">
        <x:v>Capacitors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7" s="2" t="str">
        <x:v>Equipment and operation</x:v>
      </x:c>
      <x:c r="L87" s="2" t="str">
        <x:v>Capacitors is embodied mainly as an equipment-and-operation system. The deliverable is accepted only when measurable service, quality, safety and climate-performance criteria are met under real conditions.</x:v>
      </x:c>
      <x:c r="M87" s="2" t="str">
        <x:v>Yes, subject to life-cycle safeguards</x:v>
      </x:c>
      <x:c r="N87" s="2" t="str">
        <x:v>Capacitors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7" s="2" t="str">
        <x:v>Capacitors: storage medium, containment, power conversion, protection, thermal management, sensors and connection equipment.</x:v>
      </x:c>
      <x:c r="P87" s="2" t="str">
        <x:v>Capacitors: state estimation, charge–discharge control, degradation model, dispatch optimisation, safety logic and event logging.</x:v>
      </x:c>
      <x:c r="Q87" s="2" t="str">
        <x:v>Capacitors: interconnection rules, operating envelope, fire and pressure safety, market participation, warranty and end-of-life responsibility.</x:v>
      </x:c>
      <x:c r="R87" s="2" t="str">
        <x:v>Capacitors: foundations or caverns, electrical connection, ventilation or cooling, fire protection, drainage and secure maintenance access.</x:v>
      </x:c>
      <x:c r="S87" s="2" t="str">
        <x:v>Capacitors: charging electricity and auxiliary energy for pumps, compressors, vacuum, cryogenics or cooling; round-trip efficiency is technology-specific.</x:v>
      </x:c>
      <x:c r="T87" s="2" t="str">
        <x:v>Capacitors: steel, concrete, copper, power semiconductors and a technology-specific medium such as battery chemicals, water, air, phase-change material or superconductors.</x:v>
      </x:c>
      <x:c r="U87" s="2" t="str">
        <x:v>Capacitors: converter modules, seals, bearings, pumps, fans, sensors, cooling parts, fire-suppression agents and replaceable storage modules.</x:v>
      </x:c>
      <x:c r="V87" s="2" t="str">
        <x:v>https://www.ctc-n.org/sites/default/files/resources/ctcn_taxonomy_0.pdf</x:v>
      </x:c>
      <x:c r="W87" s="2" t="str">
        <x:v>https://institutoagricoladepueblobello.edu.co/colegiapp/archivostemas/GUIA%209.%5B25%5D.pdf</x:v>
      </x:c>
      <x:c r="X87" s="2" t="str">
        <x:v>https://iiasa.ac.at/what-is-technology</x:v>
      </x:c>
      <x:c r="Y87" s="2" t="str">
        <x:v>https://www.ipcc.ch/report/ar6/wg3/chapter/chapter-9/; https://www.energy.gov/oe/articles/grid-energy-storage-december-2013</x:v>
      </x:c>
      <x:c r="Z87" s="2" t="str">
        <x:v>Technology-specific analytical synthesis. The CTCN hierarchy is retained; classifications and component dependencies require validation against the selected design, site and supplier documentation before investment or policy use.</x:v>
      </x:c>
      <x:c r="AA87" s="2" t="str">
        <x:v>Physical deployment of Capacitors requires foundations or caverns, electrical connection, ventilation or cooling, fire protection, drainage and secure maintenance access; interfaces, foundations, access and environmental protection are sized to the specific resource and design load.</x:v>
      </x:c>
      <x:c r="AB87" s="2" t="str">
        <x:v>For Capacitors,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7" s="2" t="str">
        <x:v>Construction and operation use steel, concrete, copper, power semiconductors and a technology-specific medium such as battery chemicals, water, air, phase-change material or superconductors. For Capacitors, specifications must include durability, compatibility, recycled content and recoverability.</x:v>
      </x:c>
      <x:c r="AD87" s="2" t="str">
        <x:v>Maintenance of Capacitors depends on converter modules, seals, bearings, pumps, fans, sensors, cooling parts, fire-suppression agents and replaceable storage modules; critical spares are selected from failure-mode, lead-time and safety analysis for its installed configuration.</x:v>
      </x:c>
      <x:c r="AE87" s="2" t="str">
        <x:v>The software stack for Capacitors requires databases, secure communications, version-controlled models, computing, backup and interfaces with field or operational systems.</x:v>
      </x:c>
      <x:c r="AF87" s="2" t="str">
        <x:v>For Capacitors, software-related energy is electricity for sensing, computing, storage, communication and cooling; it is normally secondary but must be included for data-intensive or continuous services.</x:v>
      </x:c>
      <x:c r="AG87" s="2" t="str">
        <x:v>The non-physical inputs are calibrated data, metadata, algorithms, boundary conditions, emission or hazard factors, manuals and validation records specific to Capacitors.</x:v>
      </x:c>
      <x:c r="AH87" s="2" t="str">
        <x:v>Software continuity for Capacitors requires licences where applicable, updates, cybersecurity patches, backups, calibration files, model validation and technical support.</x:v>
      </x:c>
      <x:c r="AI87" s="2" t="str">
        <x:v>Orgware depends on the institutions, laboratories, training providers, regulators, operators and community interfaces needed to govern Capacitors.</x:v>
      </x:c>
      <x:c r="AJ87" s="2" t="str">
        <x:v>The orgware supporting Capacitors has mainly indirect energy use from offices, meetings, training and information systems; travel and field supervision may be material at dispersed sites.</x:v>
      </x:c>
      <x:c r="AK87" s="2" t="str">
        <x:v>Its organisational inputs are permits, budgets, trained staff, competence records, contracts, procedures, safeguards, monitoring evidence and stakeholder agreements tailored to Capacitors.</x:v>
      </x:c>
      <x:c r="AL87" s="2" t="str">
        <x:v>Sustained implementation of Capacitors requires procurement and service contracts, audit protocols, training material, reporting templates, insurance or guarantees and periodic independent review.</x:v>
      </x:c>
      <x:c r="AM87" s="2" t="str">
        <x:v>Iron ore / steel inputs; Tantalum</x:v>
      </x:c>
      <x:c r="AN87" s="2" t="str">
        <x:v>Australia; Brazil; China; Democratic Republic of the Congo; Rwanda; Nigeria</x:v>
      </x:c>
      <x:c r="AO87" s="2" t="str">
        <x:v>China; India; Japan; Germany; United States</x:v>
      </x:c>
      <x:c r="AP87" s="2" t="str">
        <x:v>Capacitors: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7" s="2" t="str">
        <x:v>2024–2025</x:v>
      </x:c>
      <x:c r="AR87" s="2" t="str">
        <x:v>https://pubs.usgs.gov/periodicals/mcs2026/mcs2026.pdf</x:v>
      </x:c>
    </x:row>
    <x:row r="88" ht="240" customHeight="1">
      <x:c r="A88" s="2" t="str">
        <x:v>MIT-0081</x:v>
      </x:c>
      <x:c r="B88" s="2" t="str">
        <x:v>Mitigation</x:v>
      </x:c>
      <x:c r="C88" s="2" t="str">
        <x:v>Energy efficiency</x:v>
      </x:c>
      <x:c r="D88" s="2" t="str">
        <x:v>Energy storage</x:v>
      </x:c>
      <x:c r="E88" s="2" t="str">
        <x:v>Batteries</x:v>
      </x:c>
      <x:c r="F88" s="2" t="str">
        <x:v>Batteries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Reversible electrochemical reactions transfer ions between electrodes through an electrolyte while electrons flow through the external circuit; a battery-management system enforces voltage, temperature and state-of-charge limits.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8" s="2" t="str">
        <x:v>Mixed: adaptable design, site-specific implementation</x:v>
      </x:c>
      <x:c r="H88" s="2" t="str">
        <x:v>Batteries is adaptable in capacity and configuration but site-specific in final engineering. Its principle remains the same, but resource quality, climate, scale, interfaces and safety constraints must be recalculated for each deployment.</x:v>
      </x:c>
      <x:c r="I88" s="2" t="str">
        <x:v>Primarily hard, with a soft component</x:v>
      </x:c>
      <x:c r="J88" s="2" t="str">
        <x:v>Batteries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8" s="2" t="str">
        <x:v>Equipment and operation</x:v>
      </x:c>
      <x:c r="L88" s="2" t="str">
        <x:v>Batteries is embodied mainly as an equipment-and-operation system. The deliverable is accepted only when measurable service, quality, safety and climate-performance criteria are met under real conditions.</x:v>
      </x:c>
      <x:c r="M88" s="2" t="str">
        <x:v>Yes, subject to life-cycle safeguards</x:v>
      </x:c>
      <x:c r="N88" s="2" t="str">
        <x:v>Batteries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8" s="2" t="str">
        <x:v>Batteries: storage medium, containment, power conversion, protection, thermal management, sensors and connection equipment.</x:v>
      </x:c>
      <x:c r="P88" s="2" t="str">
        <x:v>Batteries: state estimation, charge–discharge control, degradation model, dispatch optimisation, safety logic and event logging.</x:v>
      </x:c>
      <x:c r="Q88" s="2" t="str">
        <x:v>Batteries: interconnection rules, operating envelope, fire and pressure safety, market participation, warranty and end-of-life responsibility.</x:v>
      </x:c>
      <x:c r="R88" s="2" t="str">
        <x:v>Batteries: foundations or caverns, electrical connection, ventilation or cooling, fire protection, drainage and secure maintenance access.</x:v>
      </x:c>
      <x:c r="S88" s="2" t="str">
        <x:v>Batteries: charging electricity and auxiliary energy for pumps, compressors, vacuum, cryogenics or cooling; round-trip efficiency is technology-specific.</x:v>
      </x:c>
      <x:c r="T88" s="2" t="str">
        <x:v>Batteries: steel, concrete, copper, power semiconductors and a technology-specific medium such as battery chemicals, water, air, phase-change material or superconductors.</x:v>
      </x:c>
      <x:c r="U88" s="2" t="str">
        <x:v>Batteries: converter modules, seals, bearings, pumps, fans, sensors, cooling parts, fire-suppression agents and replaceable storage modules.</x:v>
      </x:c>
      <x:c r="V88" s="2" t="str">
        <x:v>https://www.ctc-n.org/sites/default/files/resources/ctcn_taxonomy_0.pdf</x:v>
      </x:c>
      <x:c r="W88" s="2" t="str">
        <x:v>https://institutoagricoladepueblobello.edu.co/colegiapp/archivostemas/GUIA%209.%5B25%5D.pdf</x:v>
      </x:c>
      <x:c r="X88" s="2" t="str">
        <x:v>https://iiasa.ac.at/what-is-technology</x:v>
      </x:c>
      <x:c r="Y88" s="2" t="str">
        <x:v>https://www.ipcc.ch/report/ar6/wg3/chapter/chapter-9/; https://www.energy.gov/oe/articles/grid-energy-storage-december-2013</x:v>
      </x:c>
      <x:c r="Z88" s="2" t="str">
        <x:v>Technology-specific analytical synthesis. The CTCN hierarchy is retained; classifications and component dependencies require validation against the selected design, site and supplier documentation before investment or policy use.</x:v>
      </x:c>
      <x:c r="AA88" s="2" t="str">
        <x:v>Physical deployment of Batteries requires foundations or caverns, electrical connection, ventilation or cooling, fire protection, drainage and secure maintenance access; interfaces, foundations, access and environmental protection are sized to the specific resource and design load.</x:v>
      </x:c>
      <x:c r="AB88" s="2" t="str">
        <x:v>For Batteries,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8" s="2" t="str">
        <x:v>Construction and operation use steel, concrete, copper, power semiconductors and a technology-specific medium such as battery chemicals, water, air, phase-change material or superconductors. For Batteries, specifications must include durability, compatibility, recycled content and recoverability.</x:v>
      </x:c>
      <x:c r="AD88" s="2" t="str">
        <x:v>Maintenance of Batteries depends on converter modules, seals, bearings, pumps, fans, sensors, cooling parts, fire-suppression agents and replaceable storage modules; critical spares are selected from failure-mode, lead-time and safety analysis for its installed configuration.</x:v>
      </x:c>
      <x:c r="AE88" s="2" t="str">
        <x:v>The software stack for Batteries requires databases, secure communications, version-controlled models, computing, backup and interfaces with field or operational systems.</x:v>
      </x:c>
      <x:c r="AF88" s="2" t="str">
        <x:v>For Batteries, software-related energy is electricity for sensing, computing, storage, communication and cooling; it is normally secondary but must be included for data-intensive or continuous services.</x:v>
      </x:c>
      <x:c r="AG88" s="2" t="str">
        <x:v>The non-physical inputs are calibrated data, metadata, algorithms, boundary conditions, emission or hazard factors, manuals and validation records specific to Batteries.</x:v>
      </x:c>
      <x:c r="AH88" s="2" t="str">
        <x:v>Software continuity for Batteries requires licences where applicable, updates, cybersecurity patches, backups, calibration files, model validation and technical support.</x:v>
      </x:c>
      <x:c r="AI88" s="2" t="str">
        <x:v>Orgware depends on the institutions, laboratories, training providers, regulators, operators and community interfaces needed to govern Batteries.</x:v>
      </x:c>
      <x:c r="AJ88" s="2" t="str">
        <x:v>The orgware supporting Batteries has mainly indirect energy use from offices, meetings, training and information systems; travel and field supervision may be material at dispersed sites.</x:v>
      </x:c>
      <x:c r="AK88" s="2" t="str">
        <x:v>Its organisational inputs are permits, budgets, trained staff, competence records, contracts, procedures, safeguards, monitoring evidence and stakeholder agreements tailored to Batteries.</x:v>
      </x:c>
      <x:c r="AL88" s="2" t="str">
        <x:v>Sustained implementation of Batteries requires procurement and service contracts, audit protocols, training material, reporting templates, insurance or guarantees and periodic independent review.</x:v>
      </x:c>
      <x:c r="AM88" s="2" t="str">
        <x:v>Iron ore / steel inputs</x:v>
      </x:c>
      <x:c r="AN88" s="2" t="str">
        <x:v>Australia; Brazil; China</x:v>
      </x:c>
      <x:c r="AO88" s="2" t="str">
        <x:v>China; India; Japan</x:v>
      </x:c>
      <x:c r="AP88" s="2" t="str">
        <x:v>Batteries: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8" s="2" t="str">
        <x:v>2024–2025</x:v>
      </x:c>
      <x:c r="AR88" s="2" t="str">
        <x:v>https://pubs.usgs.gov/periodicals/mcs2026/mcs2026.pdf</x:v>
      </x:c>
    </x:row>
    <x:row r="89" ht="240" customHeight="1">
      <x:c r="A89" s="2" t="str">
        <x:v>MIT-0082</x:v>
      </x:c>
      <x:c r="B89" s="2" t="str">
        <x:v>Mitigation</x:v>
      </x:c>
      <x:c r="C89" s="2" t="str">
        <x:v>Energy efficiency</x:v>
      </x:c>
      <x:c r="D89" s="2" t="str">
        <x:v>Energy storage</x:v>
      </x:c>
      <x:c r="E89" s="2" t="str">
        <x:v>Pumped hydroelectric energy storage</x:v>
      </x:c>
      <x:c r="F89" s="2" t="str">
        <x:v>Pumped hydroelectric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Electricity pumps water to an upper reservoir; later the hydraulic head drives reversible turbines or pump-turbines to regenerate electricity.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9" s="2" t="str">
        <x:v>Mixed: adaptable design, site-specific implementation</x:v>
      </x:c>
      <x:c r="H89" s="2" t="str">
        <x:v>Pumped hydroelectric energy storage is adaptable in capacity and configuration but site-specific in final engineering. Its principle remains the same, but resource quality, climate, scale, interfaces and safety constraints must be recalculated for each deployment.</x:v>
      </x:c>
      <x:c r="I89" s="2" t="str">
        <x:v>Primarily hard, with a soft component</x:v>
      </x:c>
      <x:c r="J89" s="2" t="str">
        <x:v>Pumped hydroelectric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9" s="2" t="str">
        <x:v>Equipment and operation</x:v>
      </x:c>
      <x:c r="L89" s="2" t="str">
        <x:v>Pumped hydroelectric energy storage is embodied mainly as an equipment-and-operation system. The deliverable is accepted only when measurable service, quality, safety and climate-performance criteria are met under real conditions.</x:v>
      </x:c>
      <x:c r="M89" s="2" t="str">
        <x:v>Yes, subject to life-cycle safeguards</x:v>
      </x:c>
      <x:c r="N89" s="2" t="str">
        <x:v>Pumped hydroelectric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9" s="2" t="str">
        <x:v>Pumped hydroelectric energy storage: storage medium, containment, power conversion, protection, thermal management, sensors and connection equipment.</x:v>
      </x:c>
      <x:c r="P89" s="2" t="str">
        <x:v>Pumped hydroelectric energy storage: state estimation, charge–discharge control, degradation model, dispatch optimisation, safety logic and event logging.</x:v>
      </x:c>
      <x:c r="Q89" s="2" t="str">
        <x:v>Pumped hydroelectric energy storage: interconnection rules, operating envelope, fire and pressure safety, market participation, warranty and end-of-life responsibility.</x:v>
      </x:c>
      <x:c r="R89" s="2" t="str">
        <x:v>Pumped hydroelectric energy storage: foundations or caverns, electrical connection, ventilation or cooling, fire protection, drainage and secure maintenance access.</x:v>
      </x:c>
      <x:c r="S89" s="2" t="str">
        <x:v>Pumped hydroelectric energy storage: charging electricity and auxiliary energy for pumps, compressors, vacuum, cryogenics or cooling; round-trip efficiency is technology-specific.</x:v>
      </x:c>
      <x:c r="T89" s="2" t="str">
        <x:v>Pumped hydroelectric energy storage: steel, concrete, copper, power semiconductors and a technology-specific medium such as battery chemicals, water, air, phase-change material or superconductors.</x:v>
      </x:c>
      <x:c r="U89" s="2" t="str">
        <x:v>Pumped hydroelectric energy storage: converter modules, seals, bearings, pumps, fans, sensors, cooling parts, fire-suppression agents and replaceable storage modules.</x:v>
      </x:c>
      <x:c r="V89" s="2" t="str">
        <x:v>https://www.ctc-n.org/sites/default/files/resources/ctcn_taxonomy_0.pdf</x:v>
      </x:c>
      <x:c r="W89" s="2" t="str">
        <x:v>https://institutoagricoladepueblobello.edu.co/colegiapp/archivostemas/GUIA%209.%5B25%5D.pdf</x:v>
      </x:c>
      <x:c r="X89" s="2" t="str">
        <x:v>https://iiasa.ac.at/what-is-technology</x:v>
      </x:c>
      <x:c r="Y89" s="2" t="str">
        <x:v>https://www.ipcc.ch/report/ar6/wg3/chapter/chapter-9/; https://www.energy.gov/oe/articles/grid-energy-storage-december-2013</x:v>
      </x:c>
      <x:c r="Z89" s="2" t="str">
        <x:v>Technology-specific analytical synthesis. The CTCN hierarchy is retained; classifications and component dependencies require validation against the selected design, site and supplier documentation before investment or policy use.</x:v>
      </x:c>
      <x:c r="AA89" s="2" t="str">
        <x:v>Physical deployment of Pumped hydroelectric energy storage requires foundations or caverns, electrical connection, ventilation or cooling, fire protection, drainage and secure maintenance access; interfaces, foundations, access and environmental protection are sized to the specific resource and design load.</x:v>
      </x:c>
      <x:c r="AB89" s="2" t="str">
        <x:v>For Pumped hydroelectric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9" s="2" t="str">
        <x:v>Construction and operation use steel, concrete, copper, power semiconductors and a technology-specific medium such as battery chemicals, water, air, phase-change material or superconductors. For Pumped hydroelectric energy storage, specifications must include durability, compatibility, recycled content and recoverability.</x:v>
      </x:c>
      <x:c r="AD89" s="2" t="str">
        <x:v>Maintenance of Pumped hydroelectric energy storage depends on converter modules, seals, bearings, pumps, fans, sensors, cooling parts, fire-suppression agents and replaceable storage modules; critical spares are selected from failure-mode, lead-time and safety analysis for its installed configuration.</x:v>
      </x:c>
      <x:c r="AE89" s="2" t="str">
        <x:v>The software stack for Pumped hydroelectric energy storage requires databases, secure communications, version-controlled models, computing, backup and interfaces with field or operational systems.</x:v>
      </x:c>
      <x:c r="AF89" s="2" t="str">
        <x:v>For Pumped hydroelectric energy storage, software-related energy is electricity for sensing, computing, storage, communication and cooling; it is normally secondary but must be included for data-intensive or continuous services.</x:v>
      </x:c>
      <x:c r="AG89" s="2" t="str">
        <x:v>The non-physical inputs are calibrated data, metadata, algorithms, boundary conditions, emission or hazard factors, manuals and validation records specific to Pumped hydroelectric energy storage.</x:v>
      </x:c>
      <x:c r="AH89" s="2" t="str">
        <x:v>Software continuity for Pumped hydroelectric energy storage requires licences where applicable, updates, cybersecurity patches, backups, calibration files, model validation and technical support.</x:v>
      </x:c>
      <x:c r="AI89" s="2" t="str">
        <x:v>Orgware depends on the institutions, laboratories, training providers, regulators, operators and community interfaces needed to govern Pumped hydroelectric energy storage.</x:v>
      </x:c>
      <x:c r="AJ89" s="2" t="str">
        <x:v>The orgware supporting Pumped hydroelectric energy storage has mainly indirect energy use from offices, meetings, training and information systems; travel and field supervision may be material at dispersed sites.</x:v>
      </x:c>
      <x:c r="AK89" s="2" t="str">
        <x:v>Its organisational inputs are permits, budgets, trained staff, competence records, contracts, procedures, safeguards, monitoring evidence and stakeholder agreements tailored to Pumped hydroelectric energy storage.</x:v>
      </x:c>
      <x:c r="AL89" s="2" t="str">
        <x:v>Sustained implementation of Pumped hydroelectric energy storage requires procurement and service contracts, audit protocols, training material, reporting templates, insurance or guarantees and periodic independent review.</x:v>
      </x:c>
      <x:c r="AM89" s="2" t="str">
        <x:v>Iron ore / steel inputs; Copper; Tin</x:v>
      </x:c>
      <x:c r="AN89" s="2" t="str">
        <x:v>Australia; Brazil; China; Chile; Democratic Republic of the Congo; Peru; Indonesia; Myanmar</x:v>
      </x:c>
      <x:c r="AO89" s="2" t="str">
        <x:v>China; India; Japan; Chile; Democratic Republic of the Congo; Indonesia; Malaysia</x:v>
      </x:c>
      <x:c r="AP89" s="2" t="str">
        <x:v>Pumped hydroelectric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9" s="2" t="str">
        <x:v>2024–2025</x:v>
      </x:c>
      <x:c r="AR89" s="2" t="str">
        <x:v>https://pubs.usgs.gov/periodicals/mcs2026/mcs2026.pdf</x:v>
      </x:c>
    </x:row>
    <x:row r="90" ht="240" customHeight="1">
      <x:c r="A90" s="2" t="str">
        <x:v>MIT-0083</x:v>
      </x:c>
      <x:c r="B90" s="2" t="str">
        <x:v>Mitigation</x:v>
      </x:c>
      <x:c r="C90" s="2" t="str">
        <x:v>Energy efficiency</x:v>
      </x:c>
      <x:c r="D90" s="2" t="str">
        <x:v>Energy storage</x:v>
      </x:c>
      <x:c r="E90" s="2" t="str">
        <x:v>Flywheels</x:v>
      </x:c>
      <x:c r="F90" s="2" t="str">
        <x:v>Flywheels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A motor accelerates a high-strength rotor in a low-loss enclosure; stored rotational kinetic energy is returned through the same electric machine, favouring high-power, short-duration services.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90" s="2" t="str">
        <x:v>Mixed: adaptable design, site-specific implementation</x:v>
      </x:c>
      <x:c r="H90" s="2" t="str">
        <x:v>Flywheels is adaptable in capacity and configuration but site-specific in final engineering. Its principle remains the same, but resource quality, climate, scale, interfaces and safety constraints must be recalculated for each deployment.</x:v>
      </x:c>
      <x:c r="I90" s="2" t="str">
        <x:v>Primarily hard, with a soft component</x:v>
      </x:c>
      <x:c r="J90" s="2" t="str">
        <x:v>Flywheels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90" s="2" t="str">
        <x:v>Equipment and operation</x:v>
      </x:c>
      <x:c r="L90" s="2" t="str">
        <x:v>Flywheels is embodied mainly as an equipment-and-operation system. The deliverable is accepted only when measurable service, quality, safety and climate-performance criteria are met under real conditions.</x:v>
      </x:c>
      <x:c r="M90" s="2" t="str">
        <x:v>Yes, subject to life-cycle safeguards</x:v>
      </x:c>
      <x:c r="N90" s="2" t="str">
        <x:v>Flywheels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90" s="2" t="str">
        <x:v>Flywheels: storage medium, containment, power conversion, protection, thermal management, sensors and connection equipment.</x:v>
      </x:c>
      <x:c r="P90" s="2" t="str">
        <x:v>Flywheels: state estimation, charge–discharge control, degradation model, dispatch optimisation, safety logic and event logging.</x:v>
      </x:c>
      <x:c r="Q90" s="2" t="str">
        <x:v>Flywheels: interconnection rules, operating envelope, fire and pressure safety, market participation, warranty and end-of-life responsibility.</x:v>
      </x:c>
      <x:c r="R90" s="2" t="str">
        <x:v>Flywheels: foundations or caverns, electrical connection, ventilation or cooling, fire protection, drainage and secure maintenance access.</x:v>
      </x:c>
      <x:c r="S90" s="2" t="str">
        <x:v>Flywheels: charging electricity and auxiliary energy for pumps, compressors, vacuum, cryogenics or cooling; round-trip efficiency is technology-specific.</x:v>
      </x:c>
      <x:c r="T90" s="2" t="str">
        <x:v>Flywheels: steel, concrete, copper, power semiconductors and a technology-specific medium such as battery chemicals, water, air, phase-change material or superconductors.</x:v>
      </x:c>
      <x:c r="U90" s="2" t="str">
        <x:v>Flywheels: converter modules, seals, bearings, pumps, fans, sensors, cooling parts, fire-suppression agents and replaceable storage modules.</x:v>
      </x:c>
      <x:c r="V90" s="2" t="str">
        <x:v>https://www.ctc-n.org/sites/default/files/resources/ctcn_taxonomy_0.pdf</x:v>
      </x:c>
      <x:c r="W90" s="2" t="str">
        <x:v>https://institutoagricoladepueblobello.edu.co/colegiapp/archivostemas/GUIA%209.%5B25%5D.pdf</x:v>
      </x:c>
      <x:c r="X90" s="2" t="str">
        <x:v>https://iiasa.ac.at/what-is-technology</x:v>
      </x:c>
      <x:c r="Y90" s="2" t="str">
        <x:v>https://www.ipcc.ch/report/ar6/wg3/chapter/chapter-9/; https://www.energy.gov/oe/articles/grid-energy-storage-december-2013</x:v>
      </x:c>
      <x:c r="Z90" s="2" t="str">
        <x:v>Technology-specific analytical synthesis. The CTCN hierarchy is retained; classifications and component dependencies require validation against the selected design, site and supplier documentation before investment or policy use.</x:v>
      </x:c>
      <x:c r="AA90" s="2" t="str">
        <x:v>Physical deployment of Flywheels requires foundations or caverns, electrical connection, ventilation or cooling, fire protection, drainage and secure maintenance access; interfaces, foundations, access and environmental protection are sized to the specific resource and design load.</x:v>
      </x:c>
      <x:c r="AB90" s="2" t="str">
        <x:v>For Flywheels,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90" s="2" t="str">
        <x:v>Construction and operation use steel, concrete, copper, power semiconductors and a technology-specific medium such as battery chemicals, water, air, phase-change material or superconductors. For Flywheels, specifications must include durability, compatibility, recycled content and recoverability.</x:v>
      </x:c>
      <x:c r="AD90" s="2" t="str">
        <x:v>Maintenance of Flywheels depends on converter modules, seals, bearings, pumps, fans, sensors, cooling parts, fire-suppression agents and replaceable storage modules; critical spares are selected from failure-mode, lead-time and safety analysis for its installed configuration.</x:v>
      </x:c>
      <x:c r="AE90" s="2" t="str">
        <x:v>The software stack for Flywheels requires databases, secure communications, version-controlled models, computing, backup and interfaces with field or operational systems.</x:v>
      </x:c>
      <x:c r="AF90" s="2" t="str">
        <x:v>For Flywheels, software-related energy is electricity for sensing, computing, storage, communication and cooling; it is normally secondary but must be included for data-intensive or continuous services.</x:v>
      </x:c>
      <x:c r="AG90" s="2" t="str">
        <x:v>The non-physical inputs are calibrated data, metadata, algorithms, boundary conditions, emission or hazard factors, manuals and validation records specific to Flywheels.</x:v>
      </x:c>
      <x:c r="AH90" s="2" t="str">
        <x:v>Software continuity for Flywheels requires licences where applicable, updates, cybersecurity patches, backups, calibration files, model validation and technical support.</x:v>
      </x:c>
      <x:c r="AI90" s="2" t="str">
        <x:v>Orgware depends on the institutions, laboratories, training providers, regulators, operators and community interfaces needed to govern Flywheels.</x:v>
      </x:c>
      <x:c r="AJ90" s="2" t="str">
        <x:v>The orgware supporting Flywheels has mainly indirect energy use from offices, meetings, training and information systems; travel and field supervision may be material at dispersed sites.</x:v>
      </x:c>
      <x:c r="AK90" s="2" t="str">
        <x:v>Its organisational inputs are permits, budgets, trained staff, competence records, contracts, procedures, safeguards, monitoring evidence and stakeholder agreements tailored to Flywheels.</x:v>
      </x:c>
      <x:c r="AL90" s="2" t="str">
        <x:v>Sustained implementation of Flywheels requires procurement and service contracts, audit protocols, training material, reporting templates, insurance or guarantees and periodic independent review.</x:v>
      </x:c>
      <x:c r="AM90" s="2" t="str">
        <x:v>Iron ore / steel inputs; Rare earth elements</x:v>
      </x:c>
      <x:c r="AN90" s="2" t="str">
        <x:v>Australia; Brazil; China; United States; Myanmar</x:v>
      </x:c>
      <x:c r="AO90" s="2" t="str">
        <x:v>China; India; Japan; Malaysia; Estonia</x:v>
      </x:c>
      <x:c r="AP90" s="2" t="str">
        <x:v>Flywheels: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0" s="2" t="str">
        <x:v>2024–2025</x:v>
      </x:c>
      <x:c r="AR90" s="2" t="str">
        <x:v>https://pubs.usgs.gov/periodicals/mcs2026/mcs2026.pdf; https://www.iea.org/reports/global-critical-minerals-outlook-2025</x:v>
      </x:c>
    </x:row>
    <x:row r="91" ht="240" customHeight="1">
      <x:c r="A91" s="2" t="str">
        <x:v>MIT-0084</x:v>
      </x:c>
      <x:c r="B91" s="2" t="str">
        <x:v>Mitigation</x:v>
      </x:c>
      <x:c r="C91" s="2" t="str">
        <x:v>Energy efficiency</x:v>
      </x:c>
      <x:c r="D91" s="2" t="str">
        <x:v>Energy storage</x:v>
      </x:c>
      <x:c r="E91" s="2" t="str">
        <x:v>Superconducting magnetic energy storage</x:v>
      </x:c>
      <x:c r="F91" s="2" t="str">
        <x:v>Superconducting magnetic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Superconducting magnetic energy storage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91" s="2" t="str">
        <x:v>Mixed: adaptable design, site-specific implementation</x:v>
      </x:c>
      <x:c r="H91" s="2" t="str">
        <x:v>Superconducting magnetic energy storage is adaptable in capacity and configuration but site-specific in final engineering. Its principle remains the same, but resource quality, climate, scale, interfaces and safety constraints must be recalculated for each deployment.</x:v>
      </x:c>
      <x:c r="I91" s="2" t="str">
        <x:v>Primarily hard, with a soft component</x:v>
      </x:c>
      <x:c r="J91" s="2" t="str">
        <x:v>Superconducting magnetic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91" s="2" t="str">
        <x:v>Equipment and operation</x:v>
      </x:c>
      <x:c r="L91" s="2" t="str">
        <x:v>Superconducting magnetic energy storage is embodied mainly as an equipment-and-operation system. The deliverable is accepted only when measurable service, quality, safety and climate-performance criteria are met under real conditions.</x:v>
      </x:c>
      <x:c r="M91" s="2" t="str">
        <x:v>Yes, subject to life-cycle safeguards</x:v>
      </x:c>
      <x:c r="N91" s="2" t="str">
        <x:v>Superconducting magnetic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91" s="2" t="str">
        <x:v>Superconducting magnetic energy storage: storage medium, containment, power conversion, protection, thermal management, sensors and connection equipment.</x:v>
      </x:c>
      <x:c r="P91" s="2" t="str">
        <x:v>Superconducting magnetic energy storage: state estimation, charge–discharge control, degradation model, dispatch optimisation, safety logic and event logging.</x:v>
      </x:c>
      <x:c r="Q91" s="2" t="str">
        <x:v>Superconducting magnetic energy storage: interconnection rules, operating envelope, fire and pressure safety, market participation, warranty and end-of-life responsibility.</x:v>
      </x:c>
      <x:c r="R91" s="2" t="str">
        <x:v>Superconducting magnetic energy storage: foundations or caverns, electrical connection, ventilation or cooling, fire protection, drainage and secure maintenance access.</x:v>
      </x:c>
      <x:c r="S91" s="2" t="str">
        <x:v>Superconducting magnetic energy storage: charging electricity and auxiliary energy for pumps, compressors, vacuum, cryogenics or cooling; round-trip efficiency is technology-specific.</x:v>
      </x:c>
      <x:c r="T91" s="2" t="str">
        <x:v>Superconducting magnetic energy storage: steel, concrete, copper, power semiconductors and a technology-specific medium such as battery chemicals, water, air, phase-change material or superconductors.</x:v>
      </x:c>
      <x:c r="U91" s="2" t="str">
        <x:v>Superconducting magnetic energy storage: converter modules, seals, bearings, pumps, fans, sensors, cooling parts, fire-suppression agents and replaceable storage modules.</x:v>
      </x:c>
      <x:c r="V91" s="2" t="str">
        <x:v>https://www.ctc-n.org/sites/default/files/resources/ctcn_taxonomy_0.pdf</x:v>
      </x:c>
      <x:c r="W91" s="2" t="str">
        <x:v>https://institutoagricoladepueblobello.edu.co/colegiapp/archivostemas/GUIA%209.%5B25%5D.pdf</x:v>
      </x:c>
      <x:c r="X91" s="2" t="str">
        <x:v>https://iiasa.ac.at/what-is-technology</x:v>
      </x:c>
      <x:c r="Y91" s="2" t="str">
        <x:v>https://www.ipcc.ch/report/ar6/wg3/chapter/chapter-9/; https://www.energy.gov/oe/articles/grid-energy-storage-december-2013</x:v>
      </x:c>
      <x:c r="Z91" s="2" t="str">
        <x:v>Technology-specific analytical synthesis. The CTCN hierarchy is retained; classifications and component dependencies require validation against the selected design, site and supplier documentation before investment or policy use.</x:v>
      </x:c>
      <x:c r="AA91" s="2" t="str">
        <x:v>Physical deployment of Superconducting magnetic energy storage requires foundations or caverns, electrical connection, ventilation or cooling, fire protection, drainage and secure maintenance access; interfaces, foundations, access and environmental protection are sized to the specific resource and design load.</x:v>
      </x:c>
      <x:c r="AB91" s="2" t="str">
        <x:v>For Superconducting magnetic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91" s="2" t="str">
        <x:v>Construction and operation use steel, concrete, copper, power semiconductors and a technology-specific medium such as battery chemicals, water, air, phase-change material or superconductors. For Superconducting magnetic energy storage, specifications must include durability, compatibility, recycled content and recoverability.</x:v>
      </x:c>
      <x:c r="AD91" s="2" t="str">
        <x:v>Maintenance of Superconducting magnetic energy storage depends on converter modules, seals, bearings, pumps, fans, sensors, cooling parts, fire-suppression agents and replaceable storage modules; critical spares are selected from failure-mode, lead-time and safety analysis for its installed configuration.</x:v>
      </x:c>
      <x:c r="AE91" s="2" t="str">
        <x:v>The software stack for Superconducting magnetic energy storage requires databases, secure communications, version-controlled models, computing, backup and interfaces with field or operational systems.</x:v>
      </x:c>
      <x:c r="AF91" s="2" t="str">
        <x:v>For Superconducting magnetic energy storage, software-related energy is electricity for sensing, computing, storage, communication and cooling; it is normally secondary but must be included for data-intensive or continuous services.</x:v>
      </x:c>
      <x:c r="AG91" s="2" t="str">
        <x:v>The non-physical inputs are calibrated data, metadata, algorithms, boundary conditions, emission or hazard factors, manuals and validation records specific to Superconducting magnetic energy storage.</x:v>
      </x:c>
      <x:c r="AH91" s="2" t="str">
        <x:v>Software continuity for Superconducting magnetic energy storage requires licences where applicable, updates, cybersecurity patches, backups, calibration files, model validation and technical support.</x:v>
      </x:c>
      <x:c r="AI91" s="2" t="str">
        <x:v>Orgware depends on the institutions, laboratories, training providers, regulators, operators and community interfaces needed to govern Superconducting magnetic energy storage.</x:v>
      </x:c>
      <x:c r="AJ91" s="2" t="str">
        <x:v>The orgware supporting Superconducting magnetic energy storage has mainly indirect energy use from offices, meetings, training and information systems; travel and field supervision may be material at dispersed sites.</x:v>
      </x:c>
      <x:c r="AK91" s="2" t="str">
        <x:v>Its organisational inputs are permits, budgets, trained staff, competence records, contracts, procedures, safeguards, monitoring evidence and stakeholder agreements tailored to Superconducting magnetic energy storage.</x:v>
      </x:c>
      <x:c r="AL91" s="2" t="str">
        <x:v>Sustained implementation of Superconducting magnetic energy storage requires procurement and service contracts, audit protocols, training material, reporting templates, insurance or guarantees and periodic independent review.</x:v>
      </x:c>
      <x:c r="AM91" s="2" t="str">
        <x:v>Iron ore / steel inputs</x:v>
      </x:c>
      <x:c r="AN91" s="2" t="str">
        <x:v>Australia; Brazil; China</x:v>
      </x:c>
      <x:c r="AO91" s="2" t="str">
        <x:v>China; India; Japan</x:v>
      </x:c>
      <x:c r="AP91" s="2" t="str">
        <x:v>Superconducting magnetic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1" s="2" t="str">
        <x:v>2024–2025</x:v>
      </x:c>
      <x:c r="AR91" s="2" t="str">
        <x:v>https://pubs.usgs.gov/periodicals/mcs2026/mcs2026.pdf</x:v>
      </x:c>
    </x:row>
    <x:row r="92" ht="240" customHeight="1">
      <x:c r="A92" s="2" t="str">
        <x:v>MIT-0085</x:v>
      </x:c>
      <x:c r="B92" s="2" t="str">
        <x:v>Mitigation</x:v>
      </x:c>
      <x:c r="C92" s="2" t="str">
        <x:v>Energy efficiency</x:v>
      </x:c>
      <x:c r="D92" s="2" t="str">
        <x:v>Energy storage</x:v>
      </x:c>
      <x:c r="E92" s="2" t="str">
        <x:v>Underground thermal energy storage</x:v>
      </x:c>
      <x:c r="F92" s="2" t="str">
        <x:v>Underground thermal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Underground thermal energy storage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92" s="2" t="str">
        <x:v>Mixed: adaptable design, site-specific implementation</x:v>
      </x:c>
      <x:c r="H92" s="2" t="str">
        <x:v>Underground thermal energy storage is adaptable in capacity and configuration but site-specific in final engineering. Its principle remains the same, but resource quality, climate, scale, interfaces and safety constraints must be recalculated for each deployment.</x:v>
      </x:c>
      <x:c r="I92" s="2" t="str">
        <x:v>Primarily hard, with a soft component</x:v>
      </x:c>
      <x:c r="J92" s="2" t="str">
        <x:v>Underground thermal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92" s="2" t="str">
        <x:v>Equipment and operation</x:v>
      </x:c>
      <x:c r="L92" s="2" t="str">
        <x:v>Underground thermal energy storage is embodied mainly as an equipment-and-operation system. The deliverable is accepted only when measurable service, quality, safety and climate-performance criteria are met under real conditions.</x:v>
      </x:c>
      <x:c r="M92" s="2" t="str">
        <x:v>Yes, subject to life-cycle safeguards</x:v>
      </x:c>
      <x:c r="N92" s="2" t="str">
        <x:v>Underground thermal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92" s="2" t="str">
        <x:v>Underground thermal energy storage: storage medium, containment, power conversion, protection, thermal management, sensors and connection equipment.</x:v>
      </x:c>
      <x:c r="P92" s="2" t="str">
        <x:v>Underground thermal energy storage: state estimation, charge–discharge control, degradation model, dispatch optimisation, safety logic and event logging.</x:v>
      </x:c>
      <x:c r="Q92" s="2" t="str">
        <x:v>Underground thermal energy storage: interconnection rules, operating envelope, fire and pressure safety, market participation, warranty and end-of-life responsibility.</x:v>
      </x:c>
      <x:c r="R92" s="2" t="str">
        <x:v>Underground thermal energy storage: foundations or caverns, electrical connection, ventilation or cooling, fire protection, drainage and secure maintenance access.</x:v>
      </x:c>
      <x:c r="S92" s="2" t="str">
        <x:v>Underground thermal energy storage: charging electricity and auxiliary energy for pumps, compressors, vacuum, cryogenics or cooling; round-trip efficiency is technology-specific.</x:v>
      </x:c>
      <x:c r="T92" s="2" t="str">
        <x:v>Underground thermal energy storage: steel, concrete, copper, power semiconductors and a technology-specific medium such as battery chemicals, water, air, phase-change material or superconductors.</x:v>
      </x:c>
      <x:c r="U92" s="2" t="str">
        <x:v>Underground thermal energy storage: converter modules, seals, bearings, pumps, fans, sensors, cooling parts, fire-suppression agents and replaceable storage modules.</x:v>
      </x:c>
      <x:c r="V92" s="2" t="str">
        <x:v>https://www.ctc-n.org/sites/default/files/resources/ctcn_taxonomy_0.pdf</x:v>
      </x:c>
      <x:c r="W92" s="2" t="str">
        <x:v>https://institutoagricoladepueblobello.edu.co/colegiapp/archivostemas/GUIA%209.%5B25%5D.pdf</x:v>
      </x:c>
      <x:c r="X92" s="2" t="str">
        <x:v>https://iiasa.ac.at/what-is-technology</x:v>
      </x:c>
      <x:c r="Y92" s="2" t="str">
        <x:v>https://www.ipcc.ch/report/ar6/wg3/chapter/chapter-9/; https://www.energy.gov/oe/articles/grid-energy-storage-december-2013</x:v>
      </x:c>
      <x:c r="Z92" s="2" t="str">
        <x:v>Technology-specific analytical synthesis. The CTCN hierarchy is retained; classifications and component dependencies require validation against the selected design, site and supplier documentation before investment or policy use.</x:v>
      </x:c>
      <x:c r="AA92" s="2" t="str">
        <x:v>Physical deployment of Underground thermal energy storage requires foundations or caverns, electrical connection, ventilation or cooling, fire protection, drainage and secure maintenance access; interfaces, foundations, access and environmental protection are sized to the specific resource and design load.</x:v>
      </x:c>
      <x:c r="AB92" s="2" t="str">
        <x:v>For Underground thermal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92" s="2" t="str">
        <x:v>Construction and operation use steel, concrete, copper, power semiconductors and a technology-specific medium such as battery chemicals, water, air, phase-change material or superconductors. For Underground thermal energy storage, specifications must include durability, compatibility, recycled content and recoverability.</x:v>
      </x:c>
      <x:c r="AD92" s="2" t="str">
        <x:v>Maintenance of Underground thermal energy storage depends on converter modules, seals, bearings, pumps, fans, sensors, cooling parts, fire-suppression agents and replaceable storage modules; critical spares are selected from failure-mode, lead-time and safety analysis for its installed configuration.</x:v>
      </x:c>
      <x:c r="AE92" s="2" t="str">
        <x:v>The software stack for Underground thermal energy storage requires databases, secure communications, version-controlled models, computing, backup and interfaces with field or operational systems.</x:v>
      </x:c>
      <x:c r="AF92" s="2" t="str">
        <x:v>For Underground thermal energy storage, software-related energy is electricity for sensing, computing, storage, communication and cooling; it is normally secondary but must be included for data-intensive or continuous services.</x:v>
      </x:c>
      <x:c r="AG92" s="2" t="str">
        <x:v>The non-physical inputs are calibrated data, metadata, algorithms, boundary conditions, emission or hazard factors, manuals and validation records specific to Underground thermal energy storage.</x:v>
      </x:c>
      <x:c r="AH92" s="2" t="str">
        <x:v>Software continuity for Underground thermal energy storage requires licences where applicable, updates, cybersecurity patches, backups, calibration files, model validation and technical support.</x:v>
      </x:c>
      <x:c r="AI92" s="2" t="str">
        <x:v>Orgware depends on the institutions, laboratories, training providers, regulators, operators and community interfaces needed to govern Underground thermal energy storage.</x:v>
      </x:c>
      <x:c r="AJ92" s="2" t="str">
        <x:v>The orgware supporting Underground thermal energy storage has mainly indirect energy use from offices, meetings, training and information systems; travel and field supervision may be material at dispersed sites.</x:v>
      </x:c>
      <x:c r="AK92" s="2" t="str">
        <x:v>Its organisational inputs are permits, budgets, trained staff, competence records, contracts, procedures, safeguards, monitoring evidence and stakeholder agreements tailored to Underground thermal energy storage.</x:v>
      </x:c>
      <x:c r="AL92" s="2" t="str">
        <x:v>Sustained implementation of Underground thermal energy storage requires procurement and service contracts, audit protocols, training material, reporting templates, insurance or guarantees and periodic independent review.</x:v>
      </x:c>
      <x:c r="AM92" s="2" t="str">
        <x:v>Iron ore / steel inputs</x:v>
      </x:c>
      <x:c r="AN92" s="2" t="str">
        <x:v>Australia; Brazil; China</x:v>
      </x:c>
      <x:c r="AO92" s="2" t="str">
        <x:v>China; India; Japan</x:v>
      </x:c>
      <x:c r="AP92" s="2" t="str">
        <x:v>Underground thermal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2" s="2" t="str">
        <x:v>2024–2025</x:v>
      </x:c>
      <x:c r="AR92" s="2" t="str">
        <x:v>https://pubs.usgs.gov/periodicals/mcs2026/mcs2026.pdf</x:v>
      </x:c>
    </x:row>
    <x:row r="93" ht="240" customHeight="1">
      <x:c r="A93" s="2" t="str">
        <x:v>MIT-0086</x:v>
      </x:c>
      <x:c r="B93" s="2" t="str">
        <x:v>Mitigation</x:v>
      </x:c>
      <x:c r="C93" s="2" t="str">
        <x:v>Renewable energy</x:v>
      </x:c>
      <x:c r="D93" s="2" t="str">
        <x:v>Solar</x:v>
      </x:c>
      <x:c r="E93" s="2" t="str">
        <x:v>Solar cooking</x:v>
      </x:c>
      <x:c r="F93" s="2" t="str">
        <x:v>Solar cooking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cooking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3" s="2" t="str">
        <x:v>Mixed: adaptable design, site-specific implementation</x:v>
      </x:c>
      <x:c r="H93" s="2" t="str">
        <x:v>Solar cooking is adaptable in capacity and configuration but site-specific in final engineering. Its principle remains the same, but resource quality, climate, scale, interfaces and safety constraints must be recalculated for each deployment.</x:v>
      </x:c>
      <x:c r="I93" s="2" t="str">
        <x:v>Primarily hard, with a soft component</x:v>
      </x:c>
      <x:c r="J93" s="2" t="str">
        <x:v>Solar cooking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3" s="2" t="str">
        <x:v>Equipment and operation</x:v>
      </x:c>
      <x:c r="L93" s="2" t="str">
        <x:v>Solar cooking is embodied mainly as an equipment-and-operation system. The deliverable is accepted only when measurable service, quality, safety and climate-performance criteria are met under real conditions.</x:v>
      </x:c>
      <x:c r="M93" s="2" t="str">
        <x:v>Yes, subject to life-cycle safeguards</x:v>
      </x:c>
      <x:c r="N93" s="2" t="str">
        <x:v>Solar cooking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3" s="2" t="str">
        <x:v>Solar cooking: resource collector or prime mover, generator or heat exchanger, support structure, power conversion, protection, metering and connection equipment.</x:v>
      </x:c>
      <x:c r="P93" s="2" t="str">
        <x:v>Solar cooking: resource assessment, energy-yield modelling, forecasting, maximum-power or process control, dispatch, condition monitoring and maintenance planning.</x:v>
      </x:c>
      <x:c r="Q93" s="2" t="str">
        <x:v>Solar cooking: resource and land or sea rights, environmental licensing, grid code, safety, community participation, revenue contract and decommissioning plan.</x:v>
      </x:c>
      <x:c r="R93" s="2" t="str">
        <x:v>Solar cooking: foundations, access, electrical or thermal network, substation, control and communications, drainage and construction or marine logistics.</x:v>
      </x:c>
      <x:c r="S93" s="2" t="str">
        <x:v>Solar cooking: the renewable resource is the primary input; auxiliary electricity, start-up fuel, pumping or thermal energy may be required depending on the design.</x:v>
      </x:c>
      <x:c r="T93" s="2" t="str">
        <x:v>Solar cooking: steel, concrete, copper, aluminium, polymers, glass and technology-specific materials such as silicon, magnets, coatings, catalysts or working fluids.</x:v>
      </x:c>
      <x:c r="U93" s="2" t="str">
        <x:v>Solar cooking: bearings, seals, filters, lubricants, sensors, converter parts, cables, fasteners, coatings and replaceable collector or heat-exchanger components.</x:v>
      </x:c>
      <x:c r="V93" s="2" t="str">
        <x:v>https://www.ctc-n.org/sites/default/files/resources/ctcn_taxonomy_0.pdf</x:v>
      </x:c>
      <x:c r="W93" s="2" t="str">
        <x:v>https://institutoagricoladepueblobello.edu.co/colegiapp/archivostemas/GUIA%209.%5B25%5D.pdf</x:v>
      </x:c>
      <x:c r="X93" s="2" t="str">
        <x:v>https://iiasa.ac.at/what-is-technology</x:v>
      </x:c>
      <x:c r="Y93" s="2" t="str">
        <x:v>https://www.ipcc.ch/report/ar6/wg3/chapter/chapter-6/; https://www.iea.org/data-and-statistics/data-tools/etp-clean-energy-technology-guide</x:v>
      </x:c>
      <x:c r="Z93" s="2" t="str">
        <x:v>Technology-specific analytical synthesis. The CTCN hierarchy is retained; classifications and component dependencies require validation against the selected design, site and supplier documentation before investment or policy use.</x:v>
      </x:c>
      <x:c r="AA93" s="2" t="str">
        <x:v>Physical deployment of Solar cooking requires foundations, access, electrical or thermal network, substation, control and communications, drainage and construction or marine logistics; interfaces, foundations, access and environmental protection are sized to the specific resource and design load.</x:v>
      </x:c>
      <x:c r="AB93" s="2" t="str">
        <x:v>For Solar cooking,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3" s="2" t="str">
        <x:v>Construction and operation use steel, concrete, copper, aluminium, polymers, glass and technology-specific materials such as silicon, magnets, coatings, catalysts or working fluids. For Solar cooking, specifications must include durability, compatibility, recycled content and recoverability.</x:v>
      </x:c>
      <x:c r="AD93" s="2" t="str">
        <x:v>Maintenance of Solar cooking depends on bearings, seals, filters, lubricants, sensors, converter parts, cables, fasteners, coatings and replaceable collector or heat-exchanger components; critical spares are selected from failure-mode, lead-time and safety analysis for its installed configuration.</x:v>
      </x:c>
      <x:c r="AE93" s="2" t="str">
        <x:v>The software stack for Solar cooking requires databases, secure communications, version-controlled models, computing, backup and interfaces with field or operational systems.</x:v>
      </x:c>
      <x:c r="AF93" s="2" t="str">
        <x:v>For Solar cooking, software-related energy is electricity for sensing, computing, storage, communication and cooling; it is normally secondary but must be included for data-intensive or continuous services.</x:v>
      </x:c>
      <x:c r="AG93" s="2" t="str">
        <x:v>The non-physical inputs are calibrated data, metadata, algorithms, boundary conditions, emission or hazard factors, manuals and validation records specific to Solar cooking.</x:v>
      </x:c>
      <x:c r="AH93" s="2" t="str">
        <x:v>Software continuity for Solar cooking requires licences where applicable, updates, cybersecurity patches, backups, calibration files, model validation and technical support.</x:v>
      </x:c>
      <x:c r="AI93" s="2" t="str">
        <x:v>Orgware depends on the institutions, laboratories, training providers, regulators, operators and community interfaces needed to govern Solar cooking.</x:v>
      </x:c>
      <x:c r="AJ93" s="2" t="str">
        <x:v>The orgware supporting Solar cooking has mainly indirect energy use from offices, meetings, training and information systems; travel and field supervision may be material at dispersed sites.</x:v>
      </x:c>
      <x:c r="AK93" s="2" t="str">
        <x:v>Its organisational inputs are permits, budgets, trained staff, competence records, contracts, procedures, safeguards, monitoring evidence and stakeholder agreements tailored to Solar cooking.</x:v>
      </x:c>
      <x:c r="AL93" s="2" t="str">
        <x:v>Sustained implementation of Solar cooking requires procurement and service contracts, audit protocols, training material, reporting templates, insurance or guarantees and periodic independent review.</x:v>
      </x:c>
      <x:c r="AM93" s="2" t="str">
        <x:v>Iron ore / steel inputs; Copper; Tin; Bauxite / aluminium</x:v>
      </x:c>
      <x:c r="AN93" s="2" t="str">
        <x:v>Australia; Brazil; China; Chile; Democratic Republic of the Congo; Peru; Indonesia; Myanmar; Guinea</x:v>
      </x:c>
      <x:c r="AO93" s="2" t="str">
        <x:v>China; India; Japan; Chile; Democratic Republic of the Congo; Indonesia; Malaysia; Russia</x:v>
      </x:c>
      <x:c r="AP93" s="2" t="str">
        <x:v>Solar cooking: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3" s="2" t="str">
        <x:v>2024–2025</x:v>
      </x:c>
      <x:c r="AR93" s="2" t="str">
        <x:v>https://pubs.usgs.gov/periodicals/mcs2026/mcs2026.pdf</x:v>
      </x:c>
    </x:row>
    <x:row r="94" ht="240" customHeight="1">
      <x:c r="A94" s="2" t="str">
        <x:v>MIT-0087</x:v>
      </x:c>
      <x:c r="B94" s="2" t="str">
        <x:v>Mitigation</x:v>
      </x:c>
      <x:c r="C94" s="2" t="str">
        <x:v>Renewable energy</x:v>
      </x:c>
      <x:c r="D94" s="2" t="str">
        <x:v>Solar</x:v>
      </x:c>
      <x:c r="E94" s="2" t="str">
        <x:v>Solar cooling and hybrid systems with heating and hot water</x:v>
      </x:c>
      <x:c r="F94" s="2" t="str">
        <x:v>Solar cooling and hybrid systems with heating and hot water is a mitigation technology in the Renewable energy sector and the Solar technology group. It is defined as a combined hardware–software–orgware system that improves the conversion of fuel or electricity into tractive work, recovers braking energy, reduces vehicle losses, or substitutes a lower-carbon energy carrier. Solar cooling and hybrid systems with heating and hot water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94" s="2" t="str">
        <x:v>Mixed: adaptable design, site-specific implementation</x:v>
      </x:c>
      <x:c r="H94" s="2" t="str">
        <x:v>Solar cooling and hybrid systems with heating and hot water is adaptable in capacity and configuration but site-specific in final engineering. Its principle remains the same, but resource quality, climate, scale, interfaces and safety constraints must be recalculated for each deployment.</x:v>
      </x:c>
      <x:c r="I94" s="2" t="str">
        <x:v>Primarily hard, with a soft component</x:v>
      </x:c>
      <x:c r="J94" s="2" t="str">
        <x:v>Solar cooling and hybrid systems with heating and hot water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94" s="2" t="str">
        <x:v>Equipment and operation</x:v>
      </x:c>
      <x:c r="L94" s="2" t="str">
        <x:v>Solar cooling and hybrid systems with heating and hot water is embodied mainly as an equipment-and-operation system. The deliverable is accepted only when measurable service, quality, safety and climate-performance criteria are met under real conditions.</x:v>
      </x:c>
      <x:c r="M94" s="2" t="str">
        <x:v>Yes, subject to life-cycle safeguards</x:v>
      </x:c>
      <x:c r="N94" s="2" t="str">
        <x:v>Solar cooling and hybrid systems with heating and hot water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94" s="2" t="str">
        <x:v>Solar cooling and hybrid systems with heating and hot water: powertrain, motor or engine, inverter, transmission, energy storage or fuel tanks, thermal management, braking, on-board control and refuelling or charging interface.</x:v>
      </x:c>
      <x:c r="P94" s="2" t="str">
        <x:v>Solar cooling and hybrid systems with heating and hot water: powertrain calibration, battery or fuel management, route-energy modelling, diagnostics, eco-driving logic, charging strategy and safety control.</x:v>
      </x:c>
      <x:c r="Q94" s="2" t="str">
        <x:v>Solar cooling and hybrid systems with heating and hot water: vehicle and fuel standards, homologation, charging or refuelling codes, maintenance competence, energy pricing, warranty and end-of-life responsibility.</x:v>
      </x:c>
      <x:c r="R94" s="2" t="str">
        <x:v>Solar cooling and hybrid systems with heating and hot water: vehicle production and maintenance facilities, depots, charging or refuelling stations, grid or fuel supply, rescue equipment and parts logistics.</x:v>
      </x:c>
      <x:c r="S94" s="2" t="str">
        <x:v>Solar cooling and hybrid systems with heating and hot water: electricity, liquid or gaseous fuel and auxiliary thermal loads; well-to-wheel carbon intensity and real operating efficiency determine the climate result.</x:v>
      </x:c>
      <x:c r="T94" s="2" t="str">
        <x:v>Solar cooling and hybrid systems with heating and hot water: steel, aluminium, copper, polymers, power electronics, magnets, catalysts and—where electrochemical storage is used—battery-active materials.</x:v>
      </x:c>
      <x:c r="U94" s="2" t="str">
        <x:v>Solar cooling and hybrid systems with heating and hot water: filters, fluids, seals, bearings, brake components, sensors, control modules, cables, connectors and battery or fuel-system service parts.</x:v>
      </x:c>
      <x:c r="V94" s="2" t="str">
        <x:v>https://www.ctc-n.org/sites/default/files/resources/ctcn_taxonomy_0.pdf</x:v>
      </x:c>
      <x:c r="W94" s="2" t="str">
        <x:v>https://institutoagricoladepueblobello.edu.co/colegiapp/archivostemas/GUIA%209.%5B25%5D.pdf</x:v>
      </x:c>
      <x:c r="X94" s="2" t="str">
        <x:v>https://iiasa.ac.at/what-is-technology</x:v>
      </x:c>
      <x:c r="Y94" s="2" t="str">
        <x:v>https://www.ipcc.ch/report/ar6/wg3/chapter/chapter-6/; https://www.iea.org/data-and-statistics/data-tools/etp-clean-energy-technology-guide; https://bogota.gov.co/en/international/new-era-transmilenio-transmiapp-and-largest-electric-fleet</x:v>
      </x:c>
      <x:c r="Z94" s="2" t="str">
        <x:v>Technology-specific analytical synthesis. The CTCN hierarchy is retained; classifications and component dependencies require validation against the selected design, site and supplier documentation before investment or policy use.</x:v>
      </x:c>
      <x:c r="AA94" s="2" t="str">
        <x:v>Physical deployment of Solar cooling and hybrid systems with heating and hot water requires vehicle production and maintenance facilities, depots, charging or refuelling stations, grid or fuel supply, rescue equipment and parts logistics; interfaces, foundations, access and environmental protection are sized to the specific resource and design load.</x:v>
      </x:c>
      <x:c r="AB94" s="2" t="str">
        <x:v>For Solar cooling and hybrid systems with heating and hot water,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94" s="2" t="str">
        <x:v>Construction and operation use steel, aluminium, copper, polymers, power electronics, magnets, catalysts and—where electrochemical storage is used—battery-active materials. For Solar cooling and hybrid systems with heating and hot water, specifications must include durability, compatibility, recycled content and recoverability.</x:v>
      </x:c>
      <x:c r="AD94" s="2" t="str">
        <x:v>Maintenance of Solar cooling and hybrid systems with heating and hot water depends on filters, fluids, seals, bearings, brake components, sensors, control modules, cables, connectors and battery or fuel-system service parts; critical spares are selected from failure-mode, lead-time and safety analysis for its installed configuration.</x:v>
      </x:c>
      <x:c r="AE94" s="2" t="str">
        <x:v>The software stack for Solar cooling and hybrid systems with heating and hot water requires databases, secure communications, version-controlled models, computing, backup and interfaces with field or operational systems.</x:v>
      </x:c>
      <x:c r="AF94" s="2" t="str">
        <x:v>For Solar cooling and hybrid systems with heating and hot water, software-related energy is electricity for sensing, computing, storage, communication and cooling; it is normally secondary but must be included for data-intensive or continuous services.</x:v>
      </x:c>
      <x:c r="AG94" s="2" t="str">
        <x:v>The non-physical inputs are calibrated data, metadata, algorithms, boundary conditions, emission or hazard factors, manuals and validation records specific to Solar cooling and hybrid systems with heating and hot water.</x:v>
      </x:c>
      <x:c r="AH94" s="2" t="str">
        <x:v>Software continuity for Solar cooling and hybrid systems with heating and hot water requires licences where applicable, updates, cybersecurity patches, backups, calibration files, model validation and technical support.</x:v>
      </x:c>
      <x:c r="AI94" s="2" t="str">
        <x:v>Orgware depends on the institutions, laboratories, training providers, regulators, operators and community interfaces needed to govern Solar cooling and hybrid systems with heating and hot water.</x:v>
      </x:c>
      <x:c r="AJ94" s="2" t="str">
        <x:v>The orgware supporting Solar cooling and hybrid systems with heating and hot water has mainly indirect energy use from offices, meetings, training and information systems; travel and field supervision may be material at dispersed sites.</x:v>
      </x:c>
      <x:c r="AK94" s="2" t="str">
        <x:v>Its organisational inputs are permits, budgets, trained staff, competence records, contracts, procedures, safeguards, monitoring evidence and stakeholder agreements tailored to Solar cooling and hybrid systems with heating and hot water.</x:v>
      </x:c>
      <x:c r="AL94" s="2" t="str">
        <x:v>Sustained implementation of Solar cooling and hybrid systems with heating and hot water requires procurement and service contracts, audit protocols, training material, reporting templates, insurance or guarantees and periodic independent review.</x:v>
      </x:c>
      <x:c r="AM94" s="2" t="str">
        <x:v>Iron ore / steel inputs; Copper; Tin; Bauxite / aluminium</x:v>
      </x:c>
      <x:c r="AN94" s="2" t="str">
        <x:v>Australia; Brazil; China; Chile; Democratic Republic of the Congo; Peru; Indonesia; Myanmar; Guinea</x:v>
      </x:c>
      <x:c r="AO94" s="2" t="str">
        <x:v>China; India; Japan; Chile; Democratic Republic of the Congo; Indonesia; Malaysia; Russia</x:v>
      </x:c>
      <x:c r="AP94" s="2" t="str">
        <x:v>Solar cooling and hybrid systems with heating and hot water: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4" s="2" t="str">
        <x:v>2024–2025</x:v>
      </x:c>
      <x:c r="AR94" s="2" t="str">
        <x:v>https://pubs.usgs.gov/periodicals/mcs2026/mcs2026.pdf</x:v>
      </x:c>
    </x:row>
    <x:row r="95" ht="240" customHeight="1">
      <x:c r="A95" s="2" t="str">
        <x:v>MIT-0088</x:v>
      </x:c>
      <x:c r="B95" s="2" t="str">
        <x:v>Mitigation</x:v>
      </x:c>
      <x:c r="C95" s="2" t="str">
        <x:v>Renewable energy</x:v>
      </x:c>
      <x:c r="D95" s="2" t="str">
        <x:v>Solar</x:v>
      </x:c>
      <x:c r="E95" s="2" t="str">
        <x:v>Solar towers (updraft)</x:v>
      </x:c>
      <x:c r="F95" s="2" t="str">
        <x:v>Solar towers (updraft)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towers (updraft)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5" s="2" t="str">
        <x:v>Mixed: adaptable design, site-specific implementation</x:v>
      </x:c>
      <x:c r="H95" s="2" t="str">
        <x:v>Solar towers (updraft) is adaptable in capacity and configuration but site-specific in final engineering. Its principle remains the same, but resource quality, climate, scale, interfaces and safety constraints must be recalculated for each deployment.</x:v>
      </x:c>
      <x:c r="I95" s="2" t="str">
        <x:v>Primarily hard, with a soft component</x:v>
      </x:c>
      <x:c r="J95" s="2" t="str">
        <x:v>Solar towers (updraft)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5" s="2" t="str">
        <x:v>Equipment and operation</x:v>
      </x:c>
      <x:c r="L95" s="2" t="str">
        <x:v>Solar towers (updraft) is embodied mainly as an equipment-and-operation system. The deliverable is accepted only when measurable service, quality, safety and climate-performance criteria are met under real conditions.</x:v>
      </x:c>
      <x:c r="M95" s="2" t="str">
        <x:v>Yes, subject to life-cycle safeguards</x:v>
      </x:c>
      <x:c r="N95" s="2" t="str">
        <x:v>Solar towers (updraft)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5" s="2" t="str">
        <x:v>Solar towers (updraft): resource collector or prime mover, generator or heat exchanger, support structure, power conversion, protection, metering and connection equipment.</x:v>
      </x:c>
      <x:c r="P95" s="2" t="str">
        <x:v>Solar towers (updraft): resource assessment, energy-yield modelling, forecasting, maximum-power or process control, dispatch, condition monitoring and maintenance planning.</x:v>
      </x:c>
      <x:c r="Q95" s="2" t="str">
        <x:v>Solar towers (updraft): resource and land or sea rights, environmental licensing, grid code, safety, community participation, revenue contract and decommissioning plan.</x:v>
      </x:c>
      <x:c r="R95" s="2" t="str">
        <x:v>Solar towers (updraft): foundations, access, electrical or thermal network, substation, control and communications, drainage and construction or marine logistics.</x:v>
      </x:c>
      <x:c r="S95" s="2" t="str">
        <x:v>Solar towers (updraft): the renewable resource is the primary input; auxiliary electricity, start-up fuel, pumping or thermal energy may be required depending on the design.</x:v>
      </x:c>
      <x:c r="T95" s="2" t="str">
        <x:v>Solar towers (updraft): steel, concrete, copper, aluminium, polymers, glass and technology-specific materials such as silicon, magnets, coatings, catalysts or working fluids.</x:v>
      </x:c>
      <x:c r="U95" s="2" t="str">
        <x:v>Solar towers (updraft): bearings, seals, filters, lubricants, sensors, converter parts, cables, fasteners, coatings and replaceable collector or heat-exchanger components.</x:v>
      </x:c>
      <x:c r="V95" s="2" t="str">
        <x:v>https://www.ctc-n.org/sites/default/files/resources/ctcn_taxonomy_0.pdf</x:v>
      </x:c>
      <x:c r="W95" s="2" t="str">
        <x:v>https://institutoagricoladepueblobello.edu.co/colegiapp/archivostemas/GUIA%209.%5B25%5D.pdf</x:v>
      </x:c>
      <x:c r="X95" s="2" t="str">
        <x:v>https://iiasa.ac.at/what-is-technology</x:v>
      </x:c>
      <x:c r="Y95" s="2" t="str">
        <x:v>https://www.ipcc.ch/report/ar6/wg3/chapter/chapter-6/; https://www.iea.org/data-and-statistics/data-tools/etp-clean-energy-technology-guide</x:v>
      </x:c>
      <x:c r="Z95" s="2" t="str">
        <x:v>Technology-specific analytical synthesis. The CTCN hierarchy is retained; classifications and component dependencies require validation against the selected design, site and supplier documentation before investment or policy use.</x:v>
      </x:c>
      <x:c r="AA95" s="2" t="str">
        <x:v>Physical deployment of Solar towers (updraft) requires foundations, access, electrical or thermal network, substation, control and communications, drainage and construction or marine logistics; interfaces, foundations, access and environmental protection are sized to the specific resource and design load.</x:v>
      </x:c>
      <x:c r="AB95" s="2" t="str">
        <x:v>For Solar towers (updraft),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5" s="2" t="str">
        <x:v>Construction and operation use steel, concrete, copper, aluminium, polymers, glass and technology-specific materials such as silicon, magnets, coatings, catalysts or working fluids. For Solar towers (updraft), specifications must include durability, compatibility, recycled content and recoverability.</x:v>
      </x:c>
      <x:c r="AD95" s="2" t="str">
        <x:v>Maintenance of Solar towers (updraft) depends on bearings, seals, filters, lubricants, sensors, converter parts, cables, fasteners, coatings and replaceable collector or heat-exchanger components; critical spares are selected from failure-mode, lead-time and safety analysis for its installed configuration.</x:v>
      </x:c>
      <x:c r="AE95" s="2" t="str">
        <x:v>The software stack for Solar towers (updraft) requires databases, secure communications, version-controlled models, computing, backup and interfaces with field or operational systems.</x:v>
      </x:c>
      <x:c r="AF95" s="2" t="str">
        <x:v>For Solar towers (updraft), software-related energy is electricity for sensing, computing, storage, communication and cooling; it is normally secondary but must be included for data-intensive or continuous services.</x:v>
      </x:c>
      <x:c r="AG95" s="2" t="str">
        <x:v>The non-physical inputs are calibrated data, metadata, algorithms, boundary conditions, emission or hazard factors, manuals and validation records specific to Solar towers (updraft).</x:v>
      </x:c>
      <x:c r="AH95" s="2" t="str">
        <x:v>Software continuity for Solar towers (updraft) requires licences where applicable, updates, cybersecurity patches, backups, calibration files, model validation and technical support.</x:v>
      </x:c>
      <x:c r="AI95" s="2" t="str">
        <x:v>Orgware depends on the institutions, laboratories, training providers, regulators, operators and community interfaces needed to govern Solar towers (updraft).</x:v>
      </x:c>
      <x:c r="AJ95" s="2" t="str">
        <x:v>The orgware supporting Solar towers (updraft) has mainly indirect energy use from offices, meetings, training and information systems; travel and field supervision may be material at dispersed sites.</x:v>
      </x:c>
      <x:c r="AK95" s="2" t="str">
        <x:v>Its organisational inputs are permits, budgets, trained staff, competence records, contracts, procedures, safeguards, monitoring evidence and stakeholder agreements tailored to Solar towers (updraft).</x:v>
      </x:c>
      <x:c r="AL95" s="2" t="str">
        <x:v>Sustained implementation of Solar towers (updraft) requires procurement and service contracts, audit protocols, training material, reporting templates, insurance or guarantees and periodic independent review.</x:v>
      </x:c>
      <x:c r="AM95" s="2" t="str">
        <x:v>Iron ore / steel inputs; Copper; Tin; Bauxite / aluminium</x:v>
      </x:c>
      <x:c r="AN95" s="2" t="str">
        <x:v>Australia; Brazil; China; Chile; Democratic Republic of the Congo; Peru; Indonesia; Myanmar; Guinea</x:v>
      </x:c>
      <x:c r="AO95" s="2" t="str">
        <x:v>China; India; Japan; Chile; Democratic Republic of the Congo; Indonesia; Malaysia; Russia</x:v>
      </x:c>
      <x:c r="AP95" s="2" t="str">
        <x:v>Solar towers (updraft):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5" s="2" t="str">
        <x:v>2024–2025</x:v>
      </x:c>
      <x:c r="AR95" s="2" t="str">
        <x:v>https://pubs.usgs.gov/periodicals/mcs2026/mcs2026.pdf</x:v>
      </x:c>
    </x:row>
    <x:row r="96" ht="240" customHeight="1">
      <x:c r="A96" s="2" t="str">
        <x:v>MIT-0089</x:v>
      </x:c>
      <x:c r="B96" s="2" t="str">
        <x:v>Mitigation</x:v>
      </x:c>
      <x:c r="C96" s="2" t="str">
        <x:v>Renewable energy</x:v>
      </x:c>
      <x:c r="D96" s="2" t="str">
        <x:v>Solar</x:v>
      </x:c>
      <x:c r="E96" s="2" t="str">
        <x:v>Solar water purification</x:v>
      </x:c>
      <x:c r="F96" s="2" t="str">
        <x:v>Solar water purification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water purification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6" s="2" t="str">
        <x:v>Mixed: adaptable design, site-specific implementation</x:v>
      </x:c>
      <x:c r="H96" s="2" t="str">
        <x:v>Solar water purification is adaptable in capacity and configuration but site-specific in final engineering. Its principle remains the same, but resource quality, climate, scale, interfaces and safety constraints must be recalculated for each deployment.</x:v>
      </x:c>
      <x:c r="I96" s="2" t="str">
        <x:v>Primarily hard, with a soft component</x:v>
      </x:c>
      <x:c r="J96" s="2" t="str">
        <x:v>Solar water purification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6" s="2" t="str">
        <x:v>Equipment and operation</x:v>
      </x:c>
      <x:c r="L96" s="2" t="str">
        <x:v>Solar water purification is embodied mainly as an equipment-and-operation system. The deliverable is accepted only when measurable service, quality, safety and climate-performance criteria are met under real conditions.</x:v>
      </x:c>
      <x:c r="M96" s="2" t="str">
        <x:v>Yes, subject to life-cycle safeguards</x:v>
      </x:c>
      <x:c r="N96" s="2" t="str">
        <x:v>Solar water purification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6" s="2" t="str">
        <x:v>Solar water purification: resource collector or prime mover, generator or heat exchanger, support structure, power conversion, protection, metering and connection equipment.</x:v>
      </x:c>
      <x:c r="P96" s="2" t="str">
        <x:v>Solar water purification: resource assessment, energy-yield modelling, forecasting, maximum-power or process control, dispatch, condition monitoring and maintenance planning.</x:v>
      </x:c>
      <x:c r="Q96" s="2" t="str">
        <x:v>Solar water purification: resource and land or sea rights, environmental licensing, grid code, safety, community participation, revenue contract and decommissioning plan.</x:v>
      </x:c>
      <x:c r="R96" s="2" t="str">
        <x:v>Solar water purification: foundations, access, electrical or thermal network, substation, control and communications, drainage and construction or marine logistics.</x:v>
      </x:c>
      <x:c r="S96" s="2" t="str">
        <x:v>Solar water purification: the renewable resource is the primary input; auxiliary electricity, start-up fuel, pumping or thermal energy may be required depending on the design.</x:v>
      </x:c>
      <x:c r="T96" s="2" t="str">
        <x:v>Solar water purification: steel, concrete, copper, aluminium, polymers, glass and technology-specific materials such as silicon, magnets, coatings, catalysts or working fluids.</x:v>
      </x:c>
      <x:c r="U96" s="2" t="str">
        <x:v>Solar water purification: bearings, seals, filters, lubricants, sensors, converter parts, cables, fasteners, coatings and replaceable collector or heat-exchanger components.</x:v>
      </x:c>
      <x:c r="V96" s="2" t="str">
        <x:v>https://www.ctc-n.org/sites/default/files/resources/ctcn_taxonomy_0.pdf</x:v>
      </x:c>
      <x:c r="W96" s="2" t="str">
        <x:v>https://institutoagricoladepueblobello.edu.co/colegiapp/archivostemas/GUIA%209.%5B25%5D.pdf</x:v>
      </x:c>
      <x:c r="X96" s="2" t="str">
        <x:v>https://iiasa.ac.at/what-is-technology</x:v>
      </x:c>
      <x:c r="Y96" s="2" t="str">
        <x:v>https://www.ipcc.ch/report/ar6/wg3/chapter/chapter-6/; https://www.iea.org/data-and-statistics/data-tools/etp-clean-energy-technology-guide</x:v>
      </x:c>
      <x:c r="Z96" s="2" t="str">
        <x:v>Technology-specific analytical synthesis. The CTCN hierarchy is retained; classifications and component dependencies require validation against the selected design, site and supplier documentation before investment or policy use.</x:v>
      </x:c>
      <x:c r="AA96" s="2" t="str">
        <x:v>Physical deployment of Solar water purification requires foundations, access, electrical or thermal network, substation, control and communications, drainage and construction or marine logistics; interfaces, foundations, access and environmental protection are sized to the specific resource and design load.</x:v>
      </x:c>
      <x:c r="AB96" s="2" t="str">
        <x:v>For Solar water purification,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6" s="2" t="str">
        <x:v>Construction and operation use steel, concrete, copper, aluminium, polymers, glass and technology-specific materials such as silicon, magnets, coatings, catalysts or working fluids. For Solar water purification, specifications must include durability, compatibility, recycled content and recoverability.</x:v>
      </x:c>
      <x:c r="AD96" s="2" t="str">
        <x:v>Maintenance of Solar water purification depends on bearings, seals, filters, lubricants, sensors, converter parts, cables, fasteners, coatings and replaceable collector or heat-exchanger components; critical spares are selected from failure-mode, lead-time and safety analysis for its installed configuration.</x:v>
      </x:c>
      <x:c r="AE96" s="2" t="str">
        <x:v>The software stack for Solar water purification requires databases, secure communications, version-controlled models, computing, backup and interfaces with field or operational systems.</x:v>
      </x:c>
      <x:c r="AF96" s="2" t="str">
        <x:v>For Solar water purification, software-related energy is electricity for sensing, computing, storage, communication and cooling; it is normally secondary but must be included for data-intensive or continuous services.</x:v>
      </x:c>
      <x:c r="AG96" s="2" t="str">
        <x:v>The non-physical inputs are calibrated data, metadata, algorithms, boundary conditions, emission or hazard factors, manuals and validation records specific to Solar water purification.</x:v>
      </x:c>
      <x:c r="AH96" s="2" t="str">
        <x:v>Software continuity for Solar water purification requires licences where applicable, updates, cybersecurity patches, backups, calibration files, model validation and technical support.</x:v>
      </x:c>
      <x:c r="AI96" s="2" t="str">
        <x:v>Orgware depends on the institutions, laboratories, training providers, regulators, operators and community interfaces needed to govern Solar water purification.</x:v>
      </x:c>
      <x:c r="AJ96" s="2" t="str">
        <x:v>The orgware supporting Solar water purification has mainly indirect energy use from offices, meetings, training and information systems; travel and field supervision may be material at dispersed sites.</x:v>
      </x:c>
      <x:c r="AK96" s="2" t="str">
        <x:v>Its organisational inputs are permits, budgets, trained staff, competence records, contracts, procedures, safeguards, monitoring evidence and stakeholder agreements tailored to Solar water purification.</x:v>
      </x:c>
      <x:c r="AL96" s="2" t="str">
        <x:v>Sustained implementation of Solar water purification requires procurement and service contracts, audit protocols, training material, reporting templates, insurance or guarantees and periodic independent review.</x:v>
      </x:c>
      <x:c r="AM96" s="2" t="str">
        <x:v>Iron ore / steel inputs; Copper; Tin; Bauxite / aluminium</x:v>
      </x:c>
      <x:c r="AN96" s="2" t="str">
        <x:v>Australia; Brazil; China; Chile; Democratic Republic of the Congo; Peru; Indonesia; Myanmar; Guinea</x:v>
      </x:c>
      <x:c r="AO96" s="2" t="str">
        <x:v>China; India; Japan; Chile; Democratic Republic of the Congo; Indonesia; Malaysia; Russia</x:v>
      </x:c>
      <x:c r="AP96" s="2" t="str">
        <x:v>Solar water purification: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6" s="2" t="str">
        <x:v>2024–2025</x:v>
      </x:c>
      <x:c r="AR96" s="2" t="str">
        <x:v>https://pubs.usgs.gov/periodicals/mcs2026/mcs2026.pdf</x:v>
      </x:c>
    </x:row>
    <x:row r="97" ht="240" customHeight="1">
      <x:c r="A97" s="2" t="str">
        <x:v>MIT-0090</x:v>
      </x:c>
      <x:c r="B97" s="2" t="str">
        <x:v>Mitigation</x:v>
      </x:c>
      <x:c r="C97" s="2" t="str">
        <x:v>Renewable energy</x:v>
      </x:c>
      <x:c r="D97" s="2" t="str">
        <x:v>Solar</x:v>
      </x:c>
      <x:c r="E97" s="2" t="str">
        <x:v>Building-integrated PV</x:v>
      </x:c>
      <x:c r="F97" s="2" t="str">
        <x:v>Building-integrated PV is a mitigation technology in the Renewable energy sector and the Solar technology group. It is defined as a combined hardware–software–orgware system that reduces thermal, electrical or water demand through passive design, efficient equipment, controls and low-impact materials. Semiconductor junctions convert incident photons directly into direct current; modules, inverters and protection equipment condition and deliver the electricity to a load, battery or grid.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97" s="2" t="str">
        <x:v>Mixed: adaptable design, site-specific implementation</x:v>
      </x:c>
      <x:c r="H97" s="2" t="str">
        <x:v>Building-integrated PV is adaptable in capacity and configuration but site-specific in final engineering. Its principle remains the same, but resource quality, climate, scale, interfaces and safety constraints must be recalculated for each deployment.</x:v>
      </x:c>
      <x:c r="I97" s="2" t="str">
        <x:v>Primarily hard, with a soft component</x:v>
      </x:c>
      <x:c r="J97" s="2" t="str">
        <x:v>Building-integrated PV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97" s="2" t="str">
        <x:v>Equipment and operation</x:v>
      </x:c>
      <x:c r="L97" s="2" t="str">
        <x:v>Building-integrated PV is embodied mainly as an equipment-and-operation system. The deliverable is accepted only when measurable service, quality, safety and climate-performance criteria are met under real conditions.</x:v>
      </x:c>
      <x:c r="M97" s="2" t="str">
        <x:v>Yes, subject to life-cycle safeguards</x:v>
      </x:c>
      <x:c r="N97" s="2" t="str">
        <x:v>Building-integrated PV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97" s="2" t="str">
        <x:v>Building-integrated PV: envelope assemblies, efficient equipment, sensors, actuators, meters and distribution systems.</x:v>
      </x:c>
      <x:c r="P97" s="2" t="str">
        <x:v>Building-integrated PV: energy simulation, load calculation, control sequences, commissioning data and building management.</x:v>
      </x:c>
      <x:c r="Q97" s="2" t="str">
        <x:v>Building-integrated PV: building codes, performance standards, procurement, commissioning, maintenance plans and occupant guidance.</x:v>
      </x:c>
      <x:c r="R97" s="2" t="str">
        <x:v>Building-integrated PV: building fabric, plant rooms, electrical and water networks, access for maintenance and metering.</x:v>
      </x:c>
      <x:c r="S97" s="2" t="str">
        <x:v>Building-integrated PV: electricity and thermal energy; peak demand, part-load efficiency and controls determine actual savings.</x:v>
      </x:c>
      <x:c r="T97" s="2" t="str">
        <x:v>Building-integrated PV: insulation, glass, concrete, steel, timber, aluminium, copper, refrigerants and electronic components as applicable.</x:v>
      </x:c>
      <x:c r="U97" s="2" t="str">
        <x:v>Building-integrated PV: filters, belts, seals, lamps or drivers, sensors, actuators, valves, control modules and envelope repair materials.</x:v>
      </x:c>
      <x:c r="V97" s="2" t="str">
        <x:v>https://www.ctc-n.org/sites/default/files/resources/ctcn_taxonomy_0.pdf</x:v>
      </x:c>
      <x:c r="W97" s="2" t="str">
        <x:v>https://institutoagricoladepueblobello.edu.co/colegiapp/archivostemas/GUIA%209.%5B25%5D.pdf</x:v>
      </x:c>
      <x:c r="X97" s="2" t="str">
        <x:v>https://iiasa.ac.at/what-is-technology</x:v>
      </x:c>
      <x:c r="Y97" s="2" t="str">
        <x:v>https://www.ipcc.ch/report/ar6/wg3/chapter/chapter-6/; https://www.ipcc.ch/report/ar6/wg3/chapter/chapter-9/</x:v>
      </x:c>
      <x:c r="Z97" s="2" t="str">
        <x:v>Technology-specific analytical synthesis. The CTCN hierarchy is retained; classifications and component dependencies require validation against the selected design, site and supplier documentation before investment or policy use.</x:v>
      </x:c>
      <x:c r="AA97" s="2" t="str">
        <x:v>Physical deployment of Building-integrated PV requires building fabric, plant rooms, electrical and water networks, access for maintenance and metering; interfaces, foundations, access and environmental protection are sized to the specific resource and design load.</x:v>
      </x:c>
      <x:c r="AB97" s="2" t="str">
        <x:v>For Building-integrated PV, the hardware energy balance comprises electricity and thermal energy; peak demand, part-load efficiency and controls determine actual savings; metering must separate useful output, conversion losses and auxiliaries for the selected design.</x:v>
      </x:c>
      <x:c r="AC97" s="2" t="str">
        <x:v>Construction and operation use insulation, glass, concrete, steel, timber, aluminium, copper, refrigerants and electronic components as applicable. For Building-integrated PV, specifications must include durability, compatibility, recycled content and recoverability.</x:v>
      </x:c>
      <x:c r="AD97" s="2" t="str">
        <x:v>Maintenance of Building-integrated PV depends on filters, belts, seals, lamps or drivers, sensors, actuators, valves, control modules and envelope repair materials; critical spares are selected from failure-mode, lead-time and safety analysis for its installed configuration.</x:v>
      </x:c>
      <x:c r="AE97" s="2" t="str">
        <x:v>The software stack for Building-integrated PV requires databases, secure communications, version-controlled models, computing, backup and interfaces with field or operational systems.</x:v>
      </x:c>
      <x:c r="AF97" s="2" t="str">
        <x:v>For Building-integrated PV, software-related energy is electricity for sensing, computing, storage, communication and cooling; it is normally secondary but must be included for data-intensive or continuous services.</x:v>
      </x:c>
      <x:c r="AG97" s="2" t="str">
        <x:v>The non-physical inputs are calibrated data, metadata, algorithms, boundary conditions, emission or hazard factors, manuals and validation records specific to Building-integrated PV.</x:v>
      </x:c>
      <x:c r="AH97" s="2" t="str">
        <x:v>Software continuity for Building-integrated PV requires licences where applicable, updates, cybersecurity patches, backups, calibration files, model validation and technical support.</x:v>
      </x:c>
      <x:c r="AI97" s="2" t="str">
        <x:v>Orgware depends on the institutions, laboratories, training providers, regulators, operators and community interfaces needed to govern Building-integrated PV.</x:v>
      </x:c>
      <x:c r="AJ97" s="2" t="str">
        <x:v>The orgware supporting Building-integrated PV has mainly indirect energy use from offices, meetings, training and information systems; travel and field supervision may be material at dispersed sites.</x:v>
      </x:c>
      <x:c r="AK97" s="2" t="str">
        <x:v>Its organisational inputs are permits, budgets, trained staff, competence records, contracts, procedures, safeguards, monitoring evidence and stakeholder agreements tailored to Building-integrated PV.</x:v>
      </x:c>
      <x:c r="AL97" s="2" t="str">
        <x:v>Sustained implementation of Building-integrated PV requires procurement and service contracts, audit protocols, training material, reporting templates, insurance or guarantees and periodic independent review.</x:v>
      </x:c>
      <x:c r="AM97" s="2" t="str">
        <x:v>Iron ore / steel inputs; Copper; Tin; Silicon metal / polysilicon; Silver; Bauxite / aluminium; Limestone / cement raw materials</x:v>
      </x:c>
      <x:c r="AN97" s="2" t="str">
        <x:v>Australia; Brazil; China; Chile; Democratic Republic of the Congo; Peru; Indonesia; Myanmar; Norway; Mexico; Guinea; India; Vietnam</x:v>
      </x:c>
      <x:c r="AO97" s="2" t="str">
        <x:v>China; India; Japan; Chile; Democratic Republic of the Congo; Indonesia; Malaysia; Germany; Mexico; Peru; Russia; Vietnam</x:v>
      </x:c>
      <x:c r="AP97" s="2" t="str">
        <x:v>Building-integrated PV: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7" s="2" t="str">
        <x:v>2024–2025</x:v>
      </x:c>
      <x:c r="AR97" s="2" t="str">
        <x:v>https://pubs.usgs.gov/periodicals/mcs2026/mcs2026.pdf</x:v>
      </x:c>
    </x:row>
    <x:row r="98" ht="240" customHeight="1">
      <x:c r="A98" s="2" t="str">
        <x:v>MIT-0091</x:v>
      </x:c>
      <x:c r="B98" s="2" t="str">
        <x:v>Mitigation</x:v>
      </x:c>
      <x:c r="C98" s="2" t="str">
        <x:v>Renewable energy</x:v>
      </x:c>
      <x:c r="D98" s="2" t="str">
        <x:v>Solar</x:v>
      </x:c>
      <x:c r="E98" s="2" t="str">
        <x:v>Solar water pumps</x:v>
      </x:c>
      <x:c r="F98" s="2" t="str">
        <x:v>Solar water pumps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water pumps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8" s="2" t="str">
        <x:v>Mixed: adaptable design, site-specific implementation</x:v>
      </x:c>
      <x:c r="H98" s="2" t="str">
        <x:v>Solar water pumps is adaptable in capacity and configuration but site-specific in final engineering. Its principle remains the same, but resource quality, climate, scale, interfaces and safety constraints must be recalculated for each deployment.</x:v>
      </x:c>
      <x:c r="I98" s="2" t="str">
        <x:v>Primarily hard, with a soft component</x:v>
      </x:c>
      <x:c r="J98" s="2" t="str">
        <x:v>Solar water pumps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8" s="2" t="str">
        <x:v>Equipment and operation</x:v>
      </x:c>
      <x:c r="L98" s="2" t="str">
        <x:v>Solar water pumps is embodied mainly as an equipment-and-operation system. The deliverable is accepted only when measurable service, quality, safety and climate-performance criteria are met under real conditions.</x:v>
      </x:c>
      <x:c r="M98" s="2" t="str">
        <x:v>Yes, subject to life-cycle safeguards</x:v>
      </x:c>
      <x:c r="N98" s="2" t="str">
        <x:v>Solar water pumps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8" s="2" t="str">
        <x:v>Solar water pumps: resource collector or prime mover, generator or heat exchanger, support structure, power conversion, protection, metering and connection equipment.</x:v>
      </x:c>
      <x:c r="P98" s="2" t="str">
        <x:v>Solar water pumps: resource assessment, energy-yield modelling, forecasting, maximum-power or process control, dispatch, condition monitoring and maintenance planning.</x:v>
      </x:c>
      <x:c r="Q98" s="2" t="str">
        <x:v>Solar water pumps: resource and land or sea rights, environmental licensing, grid code, safety, community participation, revenue contract and decommissioning plan.</x:v>
      </x:c>
      <x:c r="R98" s="2" t="str">
        <x:v>Solar water pumps: foundations, access, electrical or thermal network, substation, control and communications, drainage and construction or marine logistics.</x:v>
      </x:c>
      <x:c r="S98" s="2" t="str">
        <x:v>Solar water pumps: the renewable resource is the primary input; auxiliary electricity, start-up fuel, pumping or thermal energy may be required depending on the design.</x:v>
      </x:c>
      <x:c r="T98" s="2" t="str">
        <x:v>Solar water pumps: steel, concrete, copper, aluminium, polymers, glass and technology-specific materials such as silicon, magnets, coatings, catalysts or working fluids.</x:v>
      </x:c>
      <x:c r="U98" s="2" t="str">
        <x:v>Solar water pumps: bearings, seals, filters, lubricants, sensors, converter parts, cables, fasteners, coatings and replaceable collector or heat-exchanger components.</x:v>
      </x:c>
      <x:c r="V98" s="2" t="str">
        <x:v>https://www.ctc-n.org/sites/default/files/resources/ctcn_taxonomy_0.pdf</x:v>
      </x:c>
      <x:c r="W98" s="2" t="str">
        <x:v>https://institutoagricoladepueblobello.edu.co/colegiapp/archivostemas/GUIA%209.%5B25%5D.pdf</x:v>
      </x:c>
      <x:c r="X98" s="2" t="str">
        <x:v>https://iiasa.ac.at/what-is-technology</x:v>
      </x:c>
      <x:c r="Y98" s="2" t="str">
        <x:v>https://www.ipcc.ch/report/ar6/wg3/chapter/chapter-6/; https://www.iea.org/data-and-statistics/data-tools/etp-clean-energy-technology-guide</x:v>
      </x:c>
      <x:c r="Z98" s="2" t="str">
        <x:v>Technology-specific analytical synthesis. The CTCN hierarchy is retained; classifications and component dependencies require validation against the selected design, site and supplier documentation before investment or policy use.</x:v>
      </x:c>
      <x:c r="AA98" s="2" t="str">
        <x:v>Physical deployment of Solar water pumps requires foundations, access, electrical or thermal network, substation, control and communications, drainage and construction or marine logistics; interfaces, foundations, access and environmental protection are sized to the specific resource and design load.</x:v>
      </x:c>
      <x:c r="AB98" s="2" t="str">
        <x:v>For Solar water pumps,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8" s="2" t="str">
        <x:v>Construction and operation use steel, concrete, copper, aluminium, polymers, glass and technology-specific materials such as silicon, magnets, coatings, catalysts or working fluids. For Solar water pumps, specifications must include durability, compatibility, recycled content and recoverability.</x:v>
      </x:c>
      <x:c r="AD98" s="2" t="str">
        <x:v>Maintenance of Solar water pumps depends on bearings, seals, filters, lubricants, sensors, converter parts, cables, fasteners, coatings and replaceable collector or heat-exchanger components; critical spares are selected from failure-mode, lead-time and safety analysis for its installed configuration.</x:v>
      </x:c>
      <x:c r="AE98" s="2" t="str">
        <x:v>The software stack for Solar water pumps requires databases, secure communications, version-controlled models, computing, backup and interfaces with field or operational systems.</x:v>
      </x:c>
      <x:c r="AF98" s="2" t="str">
        <x:v>For Solar water pumps, software-related energy is electricity for sensing, computing, storage, communication and cooling; it is normally secondary but must be included for data-intensive or continuous services.</x:v>
      </x:c>
      <x:c r="AG98" s="2" t="str">
        <x:v>The non-physical inputs are calibrated data, metadata, algorithms, boundary conditions, emission or hazard factors, manuals and validation records specific to Solar water pumps.</x:v>
      </x:c>
      <x:c r="AH98" s="2" t="str">
        <x:v>Software continuity for Solar water pumps requires licences where applicable, updates, cybersecurity patches, backups, calibration files, model validation and technical support.</x:v>
      </x:c>
      <x:c r="AI98" s="2" t="str">
        <x:v>Orgware depends on the institutions, laboratories, training providers, regulators, operators and community interfaces needed to govern Solar water pumps.</x:v>
      </x:c>
      <x:c r="AJ98" s="2" t="str">
        <x:v>The orgware supporting Solar water pumps has mainly indirect energy use from offices, meetings, training and information systems; travel and field supervision may be material at dispersed sites.</x:v>
      </x:c>
      <x:c r="AK98" s="2" t="str">
        <x:v>Its organisational inputs are permits, budgets, trained staff, competence records, contracts, procedures, safeguards, monitoring evidence and stakeholder agreements tailored to Solar water pumps.</x:v>
      </x:c>
      <x:c r="AL98" s="2" t="str">
        <x:v>Sustained implementation of Solar water pumps requires procurement and service contracts, audit protocols, training material, reporting templates, insurance or guarantees and periodic independent review.</x:v>
      </x:c>
      <x:c r="AM98" s="2" t="str">
        <x:v>Iron ore / steel inputs; Copper; Tin; Bauxite / aluminium</x:v>
      </x:c>
      <x:c r="AN98" s="2" t="str">
        <x:v>Australia; Brazil; China; Chile; Democratic Republic of the Congo; Peru; Indonesia; Myanmar; Guinea</x:v>
      </x:c>
      <x:c r="AO98" s="2" t="str">
        <x:v>China; India; Japan; Chile; Democratic Republic of the Congo; Indonesia; Malaysia; Russia</x:v>
      </x:c>
      <x:c r="AP98" s="2" t="str">
        <x:v>Solar water pumps: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8" s="2" t="str">
        <x:v>2024–2025</x:v>
      </x:c>
      <x:c r="AR98" s="2" t="str">
        <x:v>https://pubs.usgs.gov/periodicals/mcs2026/mcs2026.pdf</x:v>
      </x:c>
    </x:row>
    <x:row r="99" ht="240" customHeight="1">
      <x:c r="A99" s="2" t="str">
        <x:v>MIT-0092</x:v>
      </x:c>
      <x:c r="B99" s="2" t="str">
        <x:v>Mitigation</x:v>
      </x:c>
      <x:c r="C99" s="2" t="str">
        <x:v>Renewable energy</x:v>
      </x:c>
      <x:c r="D99" s="2" t="str">
        <x:v>Solar</x:v>
      </x:c>
      <x:c r="E99" s="2" t="str">
        <x:v>Solar heating</x:v>
      </x:c>
      <x:c r="F99" s="2" t="str">
        <x:v>Solar heating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9" s="2" t="str">
        <x:v>Mixed: adaptable design, site-specific implementation</x:v>
      </x:c>
      <x:c r="H99" s="2" t="str">
        <x:v>Solar heating is adaptable in capacity and configuration but site-specific in final engineering. Its principle remains the same, but resource quality, climate, scale, interfaces and safety constraints must be recalculated for each deployment.</x:v>
      </x:c>
      <x:c r="I99" s="2" t="str">
        <x:v>Primarily hard, with a soft component</x:v>
      </x:c>
      <x:c r="J99" s="2" t="str">
        <x:v>Solar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9" s="2" t="str">
        <x:v>Equipment and operation</x:v>
      </x:c>
      <x:c r="L99" s="2" t="str">
        <x:v>Solar heating is embodied mainly as an equipment-and-operation system. The deliverable is accepted only when measurable service, quality, safety and climate-performance criteria are met under real conditions.</x:v>
      </x:c>
      <x:c r="M99" s="2" t="str">
        <x:v>Yes, subject to life-cycle safeguards</x:v>
      </x:c>
      <x:c r="N99" s="2" t="str">
        <x:v>Solar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9" s="2" t="str">
        <x:v>Solar heating: resource collector or prime mover, generator or heat exchanger, support structure, power conversion, protection, metering and connection equipment.</x:v>
      </x:c>
      <x:c r="P99" s="2" t="str">
        <x:v>Solar heating: resource assessment, energy-yield modelling, forecasting, maximum-power or process control, dispatch, condition monitoring and maintenance planning.</x:v>
      </x:c>
      <x:c r="Q99" s="2" t="str">
        <x:v>Solar heating: resource and land or sea rights, environmental licensing, grid code, safety, community participation, revenue contract and decommissioning plan.</x:v>
      </x:c>
      <x:c r="R99" s="2" t="str">
        <x:v>Solar heating: foundations, access, electrical or thermal network, substation, control and communications, drainage and construction or marine logistics.</x:v>
      </x:c>
      <x:c r="S99" s="2" t="str">
        <x:v>Solar heating: the renewable resource is the primary input; auxiliary electricity, start-up fuel, pumping or thermal energy may be required depending on the design.</x:v>
      </x:c>
      <x:c r="T99" s="2" t="str">
        <x:v>Solar heating: steel, concrete, copper, aluminium, polymers, glass and technology-specific materials such as silicon, magnets, coatings, catalysts or working fluids.</x:v>
      </x:c>
      <x:c r="U99" s="2" t="str">
        <x:v>Solar heating: bearings, seals, filters, lubricants, sensors, converter parts, cables, fasteners, coatings and replaceable collector or heat-exchanger components.</x:v>
      </x:c>
      <x:c r="V99" s="2" t="str">
        <x:v>https://www.ctc-n.org/sites/default/files/resources/ctcn_taxonomy_0.pdf</x:v>
      </x:c>
      <x:c r="W99" s="2" t="str">
        <x:v>https://institutoagricoladepueblobello.edu.co/colegiapp/archivostemas/GUIA%209.%5B25%5D.pdf</x:v>
      </x:c>
      <x:c r="X99" s="2" t="str">
        <x:v>https://iiasa.ac.at/what-is-technology</x:v>
      </x:c>
      <x:c r="Y99" s="2" t="str">
        <x:v>https://www.ipcc.ch/report/ar6/wg3/chapter/chapter-6/; https://www.iea.org/data-and-statistics/data-tools/etp-clean-energy-technology-guide</x:v>
      </x:c>
      <x:c r="Z99" s="2" t="str">
        <x:v>Technology-specific analytical synthesis. The CTCN hierarchy is retained; classifications and component dependencies require validation against the selected design, site and supplier documentation before investment or policy use.</x:v>
      </x:c>
      <x:c r="AA99" s="2" t="str">
        <x:v>Physical deployment of Solar heating requires foundations, access, electrical or thermal network, substation, control and communications, drainage and construction or marine logistics; interfaces, foundations, access and environmental protection are sized to the specific resource and design load.</x:v>
      </x:c>
      <x:c r="AB99" s="2" t="str">
        <x:v>For Solar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9" s="2" t="str">
        <x:v>Construction and operation use steel, concrete, copper, aluminium, polymers, glass and technology-specific materials such as silicon, magnets, coatings, catalysts or working fluids. For Solar heating, specifications must include durability, compatibility, recycled content and recoverability.</x:v>
      </x:c>
      <x:c r="AD99" s="2" t="str">
        <x:v>Maintenance of Solar heating depends on bearings, seals, filters, lubricants, sensors, converter parts, cables, fasteners, coatings and replaceable collector or heat-exchanger components; critical spares are selected from failure-mode, lead-time and safety analysis for its installed configuration.</x:v>
      </x:c>
      <x:c r="AE99" s="2" t="str">
        <x:v>The software stack for Solar heating requires databases, secure communications, version-controlled models, computing, backup and interfaces with field or operational systems.</x:v>
      </x:c>
      <x:c r="AF99" s="2" t="str">
        <x:v>For Solar heating, software-related energy is electricity for sensing, computing, storage, communication and cooling; it is normally secondary but must be included for data-intensive or continuous services.</x:v>
      </x:c>
      <x:c r="AG99" s="2" t="str">
        <x:v>The non-physical inputs are calibrated data, metadata, algorithms, boundary conditions, emission or hazard factors, manuals and validation records specific to Solar heating.</x:v>
      </x:c>
      <x:c r="AH99" s="2" t="str">
        <x:v>Software continuity for Solar heating requires licences where applicable, updates, cybersecurity patches, backups, calibration files, model validation and technical support.</x:v>
      </x:c>
      <x:c r="AI99" s="2" t="str">
        <x:v>Orgware depends on the institutions, laboratories, training providers, regulators, operators and community interfaces needed to govern Solar heating.</x:v>
      </x:c>
      <x:c r="AJ99" s="2" t="str">
        <x:v>The orgware supporting Solar heating has mainly indirect energy use from offices, meetings, training and information systems; travel and field supervision may be material at dispersed sites.</x:v>
      </x:c>
      <x:c r="AK99" s="2" t="str">
        <x:v>Its organisational inputs are permits, budgets, trained staff, competence records, contracts, procedures, safeguards, monitoring evidence and stakeholder agreements tailored to Solar heating.</x:v>
      </x:c>
      <x:c r="AL99" s="2" t="str">
        <x:v>Sustained implementation of Solar heating requires procurement and service contracts, audit protocols, training material, reporting templates, insurance or guarantees and periodic independent review.</x:v>
      </x:c>
      <x:c r="AM99" s="2" t="str">
        <x:v>Iron ore / steel inputs; Copper; Tin; Bauxite / aluminium</x:v>
      </x:c>
      <x:c r="AN99" s="2" t="str">
        <x:v>Australia; Brazil; China; Chile; Democratic Republic of the Congo; Peru; Indonesia; Myanmar; Guinea</x:v>
      </x:c>
      <x:c r="AO99" s="2" t="str">
        <x:v>China; India; Japan; Chile; Democratic Republic of the Congo; Indonesia; Malaysia; Russia</x:v>
      </x:c>
      <x:c r="AP99" s="2" t="str">
        <x:v>Solar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9" s="2" t="str">
        <x:v>2024–2025</x:v>
      </x:c>
      <x:c r="AR99" s="2" t="str">
        <x:v>https://pubs.usgs.gov/periodicals/mcs2026/mcs2026.pdf</x:v>
      </x:c>
    </x:row>
    <x:row r="100" ht="240" customHeight="1">
      <x:c r="A100" s="2" t="str">
        <x:v>MIT-0093</x:v>
      </x:c>
      <x:c r="B100" s="2" t="str">
        <x:v>Mitigation</x:v>
      </x:c>
      <x:c r="C100" s="2" t="str">
        <x:v>Renewable energy</x:v>
      </x:c>
      <x:c r="D100" s="2" t="str">
        <x:v>Solar</x:v>
      </x:c>
      <x:c r="E100" s="2" t="str">
        <x:v>Solar lamps</x:v>
      </x:c>
      <x:c r="F100" s="2" t="str">
        <x:v>Solar lamps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lamps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0" s="2" t="str">
        <x:v>Mixed: adaptable design, site-specific implementation</x:v>
      </x:c>
      <x:c r="H100" s="2" t="str">
        <x:v>Solar lamps is adaptable in capacity and configuration but site-specific in final engineering. Its principle remains the same, but resource quality, climate, scale, interfaces and safety constraints must be recalculated for each deployment.</x:v>
      </x:c>
      <x:c r="I100" s="2" t="str">
        <x:v>Primarily hard, with a soft component</x:v>
      </x:c>
      <x:c r="J100" s="2" t="str">
        <x:v>Solar lamps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0" s="2" t="str">
        <x:v>Equipment and operation</x:v>
      </x:c>
      <x:c r="L100" s="2" t="str">
        <x:v>Solar lamps is embodied mainly as an equipment-and-operation system. The deliverable is accepted only when measurable service, quality, safety and climate-performance criteria are met under real conditions.</x:v>
      </x:c>
      <x:c r="M100" s="2" t="str">
        <x:v>Yes, subject to life-cycle safeguards</x:v>
      </x:c>
      <x:c r="N100" s="2" t="str">
        <x:v>Solar lamps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0" s="2" t="str">
        <x:v>Solar lamps: resource collector or prime mover, generator or heat exchanger, support structure, power conversion, protection, metering and connection equipment.</x:v>
      </x:c>
      <x:c r="P100" s="2" t="str">
        <x:v>Solar lamps: resource assessment, energy-yield modelling, forecasting, maximum-power or process control, dispatch, condition monitoring and maintenance planning.</x:v>
      </x:c>
      <x:c r="Q100" s="2" t="str">
        <x:v>Solar lamps: resource and land or sea rights, environmental licensing, grid code, safety, community participation, revenue contract and decommissioning plan.</x:v>
      </x:c>
      <x:c r="R100" s="2" t="str">
        <x:v>Solar lamps: foundations, access, electrical or thermal network, substation, control and communications, drainage and construction or marine logistics.</x:v>
      </x:c>
      <x:c r="S100" s="2" t="str">
        <x:v>Solar lamps: the renewable resource is the primary input; auxiliary electricity, start-up fuel, pumping or thermal energy may be required depending on the design.</x:v>
      </x:c>
      <x:c r="T100" s="2" t="str">
        <x:v>Solar lamps: steel, concrete, copper, aluminium, polymers, glass and technology-specific materials such as silicon, magnets, coatings, catalysts or working fluids.</x:v>
      </x:c>
      <x:c r="U100" s="2" t="str">
        <x:v>Solar lamps: bearings, seals, filters, lubricants, sensors, converter parts, cables, fasteners, coatings and replaceable collector or heat-exchanger components.</x:v>
      </x:c>
      <x:c r="V100" s="2" t="str">
        <x:v>https://www.ctc-n.org/sites/default/files/resources/ctcn_taxonomy_0.pdf</x:v>
      </x:c>
      <x:c r="W100" s="2" t="str">
        <x:v>https://institutoagricoladepueblobello.edu.co/colegiapp/archivostemas/GUIA%209.%5B25%5D.pdf</x:v>
      </x:c>
      <x:c r="X100" s="2" t="str">
        <x:v>https://iiasa.ac.at/what-is-technology</x:v>
      </x:c>
      <x:c r="Y100" s="2" t="str">
        <x:v>https://www.ipcc.ch/report/ar6/wg3/chapter/chapter-6/; https://www.iea.org/data-and-statistics/data-tools/etp-clean-energy-technology-guide</x:v>
      </x:c>
      <x:c r="Z100" s="2" t="str">
        <x:v>Technology-specific analytical synthesis. The CTCN hierarchy is retained; classifications and component dependencies require validation against the selected design, site and supplier documentation before investment or policy use.</x:v>
      </x:c>
      <x:c r="AA100" s="2" t="str">
        <x:v>Physical deployment of Solar lamps requires foundations, access, electrical or thermal network, substation, control and communications, drainage and construction or marine logistics; interfaces, foundations, access and environmental protection are sized to the specific resource and design load.</x:v>
      </x:c>
      <x:c r="AB100" s="2" t="str">
        <x:v>For Solar lamps,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0" s="2" t="str">
        <x:v>Construction and operation use steel, concrete, copper, aluminium, polymers, glass and technology-specific materials such as silicon, magnets, coatings, catalysts or working fluids. For Solar lamps, specifications must include durability, compatibility, recycled content and recoverability.</x:v>
      </x:c>
      <x:c r="AD100" s="2" t="str">
        <x:v>Maintenance of Solar lamps depends on bearings, seals, filters, lubricants, sensors, converter parts, cables, fasteners, coatings and replaceable collector or heat-exchanger components; critical spares are selected from failure-mode, lead-time and safety analysis for its installed configuration.</x:v>
      </x:c>
      <x:c r="AE100" s="2" t="str">
        <x:v>The software stack for Solar lamps requires databases, secure communications, version-controlled models, computing, backup and interfaces with field or operational systems.</x:v>
      </x:c>
      <x:c r="AF100" s="2" t="str">
        <x:v>For Solar lamps, software-related energy is electricity for sensing, computing, storage, communication and cooling; it is normally secondary but must be included for data-intensive or continuous services.</x:v>
      </x:c>
      <x:c r="AG100" s="2" t="str">
        <x:v>The non-physical inputs are calibrated data, metadata, algorithms, boundary conditions, emission or hazard factors, manuals and validation records specific to Solar lamps.</x:v>
      </x:c>
      <x:c r="AH100" s="2" t="str">
        <x:v>Software continuity for Solar lamps requires licences where applicable, updates, cybersecurity patches, backups, calibration files, model validation and technical support.</x:v>
      </x:c>
      <x:c r="AI100" s="2" t="str">
        <x:v>Orgware depends on the institutions, laboratories, training providers, regulators, operators and community interfaces needed to govern Solar lamps.</x:v>
      </x:c>
      <x:c r="AJ100" s="2" t="str">
        <x:v>The orgware supporting Solar lamps has mainly indirect energy use from offices, meetings, training and information systems; travel and field supervision may be material at dispersed sites.</x:v>
      </x:c>
      <x:c r="AK100" s="2" t="str">
        <x:v>Its organisational inputs are permits, budgets, trained staff, competence records, contracts, procedures, safeguards, monitoring evidence and stakeholder agreements tailored to Solar lamps.</x:v>
      </x:c>
      <x:c r="AL100" s="2" t="str">
        <x:v>Sustained implementation of Solar lamps requires procurement and service contracts, audit protocols, training material, reporting templates, insurance or guarantees and periodic independent review.</x:v>
      </x:c>
      <x:c r="AM100" s="2" t="str">
        <x:v>Iron ore / steel inputs; Copper; Tin; Lithium; Nickel; Cobalt; Natural graphite; Manganese; Bauxite / aluminium</x:v>
      </x:c>
      <x:c r="AN100" s="2" t="str">
        <x:v>Australia; Brazil; China; Chile; Democratic Republic of the Congo; Peru; Indonesia; Myanmar; Philippines; Russia; Madagascar; Mozambique; South Africa; Gabon; Ghana; Guinea</x:v>
      </x:c>
      <x:c r="AO100" s="2" t="str">
        <x:v>China; India; Japan; Chile; Democratic Republic of the Congo; Indonesia; Malaysia; Argentina; Finland; Canada; South Korea; South Africa; Australia; Russia</x:v>
      </x:c>
      <x:c r="AP100" s="2" t="str">
        <x:v>Solar lamps: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0" s="2" t="str">
        <x:v>2024–2025</x:v>
      </x:c>
      <x:c r="AR100" s="2" t="str">
        <x:v>https://pubs.usgs.gov/periodicals/mcs2026/mcs2026.pdf; https://www.iea.org/reports/global-critical-minerals-outlook-2025</x:v>
      </x:c>
    </x:row>
    <x:row r="101" ht="240" customHeight="1">
      <x:c r="A101" s="2" t="str">
        <x:v>MIT-0094</x:v>
      </x:c>
      <x:c r="B101" s="2" t="str">
        <x:v>Mitigation</x:v>
      </x:c>
      <x:c r="C101" s="2" t="str">
        <x:v>Renewable energy</x:v>
      </x:c>
      <x:c r="D101" s="2" t="str">
        <x:v>Solar</x:v>
      </x:c>
      <x:c r="E101" s="2" t="str">
        <x:v>Solar PV</x:v>
      </x:c>
      <x:c r="F101" s="2" t="str">
        <x:v>Solar PV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Semiconductor junctions convert incident photons directly into direct current; modules, inverters and protection equipment condition and deliver the electricity to a load, battery or grid.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1" s="2" t="str">
        <x:v>Mixed: adaptable design, site-specific implementation</x:v>
      </x:c>
      <x:c r="H101" s="2" t="str">
        <x:v>Solar PV is adaptable in capacity and configuration but site-specific in final engineering. Its principle remains the same, but resource quality, climate, scale, interfaces and safety constraints must be recalculated for each deployment.</x:v>
      </x:c>
      <x:c r="I101" s="2" t="str">
        <x:v>Primarily hard, with a soft component</x:v>
      </x:c>
      <x:c r="J101" s="2" t="str">
        <x:v>Solar PV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1" s="2" t="str">
        <x:v>Equipment and operation</x:v>
      </x:c>
      <x:c r="L101" s="2" t="str">
        <x:v>Solar PV is embodied mainly as an equipment-and-operation system. The deliverable is accepted only when measurable service, quality, safety and climate-performance criteria are met under real conditions.</x:v>
      </x:c>
      <x:c r="M101" s="2" t="str">
        <x:v>Yes, subject to life-cycle safeguards</x:v>
      </x:c>
      <x:c r="N101" s="2" t="str">
        <x:v>Solar PV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1" s="2" t="str">
        <x:v>Solar PV: resource collector or prime mover, generator or heat exchanger, support structure, power conversion, protection, metering and connection equipment.</x:v>
      </x:c>
      <x:c r="P101" s="2" t="str">
        <x:v>Solar PV: resource assessment, energy-yield modelling, forecasting, maximum-power or process control, dispatch, condition monitoring and maintenance planning.</x:v>
      </x:c>
      <x:c r="Q101" s="2" t="str">
        <x:v>Solar PV: resource and land or sea rights, environmental licensing, grid code, safety, community participation, revenue contract and decommissioning plan.</x:v>
      </x:c>
      <x:c r="R101" s="2" t="str">
        <x:v>Solar PV: foundations, access, electrical or thermal network, substation, control and communications, drainage and construction or marine logistics.</x:v>
      </x:c>
      <x:c r="S101" s="2" t="str">
        <x:v>Solar PV: the renewable resource is the primary input; auxiliary electricity, start-up fuel, pumping or thermal energy may be required depending on the design.</x:v>
      </x:c>
      <x:c r="T101" s="2" t="str">
        <x:v>Solar PV: steel, concrete, copper, aluminium, polymers, glass and technology-specific materials such as silicon, magnets, coatings, catalysts or working fluids.</x:v>
      </x:c>
      <x:c r="U101" s="2" t="str">
        <x:v>Solar PV: bearings, seals, filters, lubricants, sensors, converter parts, cables, fasteners, coatings and replaceable collector or heat-exchanger components.</x:v>
      </x:c>
      <x:c r="V101" s="2" t="str">
        <x:v>https://www.ctc-n.org/sites/default/files/resources/ctcn_taxonomy_0.pdf</x:v>
      </x:c>
      <x:c r="W101" s="2" t="str">
        <x:v>https://institutoagricoladepueblobello.edu.co/colegiapp/archivostemas/GUIA%209.%5B25%5D.pdf</x:v>
      </x:c>
      <x:c r="X101" s="2" t="str">
        <x:v>https://iiasa.ac.at/what-is-technology</x:v>
      </x:c>
      <x:c r="Y101" s="2" t="str">
        <x:v>https://www.ipcc.ch/report/ar6/wg3/chapter/chapter-6/; https://www.iea.org/data-and-statistics/data-tools/etp-clean-energy-technology-guide</x:v>
      </x:c>
      <x:c r="Z101" s="2" t="str">
        <x:v>Technology-specific analytical synthesis. The CTCN hierarchy is retained; classifications and component dependencies require validation against the selected design, site and supplier documentation before investment or policy use.</x:v>
      </x:c>
      <x:c r="AA101" s="2" t="str">
        <x:v>Physical deployment of Solar PV requires foundations, access, electrical or thermal network, substation, control and communications, drainage and construction or marine logistics; interfaces, foundations, access and environmental protection are sized to the specific resource and design load.</x:v>
      </x:c>
      <x:c r="AB101" s="2" t="str">
        <x:v>For Solar PV,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1" s="2" t="str">
        <x:v>Construction and operation use steel, concrete, copper, aluminium, polymers, glass and technology-specific materials such as silicon, magnets, coatings, catalysts or working fluids. For Solar PV, specifications must include durability, compatibility, recycled content and recoverability.</x:v>
      </x:c>
      <x:c r="AD101" s="2" t="str">
        <x:v>Maintenance of Solar PV depends on bearings, seals, filters, lubricants, sensors, converter parts, cables, fasteners, coatings and replaceable collector or heat-exchanger components; critical spares are selected from failure-mode, lead-time and safety analysis for its installed configuration.</x:v>
      </x:c>
      <x:c r="AE101" s="2" t="str">
        <x:v>The software stack for Solar PV requires databases, secure communications, version-controlled models, computing, backup and interfaces with field or operational systems.</x:v>
      </x:c>
      <x:c r="AF101" s="2" t="str">
        <x:v>For Solar PV, software-related energy is electricity for sensing, computing, storage, communication and cooling; it is normally secondary but must be included for data-intensive or continuous services.</x:v>
      </x:c>
      <x:c r="AG101" s="2" t="str">
        <x:v>The non-physical inputs are calibrated data, metadata, algorithms, boundary conditions, emission or hazard factors, manuals and validation records specific to Solar PV.</x:v>
      </x:c>
      <x:c r="AH101" s="2" t="str">
        <x:v>Software continuity for Solar PV requires licences where applicable, updates, cybersecurity patches, backups, calibration files, model validation and technical support.</x:v>
      </x:c>
      <x:c r="AI101" s="2" t="str">
        <x:v>Orgware depends on the institutions, laboratories, training providers, regulators, operators and community interfaces needed to govern Solar PV.</x:v>
      </x:c>
      <x:c r="AJ101" s="2" t="str">
        <x:v>The orgware supporting Solar PV has mainly indirect energy use from offices, meetings, training and information systems; travel and field supervision may be material at dispersed sites.</x:v>
      </x:c>
      <x:c r="AK101" s="2" t="str">
        <x:v>Its organisational inputs are permits, budgets, trained staff, competence records, contracts, procedures, safeguards, monitoring evidence and stakeholder agreements tailored to Solar PV.</x:v>
      </x:c>
      <x:c r="AL101" s="2" t="str">
        <x:v>Sustained implementation of Solar PV requires procurement and service contracts, audit protocols, training material, reporting templates, insurance or guarantees and periodic independent review.</x:v>
      </x:c>
      <x:c r="AM101" s="2" t="str">
        <x:v>Iron ore / steel inputs; Copper; Tin; Silicon metal / polysilicon; Silver; Bauxite / aluminium</x:v>
      </x:c>
      <x:c r="AN101" s="2" t="str">
        <x:v>Australia; Brazil; China; Chile; Democratic Republic of the Congo; Peru; Indonesia; Myanmar; Norway; Mexico; Guinea</x:v>
      </x:c>
      <x:c r="AO101" s="2" t="str">
        <x:v>China; India; Japan; Chile; Democratic Republic of the Congo; Indonesia; Malaysia; Germany; Mexico; Peru; Russia</x:v>
      </x:c>
      <x:c r="AP101" s="2" t="str">
        <x:v>Solar PV: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1" s="2" t="str">
        <x:v>2024–2025</x:v>
      </x:c>
      <x:c r="AR101" s="2" t="str">
        <x:v>https://pubs.usgs.gov/periodicals/mcs2026/mcs2026.pdf</x:v>
      </x:c>
    </x:row>
    <x:row r="102" ht="240" customHeight="1">
      <x:c r="A102" s="2" t="str">
        <x:v>MIT-0095</x:v>
      </x:c>
      <x:c r="B102" s="2" t="str">
        <x:v>Mitigation</x:v>
      </x:c>
      <x:c r="C102" s="2" t="str">
        <x:v>Renewable energy</x:v>
      </x:c>
      <x:c r="D102" s="2" t="str">
        <x:v>Solar</x:v>
      </x:c>
      <x:c r="E102" s="2" t="str">
        <x:v>Solar thermal power</x:v>
      </x:c>
      <x:c r="F102" s="2" t="str">
        <x:v>Solar thermal power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Optical collectors concentrate solar radiation onto a receiver, heat a working fluid and drive a thermodynamic power cycle; thermal storage can decouple collection from generation.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2" s="2" t="str">
        <x:v>Mixed: adaptable design, site-specific implementation</x:v>
      </x:c>
      <x:c r="H102" s="2" t="str">
        <x:v>Solar thermal power is adaptable in capacity and configuration but site-specific in final engineering. Its principle remains the same, but resource quality, climate, scale, interfaces and safety constraints must be recalculated for each deployment.</x:v>
      </x:c>
      <x:c r="I102" s="2" t="str">
        <x:v>Primarily hard, with a soft component</x:v>
      </x:c>
      <x:c r="J102" s="2" t="str">
        <x:v>Solar thermal 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2" s="2" t="str">
        <x:v>Equipment and operation</x:v>
      </x:c>
      <x:c r="L102" s="2" t="str">
        <x:v>Solar thermal power is embodied mainly as an equipment-and-operation system. The deliverable is accepted only when measurable service, quality, safety and climate-performance criteria are met under real conditions.</x:v>
      </x:c>
      <x:c r="M102" s="2" t="str">
        <x:v>Yes, subject to life-cycle safeguards</x:v>
      </x:c>
      <x:c r="N102" s="2" t="str">
        <x:v>Solar thermal 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2" s="2" t="str">
        <x:v>Solar thermal power: resource collector or prime mover, generator or heat exchanger, support structure, power conversion, protection, metering and connection equipment.</x:v>
      </x:c>
      <x:c r="P102" s="2" t="str">
        <x:v>Solar thermal power: resource assessment, energy-yield modelling, forecasting, maximum-power or process control, dispatch, condition monitoring and maintenance planning.</x:v>
      </x:c>
      <x:c r="Q102" s="2" t="str">
        <x:v>Solar thermal power: resource and land or sea rights, environmental licensing, grid code, safety, community participation, revenue contract and decommissioning plan.</x:v>
      </x:c>
      <x:c r="R102" s="2" t="str">
        <x:v>Solar thermal power: foundations, access, electrical or thermal network, substation, control and communications, drainage and construction or marine logistics.</x:v>
      </x:c>
      <x:c r="S102" s="2" t="str">
        <x:v>Solar thermal power: the renewable resource is the primary input; auxiliary electricity, start-up fuel, pumping or thermal energy may be required depending on the design.</x:v>
      </x:c>
      <x:c r="T102" s="2" t="str">
        <x:v>Solar thermal power: steel, concrete, copper, aluminium, polymers, glass and technology-specific materials such as silicon, magnets, coatings, catalysts or working fluids.</x:v>
      </x:c>
      <x:c r="U102" s="2" t="str">
        <x:v>Solar thermal power: bearings, seals, filters, lubricants, sensors, converter parts, cables, fasteners, coatings and replaceable collector or heat-exchanger components.</x:v>
      </x:c>
      <x:c r="V102" s="2" t="str">
        <x:v>https://www.ctc-n.org/sites/default/files/resources/ctcn_taxonomy_0.pdf</x:v>
      </x:c>
      <x:c r="W102" s="2" t="str">
        <x:v>https://institutoagricoladepueblobello.edu.co/colegiapp/archivostemas/GUIA%209.%5B25%5D.pdf</x:v>
      </x:c>
      <x:c r="X102" s="2" t="str">
        <x:v>https://iiasa.ac.at/what-is-technology</x:v>
      </x:c>
      <x:c r="Y102" s="2" t="str">
        <x:v>https://www.ipcc.ch/report/ar6/wg3/chapter/chapter-6/; https://www.iea.org/data-and-statistics/data-tools/etp-clean-energy-technology-guide</x:v>
      </x:c>
      <x:c r="Z102" s="2" t="str">
        <x:v>Technology-specific analytical synthesis. The CTCN hierarchy is retained; classifications and component dependencies require validation against the selected design, site and supplier documentation before investment or policy use.</x:v>
      </x:c>
      <x:c r="AA102" s="2" t="str">
        <x:v>Physical deployment of Solar thermal power requires foundations, access, electrical or thermal network, substation, control and communications, drainage and construction or marine logistics; interfaces, foundations, access and environmental protection are sized to the specific resource and design load.</x:v>
      </x:c>
      <x:c r="AB102" s="2" t="str">
        <x:v>For Solar thermal 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2" s="2" t="str">
        <x:v>Construction and operation use steel, concrete, copper, aluminium, polymers, glass and technology-specific materials such as silicon, magnets, coatings, catalysts or working fluids. For Solar thermal power, specifications must include durability, compatibility, recycled content and recoverability.</x:v>
      </x:c>
      <x:c r="AD102" s="2" t="str">
        <x:v>Maintenance of Solar thermal power depends on bearings, seals, filters, lubricants, sensors, converter parts, cables, fasteners, coatings and replaceable collector or heat-exchanger components; critical spares are selected from failure-mode, lead-time and safety analysis for its installed configuration.</x:v>
      </x:c>
      <x:c r="AE102" s="2" t="str">
        <x:v>The software stack for Solar thermal power requires databases, secure communications, version-controlled models, computing, backup and interfaces with field or operational systems.</x:v>
      </x:c>
      <x:c r="AF102" s="2" t="str">
        <x:v>For Solar thermal power, software-related energy is electricity for sensing, computing, storage, communication and cooling; it is normally secondary but must be included for data-intensive or continuous services.</x:v>
      </x:c>
      <x:c r="AG102" s="2" t="str">
        <x:v>The non-physical inputs are calibrated data, metadata, algorithms, boundary conditions, emission or hazard factors, manuals and validation records specific to Solar thermal power.</x:v>
      </x:c>
      <x:c r="AH102" s="2" t="str">
        <x:v>Software continuity for Solar thermal power requires licences where applicable, updates, cybersecurity patches, backups, calibration files, model validation and technical support.</x:v>
      </x:c>
      <x:c r="AI102" s="2" t="str">
        <x:v>Orgware depends on the institutions, laboratories, training providers, regulators, operators and community interfaces needed to govern Solar thermal power.</x:v>
      </x:c>
      <x:c r="AJ102" s="2" t="str">
        <x:v>The orgware supporting Solar thermal power has mainly indirect energy use from offices, meetings, training and information systems; travel and field supervision may be material at dispersed sites.</x:v>
      </x:c>
      <x:c r="AK102" s="2" t="str">
        <x:v>Its organisational inputs are permits, budgets, trained staff, competence records, contracts, procedures, safeguards, monitoring evidence and stakeholder agreements tailored to Solar thermal power.</x:v>
      </x:c>
      <x:c r="AL102" s="2" t="str">
        <x:v>Sustained implementation of Solar thermal power requires procurement and service contracts, audit protocols, training material, reporting templates, insurance or guarantees and periodic independent review.</x:v>
      </x:c>
      <x:c r="AM102" s="2" t="str">
        <x:v>Iron ore / steel inputs; Copper; Tin; Bauxite / aluminium</x:v>
      </x:c>
      <x:c r="AN102" s="2" t="str">
        <x:v>Australia; Brazil; China; Chile; Democratic Republic of the Congo; Peru; Indonesia; Myanmar; Guinea</x:v>
      </x:c>
      <x:c r="AO102" s="2" t="str">
        <x:v>China; India; Japan; Chile; Democratic Republic of the Congo; Indonesia; Malaysia; Russia</x:v>
      </x:c>
      <x:c r="AP102" s="2" t="str">
        <x:v>Solar thermal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2" s="2" t="str">
        <x:v>2024–2025</x:v>
      </x:c>
      <x:c r="AR102" s="2" t="str">
        <x:v>https://pubs.usgs.gov/periodicals/mcs2026/mcs2026.pdf</x:v>
      </x:c>
    </x:row>
    <x:row r="103" ht="240" customHeight="1">
      <x:c r="A103" s="2" t="str">
        <x:v>MIT-0096</x:v>
      </x:c>
      <x:c r="B103" s="2" t="str">
        <x:v>Mitigation</x:v>
      </x:c>
      <x:c r="C103" s="2" t="str">
        <x:v>Renewable energy</x:v>
      </x:c>
      <x:c r="D103" s="2" t="str">
        <x:v>Solar</x:v>
      </x:c>
      <x:c r="E103" s="2" t="str">
        <x:v>Solar dryer</x:v>
      </x:c>
      <x:c r="F103" s="2" t="str">
        <x:v>Solar dryer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dryer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3" s="2" t="str">
        <x:v>Mixed: adaptable design, site-specific implementation</x:v>
      </x:c>
      <x:c r="H103" s="2" t="str">
        <x:v>Solar dryer is adaptable in capacity and configuration but site-specific in final engineering. Its principle remains the same, but resource quality, climate, scale, interfaces and safety constraints must be recalculated for each deployment.</x:v>
      </x:c>
      <x:c r="I103" s="2" t="str">
        <x:v>Primarily hard, with a soft component</x:v>
      </x:c>
      <x:c r="J103" s="2" t="str">
        <x:v>Solar dryer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3" s="2" t="str">
        <x:v>Equipment and operation</x:v>
      </x:c>
      <x:c r="L103" s="2" t="str">
        <x:v>Solar dryer is embodied mainly as an equipment-and-operation system. The deliverable is accepted only when measurable service, quality, safety and climate-performance criteria are met under real conditions.</x:v>
      </x:c>
      <x:c r="M103" s="2" t="str">
        <x:v>Yes, subject to life-cycle safeguards</x:v>
      </x:c>
      <x:c r="N103" s="2" t="str">
        <x:v>Solar dryer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3" s="2" t="str">
        <x:v>Solar dryer: resource collector or prime mover, generator or heat exchanger, support structure, power conversion, protection, metering and connection equipment.</x:v>
      </x:c>
      <x:c r="P103" s="2" t="str">
        <x:v>Solar dryer: resource assessment, energy-yield modelling, forecasting, maximum-power or process control, dispatch, condition monitoring and maintenance planning.</x:v>
      </x:c>
      <x:c r="Q103" s="2" t="str">
        <x:v>Solar dryer: resource and land or sea rights, environmental licensing, grid code, safety, community participation, revenue contract and decommissioning plan.</x:v>
      </x:c>
      <x:c r="R103" s="2" t="str">
        <x:v>Solar dryer: foundations, access, electrical or thermal network, substation, control and communications, drainage and construction or marine logistics.</x:v>
      </x:c>
      <x:c r="S103" s="2" t="str">
        <x:v>Solar dryer: the renewable resource is the primary input; auxiliary electricity, start-up fuel, pumping or thermal energy may be required depending on the design.</x:v>
      </x:c>
      <x:c r="T103" s="2" t="str">
        <x:v>Solar dryer: steel, concrete, copper, aluminium, polymers, glass and technology-specific materials such as silicon, magnets, coatings, catalysts or working fluids.</x:v>
      </x:c>
      <x:c r="U103" s="2" t="str">
        <x:v>Solar dryer: bearings, seals, filters, lubricants, sensors, converter parts, cables, fasteners, coatings and replaceable collector or heat-exchanger components.</x:v>
      </x:c>
      <x:c r="V103" s="2" t="str">
        <x:v>https://www.ctc-n.org/sites/default/files/resources/ctcn_taxonomy_0.pdf</x:v>
      </x:c>
      <x:c r="W103" s="2" t="str">
        <x:v>https://institutoagricoladepueblobello.edu.co/colegiapp/archivostemas/GUIA%209.%5B25%5D.pdf</x:v>
      </x:c>
      <x:c r="X103" s="2" t="str">
        <x:v>https://iiasa.ac.at/what-is-technology</x:v>
      </x:c>
      <x:c r="Y103" s="2" t="str">
        <x:v>https://www.ipcc.ch/report/ar6/wg3/chapter/chapter-6/; https://www.iea.org/data-and-statistics/data-tools/etp-clean-energy-technology-guide</x:v>
      </x:c>
      <x:c r="Z103" s="2" t="str">
        <x:v>Technology-specific analytical synthesis. The CTCN hierarchy is retained; classifications and component dependencies require validation against the selected design, site and supplier documentation before investment or policy use.</x:v>
      </x:c>
      <x:c r="AA103" s="2" t="str">
        <x:v>Physical deployment of Solar dryer requires foundations, access, electrical or thermal network, substation, control and communications, drainage and construction or marine logistics; interfaces, foundations, access and environmental protection are sized to the specific resource and design load.</x:v>
      </x:c>
      <x:c r="AB103" s="2" t="str">
        <x:v>For Solar dryer,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3" s="2" t="str">
        <x:v>Construction and operation use steel, concrete, copper, aluminium, polymers, glass and technology-specific materials such as silicon, magnets, coatings, catalysts or working fluids. For Solar dryer, specifications must include durability, compatibility, recycled content and recoverability.</x:v>
      </x:c>
      <x:c r="AD103" s="2" t="str">
        <x:v>Maintenance of Solar dryer depends on bearings, seals, filters, lubricants, sensors, converter parts, cables, fasteners, coatings and replaceable collector or heat-exchanger components; critical spares are selected from failure-mode, lead-time and safety analysis for its installed configuration.</x:v>
      </x:c>
      <x:c r="AE103" s="2" t="str">
        <x:v>The software stack for Solar dryer requires databases, secure communications, version-controlled models, computing, backup and interfaces with field or operational systems.</x:v>
      </x:c>
      <x:c r="AF103" s="2" t="str">
        <x:v>For Solar dryer, software-related energy is electricity for sensing, computing, storage, communication and cooling; it is normally secondary but must be included for data-intensive or continuous services.</x:v>
      </x:c>
      <x:c r="AG103" s="2" t="str">
        <x:v>The non-physical inputs are calibrated data, metadata, algorithms, boundary conditions, emission or hazard factors, manuals and validation records specific to Solar dryer.</x:v>
      </x:c>
      <x:c r="AH103" s="2" t="str">
        <x:v>Software continuity for Solar dryer requires licences where applicable, updates, cybersecurity patches, backups, calibration files, model validation and technical support.</x:v>
      </x:c>
      <x:c r="AI103" s="2" t="str">
        <x:v>Orgware depends on the institutions, laboratories, training providers, regulators, operators and community interfaces needed to govern Solar dryer.</x:v>
      </x:c>
      <x:c r="AJ103" s="2" t="str">
        <x:v>The orgware supporting Solar dryer has mainly indirect energy use from offices, meetings, training and information systems; travel and field supervision may be material at dispersed sites.</x:v>
      </x:c>
      <x:c r="AK103" s="2" t="str">
        <x:v>Its organisational inputs are permits, budgets, trained staff, competence records, contracts, procedures, safeguards, monitoring evidence and stakeholder agreements tailored to Solar dryer.</x:v>
      </x:c>
      <x:c r="AL103" s="2" t="str">
        <x:v>Sustained implementation of Solar dryer requires procurement and service contracts, audit protocols, training material, reporting templates, insurance or guarantees and periodic independent review.</x:v>
      </x:c>
      <x:c r="AM103" s="2" t="str">
        <x:v>Iron ore / steel inputs; Copper; Tin; Bauxite / aluminium</x:v>
      </x:c>
      <x:c r="AN103" s="2" t="str">
        <x:v>Australia; Brazil; China; Chile; Democratic Republic of the Congo; Peru; Indonesia; Myanmar; Guinea</x:v>
      </x:c>
      <x:c r="AO103" s="2" t="str">
        <x:v>China; India; Japan; Chile; Democratic Republic of the Congo; Indonesia; Malaysia; Russia</x:v>
      </x:c>
      <x:c r="AP103" s="2" t="str">
        <x:v>Solar dryer: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3" s="2" t="str">
        <x:v>2024–2025</x:v>
      </x:c>
      <x:c r="AR103" s="2" t="str">
        <x:v>https://pubs.usgs.gov/periodicals/mcs2026/mcs2026.pdf</x:v>
      </x:c>
    </x:row>
    <x:row r="104" ht="240" customHeight="1">
      <x:c r="A104" s="2" t="str">
        <x:v>MIT-0097</x:v>
      </x:c>
      <x:c r="B104" s="2" t="str">
        <x:v>Mitigation</x:v>
      </x:c>
      <x:c r="C104" s="2" t="str">
        <x:v>Renewable energy</x:v>
      </x:c>
      <x:c r="D104" s="2" t="str">
        <x:v>Solar</x:v>
      </x:c>
      <x:c r="E104" s="2" t="str">
        <x:v>Energy tower (downdraft)</x:v>
      </x:c>
      <x:c r="F104" s="2" t="str">
        <x:v>Energy tower (downdraft)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Energy tower (downdraft)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4" s="2" t="str">
        <x:v>Mixed: adaptable design, site-specific implementation</x:v>
      </x:c>
      <x:c r="H104" s="2" t="str">
        <x:v>Energy tower (downdraft) is adaptable in capacity and configuration but site-specific in final engineering. Its principle remains the same, but resource quality, climate, scale, interfaces and safety constraints must be recalculated for each deployment.</x:v>
      </x:c>
      <x:c r="I104" s="2" t="str">
        <x:v>Primarily hard, with a soft component</x:v>
      </x:c>
      <x:c r="J104" s="2" t="str">
        <x:v>Energy tower (downdraft)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4" s="2" t="str">
        <x:v>Equipment and operation</x:v>
      </x:c>
      <x:c r="L104" s="2" t="str">
        <x:v>Energy tower (downdraft) is embodied mainly as an equipment-and-operation system. The deliverable is accepted only when measurable service, quality, safety and climate-performance criteria are met under real conditions.</x:v>
      </x:c>
      <x:c r="M104" s="2" t="str">
        <x:v>Yes, subject to life-cycle safeguards</x:v>
      </x:c>
      <x:c r="N104" s="2" t="str">
        <x:v>Energy tower (downdraft)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4" s="2" t="str">
        <x:v>Energy tower (downdraft): resource collector or prime mover, generator or heat exchanger, support structure, power conversion, protection, metering and connection equipment.</x:v>
      </x:c>
      <x:c r="P104" s="2" t="str">
        <x:v>Energy tower (downdraft): resource assessment, energy-yield modelling, forecasting, maximum-power or process control, dispatch, condition monitoring and maintenance planning.</x:v>
      </x:c>
      <x:c r="Q104" s="2" t="str">
        <x:v>Energy tower (downdraft): resource and land or sea rights, environmental licensing, grid code, safety, community participation, revenue contract and decommissioning plan.</x:v>
      </x:c>
      <x:c r="R104" s="2" t="str">
        <x:v>Energy tower (downdraft): foundations, access, electrical or thermal network, substation, control and communications, drainage and construction or marine logistics.</x:v>
      </x:c>
      <x:c r="S104" s="2" t="str">
        <x:v>Energy tower (downdraft): the renewable resource is the primary input; auxiliary electricity, start-up fuel, pumping or thermal energy may be required depending on the design.</x:v>
      </x:c>
      <x:c r="T104" s="2" t="str">
        <x:v>Energy tower (downdraft): steel, concrete, copper, aluminium, polymers, glass and technology-specific materials such as silicon, magnets, coatings, catalysts or working fluids.</x:v>
      </x:c>
      <x:c r="U104" s="2" t="str">
        <x:v>Energy tower (downdraft): bearings, seals, filters, lubricants, sensors, converter parts, cables, fasteners, coatings and replaceable collector or heat-exchanger components.</x:v>
      </x:c>
      <x:c r="V104" s="2" t="str">
        <x:v>https://www.ctc-n.org/sites/default/files/resources/ctcn_taxonomy_0.pdf</x:v>
      </x:c>
      <x:c r="W104" s="2" t="str">
        <x:v>https://institutoagricoladepueblobello.edu.co/colegiapp/archivostemas/GUIA%209.%5B25%5D.pdf</x:v>
      </x:c>
      <x:c r="X104" s="2" t="str">
        <x:v>https://iiasa.ac.at/what-is-technology</x:v>
      </x:c>
      <x:c r="Y104" s="2" t="str">
        <x:v>https://www.ipcc.ch/report/ar6/wg3/chapter/chapter-6/; https://www.iea.org/data-and-statistics/data-tools/etp-clean-energy-technology-guide</x:v>
      </x:c>
      <x:c r="Z104" s="2" t="str">
        <x:v>Technology-specific analytical synthesis. The CTCN hierarchy is retained; classifications and component dependencies require validation against the selected design, site and supplier documentation before investment or policy use.</x:v>
      </x:c>
      <x:c r="AA104" s="2" t="str">
        <x:v>Physical deployment of Energy tower (downdraft) requires foundations, access, electrical or thermal network, substation, control and communications, drainage and construction or marine logistics; interfaces, foundations, access and environmental protection are sized to the specific resource and design load.</x:v>
      </x:c>
      <x:c r="AB104" s="2" t="str">
        <x:v>For Energy tower (downdraft),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4" s="2" t="str">
        <x:v>Construction and operation use steel, concrete, copper, aluminium, polymers, glass and technology-specific materials such as silicon, magnets, coatings, catalysts or working fluids. For Energy tower (downdraft), specifications must include durability, compatibility, recycled content and recoverability.</x:v>
      </x:c>
      <x:c r="AD104" s="2" t="str">
        <x:v>Maintenance of Energy tower (downdraft) depends on bearings, seals, filters, lubricants, sensors, converter parts, cables, fasteners, coatings and replaceable collector or heat-exchanger components; critical spares are selected from failure-mode, lead-time and safety analysis for its installed configuration.</x:v>
      </x:c>
      <x:c r="AE104" s="2" t="str">
        <x:v>The software stack for Energy tower (downdraft) requires databases, secure communications, version-controlled models, computing, backup and interfaces with field or operational systems.</x:v>
      </x:c>
      <x:c r="AF104" s="2" t="str">
        <x:v>For Energy tower (downdraft), software-related energy is electricity for sensing, computing, storage, communication and cooling; it is normally secondary but must be included for data-intensive or continuous services.</x:v>
      </x:c>
      <x:c r="AG104" s="2" t="str">
        <x:v>The non-physical inputs are calibrated data, metadata, algorithms, boundary conditions, emission or hazard factors, manuals and validation records specific to Energy tower (downdraft).</x:v>
      </x:c>
      <x:c r="AH104" s="2" t="str">
        <x:v>Software continuity for Energy tower (downdraft) requires licences where applicable, updates, cybersecurity patches, backups, calibration files, model validation and technical support.</x:v>
      </x:c>
      <x:c r="AI104" s="2" t="str">
        <x:v>Orgware depends on the institutions, laboratories, training providers, regulators, operators and community interfaces needed to govern Energy tower (downdraft).</x:v>
      </x:c>
      <x:c r="AJ104" s="2" t="str">
        <x:v>The orgware supporting Energy tower (downdraft) has mainly indirect energy use from offices, meetings, training and information systems; travel and field supervision may be material at dispersed sites.</x:v>
      </x:c>
      <x:c r="AK104" s="2" t="str">
        <x:v>Its organisational inputs are permits, budgets, trained staff, competence records, contracts, procedures, safeguards, monitoring evidence and stakeholder agreements tailored to Energy tower (downdraft).</x:v>
      </x:c>
      <x:c r="AL104" s="2" t="str">
        <x:v>Sustained implementation of Energy tower (downdraft) requires procurement and service contracts, audit protocols, training material, reporting templates, insurance or guarantees and periodic independent review.</x:v>
      </x:c>
      <x:c r="AM104" s="2" t="str">
        <x:v>Iron ore / steel inputs; Copper; Tin; Bauxite / aluminium</x:v>
      </x:c>
      <x:c r="AN104" s="2" t="str">
        <x:v>Australia; Brazil; China; Chile; Democratic Republic of the Congo; Peru; Indonesia; Myanmar; Guinea</x:v>
      </x:c>
      <x:c r="AO104" s="2" t="str">
        <x:v>China; India; Japan; Chile; Democratic Republic of the Congo; Indonesia; Malaysia; Russia</x:v>
      </x:c>
      <x:c r="AP104" s="2" t="str">
        <x:v>Energy tower (downdraft):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4" s="2" t="str">
        <x:v>2024–2025</x:v>
      </x:c>
      <x:c r="AR104" s="2" t="str">
        <x:v>https://pubs.usgs.gov/periodicals/mcs2026/mcs2026.pdf</x:v>
      </x:c>
    </x:row>
    <x:row r="105" ht="240" customHeight="1">
      <x:c r="A105" s="2" t="str">
        <x:v>MIT-0098</x:v>
      </x:c>
      <x:c r="B105" s="2" t="str">
        <x:v>Mitigation</x:v>
      </x:c>
      <x:c r="C105" s="2" t="str">
        <x:v>Renewable energy</x:v>
      </x:c>
      <x:c r="D105" s="2" t="str">
        <x:v>Solar</x:v>
      </x:c>
      <x:c r="E105" s="2" t="str">
        <x:v>Solar water heater</x:v>
      </x:c>
      <x:c r="F105" s="2" t="str">
        <x:v>Solar water heater is a mitigation technology in the Renewable energy sector and the Solar technology group. It is defined as a combined hardware–software–orgware system that reduces thermal, electrical or water demand through passive design, efficient equipment, controls and low-impact materials. Solar water heater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105" s="2" t="str">
        <x:v>Mixed: adaptable design, site-specific implementation</x:v>
      </x:c>
      <x:c r="H105" s="2" t="str">
        <x:v>Solar water heater is adaptable in capacity and configuration but site-specific in final engineering. Its principle remains the same, but resource quality, climate, scale, interfaces and safety constraints must be recalculated for each deployment.</x:v>
      </x:c>
      <x:c r="I105" s="2" t="str">
        <x:v>Primarily hard, with a soft component</x:v>
      </x:c>
      <x:c r="J105" s="2" t="str">
        <x:v>Solar water heater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105" s="2" t="str">
        <x:v>Equipment and operation</x:v>
      </x:c>
      <x:c r="L105" s="2" t="str">
        <x:v>Solar water heater is embodied mainly as an equipment-and-operation system. The deliverable is accepted only when measurable service, quality, safety and climate-performance criteria are met under real conditions.</x:v>
      </x:c>
      <x:c r="M105" s="2" t="str">
        <x:v>Yes, subject to life-cycle safeguards</x:v>
      </x:c>
      <x:c r="N105" s="2" t="str">
        <x:v>Solar water heater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105" s="2" t="str">
        <x:v>Solar water heater: envelope assemblies, efficient equipment, sensors, actuators, meters and distribution systems.</x:v>
      </x:c>
      <x:c r="P105" s="2" t="str">
        <x:v>Solar water heater: energy simulation, load calculation, control sequences, commissioning data and building management.</x:v>
      </x:c>
      <x:c r="Q105" s="2" t="str">
        <x:v>Solar water heater: building codes, performance standards, procurement, commissioning, maintenance plans and occupant guidance.</x:v>
      </x:c>
      <x:c r="R105" s="2" t="str">
        <x:v>Solar water heater: building fabric, plant rooms, electrical and water networks, access for maintenance and metering.</x:v>
      </x:c>
      <x:c r="S105" s="2" t="str">
        <x:v>Solar water heater: electricity and thermal energy; peak demand, part-load efficiency and controls determine actual savings.</x:v>
      </x:c>
      <x:c r="T105" s="2" t="str">
        <x:v>Solar water heater: insulation, glass, concrete, steel, timber, aluminium, copper, refrigerants and electronic components as applicable.</x:v>
      </x:c>
      <x:c r="U105" s="2" t="str">
        <x:v>Solar water heater: filters, belts, seals, lamps or drivers, sensors, actuators, valves, control modules and envelope repair materials.</x:v>
      </x:c>
      <x:c r="V105" s="2" t="str">
        <x:v>https://www.ctc-n.org/sites/default/files/resources/ctcn_taxonomy_0.pdf</x:v>
      </x:c>
      <x:c r="W105" s="2" t="str">
        <x:v>https://institutoagricoladepueblobello.edu.co/colegiapp/archivostemas/GUIA%209.%5B25%5D.pdf</x:v>
      </x:c>
      <x:c r="X105" s="2" t="str">
        <x:v>https://iiasa.ac.at/what-is-technology</x:v>
      </x:c>
      <x:c r="Y105" s="2" t="str">
        <x:v>https://www.ipcc.ch/report/ar6/wg3/chapter/chapter-6/; https://www.ipcc.ch/report/ar6/wg3/chapter/chapter-9/</x:v>
      </x:c>
      <x:c r="Z105" s="2" t="str">
        <x:v>Technology-specific analytical synthesis. The CTCN hierarchy is retained; classifications and component dependencies require validation against the selected design, site and supplier documentation before investment or policy use.</x:v>
      </x:c>
      <x:c r="AA105" s="2" t="str">
        <x:v>Physical deployment of Solar water heater requires building fabric, plant rooms, electrical and water networks, access for maintenance and metering; interfaces, foundations, access and environmental protection are sized to the specific resource and design load.</x:v>
      </x:c>
      <x:c r="AB105" s="2" t="str">
        <x:v>For Solar water heater, the hardware energy balance comprises electricity and thermal energy; peak demand, part-load efficiency and controls determine actual savings; metering must separate useful output, conversion losses and auxiliaries for the selected design.</x:v>
      </x:c>
      <x:c r="AC105" s="2" t="str">
        <x:v>Construction and operation use insulation, glass, concrete, steel, timber, aluminium, copper, refrigerants and electronic components as applicable. For Solar water heater, specifications must include durability, compatibility, recycled content and recoverability.</x:v>
      </x:c>
      <x:c r="AD105" s="2" t="str">
        <x:v>Maintenance of Solar water heater depends on filters, belts, seals, lamps or drivers, sensors, actuators, valves, control modules and envelope repair materials; critical spares are selected from failure-mode, lead-time and safety analysis for its installed configuration.</x:v>
      </x:c>
      <x:c r="AE105" s="2" t="str">
        <x:v>The software stack for Solar water heater requires databases, secure communications, version-controlled models, computing, backup and interfaces with field or operational systems.</x:v>
      </x:c>
      <x:c r="AF105" s="2" t="str">
        <x:v>For Solar water heater, software-related energy is electricity for sensing, computing, storage, communication and cooling; it is normally secondary but must be included for data-intensive or continuous services.</x:v>
      </x:c>
      <x:c r="AG105" s="2" t="str">
        <x:v>The non-physical inputs are calibrated data, metadata, algorithms, boundary conditions, emission or hazard factors, manuals and validation records specific to Solar water heater.</x:v>
      </x:c>
      <x:c r="AH105" s="2" t="str">
        <x:v>Software continuity for Solar water heater requires licences where applicable, updates, cybersecurity patches, backups, calibration files, model validation and technical support.</x:v>
      </x:c>
      <x:c r="AI105" s="2" t="str">
        <x:v>Orgware depends on the institutions, laboratories, training providers, regulators, operators and community interfaces needed to govern Solar water heater.</x:v>
      </x:c>
      <x:c r="AJ105" s="2" t="str">
        <x:v>The orgware supporting Solar water heater has mainly indirect energy use from offices, meetings, training and information systems; travel and field supervision may be material at dispersed sites.</x:v>
      </x:c>
      <x:c r="AK105" s="2" t="str">
        <x:v>Its organisational inputs are permits, budgets, trained staff, competence records, contracts, procedures, safeguards, monitoring evidence and stakeholder agreements tailored to Solar water heater.</x:v>
      </x:c>
      <x:c r="AL105" s="2" t="str">
        <x:v>Sustained implementation of Solar water heater requires procurement and service contracts, audit protocols, training material, reporting templates, insurance or guarantees and periodic independent review.</x:v>
      </x:c>
      <x:c r="AM105" s="2" t="str">
        <x:v>Iron ore / steel inputs; Copper; Tin; Bauxite / aluminium</x:v>
      </x:c>
      <x:c r="AN105" s="2" t="str">
        <x:v>Australia; Brazil; China; Chile; Democratic Republic of the Congo; Peru; Indonesia; Myanmar; Guinea</x:v>
      </x:c>
      <x:c r="AO105" s="2" t="str">
        <x:v>China; India; Japan; Chile; Democratic Republic of the Congo; Indonesia; Malaysia; Russia</x:v>
      </x:c>
      <x:c r="AP105" s="2" t="str">
        <x:v>Solar water heater: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5" s="2" t="str">
        <x:v>2024–2025</x:v>
      </x:c>
      <x:c r="AR105" s="2" t="str">
        <x:v>https://pubs.usgs.gov/periodicals/mcs2026/mcs2026.pdf</x:v>
      </x:c>
    </x:row>
    <x:row r="106" ht="240" customHeight="1">
      <x:c r="A106" s="2" t="str">
        <x:v>MIT-0099</x:v>
      </x:c>
      <x:c r="B106" s="2" t="str">
        <x:v>Mitigation</x:v>
      </x:c>
      <x:c r="C106" s="2" t="str">
        <x:v>Renewable energy</x:v>
      </x:c>
      <x:c r="D106" s="2" t="str">
        <x:v>Renewable energy infrastructure</x:v>
      </x:c>
      <x:c r="E106" s="2" t="str">
        <x:v>Hydrogen technologies</x:v>
      </x:c>
      <x:c r="F106" s="2" t="str">
        <x:v>Hydrogen technologies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Hydrogen technologies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6" s="2" t="str">
        <x:v>Mixed: adaptable design, site-specific implementation</x:v>
      </x:c>
      <x:c r="H106" s="2" t="str">
        <x:v>Hydrogen technologies is adaptable in capacity and configuration but site-specific in final engineering. Its principle remains the same, but resource quality, climate, scale, interfaces and safety constraints must be recalculated for each deployment.</x:v>
      </x:c>
      <x:c r="I106" s="2" t="str">
        <x:v>Primarily hard, with a soft component</x:v>
      </x:c>
      <x:c r="J106" s="2" t="str">
        <x:v>Hydrogen technologies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6" s="2" t="str">
        <x:v>Equipment and operation</x:v>
      </x:c>
      <x:c r="L106" s="2" t="str">
        <x:v>Hydrogen technologies is embodied mainly as an equipment-and-operation system. The deliverable is accepted only when measurable service, quality, safety and climate-performance criteria are met under real conditions.</x:v>
      </x:c>
      <x:c r="M106" s="2" t="str">
        <x:v>Yes, subject to life-cycle safeguards</x:v>
      </x:c>
      <x:c r="N106" s="2" t="str">
        <x:v>Hydrogen technologies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6" s="2" t="str">
        <x:v>Hydrogen technologies: resource collector or prime mover, generator or heat exchanger, support structure, power conversion, protection, metering and connection equipment.</x:v>
      </x:c>
      <x:c r="P106" s="2" t="str">
        <x:v>Hydrogen technologies: resource assessment, energy-yield modelling, forecasting, maximum-power or process control, dispatch, condition monitoring and maintenance planning.</x:v>
      </x:c>
      <x:c r="Q106" s="2" t="str">
        <x:v>Hydrogen technologies: resource and land or sea rights, environmental licensing, grid code, safety, community participation, revenue contract and decommissioning plan.</x:v>
      </x:c>
      <x:c r="R106" s="2" t="str">
        <x:v>Hydrogen technologies: foundations, access, electrical or thermal network, substation, control and communications, drainage and construction or marine logistics.</x:v>
      </x:c>
      <x:c r="S106" s="2" t="str">
        <x:v>Hydrogen technologies: the renewable resource is the primary input; auxiliary electricity, start-up fuel, pumping or thermal energy may be required depending on the design.</x:v>
      </x:c>
      <x:c r="T106" s="2" t="str">
        <x:v>Hydrogen technologies: steel, concrete, copper, aluminium, polymers, glass and technology-specific materials such as silicon, magnets, coatings, catalysts or working fluids.</x:v>
      </x:c>
      <x:c r="U106" s="2" t="str">
        <x:v>Hydrogen technologies: bearings, seals, filters, lubricants, sensors, converter parts, cables, fasteners, coatings and replaceable collector or heat-exchanger components.</x:v>
      </x:c>
      <x:c r="V106" s="2" t="str">
        <x:v>https://www.ctc-n.org/sites/default/files/resources/ctcn_taxonomy_0.pdf</x:v>
      </x:c>
      <x:c r="W106" s="2" t="str">
        <x:v>https://institutoagricoladepueblobello.edu.co/colegiapp/archivostemas/GUIA%209.%5B25%5D.pdf</x:v>
      </x:c>
      <x:c r="X106" s="2" t="str">
        <x:v>https://iiasa.ac.at/what-is-technology</x:v>
      </x:c>
      <x:c r="Y106" s="2" t="str">
        <x:v>https://www.ipcc.ch/report/ar6/wg3/chapter/chapter-6/; https://www.iea.org/data-and-statistics/data-tools/etp-clean-energy-technology-guide</x:v>
      </x:c>
      <x:c r="Z106" s="2" t="str">
        <x:v>Technology-specific analytical synthesis. The CTCN hierarchy is retained; classifications and component dependencies require validation against the selected design, site and supplier documentation before investment or policy use.</x:v>
      </x:c>
      <x:c r="AA106" s="2" t="str">
        <x:v>Physical deployment of Hydrogen technologies requires foundations, access, electrical or thermal network, substation, control and communications, drainage and construction or marine logistics; interfaces, foundations, access and environmental protection are sized to the specific resource and design load.</x:v>
      </x:c>
      <x:c r="AB106" s="2" t="str">
        <x:v>For Hydrogen technologies,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6" s="2" t="str">
        <x:v>Construction and operation use steel, concrete, copper, aluminium, polymers, glass and technology-specific materials such as silicon, magnets, coatings, catalysts or working fluids. For Hydrogen technologies, specifications must include durability, compatibility, recycled content and recoverability.</x:v>
      </x:c>
      <x:c r="AD106" s="2" t="str">
        <x:v>Maintenance of Hydrogen technologies depends on bearings, seals, filters, lubricants, sensors, converter parts, cables, fasteners, coatings and replaceable collector or heat-exchanger components; critical spares are selected from failure-mode, lead-time and safety analysis for its installed configuration.</x:v>
      </x:c>
      <x:c r="AE106" s="2" t="str">
        <x:v>The software stack for Hydrogen technologies requires databases, secure communications, version-controlled models, computing, backup and interfaces with field or operational systems.</x:v>
      </x:c>
      <x:c r="AF106" s="2" t="str">
        <x:v>For Hydrogen technologies, software-related energy is electricity for sensing, computing, storage, communication and cooling; it is normally secondary but must be included for data-intensive or continuous services.</x:v>
      </x:c>
      <x:c r="AG106" s="2" t="str">
        <x:v>The non-physical inputs are calibrated data, metadata, algorithms, boundary conditions, emission or hazard factors, manuals and validation records specific to Hydrogen technologies.</x:v>
      </x:c>
      <x:c r="AH106" s="2" t="str">
        <x:v>Software continuity for Hydrogen technologies requires licences where applicable, updates, cybersecurity patches, backups, calibration files, model validation and technical support.</x:v>
      </x:c>
      <x:c r="AI106" s="2" t="str">
        <x:v>Orgware depends on the institutions, laboratories, training providers, regulators, operators and community interfaces needed to govern Hydrogen technologies.</x:v>
      </x:c>
      <x:c r="AJ106" s="2" t="str">
        <x:v>The orgware supporting Hydrogen technologies has mainly indirect energy use from offices, meetings, training and information systems; travel and field supervision may be material at dispersed sites.</x:v>
      </x:c>
      <x:c r="AK106" s="2" t="str">
        <x:v>Its organisational inputs are permits, budgets, trained staff, competence records, contracts, procedures, safeguards, monitoring evidence and stakeholder agreements tailored to Hydrogen technologies.</x:v>
      </x:c>
      <x:c r="AL106" s="2" t="str">
        <x:v>Sustained implementation of Hydrogen technologies requires procurement and service contracts, audit protocols, training material, reporting templates, insurance or guarantees and periodic independent review.</x:v>
      </x:c>
      <x:c r="AM106" s="2" t="str">
        <x:v>Iron ore / steel inputs; Copper; Tin; Limestone / cement raw materials</x:v>
      </x:c>
      <x:c r="AN106" s="2" t="str">
        <x:v>Australia; Brazil; China; Chile; Democratic Republic of the Congo; Peru; Indonesia; Myanmar; India; Vietnam</x:v>
      </x:c>
      <x:c r="AO106" s="2" t="str">
        <x:v>China; India; Japan; Chile; Democratic Republic of the Congo; Indonesia; Malaysia; Vietnam</x:v>
      </x:c>
      <x:c r="AP106" s="2" t="str">
        <x:v>Hydrogen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6" s="2" t="str">
        <x:v>2024–2025</x:v>
      </x:c>
      <x:c r="AR106" s="2" t="str">
        <x:v>https://pubs.usgs.gov/periodicals/mcs2026/mcs2026.pdf</x:v>
      </x:c>
    </x:row>
    <x:row r="107" ht="240" customHeight="1">
      <x:c r="A107" s="2" t="str">
        <x:v>MIT-0100</x:v>
      </x:c>
      <x:c r="B107" s="2" t="str">
        <x:v>Mitigation</x:v>
      </x:c>
      <x:c r="C107" s="2" t="str">
        <x:v>Renewable energy</x:v>
      </x:c>
      <x:c r="D107" s="2" t="str">
        <x:v>Renewable energy infrastructure</x:v>
      </x:c>
      <x:c r="E107" s="2" t="str">
        <x:v>Off-grid systems</x:v>
      </x:c>
      <x:c r="F107" s="2" t="str">
        <x:v>Off-grid systems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Off-grid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7" s="2" t="str">
        <x:v>Mixed: adaptable design, site-specific implementation</x:v>
      </x:c>
      <x:c r="H107" s="2" t="str">
        <x:v>Off-grid systems is adaptable in capacity and configuration but site-specific in final engineering. Its principle remains the same, but resource quality, climate, scale, interfaces and safety constraints must be recalculated for each deployment.</x:v>
      </x:c>
      <x:c r="I107" s="2" t="str">
        <x:v>Primarily hard, with a soft component</x:v>
      </x:c>
      <x:c r="J107" s="2" t="str">
        <x:v>Off-grid systems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7" s="2" t="str">
        <x:v>Equipment and operation</x:v>
      </x:c>
      <x:c r="L107" s="2" t="str">
        <x:v>Off-grid systems is embodied mainly as an equipment-and-operation system. The deliverable is accepted only when measurable service, quality, safety and climate-performance criteria are met under real conditions.</x:v>
      </x:c>
      <x:c r="M107" s="2" t="str">
        <x:v>Yes, subject to life-cycle safeguards</x:v>
      </x:c>
      <x:c r="N107" s="2" t="str">
        <x:v>Off-grid systems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7" s="2" t="str">
        <x:v>Off-grid systems: resource collector or prime mover, generator or heat exchanger, support structure, power conversion, protection, metering and connection equipment.</x:v>
      </x:c>
      <x:c r="P107" s="2" t="str">
        <x:v>Off-grid systems: resource assessment, energy-yield modelling, forecasting, maximum-power or process control, dispatch, condition monitoring and maintenance planning.</x:v>
      </x:c>
      <x:c r="Q107" s="2" t="str">
        <x:v>Off-grid systems: resource and land or sea rights, environmental licensing, grid code, safety, community participation, revenue contract and decommissioning plan.</x:v>
      </x:c>
      <x:c r="R107" s="2" t="str">
        <x:v>Off-grid systems: foundations, access, electrical or thermal network, substation, control and communications, drainage and construction or marine logistics.</x:v>
      </x:c>
      <x:c r="S107" s="2" t="str">
        <x:v>Off-grid systems: the renewable resource is the primary input; auxiliary electricity, start-up fuel, pumping or thermal energy may be required depending on the design.</x:v>
      </x:c>
      <x:c r="T107" s="2" t="str">
        <x:v>Off-grid systems: steel, concrete, copper, aluminium, polymers, glass and technology-specific materials such as silicon, magnets, coatings, catalysts or working fluids.</x:v>
      </x:c>
      <x:c r="U107" s="2" t="str">
        <x:v>Off-grid systems: bearings, seals, filters, lubricants, sensors, converter parts, cables, fasteners, coatings and replaceable collector or heat-exchanger components.</x:v>
      </x:c>
      <x:c r="V107" s="2" t="str">
        <x:v>https://www.ctc-n.org/sites/default/files/resources/ctcn_taxonomy_0.pdf</x:v>
      </x:c>
      <x:c r="W107" s="2" t="str">
        <x:v>https://institutoagricoladepueblobello.edu.co/colegiapp/archivostemas/GUIA%209.%5B25%5D.pdf</x:v>
      </x:c>
      <x:c r="X107" s="2" t="str">
        <x:v>https://iiasa.ac.at/what-is-technology</x:v>
      </x:c>
      <x:c r="Y107" s="2" t="str">
        <x:v>https://www.ipcc.ch/report/ar6/wg3/chapter/chapter-6/; https://www.iea.org/data-and-statistics/data-tools/etp-clean-energy-technology-guide</x:v>
      </x:c>
      <x:c r="Z107" s="2" t="str">
        <x:v>Technology-specific analytical synthesis. The CTCN hierarchy is retained; classifications and component dependencies require validation against the selected design, site and supplier documentation before investment or policy use.</x:v>
      </x:c>
      <x:c r="AA107" s="2" t="str">
        <x:v>Physical deployment of Off-grid systems requires foundations, access, electrical or thermal network, substation, control and communications, drainage and construction or marine logistics; interfaces, foundations, access and environmental protection are sized to the specific resource and design load.</x:v>
      </x:c>
      <x:c r="AB107" s="2" t="str">
        <x:v>For Off-grid systems,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7" s="2" t="str">
        <x:v>Construction and operation use steel, concrete, copper, aluminium, polymers, glass and technology-specific materials such as silicon, magnets, coatings, catalysts or working fluids. For Off-grid systems, specifications must include durability, compatibility, recycled content and recoverability.</x:v>
      </x:c>
      <x:c r="AD107" s="2" t="str">
        <x:v>Maintenance of Off-grid systems depends on bearings, seals, filters, lubricants, sensors, converter parts, cables, fasteners, coatings and replaceable collector or heat-exchanger components; critical spares are selected from failure-mode, lead-time and safety analysis for its installed configuration.</x:v>
      </x:c>
      <x:c r="AE107" s="2" t="str">
        <x:v>The software stack for Off-grid systems requires databases, secure communications, version-controlled models, computing, backup and interfaces with field or operational systems.</x:v>
      </x:c>
      <x:c r="AF107" s="2" t="str">
        <x:v>For Off-grid systems, software-related energy is electricity for sensing, computing, storage, communication and cooling; it is normally secondary but must be included for data-intensive or continuous services.</x:v>
      </x:c>
      <x:c r="AG107" s="2" t="str">
        <x:v>The non-physical inputs are calibrated data, metadata, algorithms, boundary conditions, emission or hazard factors, manuals and validation records specific to Off-grid systems.</x:v>
      </x:c>
      <x:c r="AH107" s="2" t="str">
        <x:v>Software continuity for Off-grid systems requires licences where applicable, updates, cybersecurity patches, backups, calibration files, model validation and technical support.</x:v>
      </x:c>
      <x:c r="AI107" s="2" t="str">
        <x:v>Orgware depends on the institutions, laboratories, training providers, regulators, operators and community interfaces needed to govern Off-grid systems.</x:v>
      </x:c>
      <x:c r="AJ107" s="2" t="str">
        <x:v>The orgware supporting Off-grid systems has mainly indirect energy use from offices, meetings, training and information systems; travel and field supervision may be material at dispersed sites.</x:v>
      </x:c>
      <x:c r="AK107" s="2" t="str">
        <x:v>Its organisational inputs are permits, budgets, trained staff, competence records, contracts, procedures, safeguards, monitoring evidence and stakeholder agreements tailored to Off-grid systems.</x:v>
      </x:c>
      <x:c r="AL107" s="2" t="str">
        <x:v>Sustained implementation of Off-grid systems requires procurement and service contracts, audit protocols, training material, reporting templates, insurance or guarantees and periodic independent review.</x:v>
      </x:c>
      <x:c r="AM107" s="2" t="str">
        <x:v>Iron ore / steel inputs; Copper; Tin; Lithium; Nickel; Cobalt; Natural graphite; Manganese; Limestone / cement raw materials</x:v>
      </x:c>
      <x:c r="AN107" s="2" t="str">
        <x:v>Australia; Brazil; China; Chile; Democratic Republic of the Congo; Peru; Indonesia; Myanmar; Philippines; Russia; Madagascar; Mozambique; South Africa; Gabon; Ghana; India; Vietnam</x:v>
      </x:c>
      <x:c r="AO107" s="2" t="str">
        <x:v>China; India; Japan; Chile; Democratic Republic of the Congo; Indonesia; Malaysia; Argentina; Finland; Canada; South Korea; South Africa; Australia; Vietnam</x:v>
      </x:c>
      <x:c r="AP107" s="2" t="str">
        <x:v>Off-grid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7" s="2" t="str">
        <x:v>2024–2025</x:v>
      </x:c>
      <x:c r="AR107" s="2" t="str">
        <x:v>https://pubs.usgs.gov/periodicals/mcs2026/mcs2026.pdf; https://www.iea.org/reports/global-critical-minerals-outlook-2025</x:v>
      </x:c>
    </x:row>
    <x:row r="108" ht="240" customHeight="1">
      <x:c r="A108" s="2" t="str">
        <x:v>MIT-0101</x:v>
      </x:c>
      <x:c r="B108" s="2" t="str">
        <x:v>Mitigation</x:v>
      </x:c>
      <x:c r="C108" s="2" t="str">
        <x:v>Renewable energy</x:v>
      </x:c>
      <x:c r="D108" s="2" t="str">
        <x:v>Renewable energy infrastructure</x:v>
      </x:c>
      <x:c r="E108" s="2" t="str">
        <x:v>Fuel cells</x:v>
      </x:c>
      <x:c r="F108" s="2" t="str">
        <x:v>Fuel cells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Fuel cells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8" s="2" t="str">
        <x:v>Mixed: adaptable design, site-specific implementation</x:v>
      </x:c>
      <x:c r="H108" s="2" t="str">
        <x:v>Fuel cells is adaptable in capacity and configuration but site-specific in final engineering. Its principle remains the same, but resource quality, climate, scale, interfaces and safety constraints must be recalculated for each deployment.</x:v>
      </x:c>
      <x:c r="I108" s="2" t="str">
        <x:v>Primarily hard, with a soft component</x:v>
      </x:c>
      <x:c r="J108" s="2" t="str">
        <x:v>Fuel cells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8" s="2" t="str">
        <x:v>Equipment and operation</x:v>
      </x:c>
      <x:c r="L108" s="2" t="str">
        <x:v>Fuel cells is embodied mainly as an equipment-and-operation system. The deliverable is accepted only when measurable service, quality, safety and climate-performance criteria are met under real conditions.</x:v>
      </x:c>
      <x:c r="M108" s="2" t="str">
        <x:v>Yes, subject to life-cycle safeguards</x:v>
      </x:c>
      <x:c r="N108" s="2" t="str">
        <x:v>Fuel cells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8" s="2" t="str">
        <x:v>Fuel cells: resource collector or prime mover, generator or heat exchanger, support structure, power conversion, protection, metering and connection equipment.</x:v>
      </x:c>
      <x:c r="P108" s="2" t="str">
        <x:v>Fuel cells: resource assessment, energy-yield modelling, forecasting, maximum-power or process control, dispatch, condition monitoring and maintenance planning.</x:v>
      </x:c>
      <x:c r="Q108" s="2" t="str">
        <x:v>Fuel cells: resource and land or sea rights, environmental licensing, grid code, safety, community participation, revenue contract and decommissioning plan.</x:v>
      </x:c>
      <x:c r="R108" s="2" t="str">
        <x:v>Fuel cells: foundations, access, electrical or thermal network, substation, control and communications, drainage and construction or marine logistics.</x:v>
      </x:c>
      <x:c r="S108" s="2" t="str">
        <x:v>Fuel cells: the renewable resource is the primary input; auxiliary electricity, start-up fuel, pumping or thermal energy may be required depending on the design.</x:v>
      </x:c>
      <x:c r="T108" s="2" t="str">
        <x:v>Fuel cells: steel, concrete, copper, aluminium, polymers, glass and technology-specific materials such as silicon, magnets, coatings, catalysts or working fluids.</x:v>
      </x:c>
      <x:c r="U108" s="2" t="str">
        <x:v>Fuel cells: bearings, seals, filters, lubricants, sensors, converter parts, cables, fasteners, coatings and replaceable collector or heat-exchanger components.</x:v>
      </x:c>
      <x:c r="V108" s="2" t="str">
        <x:v>https://www.ctc-n.org/sites/default/files/resources/ctcn_taxonomy_0.pdf</x:v>
      </x:c>
      <x:c r="W108" s="2" t="str">
        <x:v>https://institutoagricoladepueblobello.edu.co/colegiapp/archivostemas/GUIA%209.%5B25%5D.pdf</x:v>
      </x:c>
      <x:c r="X108" s="2" t="str">
        <x:v>https://iiasa.ac.at/what-is-technology</x:v>
      </x:c>
      <x:c r="Y108" s="2" t="str">
        <x:v>https://www.ipcc.ch/report/ar6/wg3/chapter/chapter-6/; https://www.iea.org/data-and-statistics/data-tools/etp-clean-energy-technology-guide</x:v>
      </x:c>
      <x:c r="Z108" s="2" t="str">
        <x:v>Technology-specific analytical synthesis. The CTCN hierarchy is retained; classifications and component dependencies require validation against the selected design, site and supplier documentation before investment or policy use.</x:v>
      </x:c>
      <x:c r="AA108" s="2" t="str">
        <x:v>Physical deployment of Fuel cells requires foundations, access, electrical or thermal network, substation, control and communications, drainage and construction or marine logistics; interfaces, foundations, access and environmental protection are sized to the specific resource and design load.</x:v>
      </x:c>
      <x:c r="AB108" s="2" t="str">
        <x:v>For Fuel cells,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8" s="2" t="str">
        <x:v>Construction and operation use steel, concrete, copper, aluminium, polymers, glass and technology-specific materials such as silicon, magnets, coatings, catalysts or working fluids. For Fuel cells, specifications must include durability, compatibility, recycled content and recoverability.</x:v>
      </x:c>
      <x:c r="AD108" s="2" t="str">
        <x:v>Maintenance of Fuel cells depends on bearings, seals, filters, lubricants, sensors, converter parts, cables, fasteners, coatings and replaceable collector or heat-exchanger components; critical spares are selected from failure-mode, lead-time and safety analysis for its installed configuration.</x:v>
      </x:c>
      <x:c r="AE108" s="2" t="str">
        <x:v>The software stack for Fuel cells requires databases, secure communications, version-controlled models, computing, backup and interfaces with field or operational systems.</x:v>
      </x:c>
      <x:c r="AF108" s="2" t="str">
        <x:v>For Fuel cells, software-related energy is electricity for sensing, computing, storage, communication and cooling; it is normally secondary but must be included for data-intensive or continuous services.</x:v>
      </x:c>
      <x:c r="AG108" s="2" t="str">
        <x:v>The non-physical inputs are calibrated data, metadata, algorithms, boundary conditions, emission or hazard factors, manuals and validation records specific to Fuel cells.</x:v>
      </x:c>
      <x:c r="AH108" s="2" t="str">
        <x:v>Software continuity for Fuel cells requires licences where applicable, updates, cybersecurity patches, backups, calibration files, model validation and technical support.</x:v>
      </x:c>
      <x:c r="AI108" s="2" t="str">
        <x:v>Orgware depends on the institutions, laboratories, training providers, regulators, operators and community interfaces needed to govern Fuel cells.</x:v>
      </x:c>
      <x:c r="AJ108" s="2" t="str">
        <x:v>The orgware supporting Fuel cells has mainly indirect energy use from offices, meetings, training and information systems; travel and field supervision may be material at dispersed sites.</x:v>
      </x:c>
      <x:c r="AK108" s="2" t="str">
        <x:v>Its organisational inputs are permits, budgets, trained staff, competence records, contracts, procedures, safeguards, monitoring evidence and stakeholder agreements tailored to Fuel cells.</x:v>
      </x:c>
      <x:c r="AL108" s="2" t="str">
        <x:v>Sustained implementation of Fuel cells requires procurement and service contracts, audit protocols, training material, reporting templates, insurance or guarantees and periodic independent review.</x:v>
      </x:c>
      <x:c r="AM108" s="2" t="str">
        <x:v>Iron ore / steel inputs; Copper; Tin; Platinum-group metals; Limestone / cement raw materials</x:v>
      </x:c>
      <x:c r="AN108" s="2" t="str">
        <x:v>Australia; Brazil; China; Chile; Democratic Republic of the Congo; Peru; Indonesia; Myanmar; South Africa; Russia; Zimbabwe; India; Vietnam</x:v>
      </x:c>
      <x:c r="AO108" s="2" t="str">
        <x:v>China; India; Japan; Chile; Democratic Republic of the Congo; Indonesia; Malaysia; South Africa; Russia; Germany; Vietnam</x:v>
      </x:c>
      <x:c r="AP108" s="2" t="str">
        <x:v>Fuel cells: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8" s="2" t="str">
        <x:v>2024–2025</x:v>
      </x:c>
      <x:c r="AR108" s="2" t="str">
        <x:v>https://pubs.usgs.gov/periodicals/mcs2026/mcs2026.pdf</x:v>
      </x:c>
    </x:row>
    <x:row r="109" ht="240" customHeight="1">
      <x:c r="A109" s="2" t="str">
        <x:v>MIT-0102</x:v>
      </x:c>
      <x:c r="B109" s="2" t="str">
        <x:v>Mitigation</x:v>
      </x:c>
      <x:c r="C109" s="2" t="str">
        <x:v>Renewable energy</x:v>
      </x:c>
      <x:c r="D109" s="2" t="str">
        <x:v>Renewable energy infrastructure</x:v>
      </x:c>
      <x:c r="E109" s="2" t="str">
        <x:v>Fuel cells for stationary applications</x:v>
      </x:c>
      <x:c r="F109" s="2" t="str">
        <x:v>Fuel cells for stationary applications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Fuel cells for stationary applications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9" s="2" t="str">
        <x:v>Mixed: adaptable design, site-specific implementation</x:v>
      </x:c>
      <x:c r="H109" s="2" t="str">
        <x:v>Fuel cells for stationary applications is adaptable in capacity and configuration but site-specific in final engineering. Its principle remains the same, but resource quality, climate, scale, interfaces and safety constraints must be recalculated for each deployment.</x:v>
      </x:c>
      <x:c r="I109" s="2" t="str">
        <x:v>Primarily hard, with a soft component</x:v>
      </x:c>
      <x:c r="J109" s="2" t="str">
        <x:v>Fuel cells for stationary applications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9" s="2" t="str">
        <x:v>Equipment and operation</x:v>
      </x:c>
      <x:c r="L109" s="2" t="str">
        <x:v>Fuel cells for stationary applications is embodied mainly as an equipment-and-operation system. The deliverable is accepted only when measurable service, quality, safety and climate-performance criteria are met under real conditions.</x:v>
      </x:c>
      <x:c r="M109" s="2" t="str">
        <x:v>Yes, subject to life-cycle safeguards</x:v>
      </x:c>
      <x:c r="N109" s="2" t="str">
        <x:v>Fuel cells for stationary applications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9" s="2" t="str">
        <x:v>Fuel cells for stationary applications: resource collector or prime mover, generator or heat exchanger, support structure, power conversion, protection, metering and connection equipment.</x:v>
      </x:c>
      <x:c r="P109" s="2" t="str">
        <x:v>Fuel cells for stationary applications: resource assessment, energy-yield modelling, forecasting, maximum-power or process control, dispatch, condition monitoring and maintenance planning.</x:v>
      </x:c>
      <x:c r="Q109" s="2" t="str">
        <x:v>Fuel cells for stationary applications: resource and land or sea rights, environmental licensing, grid code, safety, community participation, revenue contract and decommissioning plan.</x:v>
      </x:c>
      <x:c r="R109" s="2" t="str">
        <x:v>Fuel cells for stationary applications: foundations, access, electrical or thermal network, substation, control and communications, drainage and construction or marine logistics.</x:v>
      </x:c>
      <x:c r="S109" s="2" t="str">
        <x:v>Fuel cells for stationary applications: the renewable resource is the primary input; auxiliary electricity, start-up fuel, pumping or thermal energy may be required depending on the design.</x:v>
      </x:c>
      <x:c r="T109" s="2" t="str">
        <x:v>Fuel cells for stationary applications: steel, concrete, copper, aluminium, polymers, glass and technology-specific materials such as silicon, magnets, coatings, catalysts or working fluids.</x:v>
      </x:c>
      <x:c r="U109" s="2" t="str">
        <x:v>Fuel cells for stationary applications: bearings, seals, filters, lubricants, sensors, converter parts, cables, fasteners, coatings and replaceable collector or heat-exchanger components.</x:v>
      </x:c>
      <x:c r="V109" s="2" t="str">
        <x:v>https://www.ctc-n.org/sites/default/files/resources/ctcn_taxonomy_0.pdf</x:v>
      </x:c>
      <x:c r="W109" s="2" t="str">
        <x:v>https://institutoagricoladepueblobello.edu.co/colegiapp/archivostemas/GUIA%209.%5B25%5D.pdf</x:v>
      </x:c>
      <x:c r="X109" s="2" t="str">
        <x:v>https://iiasa.ac.at/what-is-technology</x:v>
      </x:c>
      <x:c r="Y109" s="2" t="str">
        <x:v>https://www.ipcc.ch/report/ar6/wg3/chapter/chapter-6/; https://www.iea.org/data-and-statistics/data-tools/etp-clean-energy-technology-guide</x:v>
      </x:c>
      <x:c r="Z109" s="2" t="str">
        <x:v>Technology-specific analytical synthesis. The CTCN hierarchy is retained; classifications and component dependencies require validation against the selected design, site and supplier documentation before investment or policy use.</x:v>
      </x:c>
      <x:c r="AA109" s="2" t="str">
        <x:v>Physical deployment of Fuel cells for stationary applications requires foundations, access, electrical or thermal network, substation, control and communications, drainage and construction or marine logistics; interfaces, foundations, access and environmental protection are sized to the specific resource and design load.</x:v>
      </x:c>
      <x:c r="AB109" s="2" t="str">
        <x:v>For Fuel cells for stationary applications,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9" s="2" t="str">
        <x:v>Construction and operation use steel, concrete, copper, aluminium, polymers, glass and technology-specific materials such as silicon, magnets, coatings, catalysts or working fluids. For Fuel cells for stationary applications, specifications must include durability, compatibility, recycled content and recoverability.</x:v>
      </x:c>
      <x:c r="AD109" s="2" t="str">
        <x:v>Maintenance of Fuel cells for stationary applications depends on bearings, seals, filters, lubricants, sensors, converter parts, cables, fasteners, coatings and replaceable collector or heat-exchanger components; critical spares are selected from failure-mode, lead-time and safety analysis for its installed configuration.</x:v>
      </x:c>
      <x:c r="AE109" s="2" t="str">
        <x:v>The software stack for Fuel cells for stationary applications requires databases, secure communications, version-controlled models, computing, backup and interfaces with field or operational systems.</x:v>
      </x:c>
      <x:c r="AF109" s="2" t="str">
        <x:v>For Fuel cells for stationary applications, software-related energy is electricity for sensing, computing, storage, communication and cooling; it is normally secondary but must be included for data-intensive or continuous services.</x:v>
      </x:c>
      <x:c r="AG109" s="2" t="str">
        <x:v>The non-physical inputs are calibrated data, metadata, algorithms, boundary conditions, emission or hazard factors, manuals and validation records specific to Fuel cells for stationary applications.</x:v>
      </x:c>
      <x:c r="AH109" s="2" t="str">
        <x:v>Software continuity for Fuel cells for stationary applications requires licences where applicable, updates, cybersecurity patches, backups, calibration files, model validation and technical support.</x:v>
      </x:c>
      <x:c r="AI109" s="2" t="str">
        <x:v>Orgware depends on the institutions, laboratories, training providers, regulators, operators and community interfaces needed to govern Fuel cells for stationary applications.</x:v>
      </x:c>
      <x:c r="AJ109" s="2" t="str">
        <x:v>The orgware supporting Fuel cells for stationary applications has mainly indirect energy use from offices, meetings, training and information systems; travel and field supervision may be material at dispersed sites.</x:v>
      </x:c>
      <x:c r="AK109" s="2" t="str">
        <x:v>Its organisational inputs are permits, budgets, trained staff, competence records, contracts, procedures, safeguards, monitoring evidence and stakeholder agreements tailored to Fuel cells for stationary applications.</x:v>
      </x:c>
      <x:c r="AL109" s="2" t="str">
        <x:v>Sustained implementation of Fuel cells for stationary applications requires procurement and service contracts, audit protocols, training material, reporting templates, insurance or guarantees and periodic independent review.</x:v>
      </x:c>
      <x:c r="AM109" s="2" t="str">
        <x:v>Iron ore / steel inputs; Copper; Tin; Platinum-group metals; Limestone / cement raw materials</x:v>
      </x:c>
      <x:c r="AN109" s="2" t="str">
        <x:v>Australia; Brazil; China; Chile; Democratic Republic of the Congo; Peru; Indonesia; Myanmar; South Africa; Russia; Zimbabwe; India; Vietnam</x:v>
      </x:c>
      <x:c r="AO109" s="2" t="str">
        <x:v>China; India; Japan; Chile; Democratic Republic of the Congo; Indonesia; Malaysia; South Africa; Russia; Germany; Vietnam</x:v>
      </x:c>
      <x:c r="AP109" s="2" t="str">
        <x:v>Fuel cells for stationary applications: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9" s="2" t="str">
        <x:v>2024–2025</x:v>
      </x:c>
      <x:c r="AR109" s="2" t="str">
        <x:v>https://pubs.usgs.gov/periodicals/mcs2026/mcs2026.pdf</x:v>
      </x:c>
    </x:row>
    <x:row r="110" ht="240" customHeight="1">
      <x:c r="A110" s="2" t="str">
        <x:v>MIT-0103</x:v>
      </x:c>
      <x:c r="B110" s="2" t="str">
        <x:v>Mitigation</x:v>
      </x:c>
      <x:c r="C110" s="2" t="str">
        <x:v>Renewable energy</x:v>
      </x:c>
      <x:c r="D110" s="2" t="str">
        <x:v>Renewable energy infrastructure</x:v>
      </x:c>
      <x:c r="E110" s="2" t="str">
        <x:v>Renewable energy resource mapping</x:v>
      </x:c>
      <x:c r="F110" s="2" t="str">
        <x:v>Renewable energy resource mapping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Renewable energy resource mapping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0" s="2" t="str">
        <x:v>Mixed: adaptable design, site-specific implementation</x:v>
      </x:c>
      <x:c r="H110" s="2" t="str">
        <x:v>Renewable energy resource mapping is adaptable in capacity and configuration but site-specific in final engineering. Its principle remains the same, but resource quality, climate, scale, interfaces and safety constraints must be recalculated for each deployment.</x:v>
      </x:c>
      <x:c r="I110" s="2" t="str">
        <x:v>Hard and soft</x:v>
      </x:c>
      <x:c r="J110" s="2" t="str">
        <x:v>Renewable energy resource mapping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0" s="2" t="str">
        <x:v>Operation and information service</x:v>
      </x:c>
      <x:c r="L110" s="2" t="str">
        <x:v>Renewable energy resource mapping is embodied mainly as an information and decision service. The deliverable is accepted only when measurable service, quality, safety and climate-performance criteria are met under real conditions.</x:v>
      </x:c>
      <x:c r="M110" s="2" t="str">
        <x:v>Yes, subject to life-cycle safeguards</x:v>
      </x:c>
      <x:c r="N110" s="2" t="str">
        <x:v>Renewable energy resource mapping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0" s="2" t="str">
        <x:v>Renewable energy resource mapping: resource collector or prime mover, generator or heat exchanger, support structure, power conversion, protection, metering and connection equipment.</x:v>
      </x:c>
      <x:c r="P110" s="2" t="str">
        <x:v>Renewable energy resource mapping: resource assessment, energy-yield modelling, forecasting, maximum-power or process control, dispatch, condition monitoring and maintenance planning.</x:v>
      </x:c>
      <x:c r="Q110" s="2" t="str">
        <x:v>Renewable energy resource mapping: resource and land or sea rights, environmental licensing, grid code, safety, community participation, revenue contract and decommissioning plan.</x:v>
      </x:c>
      <x:c r="R110" s="2" t="str">
        <x:v>Renewable energy resource mapping: foundations, access, electrical or thermal network, substation, control and communications, drainage and construction or marine logistics.</x:v>
      </x:c>
      <x:c r="S110" s="2" t="str">
        <x:v>Renewable energy resource mapping: the renewable resource is the primary input; auxiliary electricity, start-up fuel, pumping or thermal energy may be required depending on the design.</x:v>
      </x:c>
      <x:c r="T110" s="2" t="str">
        <x:v>Renewable energy resource mapping: steel, concrete, copper, aluminium, polymers, glass and technology-specific materials such as silicon, magnets, coatings, catalysts or working fluids.</x:v>
      </x:c>
      <x:c r="U110" s="2" t="str">
        <x:v>Renewable energy resource mapping: bearings, seals, filters, lubricants, sensors, converter parts, cables, fasteners, coatings and replaceable collector or heat-exchanger components.</x:v>
      </x:c>
      <x:c r="V110" s="2" t="str">
        <x:v>https://www.ctc-n.org/sites/default/files/resources/ctcn_taxonomy_0.pdf</x:v>
      </x:c>
      <x:c r="W110" s="2" t="str">
        <x:v>https://institutoagricoladepueblobello.edu.co/colegiapp/archivostemas/GUIA%209.%5B25%5D.pdf</x:v>
      </x:c>
      <x:c r="X110" s="2" t="str">
        <x:v>https://iiasa.ac.at/what-is-technology</x:v>
      </x:c>
      <x:c r="Y110" s="2" t="str">
        <x:v>https://www.ipcc.ch/report/ar6/wg3/chapter/chapter-6/; https://www.iea.org/data-and-statistics/data-tools/etp-clean-energy-technology-guide</x:v>
      </x:c>
      <x:c r="Z110" s="2" t="str">
        <x:v>Technology-specific analytical synthesis. The CTCN hierarchy is retained; classifications and component dependencies require validation against the selected design, site and supplier documentation before investment or policy use.</x:v>
      </x:c>
      <x:c r="AA110" s="2" t="str">
        <x:v>Physical deployment of Renewable energy resource mapping requires foundations, access, electrical or thermal network, substation, control and communications, drainage and construction or marine logistics; interfaces, foundations, access and environmental protection are sized to the specific resource and design load.</x:v>
      </x:c>
      <x:c r="AB110" s="2" t="str">
        <x:v>For Renewable energy resource mapping,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0" s="2" t="str">
        <x:v>Construction and operation use steel, concrete, copper, aluminium, polymers, glass and technology-specific materials such as silicon, magnets, coatings, catalysts or working fluids. For Renewable energy resource mapping, specifications must include durability, compatibility, recycled content and recoverability.</x:v>
      </x:c>
      <x:c r="AD110" s="2" t="str">
        <x:v>Maintenance of Renewable energy resource mapping depends on bearings, seals, filters, lubricants, sensors, converter parts, cables, fasteners, coatings and replaceable collector or heat-exchanger components; critical spares are selected from failure-mode, lead-time and safety analysis for its installed configuration.</x:v>
      </x:c>
      <x:c r="AE110" s="2" t="str">
        <x:v>The software stack for Renewable energy resource mapping requires databases, secure communications, version-controlled models, computing, backup and interfaces with field or operational systems.</x:v>
      </x:c>
      <x:c r="AF110" s="2" t="str">
        <x:v>For Renewable energy resource mapping, software-related energy is electricity for sensing, computing, storage, communication and cooling; it is normally secondary but must be included for data-intensive or continuous services.</x:v>
      </x:c>
      <x:c r="AG110" s="2" t="str">
        <x:v>The non-physical inputs are calibrated data, metadata, algorithms, boundary conditions, emission or hazard factors, manuals and validation records specific to Renewable energy resource mapping.</x:v>
      </x:c>
      <x:c r="AH110" s="2" t="str">
        <x:v>Software continuity for Renewable energy resource mapping requires licences where applicable, updates, cybersecurity patches, backups, calibration files, model validation and technical support.</x:v>
      </x:c>
      <x:c r="AI110" s="2" t="str">
        <x:v>Orgware depends on the institutions, laboratories, training providers, regulators, operators and community interfaces needed to govern Renewable energy resource mapping.</x:v>
      </x:c>
      <x:c r="AJ110" s="2" t="str">
        <x:v>The orgware supporting Renewable energy resource mapping has mainly indirect energy use from offices, meetings, training and information systems; travel and field supervision may be material at dispersed sites.</x:v>
      </x:c>
      <x:c r="AK110" s="2" t="str">
        <x:v>Its organisational inputs are permits, budgets, trained staff, competence records, contracts, procedures, safeguards, monitoring evidence and stakeholder agreements tailored to Renewable energy resource mapping.</x:v>
      </x:c>
      <x:c r="AL110" s="2" t="str">
        <x:v>Sustained implementation of Renewable energy resource mapping requires procurement and service contracts, audit protocols, training material, reporting templates, insurance or guarantees and periodic independent review.</x:v>
      </x:c>
      <x:c r="AM110" s="2" t="str">
        <x:v>Iron ore / steel inputs; Copper; Tin; Limestone / cement raw materials</x:v>
      </x:c>
      <x:c r="AN110" s="2" t="str">
        <x:v>Australia; Brazil; China; Chile; Democratic Republic of the Congo; Peru; Indonesia; Myanmar; India; Vietnam</x:v>
      </x:c>
      <x:c r="AO110" s="2" t="str">
        <x:v>China; India; Japan; Chile; Democratic Republic of the Congo; Indonesia; Malaysia; Vietnam</x:v>
      </x:c>
      <x:c r="AP110" s="2" t="str">
        <x:v>Renewable energy resource mapping: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0" s="2" t="str">
        <x:v>2024–2025</x:v>
      </x:c>
      <x:c r="AR110" s="2" t="str">
        <x:v>https://pubs.usgs.gov/periodicals/mcs2026/mcs2026.pdf</x:v>
      </x:c>
    </x:row>
    <x:row r="111" ht="240" customHeight="1">
      <x:c r="A111" s="2" t="str">
        <x:v>MIT-0104</x:v>
      </x:c>
      <x:c r="B111" s="2" t="str">
        <x:v>Mitigation</x:v>
      </x:c>
      <x:c r="C111" s="2" t="str">
        <x:v>Renewable energy</x:v>
      </x:c>
      <x:c r="D111" s="2" t="str">
        <x:v>Renewable energy infrastructure</x:v>
      </x:c>
      <x:c r="E111" s="2" t="str">
        <x:v>Grid integration for renewables</x:v>
      </x:c>
      <x:c r="F111" s="2" t="str">
        <x:v>Grid integration for renewables is a mitigation technology in the Renewable energy sector and the Renewable energy infrastructure technology group. It is defined as a combined hardware–software–orgware system that coordinates generation, storage, networks and demand in time and space to reduce losses, integrate variable renewables, manage peaks and preserve reliability. Grid integration for renewables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111" s="2" t="str">
        <x:v>Mixed: adaptable design, site-specific implementation</x:v>
      </x:c>
      <x:c r="H111" s="2" t="str">
        <x:v>Grid integration for renewables is adaptable in capacity and configuration but site-specific in final engineering. Its principle remains the same, but resource quality, climate, scale, interfaces and safety constraints must be recalculated for each deployment.</x:v>
      </x:c>
      <x:c r="I111" s="2" t="str">
        <x:v>Primarily hard, with a soft component</x:v>
      </x:c>
      <x:c r="J111" s="2" t="str">
        <x:v>Grid integration for renewables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111" s="2" t="str">
        <x:v>Equipment and operation</x:v>
      </x:c>
      <x:c r="L111" s="2" t="str">
        <x:v>Grid integration for renewables is embodied mainly as an equipment-and-operation system. The deliverable is accepted only when measurable service, quality, safety and climate-performance criteria are met under real conditions.</x:v>
      </x:c>
      <x:c r="M111" s="2" t="str">
        <x:v>Yes, subject to life-cycle safeguards</x:v>
      </x:c>
      <x:c r="N111" s="2" t="str">
        <x:v>Grid integration for renewables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111" s="2" t="str">
        <x:v>Grid integration for renewables: substations, conductors, transformers, switchgear, meters, protection relays, converters, storage interfaces, communications and control-centre equipment.</x:v>
      </x:c>
      <x:c r="P111" s="2" t="str">
        <x:v>Grid integration for renewables: load flow, state estimation, forecasting, optimal dispatch, protection coordination, demand response, cybersecurity and asset-health analytics.</x:v>
      </x:c>
      <x:c r="Q111" s="2" t="str">
        <x:v>Grid integration for renewables: grid codes, connection agreements, market rules, interoperability, data governance, system-operator procedures and cyber-incident response.</x:v>
      </x:c>
      <x:c r="R111" s="2" t="str">
        <x:v>Grid integration for renewables: generation and load connection points, distribution or transmission network, communications backbone, control centre, maintenance access and backup power.</x:v>
      </x:c>
      <x:c r="S111" s="2" t="str">
        <x:v>Grid integration for renewables: electricity for network operation, conversion, cooling and communications; losses and storage round-trip efficiency are explicit performance variables.</x:v>
      </x:c>
      <x:c r="T111" s="2" t="str">
        <x:v>Grid integration for renewables: copper or aluminium conductors, electrical steel, structural steel, concrete, polymers, semiconductors, insulation and battery materials where storage is included.</x:v>
      </x:c>
      <x:c r="U111" s="2" t="str">
        <x:v>Grid integration for renewables: breakers, fuses, relays, meters, sensors, communication modules, inverter parts, cooling equipment and transformer consumables.</x:v>
      </x:c>
      <x:c r="V111" s="2" t="str">
        <x:v>https://www.ctc-n.org/sites/default/files/resources/ctcn_taxonomy_0.pdf</x:v>
      </x:c>
      <x:c r="W111" s="2" t="str">
        <x:v>https://institutoagricoladepueblobello.edu.co/colegiapp/archivostemas/GUIA%209.%5B25%5D.pdf</x:v>
      </x:c>
      <x:c r="X111" s="2" t="str">
        <x:v>https://iiasa.ac.at/what-is-technology</x:v>
      </x:c>
      <x:c r="Y111" s="2" t="str">
        <x:v>https://www.ipcc.ch/report/ar6/wg3/chapter/chapter-6/; https://www.iea.org/data-and-statistics/data-tools/etp-clean-energy-technology-guide; https://docs.nrel.gov/docs/fy19osti/72586.pdf</x:v>
      </x:c>
      <x:c r="Z111" s="2" t="str">
        <x:v>Technology-specific analytical synthesis. The CTCN hierarchy is retained; classifications and component dependencies require validation against the selected design, site and supplier documentation before investment or policy use.</x:v>
      </x:c>
      <x:c r="AA111" s="2" t="str">
        <x:v>Physical deployment of Grid integration for renewables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111" s="2" t="str">
        <x:v>For Grid integration for renewables,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111" s="2" t="str">
        <x:v>Construction and operation use copper or aluminium conductors, electrical steel, structural steel, concrete, polymers, semiconductors, insulation and battery materials where storage is included. For Grid integration for renewables, specifications must include durability, compatibility, recycled content and recoverability.</x:v>
      </x:c>
      <x:c r="AD111" s="2" t="str">
        <x:v>Maintenance of Grid integration for renewables depends on breakers, fuses, relays, meters, sensors, communication modules, inverter parts, cooling equipment and transformer consumables; critical spares are selected from failure-mode, lead-time and safety analysis for its installed configuration.</x:v>
      </x:c>
      <x:c r="AE111" s="2" t="str">
        <x:v>The software stack for Grid integration for renewables requires databases, secure communications, version-controlled models, computing, backup and interfaces with field or operational systems.</x:v>
      </x:c>
      <x:c r="AF111" s="2" t="str">
        <x:v>For Grid integration for renewables, software-related energy is electricity for sensing, computing, storage, communication and cooling; it is normally secondary but must be included for data-intensive or continuous services.</x:v>
      </x:c>
      <x:c r="AG111" s="2" t="str">
        <x:v>The non-physical inputs are calibrated data, metadata, algorithms, boundary conditions, emission or hazard factors, manuals and validation records specific to Grid integration for renewables.</x:v>
      </x:c>
      <x:c r="AH111" s="2" t="str">
        <x:v>Software continuity for Grid integration for renewables requires licences where applicable, updates, cybersecurity patches, backups, calibration files, model validation and technical support.</x:v>
      </x:c>
      <x:c r="AI111" s="2" t="str">
        <x:v>Orgware depends on the institutions, laboratories, training providers, regulators, operators and community interfaces needed to govern Grid integration for renewables.</x:v>
      </x:c>
      <x:c r="AJ111" s="2" t="str">
        <x:v>The orgware supporting Grid integration for renewables has mainly indirect energy use from offices, meetings, training and information systems; travel and field supervision may be material at dispersed sites.</x:v>
      </x:c>
      <x:c r="AK111" s="2" t="str">
        <x:v>Its organisational inputs are permits, budgets, trained staff, competence records, contracts, procedures, safeguards, monitoring evidence and stakeholder agreements tailored to Grid integration for renewables.</x:v>
      </x:c>
      <x:c r="AL111" s="2" t="str">
        <x:v>Sustained implementation of Grid integration for renewables requires procurement and service contracts, audit protocols, training material, reporting templates, insurance or guarantees and periodic independent review.</x:v>
      </x:c>
      <x:c r="AM111" s="2" t="str">
        <x:v>Iron ore / steel inputs; Copper; Tin; Limestone / cement raw materials</x:v>
      </x:c>
      <x:c r="AN111" s="2" t="str">
        <x:v>Australia; Brazil; China; Chile; Democratic Republic of the Congo; Peru; Indonesia; Myanmar; India; Vietnam</x:v>
      </x:c>
      <x:c r="AO111" s="2" t="str">
        <x:v>China; India; Japan; Chile; Democratic Republic of the Congo; Indonesia; Malaysia; Vietnam</x:v>
      </x:c>
      <x:c r="AP111" s="2" t="str">
        <x:v>Grid integration for renewables: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1" s="2" t="str">
        <x:v>2024–2025</x:v>
      </x:c>
      <x:c r="AR111" s="2" t="str">
        <x:v>https://pubs.usgs.gov/periodicals/mcs2026/mcs2026.pdf</x:v>
      </x:c>
    </x:row>
    <x:row r="112" ht="240" customHeight="1">
      <x:c r="A112" s="2" t="str">
        <x:v>MIT-0105</x:v>
      </x:c>
      <x:c r="B112" s="2" t="str">
        <x:v>Mitigation</x:v>
      </x:c>
      <x:c r="C112" s="2" t="str">
        <x:v>Renewable energy</x:v>
      </x:c>
      <x:c r="D112" s="2" t="str">
        <x:v>Hydro</x:v>
      </x:c>
      <x:c r="E112" s="2" t="str">
        <x:v>Run-of-river hydropower</x:v>
      </x:c>
      <x:c r="F112" s="2" t="str">
        <x:v>Run-of-river hydropower is a mitigation technology in the Renewable energy sector and the Hydro technology group. It is defined as a combined hardware–software–orgware system that converts a renewable solar, wind, water, ocean, geothermal or chemical resource into electricity, heat or mechanical work while controlling variability and conversion losses. Run-of-river hydropower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2" s="2" t="str">
        <x:v>Primarily fixed</x:v>
      </x:c>
      <x:c r="H112" s="2" t="str">
        <x:v>Run-of-river hydropower is tied to long-lived, site-specific assets and design loads. Its principle remains the same, but resource quality, climate, scale, interfaces and safety constraints must be recalculated for each deployment.</x:v>
      </x:c>
      <x:c r="I112" s="2" t="str">
        <x:v>Primarily hard, with a soft component</x:v>
      </x:c>
      <x:c r="J112" s="2" t="str">
        <x:v>Run-of-river hydropower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2" s="2" t="str">
        <x:v>Equipment and operation</x:v>
      </x:c>
      <x:c r="L112" s="2" t="str">
        <x:v>Run-of-river hydropower is embodied mainly as an equipment-and-operation system. The deliverable is accepted only when measurable service, quality, safety and climate-performance criteria are met under real conditions.</x:v>
      </x:c>
      <x:c r="M112" s="2" t="str">
        <x:v>Yes, subject to life-cycle safeguards</x:v>
      </x:c>
      <x:c r="N112" s="2" t="str">
        <x:v>Run-of-river hydropower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2" s="2" t="str">
        <x:v>Run-of-river hydropower: resource collector or prime mover, generator or heat exchanger, support structure, power conversion, protection, metering and connection equipment.</x:v>
      </x:c>
      <x:c r="P112" s="2" t="str">
        <x:v>Run-of-river hydropower: resource assessment, energy-yield modelling, forecasting, maximum-power or process control, dispatch, condition monitoring and maintenance planning.</x:v>
      </x:c>
      <x:c r="Q112" s="2" t="str">
        <x:v>Run-of-river hydropower: resource and land or sea rights, environmental licensing, grid code, safety, community participation, revenue contract and decommissioning plan.</x:v>
      </x:c>
      <x:c r="R112" s="2" t="str">
        <x:v>Run-of-river hydropower: foundations, access, electrical or thermal network, substation, control and communications, drainage and construction or marine logistics.</x:v>
      </x:c>
      <x:c r="S112" s="2" t="str">
        <x:v>Run-of-river hydropower: the renewable resource is the primary input; auxiliary electricity, start-up fuel, pumping or thermal energy may be required depending on the design.</x:v>
      </x:c>
      <x:c r="T112" s="2" t="str">
        <x:v>Run-of-river hydropower: steel, concrete, copper, aluminium, polymers, glass and technology-specific materials such as silicon, magnets, coatings, catalysts or working fluids.</x:v>
      </x:c>
      <x:c r="U112" s="2" t="str">
        <x:v>Run-of-river hydropower: bearings, seals, filters, lubricants, sensors, converter parts, cables, fasteners, coatings and replaceable collector or heat-exchanger components.</x:v>
      </x:c>
      <x:c r="V112" s="2" t="str">
        <x:v>https://www.ctc-n.org/sites/default/files/resources/ctcn_taxonomy_0.pdf</x:v>
      </x:c>
      <x:c r="W112" s="2" t="str">
        <x:v>https://institutoagricoladepueblobello.edu.co/colegiapp/archivostemas/GUIA%209.%5B25%5D.pdf</x:v>
      </x:c>
      <x:c r="X112" s="2" t="str">
        <x:v>https://iiasa.ac.at/what-is-technology</x:v>
      </x:c>
      <x:c r="Y112" s="2" t="str">
        <x:v>https://www.ipcc.ch/report/ar6/wg3/chapter/chapter-6/; https://www.iea.org/data-and-statistics/data-tools/etp-clean-energy-technology-guide</x:v>
      </x:c>
      <x:c r="Z112" s="2" t="str">
        <x:v>Technology-specific analytical synthesis. The CTCN hierarchy is retained; classifications and component dependencies require validation against the selected design, site and supplier documentation before investment or policy use.</x:v>
      </x:c>
      <x:c r="AA112" s="2" t="str">
        <x:v>Physical deployment of Run-of-river hydropower requires foundations, access, electrical or thermal network, substation, control and communications, drainage and construction or marine logistics; interfaces, foundations, access and environmental protection are sized to the specific resource and design load.</x:v>
      </x:c>
      <x:c r="AB112" s="2" t="str">
        <x:v>For Run-of-river hydropower,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2" s="2" t="str">
        <x:v>Construction and operation use steel, concrete, copper, aluminium, polymers, glass and technology-specific materials such as silicon, magnets, coatings, catalysts or working fluids. For Run-of-river hydropower, specifications must include durability, compatibility, recycled content and recoverability.</x:v>
      </x:c>
      <x:c r="AD112" s="2" t="str">
        <x:v>Maintenance of Run-of-river hydropower depends on bearings, seals, filters, lubricants, sensors, converter parts, cables, fasteners, coatings and replaceable collector or heat-exchanger components; critical spares are selected from failure-mode, lead-time and safety analysis for its installed configuration.</x:v>
      </x:c>
      <x:c r="AE112" s="2" t="str">
        <x:v>The software stack for Run-of-river hydropower requires databases, secure communications, version-controlled models, computing, backup and interfaces with field or operational systems.</x:v>
      </x:c>
      <x:c r="AF112" s="2" t="str">
        <x:v>For Run-of-river hydropower, software-related energy is electricity for sensing, computing, storage, communication and cooling; it is normally secondary but must be included for data-intensive or continuous services.</x:v>
      </x:c>
      <x:c r="AG112" s="2" t="str">
        <x:v>The non-physical inputs are calibrated data, metadata, algorithms, boundary conditions, emission or hazard factors, manuals and validation records specific to Run-of-river hydropower.</x:v>
      </x:c>
      <x:c r="AH112" s="2" t="str">
        <x:v>Software continuity for Run-of-river hydropower requires licences where applicable, updates, cybersecurity patches, backups, calibration files, model validation and technical support.</x:v>
      </x:c>
      <x:c r="AI112" s="2" t="str">
        <x:v>Orgware depends on the institutions, laboratories, training providers, regulators, operators and community interfaces needed to govern Run-of-river hydropower.</x:v>
      </x:c>
      <x:c r="AJ112" s="2" t="str">
        <x:v>The orgware supporting Run-of-river hydropower has mainly indirect energy use from offices, meetings, training and information systems; travel and field supervision may be material at dispersed sites.</x:v>
      </x:c>
      <x:c r="AK112" s="2" t="str">
        <x:v>Its organisational inputs are permits, budgets, trained staff, competence records, contracts, procedures, safeguards, monitoring evidence and stakeholder agreements tailored to Run-of-river hydropower.</x:v>
      </x:c>
      <x:c r="AL112" s="2" t="str">
        <x:v>Sustained implementation of Run-of-river hydropower requires procurement and service contracts, audit protocols, training material, reporting templates, insurance or guarantees and periodic independent review.</x:v>
      </x:c>
      <x:c r="AM112" s="2" t="str">
        <x:v>Iron ore / steel inputs</x:v>
      </x:c>
      <x:c r="AN112" s="2" t="str">
        <x:v>Australia; Brazil; China</x:v>
      </x:c>
      <x:c r="AO112" s="2" t="str">
        <x:v>China; India; Japan</x:v>
      </x:c>
      <x:c r="AP112" s="2" t="str">
        <x:v>Run-of-river hydropower: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2" s="2" t="str">
        <x:v>2024–2025</x:v>
      </x:c>
      <x:c r="AR112" s="2" t="str">
        <x:v>https://pubs.usgs.gov/periodicals/mcs2026/mcs2026.pdf</x:v>
      </x:c>
    </x:row>
    <x:row r="113" ht="240" customHeight="1">
      <x:c r="A113" s="2" t="str">
        <x:v>MIT-0106</x:v>
      </x:c>
      <x:c r="B113" s="2" t="str">
        <x:v>Mitigation</x:v>
      </x:c>
      <x:c r="C113" s="2" t="str">
        <x:v>Renewable energy</x:v>
      </x:c>
      <x:c r="D113" s="2" t="str">
        <x:v>Ocean energy</x:v>
      </x:c>
      <x:c r="E113" s="2" t="str">
        <x:v>Osmotic power</x:v>
      </x:c>
      <x:c r="F113" s="2" t="str">
        <x:v>Osmotic power is a mitigation technology in the Renewable energy sector and the Ocean energy technology group. It is defined as a combined hardware–software–orgware system that converts a renewable solar, wind, water, ocean, geothermal or chemical resource into electricity, heat or mechanical work while controlling variability and conversion losses. Osmotic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3" s="2" t="str">
        <x:v>Mixed: adaptable design, site-specific implementation</x:v>
      </x:c>
      <x:c r="H113" s="2" t="str">
        <x:v>Osmotic power is adaptable in capacity and configuration but site-specific in final engineering. Its principle remains the same, but resource quality, climate, scale, interfaces and safety constraints must be recalculated for each deployment.</x:v>
      </x:c>
      <x:c r="I113" s="2" t="str">
        <x:v>Primarily hard, with a soft component</x:v>
      </x:c>
      <x:c r="J113" s="2" t="str">
        <x:v>Osmotic 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3" s="2" t="str">
        <x:v>Equipment and operation</x:v>
      </x:c>
      <x:c r="L113" s="2" t="str">
        <x:v>Osmotic power is embodied mainly as an equipment-and-operation system. The deliverable is accepted only when measurable service, quality, safety and climate-performance criteria are met under real conditions.</x:v>
      </x:c>
      <x:c r="M113" s="2" t="str">
        <x:v>Yes, subject to life-cycle safeguards</x:v>
      </x:c>
      <x:c r="N113" s="2" t="str">
        <x:v>Osmotic 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3" s="2" t="str">
        <x:v>Osmotic power: resource collector or prime mover, generator or heat exchanger, support structure, power conversion, protection, metering and connection equipment.</x:v>
      </x:c>
      <x:c r="P113" s="2" t="str">
        <x:v>Osmotic power: resource assessment, energy-yield modelling, forecasting, maximum-power or process control, dispatch, condition monitoring and maintenance planning.</x:v>
      </x:c>
      <x:c r="Q113" s="2" t="str">
        <x:v>Osmotic power: resource and land or sea rights, environmental licensing, grid code, safety, community participation, revenue contract and decommissioning plan.</x:v>
      </x:c>
      <x:c r="R113" s="2" t="str">
        <x:v>Osmotic power: foundations, access, electrical or thermal network, substation, control and communications, drainage and construction or marine logistics.</x:v>
      </x:c>
      <x:c r="S113" s="2" t="str">
        <x:v>Osmotic power: the renewable resource is the primary input; auxiliary electricity, start-up fuel, pumping or thermal energy may be required depending on the design.</x:v>
      </x:c>
      <x:c r="T113" s="2" t="str">
        <x:v>Osmotic power: steel, concrete, copper, aluminium, polymers, glass and technology-specific materials such as silicon, magnets, coatings, catalysts or working fluids.</x:v>
      </x:c>
      <x:c r="U113" s="2" t="str">
        <x:v>Osmotic power: bearings, seals, filters, lubricants, sensors, converter parts, cables, fasteners, coatings and replaceable collector or heat-exchanger components.</x:v>
      </x:c>
      <x:c r="V113" s="2" t="str">
        <x:v>https://www.ctc-n.org/sites/default/files/resources/ctcn_taxonomy_0.pdf</x:v>
      </x:c>
      <x:c r="W113" s="2" t="str">
        <x:v>https://institutoagricoladepueblobello.edu.co/colegiapp/archivostemas/GUIA%209.%5B25%5D.pdf</x:v>
      </x:c>
      <x:c r="X113" s="2" t="str">
        <x:v>https://iiasa.ac.at/what-is-technology</x:v>
      </x:c>
      <x:c r="Y113" s="2" t="str">
        <x:v>https://www.ipcc.ch/report/ar6/wg3/chapter/chapter-6/; https://www.iea.org/data-and-statistics/data-tools/etp-clean-energy-technology-guide</x:v>
      </x:c>
      <x:c r="Z113" s="2" t="str">
        <x:v>Technology-specific analytical synthesis. The CTCN hierarchy is retained; classifications and component dependencies require validation against the selected design, site and supplier documentation before investment or policy use.</x:v>
      </x:c>
      <x:c r="AA113" s="2" t="str">
        <x:v>Physical deployment of Osmotic power requires foundations, access, electrical or thermal network, substation, control and communications, drainage and construction or marine logistics; interfaces, foundations, access and environmental protection are sized to the specific resource and design load.</x:v>
      </x:c>
      <x:c r="AB113" s="2" t="str">
        <x:v>For Osmotic 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3" s="2" t="str">
        <x:v>Construction and operation use steel, concrete, copper, aluminium, polymers, glass and technology-specific materials such as silicon, magnets, coatings, catalysts or working fluids. For Osmotic power, specifications must include durability, compatibility, recycled content and recoverability.</x:v>
      </x:c>
      <x:c r="AD113" s="2" t="str">
        <x:v>Maintenance of Osmotic power depends on bearings, seals, filters, lubricants, sensors, converter parts, cables, fasteners, coatings and replaceable collector or heat-exchanger components; critical spares are selected from failure-mode, lead-time and safety analysis for its installed configuration.</x:v>
      </x:c>
      <x:c r="AE113" s="2" t="str">
        <x:v>The software stack for Osmotic power requires databases, secure communications, version-controlled models, computing, backup and interfaces with field or operational systems.</x:v>
      </x:c>
      <x:c r="AF113" s="2" t="str">
        <x:v>For Osmotic power, software-related energy is electricity for sensing, computing, storage, communication and cooling; it is normally secondary but must be included for data-intensive or continuous services.</x:v>
      </x:c>
      <x:c r="AG113" s="2" t="str">
        <x:v>The non-physical inputs are calibrated data, metadata, algorithms, boundary conditions, emission or hazard factors, manuals and validation records specific to Osmotic power.</x:v>
      </x:c>
      <x:c r="AH113" s="2" t="str">
        <x:v>Software continuity for Osmotic power requires licences where applicable, updates, cybersecurity patches, backups, calibration files, model validation and technical support.</x:v>
      </x:c>
      <x:c r="AI113" s="2" t="str">
        <x:v>Orgware depends on the institutions, laboratories, training providers, regulators, operators and community interfaces needed to govern Osmotic power.</x:v>
      </x:c>
      <x:c r="AJ113" s="2" t="str">
        <x:v>The orgware supporting Osmotic power has mainly indirect energy use from offices, meetings, training and information systems; travel and field supervision may be material at dispersed sites.</x:v>
      </x:c>
      <x:c r="AK113" s="2" t="str">
        <x:v>Its organisational inputs are permits, budgets, trained staff, competence records, contracts, procedures, safeguards, monitoring evidence and stakeholder agreements tailored to Osmotic power.</x:v>
      </x:c>
      <x:c r="AL113" s="2" t="str">
        <x:v>Sustained implementation of Osmotic power requires procurement and service contracts, audit protocols, training material, reporting templates, insurance or guarantees and periodic independent review.</x:v>
      </x:c>
      <x:c r="AM113" s="2" t="str">
        <x:v>Iron ore / steel inputs</x:v>
      </x:c>
      <x:c r="AN113" s="2" t="str">
        <x:v>Australia; Brazil; China</x:v>
      </x:c>
      <x:c r="AO113" s="2" t="str">
        <x:v>China; India; Japan</x:v>
      </x:c>
      <x:c r="AP113" s="2" t="str">
        <x:v>Osmotic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3" s="2" t="str">
        <x:v>2024–2025</x:v>
      </x:c>
      <x:c r="AR113" s="2" t="str">
        <x:v>https://pubs.usgs.gov/periodicals/mcs2026/mcs2026.pdf</x:v>
      </x:c>
    </x:row>
    <x:row r="114" ht="240" customHeight="1">
      <x:c r="A114" s="2" t="str">
        <x:v>MIT-0107</x:v>
      </x:c>
      <x:c r="B114" s="2" t="str">
        <x:v>Mitigation</x:v>
      </x:c>
      <x:c r="C114" s="2" t="str">
        <x:v>Renewable energy</x:v>
      </x:c>
      <x:c r="D114" s="2" t="str">
        <x:v>Ocean energy</x:v>
      </x:c>
      <x:c r="E114" s="2" t="str">
        <x:v>Ocean thermal energy conversion</x:v>
      </x:c>
      <x:c r="F114" s="2" t="str">
        <x:v>Ocean thermal energy conversion is a mitigation technology in the Renewable energy sector and the Ocean energy technology group. It is defined as a combined hardware–software–orgware system that converts a renewable solar, wind, water, ocean, geothermal or chemical resource into electricity, heat or mechanical work while controlling variability and conversion losses. Ocean thermal energy conversion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4" s="2" t="str">
        <x:v>Mixed: adaptable design, site-specific implementation</x:v>
      </x:c>
      <x:c r="H114" s="2" t="str">
        <x:v>Ocean thermal energy conversion is adaptable in capacity and configuration but site-specific in final engineering. Its principle remains the same, but resource quality, climate, scale, interfaces and safety constraints must be recalculated for each deployment.</x:v>
      </x:c>
      <x:c r="I114" s="2" t="str">
        <x:v>Primarily hard, with a soft component</x:v>
      </x:c>
      <x:c r="J114" s="2" t="str">
        <x:v>Ocean thermal energy conversion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4" s="2" t="str">
        <x:v>Equipment and operation</x:v>
      </x:c>
      <x:c r="L114" s="2" t="str">
        <x:v>Ocean thermal energy conversion is embodied mainly as an equipment-and-operation system. The deliverable is accepted only when measurable service, quality, safety and climate-performance criteria are met under real conditions.</x:v>
      </x:c>
      <x:c r="M114" s="2" t="str">
        <x:v>Yes, subject to life-cycle safeguards</x:v>
      </x:c>
      <x:c r="N114" s="2" t="str">
        <x:v>Ocean thermal energy conversion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4" s="2" t="str">
        <x:v>Ocean thermal energy conversion: resource collector or prime mover, generator or heat exchanger, support structure, power conversion, protection, metering and connection equipment.</x:v>
      </x:c>
      <x:c r="P114" s="2" t="str">
        <x:v>Ocean thermal energy conversion: resource assessment, energy-yield modelling, forecasting, maximum-power or process control, dispatch, condition monitoring and maintenance planning.</x:v>
      </x:c>
      <x:c r="Q114" s="2" t="str">
        <x:v>Ocean thermal energy conversion: resource and land or sea rights, environmental licensing, grid code, safety, community participation, revenue contract and decommissioning plan.</x:v>
      </x:c>
      <x:c r="R114" s="2" t="str">
        <x:v>Ocean thermal energy conversion: foundations, access, electrical or thermal network, substation, control and communications, drainage and construction or marine logistics.</x:v>
      </x:c>
      <x:c r="S114" s="2" t="str">
        <x:v>Ocean thermal energy conversion: the renewable resource is the primary input; auxiliary electricity, start-up fuel, pumping or thermal energy may be required depending on the design.</x:v>
      </x:c>
      <x:c r="T114" s="2" t="str">
        <x:v>Ocean thermal energy conversion: steel, concrete, copper, aluminium, polymers, glass and technology-specific materials such as silicon, magnets, coatings, catalysts or working fluids.</x:v>
      </x:c>
      <x:c r="U114" s="2" t="str">
        <x:v>Ocean thermal energy conversion: bearings, seals, filters, lubricants, sensors, converter parts, cables, fasteners, coatings and replaceable collector or heat-exchanger components.</x:v>
      </x:c>
      <x:c r="V114" s="2" t="str">
        <x:v>https://www.ctc-n.org/sites/default/files/resources/ctcn_taxonomy_0.pdf</x:v>
      </x:c>
      <x:c r="W114" s="2" t="str">
        <x:v>https://institutoagricoladepueblobello.edu.co/colegiapp/archivostemas/GUIA%209.%5B25%5D.pdf</x:v>
      </x:c>
      <x:c r="X114" s="2" t="str">
        <x:v>https://iiasa.ac.at/what-is-technology</x:v>
      </x:c>
      <x:c r="Y114" s="2" t="str">
        <x:v>https://www.ipcc.ch/report/ar6/wg3/chapter/chapter-6/; https://www.iea.org/data-and-statistics/data-tools/etp-clean-energy-technology-guide</x:v>
      </x:c>
      <x:c r="Z114" s="2" t="str">
        <x:v>Technology-specific analytical synthesis. The CTCN hierarchy is retained; classifications and component dependencies require validation against the selected design, site and supplier documentation before investment or policy use.</x:v>
      </x:c>
      <x:c r="AA114" s="2" t="str">
        <x:v>Physical deployment of Ocean thermal energy conversion requires foundations, access, electrical or thermal network, substation, control and communications, drainage and construction or marine logistics; interfaces, foundations, access and environmental protection are sized to the specific resource and design load.</x:v>
      </x:c>
      <x:c r="AB114" s="2" t="str">
        <x:v>For Ocean thermal energy conversion,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4" s="2" t="str">
        <x:v>Construction and operation use steel, concrete, copper, aluminium, polymers, glass and technology-specific materials such as silicon, magnets, coatings, catalysts or working fluids. For Ocean thermal energy conversion, specifications must include durability, compatibility, recycled content and recoverability.</x:v>
      </x:c>
      <x:c r="AD114" s="2" t="str">
        <x:v>Maintenance of Ocean thermal energy conversion depends on bearings, seals, filters, lubricants, sensors, converter parts, cables, fasteners, coatings and replaceable collector or heat-exchanger components; critical spares are selected from failure-mode, lead-time and safety analysis for its installed configuration.</x:v>
      </x:c>
      <x:c r="AE114" s="2" t="str">
        <x:v>The software stack for Ocean thermal energy conversion requires databases, secure communications, version-controlled models, computing, backup and interfaces with field or operational systems.</x:v>
      </x:c>
      <x:c r="AF114" s="2" t="str">
        <x:v>For Ocean thermal energy conversion, software-related energy is electricity for sensing, computing, storage, communication and cooling; it is normally secondary but must be included for data-intensive or continuous services.</x:v>
      </x:c>
      <x:c r="AG114" s="2" t="str">
        <x:v>The non-physical inputs are calibrated data, metadata, algorithms, boundary conditions, emission or hazard factors, manuals and validation records specific to Ocean thermal energy conversion.</x:v>
      </x:c>
      <x:c r="AH114" s="2" t="str">
        <x:v>Software continuity for Ocean thermal energy conversion requires licences where applicable, updates, cybersecurity patches, backups, calibration files, model validation and technical support.</x:v>
      </x:c>
      <x:c r="AI114" s="2" t="str">
        <x:v>Orgware depends on the institutions, laboratories, training providers, regulators, operators and community interfaces needed to govern Ocean thermal energy conversion.</x:v>
      </x:c>
      <x:c r="AJ114" s="2" t="str">
        <x:v>The orgware supporting Ocean thermal energy conversion has mainly indirect energy use from offices, meetings, training and information systems; travel and field supervision may be material at dispersed sites.</x:v>
      </x:c>
      <x:c r="AK114" s="2" t="str">
        <x:v>Its organisational inputs are permits, budgets, trained staff, competence records, contracts, procedures, safeguards, monitoring evidence and stakeholder agreements tailored to Ocean thermal energy conversion.</x:v>
      </x:c>
      <x:c r="AL114" s="2" t="str">
        <x:v>Sustained implementation of Ocean thermal energy conversion requires procurement and service contracts, audit protocols, training material, reporting templates, insurance or guarantees and periodic independent review.</x:v>
      </x:c>
      <x:c r="AM114" s="2" t="str">
        <x:v>Iron ore / steel inputs</x:v>
      </x:c>
      <x:c r="AN114" s="2" t="str">
        <x:v>Australia; Brazil; China</x:v>
      </x:c>
      <x:c r="AO114" s="2" t="str">
        <x:v>China; India; Japan</x:v>
      </x:c>
      <x:c r="AP114" s="2" t="str">
        <x:v>Ocean thermal energy conversion: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4" s="2" t="str">
        <x:v>2024–2025</x:v>
      </x:c>
      <x:c r="AR114" s="2" t="str">
        <x:v>https://pubs.usgs.gov/periodicals/mcs2026/mcs2026.pdf</x:v>
      </x:c>
    </x:row>
    <x:row r="115" ht="240" customHeight="1">
      <x:c r="A115" s="2" t="str">
        <x:v>MIT-0108</x:v>
      </x:c>
      <x:c r="B115" s="2" t="str">
        <x:v>Mitigation</x:v>
      </x:c>
      <x:c r="C115" s="2" t="str">
        <x:v>Renewable energy</x:v>
      </x:c>
      <x:c r="D115" s="2" t="str">
        <x:v>Ocean energy</x:v>
      </x:c>
      <x:c r="E115" s="2" t="str">
        <x:v>Wave energy</x:v>
      </x:c>
      <x:c r="F115" s="2" t="str">
        <x:v>Wave energy is a mitigation technology in the Renewable energy sector and the Ocean energy technology group. It is defined as a combined hardware–software–orgware system that converts a renewable solar, wind, water, ocean, geothermal or chemical resource into electricity, heat or mechanical work while controlling variability and conversion losses. Wave energy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5" s="2" t="str">
        <x:v>Mixed: adaptable design, site-specific implementation</x:v>
      </x:c>
      <x:c r="H115" s="2" t="str">
        <x:v>Wave energy is adaptable in capacity and configuration but site-specific in final engineering. Its principle remains the same, but resource quality, climate, scale, interfaces and safety constraints must be recalculated for each deployment.</x:v>
      </x:c>
      <x:c r="I115" s="2" t="str">
        <x:v>Primarily hard, with a soft component</x:v>
      </x:c>
      <x:c r="J115" s="2" t="str">
        <x:v>Wave energy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5" s="2" t="str">
        <x:v>Equipment and operation</x:v>
      </x:c>
      <x:c r="L115" s="2" t="str">
        <x:v>Wave energy is embodied mainly as an equipment-and-operation system. The deliverable is accepted only when measurable service, quality, safety and climate-performance criteria are met under real conditions.</x:v>
      </x:c>
      <x:c r="M115" s="2" t="str">
        <x:v>Yes, subject to life-cycle safeguards</x:v>
      </x:c>
      <x:c r="N115" s="2" t="str">
        <x:v>Wave energy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5" s="2" t="str">
        <x:v>Wave energy: resource collector or prime mover, generator or heat exchanger, support structure, power conversion, protection, metering and connection equipment.</x:v>
      </x:c>
      <x:c r="P115" s="2" t="str">
        <x:v>Wave energy: resource assessment, energy-yield modelling, forecasting, maximum-power or process control, dispatch, condition monitoring and maintenance planning.</x:v>
      </x:c>
      <x:c r="Q115" s="2" t="str">
        <x:v>Wave energy: resource and land or sea rights, environmental licensing, grid code, safety, community participation, revenue contract and decommissioning plan.</x:v>
      </x:c>
      <x:c r="R115" s="2" t="str">
        <x:v>Wave energy: foundations, access, electrical or thermal network, substation, control and communications, drainage and construction or marine logistics.</x:v>
      </x:c>
      <x:c r="S115" s="2" t="str">
        <x:v>Wave energy: the renewable resource is the primary input; auxiliary electricity, start-up fuel, pumping or thermal energy may be required depending on the design.</x:v>
      </x:c>
      <x:c r="T115" s="2" t="str">
        <x:v>Wave energy: steel, concrete, copper, aluminium, polymers, glass and technology-specific materials such as silicon, magnets, coatings, catalysts or working fluids.</x:v>
      </x:c>
      <x:c r="U115" s="2" t="str">
        <x:v>Wave energy: bearings, seals, filters, lubricants, sensors, converter parts, cables, fasteners, coatings and replaceable collector or heat-exchanger components.</x:v>
      </x:c>
      <x:c r="V115" s="2" t="str">
        <x:v>https://www.ctc-n.org/sites/default/files/resources/ctcn_taxonomy_0.pdf</x:v>
      </x:c>
      <x:c r="W115" s="2" t="str">
        <x:v>https://institutoagricoladepueblobello.edu.co/colegiapp/archivostemas/GUIA%209.%5B25%5D.pdf</x:v>
      </x:c>
      <x:c r="X115" s="2" t="str">
        <x:v>https://iiasa.ac.at/what-is-technology</x:v>
      </x:c>
      <x:c r="Y115" s="2" t="str">
        <x:v>https://www.ipcc.ch/report/ar6/wg3/chapter/chapter-6/; https://www.iea.org/data-and-statistics/data-tools/etp-clean-energy-technology-guide</x:v>
      </x:c>
      <x:c r="Z115" s="2" t="str">
        <x:v>Technology-specific analytical synthesis. The CTCN hierarchy is retained; classifications and component dependencies require validation against the selected design, site and supplier documentation before investment or policy use.</x:v>
      </x:c>
      <x:c r="AA115" s="2" t="str">
        <x:v>Physical deployment of Wave energy requires foundations, access, electrical or thermal network, substation, control and communications, drainage and construction or marine logistics; interfaces, foundations, access and environmental protection are sized to the specific resource and design load.</x:v>
      </x:c>
      <x:c r="AB115" s="2" t="str">
        <x:v>For Wave energy,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5" s="2" t="str">
        <x:v>Construction and operation use steel, concrete, copper, aluminium, polymers, glass and technology-specific materials such as silicon, magnets, coatings, catalysts or working fluids. For Wave energy, specifications must include durability, compatibility, recycled content and recoverability.</x:v>
      </x:c>
      <x:c r="AD115" s="2" t="str">
        <x:v>Maintenance of Wave energy depends on bearings, seals, filters, lubricants, sensors, converter parts, cables, fasteners, coatings and replaceable collector or heat-exchanger components; critical spares are selected from failure-mode, lead-time and safety analysis for its installed configuration.</x:v>
      </x:c>
      <x:c r="AE115" s="2" t="str">
        <x:v>The software stack for Wave energy requires databases, secure communications, version-controlled models, computing, backup and interfaces with field or operational systems.</x:v>
      </x:c>
      <x:c r="AF115" s="2" t="str">
        <x:v>For Wave energy, software-related energy is electricity for sensing, computing, storage, communication and cooling; it is normally secondary but must be included for data-intensive or continuous services.</x:v>
      </x:c>
      <x:c r="AG115" s="2" t="str">
        <x:v>The non-physical inputs are calibrated data, metadata, algorithms, boundary conditions, emission or hazard factors, manuals and validation records specific to Wave energy.</x:v>
      </x:c>
      <x:c r="AH115" s="2" t="str">
        <x:v>Software continuity for Wave energy requires licences where applicable, updates, cybersecurity patches, backups, calibration files, model validation and technical support.</x:v>
      </x:c>
      <x:c r="AI115" s="2" t="str">
        <x:v>Orgware depends on the institutions, laboratories, training providers, regulators, operators and community interfaces needed to govern Wave energy.</x:v>
      </x:c>
      <x:c r="AJ115" s="2" t="str">
        <x:v>The orgware supporting Wave energy has mainly indirect energy use from offices, meetings, training and information systems; travel and field supervision may be material at dispersed sites.</x:v>
      </x:c>
      <x:c r="AK115" s="2" t="str">
        <x:v>Its organisational inputs are permits, budgets, trained staff, competence records, contracts, procedures, safeguards, monitoring evidence and stakeholder agreements tailored to Wave energy.</x:v>
      </x:c>
      <x:c r="AL115" s="2" t="str">
        <x:v>Sustained implementation of Wave energy requires procurement and service contracts, audit protocols, training material, reporting templates, insurance or guarantees and periodic independent review.</x:v>
      </x:c>
      <x:c r="AM115" s="2" t="str">
        <x:v>Iron ore / steel inputs</x:v>
      </x:c>
      <x:c r="AN115" s="2" t="str">
        <x:v>Australia; Brazil; China</x:v>
      </x:c>
      <x:c r="AO115" s="2" t="str">
        <x:v>China; India; Japan</x:v>
      </x:c>
      <x:c r="AP115" s="2" t="str">
        <x:v>Wave energy: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5" s="2" t="str">
        <x:v>2024–2025</x:v>
      </x:c>
      <x:c r="AR115" s="2" t="str">
        <x:v>https://pubs.usgs.gov/periodicals/mcs2026/mcs2026.pdf</x:v>
      </x:c>
    </x:row>
    <x:row r="116" ht="240" customHeight="1">
      <x:c r="A116" s="2" t="str">
        <x:v>MIT-0109</x:v>
      </x:c>
      <x:c r="B116" s="2" t="str">
        <x:v>Mitigation</x:v>
      </x:c>
      <x:c r="C116" s="2" t="str">
        <x:v>Renewable energy</x:v>
      </x:c>
      <x:c r="D116" s="2" t="str">
        <x:v>Ocean energy</x:v>
      </x:c>
      <x:c r="E116" s="2" t="str">
        <x:v>Tidal energy</x:v>
      </x:c>
      <x:c r="F116" s="2" t="str">
        <x:v>Tidal energy is a mitigation technology in the Renewable energy sector and the Ocean energy technology group. It is defined as a combined hardware–software–orgware system that converts a renewable solar, wind, water, ocean, geothermal or chemical resource into electricity, heat or mechanical work while controlling variability and conversion losses. Tidal energy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6" s="2" t="str">
        <x:v>Mixed: adaptable design, site-specific implementation</x:v>
      </x:c>
      <x:c r="H116" s="2" t="str">
        <x:v>Tidal energy is adaptable in capacity and configuration but site-specific in final engineering. Its principle remains the same, but resource quality, climate, scale, interfaces and safety constraints must be recalculated for each deployment.</x:v>
      </x:c>
      <x:c r="I116" s="2" t="str">
        <x:v>Primarily hard, with a soft component</x:v>
      </x:c>
      <x:c r="J116" s="2" t="str">
        <x:v>Tidal energy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6" s="2" t="str">
        <x:v>Equipment and operation</x:v>
      </x:c>
      <x:c r="L116" s="2" t="str">
        <x:v>Tidal energy is embodied mainly as an equipment-and-operation system. The deliverable is accepted only when measurable service, quality, safety and climate-performance criteria are met under real conditions.</x:v>
      </x:c>
      <x:c r="M116" s="2" t="str">
        <x:v>Yes, subject to life-cycle safeguards</x:v>
      </x:c>
      <x:c r="N116" s="2" t="str">
        <x:v>Tidal energy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6" s="2" t="str">
        <x:v>Tidal energy: resource collector or prime mover, generator or heat exchanger, support structure, power conversion, protection, metering and connection equipment.</x:v>
      </x:c>
      <x:c r="P116" s="2" t="str">
        <x:v>Tidal energy: resource assessment, energy-yield modelling, forecasting, maximum-power or process control, dispatch, condition monitoring and maintenance planning.</x:v>
      </x:c>
      <x:c r="Q116" s="2" t="str">
        <x:v>Tidal energy: resource and land or sea rights, environmental licensing, grid code, safety, community participation, revenue contract and decommissioning plan.</x:v>
      </x:c>
      <x:c r="R116" s="2" t="str">
        <x:v>Tidal energy: foundations, access, electrical or thermal network, substation, control and communications, drainage and construction or marine logistics.</x:v>
      </x:c>
      <x:c r="S116" s="2" t="str">
        <x:v>Tidal energy: the renewable resource is the primary input; auxiliary electricity, start-up fuel, pumping or thermal energy may be required depending on the design.</x:v>
      </x:c>
      <x:c r="T116" s="2" t="str">
        <x:v>Tidal energy: steel, concrete, copper, aluminium, polymers, glass and technology-specific materials such as silicon, magnets, coatings, catalysts or working fluids.</x:v>
      </x:c>
      <x:c r="U116" s="2" t="str">
        <x:v>Tidal energy: bearings, seals, filters, lubricants, sensors, converter parts, cables, fasteners, coatings and replaceable collector or heat-exchanger components.</x:v>
      </x:c>
      <x:c r="V116" s="2" t="str">
        <x:v>https://www.ctc-n.org/sites/default/files/resources/ctcn_taxonomy_0.pdf</x:v>
      </x:c>
      <x:c r="W116" s="2" t="str">
        <x:v>https://institutoagricoladepueblobello.edu.co/colegiapp/archivostemas/GUIA%209.%5B25%5D.pdf</x:v>
      </x:c>
      <x:c r="X116" s="2" t="str">
        <x:v>https://iiasa.ac.at/what-is-technology</x:v>
      </x:c>
      <x:c r="Y116" s="2" t="str">
        <x:v>https://www.ipcc.ch/report/ar6/wg3/chapter/chapter-6/; https://www.iea.org/data-and-statistics/data-tools/etp-clean-energy-technology-guide</x:v>
      </x:c>
      <x:c r="Z116" s="2" t="str">
        <x:v>Technology-specific analytical synthesis. The CTCN hierarchy is retained; classifications and component dependencies require validation against the selected design, site and supplier documentation before investment or policy use.</x:v>
      </x:c>
      <x:c r="AA116" s="2" t="str">
        <x:v>Physical deployment of Tidal energy requires foundations, access, electrical or thermal network, substation, control and communications, drainage and construction or marine logistics; interfaces, foundations, access and environmental protection are sized to the specific resource and design load.</x:v>
      </x:c>
      <x:c r="AB116" s="2" t="str">
        <x:v>For Tidal energy,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6" s="2" t="str">
        <x:v>Construction and operation use steel, concrete, copper, aluminium, polymers, glass and technology-specific materials such as silicon, magnets, coatings, catalysts or working fluids. For Tidal energy, specifications must include durability, compatibility, recycled content and recoverability.</x:v>
      </x:c>
      <x:c r="AD116" s="2" t="str">
        <x:v>Maintenance of Tidal energy depends on bearings, seals, filters, lubricants, sensors, converter parts, cables, fasteners, coatings and replaceable collector or heat-exchanger components; critical spares are selected from failure-mode, lead-time and safety analysis for its installed configuration.</x:v>
      </x:c>
      <x:c r="AE116" s="2" t="str">
        <x:v>The software stack for Tidal energy requires databases, secure communications, version-controlled models, computing, backup and interfaces with field or operational systems.</x:v>
      </x:c>
      <x:c r="AF116" s="2" t="str">
        <x:v>For Tidal energy, software-related energy is electricity for sensing, computing, storage, communication and cooling; it is normally secondary but must be included for data-intensive or continuous services.</x:v>
      </x:c>
      <x:c r="AG116" s="2" t="str">
        <x:v>The non-physical inputs are calibrated data, metadata, algorithms, boundary conditions, emission or hazard factors, manuals and validation records specific to Tidal energy.</x:v>
      </x:c>
      <x:c r="AH116" s="2" t="str">
        <x:v>Software continuity for Tidal energy requires licences where applicable, updates, cybersecurity patches, backups, calibration files, model validation and technical support.</x:v>
      </x:c>
      <x:c r="AI116" s="2" t="str">
        <x:v>Orgware depends on the institutions, laboratories, training providers, regulators, operators and community interfaces needed to govern Tidal energy.</x:v>
      </x:c>
      <x:c r="AJ116" s="2" t="str">
        <x:v>The orgware supporting Tidal energy has mainly indirect energy use from offices, meetings, training and information systems; travel and field supervision may be material at dispersed sites.</x:v>
      </x:c>
      <x:c r="AK116" s="2" t="str">
        <x:v>Its organisational inputs are permits, budgets, trained staff, competence records, contracts, procedures, safeguards, monitoring evidence and stakeholder agreements tailored to Tidal energy.</x:v>
      </x:c>
      <x:c r="AL116" s="2" t="str">
        <x:v>Sustained implementation of Tidal energy requires procurement and service contracts, audit protocols, training material, reporting templates, insurance or guarantees and periodic independent review.</x:v>
      </x:c>
      <x:c r="AM116" s="2" t="str">
        <x:v>Iron ore / steel inputs</x:v>
      </x:c>
      <x:c r="AN116" s="2" t="str">
        <x:v>Australia; Brazil; China</x:v>
      </x:c>
      <x:c r="AO116" s="2" t="str">
        <x:v>China; India; Japan</x:v>
      </x:c>
      <x:c r="AP116" s="2" t="str">
        <x:v>Tidal energy: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6" s="2" t="str">
        <x:v>2024–2025</x:v>
      </x:c>
      <x:c r="AR116" s="2" t="str">
        <x:v>https://pubs.usgs.gov/periodicals/mcs2026/mcs2026.pdf</x:v>
      </x:c>
    </x:row>
    <x:row r="117" ht="240" customHeight="1">
      <x:c r="A117" s="2" t="str">
        <x:v>MIT-0110</x:v>
      </x:c>
      <x:c r="B117" s="2" t="str">
        <x:v>Mitigation</x:v>
      </x:c>
      <x:c r="C117" s="2" t="str">
        <x:v>Renewable energy</x:v>
      </x:c>
      <x:c r="D117" s="2" t="str">
        <x:v>Wind</x:v>
      </x:c>
      <x:c r="E117" s="2" t="str">
        <x:v>On-shore wind</x:v>
      </x:c>
      <x:c r="F117" s="2" t="str">
        <x:v>On-shore wind is a mitigation technology in the Renewable energy sector and the Wind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7" s="2" t="str">
        <x:v>Mixed: adaptable design, site-specific implementation</x:v>
      </x:c>
      <x:c r="H117" s="2" t="str">
        <x:v>On-shore wind is adaptable in capacity and configuration but site-specific in final engineering. Its principle remains the same, but resource quality, climate, scale, interfaces and safety constraints must be recalculated for each deployment.</x:v>
      </x:c>
      <x:c r="I117" s="2" t="str">
        <x:v>Primarily hard, with a soft component</x:v>
      </x:c>
      <x:c r="J117" s="2" t="str">
        <x:v>On-shore wind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7" s="2" t="str">
        <x:v>Equipment and operation</x:v>
      </x:c>
      <x:c r="L117" s="2" t="str">
        <x:v>On-shore wind is embodied mainly as an equipment-and-operation system. The deliverable is accepted only when measurable service, quality, safety and climate-performance criteria are met under real conditions.</x:v>
      </x:c>
      <x:c r="M117" s="2" t="str">
        <x:v>Yes, subject to life-cycle safeguards</x:v>
      </x:c>
      <x:c r="N117" s="2" t="str">
        <x:v>On-shore wind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7" s="2" t="str">
        <x:v>On-shore wind: resource collector or prime mover, generator or heat exchanger, support structure, power conversion, protection, metering and connection equipment.</x:v>
      </x:c>
      <x:c r="P117" s="2" t="str">
        <x:v>On-shore wind: resource assessment, energy-yield modelling, forecasting, maximum-power or process control, dispatch, condition monitoring and maintenance planning.</x:v>
      </x:c>
      <x:c r="Q117" s="2" t="str">
        <x:v>On-shore wind: resource and land or sea rights, environmental licensing, grid code, safety, community participation, revenue contract and decommissioning plan.</x:v>
      </x:c>
      <x:c r="R117" s="2" t="str">
        <x:v>On-shore wind: foundations, access, electrical or thermal network, substation, control and communications, drainage and construction or marine logistics.</x:v>
      </x:c>
      <x:c r="S117" s="2" t="str">
        <x:v>On-shore wind: the renewable resource is the primary input; auxiliary electricity, start-up fuel, pumping or thermal energy may be required depending on the design.</x:v>
      </x:c>
      <x:c r="T117" s="2" t="str">
        <x:v>On-shore wind: steel, concrete, copper, aluminium, polymers, glass and technology-specific materials such as silicon, magnets, coatings, catalysts or working fluids.</x:v>
      </x:c>
      <x:c r="U117" s="2" t="str">
        <x:v>On-shore wind: bearings, seals, filters, lubricants, sensors, converter parts, cables, fasteners, coatings and replaceable collector or heat-exchanger components.</x:v>
      </x:c>
      <x:c r="V117" s="2" t="str">
        <x:v>https://www.ctc-n.org/sites/default/files/resources/ctcn_taxonomy_0.pdf</x:v>
      </x:c>
      <x:c r="W117" s="2" t="str">
        <x:v>https://institutoagricoladepueblobello.edu.co/colegiapp/archivostemas/GUIA%209.%5B25%5D.pdf</x:v>
      </x:c>
      <x:c r="X117" s="2" t="str">
        <x:v>https://iiasa.ac.at/what-is-technology</x:v>
      </x:c>
      <x:c r="Y117" s="2" t="str">
        <x:v>https://www.ipcc.ch/report/ar6/wg3/chapter/chapter-6/; https://www.iea.org/data-and-statistics/data-tools/etp-clean-energy-technology-guide</x:v>
      </x:c>
      <x:c r="Z117" s="2" t="str">
        <x:v>Technology-specific analytical synthesis. The CTCN hierarchy is retained; classifications and component dependencies require validation against the selected design, site and supplier documentation before investment or policy use.</x:v>
      </x:c>
      <x:c r="AA117" s="2" t="str">
        <x:v>Physical deployment of On-shore wind requires foundations, access, electrical or thermal network, substation, control and communications, drainage and construction or marine logistics; interfaces, foundations, access and environmental protection are sized to the specific resource and design load.</x:v>
      </x:c>
      <x:c r="AB117" s="2" t="str">
        <x:v>For On-shore wind,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7" s="2" t="str">
        <x:v>Construction and operation use steel, concrete, copper, aluminium, polymers, glass and technology-specific materials such as silicon, magnets, coatings, catalysts or working fluids. For On-shore wind, specifications must include durability, compatibility, recycled content and recoverability.</x:v>
      </x:c>
      <x:c r="AD117" s="2" t="str">
        <x:v>Maintenance of On-shore wind depends on bearings, seals, filters, lubricants, sensors, converter parts, cables, fasteners, coatings and replaceable collector or heat-exchanger components; critical spares are selected from failure-mode, lead-time and safety analysis for its installed configuration.</x:v>
      </x:c>
      <x:c r="AE117" s="2" t="str">
        <x:v>The software stack for On-shore wind requires databases, secure communications, version-controlled models, computing, backup and interfaces with field or operational systems.</x:v>
      </x:c>
      <x:c r="AF117" s="2" t="str">
        <x:v>For On-shore wind, software-related energy is electricity for sensing, computing, storage, communication and cooling; it is normally secondary but must be included for data-intensive or continuous services.</x:v>
      </x:c>
      <x:c r="AG117" s="2" t="str">
        <x:v>The non-physical inputs are calibrated data, metadata, algorithms, boundary conditions, emission or hazard factors, manuals and validation records specific to On-shore wind.</x:v>
      </x:c>
      <x:c r="AH117" s="2" t="str">
        <x:v>Software continuity for On-shore wind requires licences where applicable, updates, cybersecurity patches, backups, calibration files, model validation and technical support.</x:v>
      </x:c>
      <x:c r="AI117" s="2" t="str">
        <x:v>Orgware depends on the institutions, laboratories, training providers, regulators, operators and community interfaces needed to govern On-shore wind.</x:v>
      </x:c>
      <x:c r="AJ117" s="2" t="str">
        <x:v>The orgware supporting On-shore wind has mainly indirect energy use from offices, meetings, training and information systems; travel and field supervision may be material at dispersed sites.</x:v>
      </x:c>
      <x:c r="AK117" s="2" t="str">
        <x:v>Its organisational inputs are permits, budgets, trained staff, competence records, contracts, procedures, safeguards, monitoring evidence and stakeholder agreements tailored to On-shore wind.</x:v>
      </x:c>
      <x:c r="AL117" s="2" t="str">
        <x:v>Sustained implementation of On-shore wind requires procurement and service contracts, audit protocols, training material, reporting templates, insurance or guarantees and periodic independent review.</x:v>
      </x:c>
      <x:c r="AM117" s="2" t="str">
        <x:v>Iron ore / steel inputs; Copper; Tin; Rare earth elements; Zinc; Bauxite / aluminium</x:v>
      </x:c>
      <x:c r="AN117" s="2" t="str">
        <x:v>Australia; Brazil; China; Chile; Democratic Republic of the Congo; Peru; Indonesia; Myanmar; United States; Guinea</x:v>
      </x:c>
      <x:c r="AO117" s="2" t="str">
        <x:v>China; India; Japan; Chile; Democratic Republic of the Congo; Indonesia; Malaysia; Estonia; South Korea; Russia</x:v>
      </x:c>
      <x:c r="AP117" s="2" t="str">
        <x:v>On-shore wind: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7" s="2" t="str">
        <x:v>2024–2025</x:v>
      </x:c>
      <x:c r="AR117" s="2" t="str">
        <x:v>https://pubs.usgs.gov/periodicals/mcs2026/mcs2026.pdf; https://www.iea.org/reports/global-critical-minerals-outlook-2025</x:v>
      </x:c>
    </x:row>
    <x:row r="118" ht="240" customHeight="1">
      <x:c r="A118" s="2" t="str">
        <x:v>MIT-0111</x:v>
      </x:c>
      <x:c r="B118" s="2" t="str">
        <x:v>Mitigation</x:v>
      </x:c>
      <x:c r="C118" s="2" t="str">
        <x:v>Renewable energy</x:v>
      </x:c>
      <x:c r="D118" s="2" t="str">
        <x:v>Wind</x:v>
      </x:c>
      <x:c r="E118" s="2" t="str">
        <x:v>Building-integrated wind turbines</x:v>
      </x:c>
      <x:c r="F118" s="2" t="str">
        <x:v>Building-integrated wind turbines is a mitigation technology in the Renewable energy sector and the Wind technology group. It is defined as a combined hardware–software–orgware system that reduces thermal, electrical or water demand through passive design, efficient equipment, controls and low-impact materials.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118" s="2" t="str">
        <x:v>Mixed: adaptable design, site-specific implementation</x:v>
      </x:c>
      <x:c r="H118" s="2" t="str">
        <x:v>Building-integrated wind turbines is adaptable in capacity and configuration but site-specific in final engineering. Its principle remains the same, but resource quality, climate, scale, interfaces and safety constraints must be recalculated for each deployment.</x:v>
      </x:c>
      <x:c r="I118" s="2" t="str">
        <x:v>Primarily hard, with a soft component</x:v>
      </x:c>
      <x:c r="J118" s="2" t="str">
        <x:v>Building-integrated wind turbines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118" s="2" t="str">
        <x:v>Equipment and operation</x:v>
      </x:c>
      <x:c r="L118" s="2" t="str">
        <x:v>Building-integrated wind turbines is embodied mainly as an equipment-and-operation system. The deliverable is accepted only when measurable service, quality, safety and climate-performance criteria are met under real conditions.</x:v>
      </x:c>
      <x:c r="M118" s="2" t="str">
        <x:v>Yes, subject to life-cycle safeguards</x:v>
      </x:c>
      <x:c r="N118" s="2" t="str">
        <x:v>Building-integrated wind turbines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118" s="2" t="str">
        <x:v>Building-integrated wind turbines: envelope assemblies, efficient equipment, sensors, actuators, meters and distribution systems.</x:v>
      </x:c>
      <x:c r="P118" s="2" t="str">
        <x:v>Building-integrated wind turbines: energy simulation, load calculation, control sequences, commissioning data and building management.</x:v>
      </x:c>
      <x:c r="Q118" s="2" t="str">
        <x:v>Building-integrated wind turbines: building codes, performance standards, procurement, commissioning, maintenance plans and occupant guidance.</x:v>
      </x:c>
      <x:c r="R118" s="2" t="str">
        <x:v>Building-integrated wind turbines: building fabric, plant rooms, electrical and water networks, access for maintenance and metering.</x:v>
      </x:c>
      <x:c r="S118" s="2" t="str">
        <x:v>Building-integrated wind turbines: electricity and thermal energy; peak demand, part-load efficiency and controls determine actual savings.</x:v>
      </x:c>
      <x:c r="T118" s="2" t="str">
        <x:v>Building-integrated wind turbines: insulation, glass, concrete, steel, timber, aluminium, copper, refrigerants and electronic components as applicable.</x:v>
      </x:c>
      <x:c r="U118" s="2" t="str">
        <x:v>Building-integrated wind turbines: filters, belts, seals, lamps or drivers, sensors, actuators, valves, control modules and envelope repair materials.</x:v>
      </x:c>
      <x:c r="V118" s="2" t="str">
        <x:v>https://www.ctc-n.org/sites/default/files/resources/ctcn_taxonomy_0.pdf</x:v>
      </x:c>
      <x:c r="W118" s="2" t="str">
        <x:v>https://institutoagricoladepueblobello.edu.co/colegiapp/archivostemas/GUIA%209.%5B25%5D.pdf</x:v>
      </x:c>
      <x:c r="X118" s="2" t="str">
        <x:v>https://iiasa.ac.at/what-is-technology</x:v>
      </x:c>
      <x:c r="Y118" s="2" t="str">
        <x:v>https://www.ipcc.ch/report/ar6/wg3/chapter/chapter-6/; https://www.ipcc.ch/report/ar6/wg3/chapter/chapter-9/</x:v>
      </x:c>
      <x:c r="Z118" s="2" t="str">
        <x:v>Technology-specific analytical synthesis. The CTCN hierarchy is retained; classifications and component dependencies require validation against the selected design, site and supplier documentation before investment or policy use.</x:v>
      </x:c>
      <x:c r="AA118" s="2" t="str">
        <x:v>Physical deployment of Building-integrated wind turbines requires building fabric, plant rooms, electrical and water networks, access for maintenance and metering; interfaces, foundations, access and environmental protection are sized to the specific resource and design load.</x:v>
      </x:c>
      <x:c r="AB118" s="2" t="str">
        <x:v>For Building-integrated wind turbines, the hardware energy balance comprises electricity and thermal energy; peak demand, part-load efficiency and controls determine actual savings; metering must separate useful output, conversion losses and auxiliaries for the selected design.</x:v>
      </x:c>
      <x:c r="AC118" s="2" t="str">
        <x:v>Construction and operation use insulation, glass, concrete, steel, timber, aluminium, copper, refrigerants and electronic components as applicable. For Building-integrated wind turbines, specifications must include durability, compatibility, recycled content and recoverability.</x:v>
      </x:c>
      <x:c r="AD118" s="2" t="str">
        <x:v>Maintenance of Building-integrated wind turbines depends on filters, belts, seals, lamps or drivers, sensors, actuators, valves, control modules and envelope repair materials; critical spares are selected from failure-mode, lead-time and safety analysis for its installed configuration.</x:v>
      </x:c>
      <x:c r="AE118" s="2" t="str">
        <x:v>The software stack for Building-integrated wind turbines requires databases, secure communications, version-controlled models, computing, backup and interfaces with field or operational systems.</x:v>
      </x:c>
      <x:c r="AF118" s="2" t="str">
        <x:v>For Building-integrated wind turbines, software-related energy is electricity for sensing, computing, storage, communication and cooling; it is normally secondary but must be included for data-intensive or continuous services.</x:v>
      </x:c>
      <x:c r="AG118" s="2" t="str">
        <x:v>The non-physical inputs are calibrated data, metadata, algorithms, boundary conditions, emission or hazard factors, manuals and validation records specific to Building-integrated wind turbines.</x:v>
      </x:c>
      <x:c r="AH118" s="2" t="str">
        <x:v>Software continuity for Building-integrated wind turbines requires licences where applicable, updates, cybersecurity patches, backups, calibration files, model validation and technical support.</x:v>
      </x:c>
      <x:c r="AI118" s="2" t="str">
        <x:v>Orgware depends on the institutions, laboratories, training providers, regulators, operators and community interfaces needed to govern Building-integrated wind turbines.</x:v>
      </x:c>
      <x:c r="AJ118" s="2" t="str">
        <x:v>The orgware supporting Building-integrated wind turbines has mainly indirect energy use from offices, meetings, training and information systems; travel and field supervision may be material at dispersed sites.</x:v>
      </x:c>
      <x:c r="AK118" s="2" t="str">
        <x:v>Its organisational inputs are permits, budgets, trained staff, competence records, contracts, procedures, safeguards, monitoring evidence and stakeholder agreements tailored to Building-integrated wind turbines.</x:v>
      </x:c>
      <x:c r="AL118" s="2" t="str">
        <x:v>Sustained implementation of Building-integrated wind turbines requires procurement and service contracts, audit protocols, training material, reporting templates, insurance or guarantees and periodic independent review.</x:v>
      </x:c>
      <x:c r="AM118" s="2" t="str">
        <x:v>Iron ore / steel inputs; Copper; Tin; Rare earth elements; Limestone / cement raw materials; Zinc; Bauxite / aluminium</x:v>
      </x:c>
      <x:c r="AN118" s="2" t="str">
        <x:v>Australia; Brazil; China; Chile; Democratic Republic of the Congo; Peru; Indonesia; Myanmar; United States; India; Vietnam; Guinea</x:v>
      </x:c>
      <x:c r="AO118" s="2" t="str">
        <x:v>China; India; Japan; Chile; Democratic Republic of the Congo; Indonesia; Malaysia; Estonia; Vietnam; South Korea; Russia</x:v>
      </x:c>
      <x:c r="AP118" s="2" t="str">
        <x:v>Building-integrated wind turbines: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8" s="2" t="str">
        <x:v>2024–2025</x:v>
      </x:c>
      <x:c r="AR118" s="2" t="str">
        <x:v>https://pubs.usgs.gov/periodicals/mcs2026/mcs2026.pdf; https://www.iea.org/reports/global-critical-minerals-outlook-2025</x:v>
      </x:c>
    </x:row>
    <x:row r="119" ht="240" customHeight="1">
      <x:c r="A119" s="2" t="str">
        <x:v>MIT-0112</x:v>
      </x:c>
      <x:c r="B119" s="2" t="str">
        <x:v>Mitigation</x:v>
      </x:c>
      <x:c r="C119" s="2" t="str">
        <x:v>Renewable energy</x:v>
      </x:c>
      <x:c r="D119" s="2" t="str">
        <x:v>Wind</x:v>
      </x:c>
      <x:c r="E119" s="2" t="str">
        <x:v>Offshore wind</x:v>
      </x:c>
      <x:c r="F119" s="2" t="str">
        <x:v>Offshore wind is a mitigation technology in the Renewable energy sector and the Wind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9" s="2" t="str">
        <x:v>Primarily fixed</x:v>
      </x:c>
      <x:c r="H119" s="2" t="str">
        <x:v>Offshore wind is tied to long-lived, site-specific assets and design loads. Its principle remains the same, but resource quality, climate, scale, interfaces and safety constraints must be recalculated for each deployment.</x:v>
      </x:c>
      <x:c r="I119" s="2" t="str">
        <x:v>Primarily hard, with a soft component</x:v>
      </x:c>
      <x:c r="J119" s="2" t="str">
        <x:v>Offshore wind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9" s="2" t="str">
        <x:v>Equipment and operation</x:v>
      </x:c>
      <x:c r="L119" s="2" t="str">
        <x:v>Offshore wind is embodied mainly as an equipment-and-operation system. The deliverable is accepted only when measurable service, quality, safety and climate-performance criteria are met under real conditions.</x:v>
      </x:c>
      <x:c r="M119" s="2" t="str">
        <x:v>Yes, subject to life-cycle safeguards</x:v>
      </x:c>
      <x:c r="N119" s="2" t="str">
        <x:v>Offshore wind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9" s="2" t="str">
        <x:v>Offshore wind: resource collector or prime mover, generator or heat exchanger, support structure, power conversion, protection, metering and connection equipment.</x:v>
      </x:c>
      <x:c r="P119" s="2" t="str">
        <x:v>Offshore wind: resource assessment, energy-yield modelling, forecasting, maximum-power or process control, dispatch, condition monitoring and maintenance planning.</x:v>
      </x:c>
      <x:c r="Q119" s="2" t="str">
        <x:v>Offshore wind: resource and land or sea rights, environmental licensing, grid code, safety, community participation, revenue contract and decommissioning plan.</x:v>
      </x:c>
      <x:c r="R119" s="2" t="str">
        <x:v>Offshore wind: foundations, access, electrical or thermal network, substation, control and communications, drainage and construction or marine logistics.</x:v>
      </x:c>
      <x:c r="S119" s="2" t="str">
        <x:v>Offshore wind: the renewable resource is the primary input; auxiliary electricity, start-up fuel, pumping or thermal energy may be required depending on the design.</x:v>
      </x:c>
      <x:c r="T119" s="2" t="str">
        <x:v>Offshore wind: steel, concrete, copper, aluminium, polymers, glass and technology-specific materials such as silicon, magnets, coatings, catalysts or working fluids.</x:v>
      </x:c>
      <x:c r="U119" s="2" t="str">
        <x:v>Offshore wind: bearings, seals, filters, lubricants, sensors, converter parts, cables, fasteners, coatings and replaceable collector or heat-exchanger components.</x:v>
      </x:c>
      <x:c r="V119" s="2" t="str">
        <x:v>https://www.ctc-n.org/sites/default/files/resources/ctcn_taxonomy_0.pdf</x:v>
      </x:c>
      <x:c r="W119" s="2" t="str">
        <x:v>https://institutoagricoladepueblobello.edu.co/colegiapp/archivostemas/GUIA%209.%5B25%5D.pdf</x:v>
      </x:c>
      <x:c r="X119" s="2" t="str">
        <x:v>https://iiasa.ac.at/what-is-technology</x:v>
      </x:c>
      <x:c r="Y119" s="2" t="str">
        <x:v>https://www.ipcc.ch/report/ar6/wg3/chapter/chapter-6/; https://www.iea.org/data-and-statistics/data-tools/etp-clean-energy-technology-guide</x:v>
      </x:c>
      <x:c r="Z119" s="2" t="str">
        <x:v>Technology-specific analytical synthesis. The CTCN hierarchy is retained; classifications and component dependencies require validation against the selected design, site and supplier documentation before investment or policy use.</x:v>
      </x:c>
      <x:c r="AA119" s="2" t="str">
        <x:v>Physical deployment of Offshore wind requires foundations, access, electrical or thermal network, substation, control and communications, drainage and construction or marine logistics; interfaces, foundations, access and environmental protection are sized to the specific resource and design load.</x:v>
      </x:c>
      <x:c r="AB119" s="2" t="str">
        <x:v>For Offshore wind,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9" s="2" t="str">
        <x:v>Construction and operation use steel, concrete, copper, aluminium, polymers, glass and technology-specific materials such as silicon, magnets, coatings, catalysts or working fluids. For Offshore wind, specifications must include durability, compatibility, recycled content and recoverability.</x:v>
      </x:c>
      <x:c r="AD119" s="2" t="str">
        <x:v>Maintenance of Offshore wind depends on bearings, seals, filters, lubricants, sensors, converter parts, cables, fasteners, coatings and replaceable collector or heat-exchanger components; critical spares are selected from failure-mode, lead-time and safety analysis for its installed configuration.</x:v>
      </x:c>
      <x:c r="AE119" s="2" t="str">
        <x:v>The software stack for Offshore wind requires databases, secure communications, version-controlled models, computing, backup and interfaces with field or operational systems.</x:v>
      </x:c>
      <x:c r="AF119" s="2" t="str">
        <x:v>For Offshore wind, software-related energy is electricity for sensing, computing, storage, communication and cooling; it is normally secondary but must be included for data-intensive or continuous services.</x:v>
      </x:c>
      <x:c r="AG119" s="2" t="str">
        <x:v>The non-physical inputs are calibrated data, metadata, algorithms, boundary conditions, emission or hazard factors, manuals and validation records specific to Offshore wind.</x:v>
      </x:c>
      <x:c r="AH119" s="2" t="str">
        <x:v>Software continuity for Offshore wind requires licences where applicable, updates, cybersecurity patches, backups, calibration files, model validation and technical support.</x:v>
      </x:c>
      <x:c r="AI119" s="2" t="str">
        <x:v>Orgware depends on the institutions, laboratories, training providers, regulators, operators and community interfaces needed to govern Offshore wind.</x:v>
      </x:c>
      <x:c r="AJ119" s="2" t="str">
        <x:v>The orgware supporting Offshore wind has mainly indirect energy use from offices, meetings, training and information systems; travel and field supervision may be material at dispersed sites.</x:v>
      </x:c>
      <x:c r="AK119" s="2" t="str">
        <x:v>Its organisational inputs are permits, budgets, trained staff, competence records, contracts, procedures, safeguards, monitoring evidence and stakeholder agreements tailored to Offshore wind.</x:v>
      </x:c>
      <x:c r="AL119" s="2" t="str">
        <x:v>Sustained implementation of Offshore wind requires procurement and service contracts, audit protocols, training material, reporting templates, insurance or guarantees and periodic independent review.</x:v>
      </x:c>
      <x:c r="AM119" s="2" t="str">
        <x:v>Iron ore / steel inputs; Copper; Tin; Rare earth elements; Nickel; Chromium; Zinc; Bauxite / aluminium</x:v>
      </x:c>
      <x:c r="AN119" s="2" t="str">
        <x:v>Australia; Brazil; China; Chile; Democratic Republic of the Congo; Peru; Indonesia; Myanmar; United States; Philippines; Russia; South Africa; Kazakhstan; Turkey; Guinea</x:v>
      </x:c>
      <x:c r="AO119" s="2" t="str">
        <x:v>China; India; Japan; Chile; Democratic Republic of the Congo; Indonesia; Malaysia; Estonia; South Africa; Kazakhstan; South Korea; Russia</x:v>
      </x:c>
      <x:c r="AP119" s="2" t="str">
        <x:v>Offshore wind: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9" s="2" t="str">
        <x:v>2024–2025</x:v>
      </x:c>
      <x:c r="AR119" s="2" t="str">
        <x:v>https://pubs.usgs.gov/periodicals/mcs2026/mcs2026.pdf; https://www.iea.org/reports/global-critical-minerals-outlook-2025</x:v>
      </x:c>
    </x:row>
    <x:row r="120" ht="240" customHeight="1">
      <x:c r="A120" s="2" t="str">
        <x:v>MIT-0113</x:v>
      </x:c>
      <x:c r="B120" s="2" t="str">
        <x:v>Mitigation</x:v>
      </x:c>
      <x:c r="C120" s="2" t="str">
        <x:v>Renewable energy</x:v>
      </x:c>
      <x:c r="D120" s="2" t="str">
        <x:v>Wind</x:v>
      </x:c>
      <x:c r="E120" s="2" t="str">
        <x:v>Wind water pumping</x:v>
      </x:c>
      <x:c r="F120" s="2" t="str">
        <x:v>Wind water pumping is a mitigation technology in the Renewable energy sector and the Wind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0" s="2" t="str">
        <x:v>Mixed: adaptable design, site-specific implementation</x:v>
      </x:c>
      <x:c r="H120" s="2" t="str">
        <x:v>Wind water pumping is adaptable in capacity and configuration but site-specific in final engineering. Its principle remains the same, but resource quality, climate, scale, interfaces and safety constraints must be recalculated for each deployment.</x:v>
      </x:c>
      <x:c r="I120" s="2" t="str">
        <x:v>Primarily hard, with a soft component</x:v>
      </x:c>
      <x:c r="J120" s="2" t="str">
        <x:v>Wind water pumping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0" s="2" t="str">
        <x:v>Equipment and operation</x:v>
      </x:c>
      <x:c r="L120" s="2" t="str">
        <x:v>Wind water pumping is embodied mainly as an equipment-and-operation system. The deliverable is accepted only when measurable service, quality, safety and climate-performance criteria are met under real conditions.</x:v>
      </x:c>
      <x:c r="M120" s="2" t="str">
        <x:v>Yes, subject to life-cycle safeguards</x:v>
      </x:c>
      <x:c r="N120" s="2" t="str">
        <x:v>Wind water pumping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0" s="2" t="str">
        <x:v>Wind water pumping: resource collector or prime mover, generator or heat exchanger, support structure, power conversion, protection, metering and connection equipment.</x:v>
      </x:c>
      <x:c r="P120" s="2" t="str">
        <x:v>Wind water pumping: resource assessment, energy-yield modelling, forecasting, maximum-power or process control, dispatch, condition monitoring and maintenance planning.</x:v>
      </x:c>
      <x:c r="Q120" s="2" t="str">
        <x:v>Wind water pumping: resource and land or sea rights, environmental licensing, grid code, safety, community participation, revenue contract and decommissioning plan.</x:v>
      </x:c>
      <x:c r="R120" s="2" t="str">
        <x:v>Wind water pumping: foundations, access, electrical or thermal network, substation, control and communications, drainage and construction or marine logistics.</x:v>
      </x:c>
      <x:c r="S120" s="2" t="str">
        <x:v>Wind water pumping: the renewable resource is the primary input; auxiliary electricity, start-up fuel, pumping or thermal energy may be required depending on the design.</x:v>
      </x:c>
      <x:c r="T120" s="2" t="str">
        <x:v>Wind water pumping: steel, concrete, copper, aluminium, polymers, glass and technology-specific materials such as silicon, magnets, coatings, catalysts or working fluids.</x:v>
      </x:c>
      <x:c r="U120" s="2" t="str">
        <x:v>Wind water pumping: bearings, seals, filters, lubricants, sensors, converter parts, cables, fasteners, coatings and replaceable collector or heat-exchanger components.</x:v>
      </x:c>
      <x:c r="V120" s="2" t="str">
        <x:v>https://www.ctc-n.org/sites/default/files/resources/ctcn_taxonomy_0.pdf</x:v>
      </x:c>
      <x:c r="W120" s="2" t="str">
        <x:v>https://institutoagricoladepueblobello.edu.co/colegiapp/archivostemas/GUIA%209.%5B25%5D.pdf</x:v>
      </x:c>
      <x:c r="X120" s="2" t="str">
        <x:v>https://iiasa.ac.at/what-is-technology</x:v>
      </x:c>
      <x:c r="Y120" s="2" t="str">
        <x:v>https://www.ipcc.ch/report/ar6/wg3/chapter/chapter-6/; https://www.iea.org/data-and-statistics/data-tools/etp-clean-energy-technology-guide</x:v>
      </x:c>
      <x:c r="Z120" s="2" t="str">
        <x:v>Technology-specific analytical synthesis. The CTCN hierarchy is retained; classifications and component dependencies require validation against the selected design, site and supplier documentation before investment or policy use.</x:v>
      </x:c>
      <x:c r="AA120" s="2" t="str">
        <x:v>Physical deployment of Wind water pumping requires foundations, access, electrical or thermal network, substation, control and communications, drainage and construction or marine logistics; interfaces, foundations, access and environmental protection are sized to the specific resource and design load.</x:v>
      </x:c>
      <x:c r="AB120" s="2" t="str">
        <x:v>For Wind water pumping,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0" s="2" t="str">
        <x:v>Construction and operation use steel, concrete, copper, aluminium, polymers, glass and technology-specific materials such as silicon, magnets, coatings, catalysts or working fluids. For Wind water pumping, specifications must include durability, compatibility, recycled content and recoverability.</x:v>
      </x:c>
      <x:c r="AD120" s="2" t="str">
        <x:v>Maintenance of Wind water pumping depends on bearings, seals, filters, lubricants, sensors, converter parts, cables, fasteners, coatings and replaceable collector or heat-exchanger components; critical spares are selected from failure-mode, lead-time and safety analysis for its installed configuration.</x:v>
      </x:c>
      <x:c r="AE120" s="2" t="str">
        <x:v>The software stack for Wind water pumping requires databases, secure communications, version-controlled models, computing, backup and interfaces with field or operational systems.</x:v>
      </x:c>
      <x:c r="AF120" s="2" t="str">
        <x:v>For Wind water pumping, software-related energy is electricity for sensing, computing, storage, communication and cooling; it is normally secondary but must be included for data-intensive or continuous services.</x:v>
      </x:c>
      <x:c r="AG120" s="2" t="str">
        <x:v>The non-physical inputs are calibrated data, metadata, algorithms, boundary conditions, emission or hazard factors, manuals and validation records specific to Wind water pumping.</x:v>
      </x:c>
      <x:c r="AH120" s="2" t="str">
        <x:v>Software continuity for Wind water pumping requires licences where applicable, updates, cybersecurity patches, backups, calibration files, model validation and technical support.</x:v>
      </x:c>
      <x:c r="AI120" s="2" t="str">
        <x:v>Orgware depends on the institutions, laboratories, training providers, regulators, operators and community interfaces needed to govern Wind water pumping.</x:v>
      </x:c>
      <x:c r="AJ120" s="2" t="str">
        <x:v>The orgware supporting Wind water pumping has mainly indirect energy use from offices, meetings, training and information systems; travel and field supervision may be material at dispersed sites.</x:v>
      </x:c>
      <x:c r="AK120" s="2" t="str">
        <x:v>Its organisational inputs are permits, budgets, trained staff, competence records, contracts, procedures, safeguards, monitoring evidence and stakeholder agreements tailored to Wind water pumping.</x:v>
      </x:c>
      <x:c r="AL120" s="2" t="str">
        <x:v>Sustained implementation of Wind water pumping requires procurement and service contracts, audit protocols, training material, reporting templates, insurance or guarantees and periodic independent review.</x:v>
      </x:c>
      <x:c r="AM120" s="2" t="str">
        <x:v>Iron ore / steel inputs; Copper; Tin; Rare earth elements; Zinc; Bauxite / aluminium</x:v>
      </x:c>
      <x:c r="AN120" s="2" t="str">
        <x:v>Australia; Brazil; China; Chile; Democratic Republic of the Congo; Peru; Indonesia; Myanmar; United States; Guinea</x:v>
      </x:c>
      <x:c r="AO120" s="2" t="str">
        <x:v>China; India; Japan; Chile; Democratic Republic of the Congo; Indonesia; Malaysia; Estonia; South Korea; Russia</x:v>
      </x:c>
      <x:c r="AP120" s="2" t="str">
        <x:v>Wind water pumping: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0" s="2" t="str">
        <x:v>2024–2025</x:v>
      </x:c>
      <x:c r="AR120" s="2" t="str">
        <x:v>https://pubs.usgs.gov/periodicals/mcs2026/mcs2026.pdf; https://www.iea.org/reports/global-critical-minerals-outlook-2025</x:v>
      </x:c>
    </x:row>
    <x:row r="121" ht="240" customHeight="1">
      <x:c r="A121" s="2" t="str">
        <x:v>MIT-0114</x:v>
      </x:c>
      <x:c r="B121" s="2" t="str">
        <x:v>Mitigation</x:v>
      </x:c>
      <x:c r="C121" s="2" t="str">
        <x:v>Renewable energy</x:v>
      </x:c>
      <x:c r="D121" s="2" t="str">
        <x:v>Wind</x:v>
      </x:c>
      <x:c r="E121" s="2" t="str">
        <x:v>Small-scale wind</x:v>
      </x:c>
      <x:c r="F121" s="2" t="str">
        <x:v>Small-scale wind is a mitigation technology in the Renewable energy sector and the Wind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1" s="2" t="str">
        <x:v>Mixed: adaptable design, site-specific implementation</x:v>
      </x:c>
      <x:c r="H121" s="2" t="str">
        <x:v>Small-scale wind is adaptable in capacity and configuration but site-specific in final engineering. Its principle remains the same, but resource quality, climate, scale, interfaces and safety constraints must be recalculated for each deployment.</x:v>
      </x:c>
      <x:c r="I121" s="2" t="str">
        <x:v>Primarily hard, with a soft component</x:v>
      </x:c>
      <x:c r="J121" s="2" t="str">
        <x:v>Small-scale wind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1" s="2" t="str">
        <x:v>Equipment and operation</x:v>
      </x:c>
      <x:c r="L121" s="2" t="str">
        <x:v>Small-scale wind is embodied mainly as an equipment-and-operation system. The deliverable is accepted only when measurable service, quality, safety and climate-performance criteria are met under real conditions.</x:v>
      </x:c>
      <x:c r="M121" s="2" t="str">
        <x:v>Yes, subject to life-cycle safeguards</x:v>
      </x:c>
      <x:c r="N121" s="2" t="str">
        <x:v>Small-scale wind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1" s="2" t="str">
        <x:v>Small-scale wind: resource collector or prime mover, generator or heat exchanger, support structure, power conversion, protection, metering and connection equipment.</x:v>
      </x:c>
      <x:c r="P121" s="2" t="str">
        <x:v>Small-scale wind: resource assessment, energy-yield modelling, forecasting, maximum-power or process control, dispatch, condition monitoring and maintenance planning.</x:v>
      </x:c>
      <x:c r="Q121" s="2" t="str">
        <x:v>Small-scale wind: resource and land or sea rights, environmental licensing, grid code, safety, community participation, revenue contract and decommissioning plan.</x:v>
      </x:c>
      <x:c r="R121" s="2" t="str">
        <x:v>Small-scale wind: foundations, access, electrical or thermal network, substation, control and communications, drainage and construction or marine logistics.</x:v>
      </x:c>
      <x:c r="S121" s="2" t="str">
        <x:v>Small-scale wind: the renewable resource is the primary input; auxiliary electricity, start-up fuel, pumping or thermal energy may be required depending on the design.</x:v>
      </x:c>
      <x:c r="T121" s="2" t="str">
        <x:v>Small-scale wind: steel, concrete, copper, aluminium, polymers, glass and technology-specific materials such as silicon, magnets, coatings, catalysts or working fluids.</x:v>
      </x:c>
      <x:c r="U121" s="2" t="str">
        <x:v>Small-scale wind: bearings, seals, filters, lubricants, sensors, converter parts, cables, fasteners, coatings and replaceable collector or heat-exchanger components.</x:v>
      </x:c>
      <x:c r="V121" s="2" t="str">
        <x:v>https://www.ctc-n.org/sites/default/files/resources/ctcn_taxonomy_0.pdf</x:v>
      </x:c>
      <x:c r="W121" s="2" t="str">
        <x:v>https://institutoagricoladepueblobello.edu.co/colegiapp/archivostemas/GUIA%209.%5B25%5D.pdf</x:v>
      </x:c>
      <x:c r="X121" s="2" t="str">
        <x:v>https://iiasa.ac.at/what-is-technology</x:v>
      </x:c>
      <x:c r="Y121" s="2" t="str">
        <x:v>https://www.ipcc.ch/report/ar6/wg3/chapter/chapter-6/; https://www.iea.org/data-and-statistics/data-tools/etp-clean-energy-technology-guide</x:v>
      </x:c>
      <x:c r="Z121" s="2" t="str">
        <x:v>Technology-specific analytical synthesis. The CTCN hierarchy is retained; classifications and component dependencies require validation against the selected design, site and supplier documentation before investment or policy use.</x:v>
      </x:c>
      <x:c r="AA121" s="2" t="str">
        <x:v>Physical deployment of Small-scale wind requires foundations, access, electrical or thermal network, substation, control and communications, drainage and construction or marine logistics; interfaces, foundations, access and environmental protection are sized to the specific resource and design load.</x:v>
      </x:c>
      <x:c r="AB121" s="2" t="str">
        <x:v>For Small-scale wind,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1" s="2" t="str">
        <x:v>Construction and operation use steel, concrete, copper, aluminium, polymers, glass and technology-specific materials such as silicon, magnets, coatings, catalysts or working fluids. For Small-scale wind, specifications must include durability, compatibility, recycled content and recoverability.</x:v>
      </x:c>
      <x:c r="AD121" s="2" t="str">
        <x:v>Maintenance of Small-scale wind depends on bearings, seals, filters, lubricants, sensors, converter parts, cables, fasteners, coatings and replaceable collector or heat-exchanger components; critical spares are selected from failure-mode, lead-time and safety analysis for its installed configuration.</x:v>
      </x:c>
      <x:c r="AE121" s="2" t="str">
        <x:v>The software stack for Small-scale wind requires databases, secure communications, version-controlled models, computing, backup and interfaces with field or operational systems.</x:v>
      </x:c>
      <x:c r="AF121" s="2" t="str">
        <x:v>For Small-scale wind, software-related energy is electricity for sensing, computing, storage, communication and cooling; it is normally secondary but must be included for data-intensive or continuous services.</x:v>
      </x:c>
      <x:c r="AG121" s="2" t="str">
        <x:v>The non-physical inputs are calibrated data, metadata, algorithms, boundary conditions, emission or hazard factors, manuals and validation records specific to Small-scale wind.</x:v>
      </x:c>
      <x:c r="AH121" s="2" t="str">
        <x:v>Software continuity for Small-scale wind requires licences where applicable, updates, cybersecurity patches, backups, calibration files, model validation and technical support.</x:v>
      </x:c>
      <x:c r="AI121" s="2" t="str">
        <x:v>Orgware depends on the institutions, laboratories, training providers, regulators, operators and community interfaces needed to govern Small-scale wind.</x:v>
      </x:c>
      <x:c r="AJ121" s="2" t="str">
        <x:v>The orgware supporting Small-scale wind has mainly indirect energy use from offices, meetings, training and information systems; travel and field supervision may be material at dispersed sites.</x:v>
      </x:c>
      <x:c r="AK121" s="2" t="str">
        <x:v>Its organisational inputs are permits, budgets, trained staff, competence records, contracts, procedures, safeguards, monitoring evidence and stakeholder agreements tailored to Small-scale wind.</x:v>
      </x:c>
      <x:c r="AL121" s="2" t="str">
        <x:v>Sustained implementation of Small-scale wind requires procurement and service contracts, audit protocols, training material, reporting templates, insurance or guarantees and periodic independent review.</x:v>
      </x:c>
      <x:c r="AM121" s="2" t="str">
        <x:v>Iron ore / steel inputs; Copper; Tin; Rare earth elements; Zinc; Bauxite / aluminium</x:v>
      </x:c>
      <x:c r="AN121" s="2" t="str">
        <x:v>Australia; Brazil; China; Chile; Democratic Republic of the Congo; Peru; Indonesia; Myanmar; United States; Guinea</x:v>
      </x:c>
      <x:c r="AO121" s="2" t="str">
        <x:v>China; India; Japan; Chile; Democratic Republic of the Congo; Indonesia; Malaysia; Estonia; South Korea; Russia</x:v>
      </x:c>
      <x:c r="AP121" s="2" t="str">
        <x:v>Small-scale wind: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1" s="2" t="str">
        <x:v>2024–2025</x:v>
      </x:c>
      <x:c r="AR121" s="2" t="str">
        <x:v>https://pubs.usgs.gov/periodicals/mcs2026/mcs2026.pdf; https://www.iea.org/reports/global-critical-minerals-outlook-2025</x:v>
      </x:c>
    </x:row>
    <x:row r="122" ht="240" customHeight="1">
      <x:c r="A122" s="2" t="str">
        <x:v>MIT-0115</x:v>
      </x:c>
      <x:c r="B122" s="2" t="str">
        <x:v>Mitigation</x:v>
      </x:c>
      <x:c r="C122" s="2" t="str">
        <x:v>Renewable energy</x:v>
      </x:c>
      <x:c r="D122" s="2" t="str">
        <x:v>Bioenergy</x:v>
      </x:c>
      <x:c r="E122" s="2" t="str">
        <x:v>Biofuels from algae</x:v>
      </x:c>
      <x:c r="F122" s="2" t="str">
        <x:v>Biofuels from algae is a mitigation technology in the Renewable energy sector and the Bioenergy technology group. It is defined as a combined hardware–software–orgware system that improves the conversion of fuel or electricity into tractive work, recovers braking energy, reduces vehicle losses, or substitutes a lower-carbon energy carrier. Biofuels from algae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122" s="2" t="str">
        <x:v>Mixed: adaptable design, site-specific implementation</x:v>
      </x:c>
      <x:c r="H122" s="2" t="str">
        <x:v>Biofuels from algae is adaptable in capacity and configuration but site-specific in final engineering. Its principle remains the same, but resource quality, climate, scale, interfaces and safety constraints must be recalculated for each deployment.</x:v>
      </x:c>
      <x:c r="I122" s="2" t="str">
        <x:v>Primarily hard, with a soft component</x:v>
      </x:c>
      <x:c r="J122" s="2" t="str">
        <x:v>Biofuels from algae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122" s="2" t="str">
        <x:v>Equipment and operation</x:v>
      </x:c>
      <x:c r="L122" s="2" t="str">
        <x:v>Biofuels from algae is embodied mainly as an equipment-and-operation system. The deliverable is accepted only when measurable service, quality, safety and climate-performance criteria are met under real conditions.</x:v>
      </x:c>
      <x:c r="M122" s="2" t="str">
        <x:v>Yes, subject to life-cycle safeguards</x:v>
      </x:c>
      <x:c r="N122" s="2" t="str">
        <x:v>Biofuels from algae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122" s="2" t="str">
        <x:v>Biofuels from algae: powertrain, motor or engine, inverter, transmission, energy storage or fuel tanks, thermal management, braking, on-board control and refuelling or charging interface.</x:v>
      </x:c>
      <x:c r="P122" s="2" t="str">
        <x:v>Biofuels from algae: powertrain calibration, battery or fuel management, route-energy modelling, diagnostics, eco-driving logic, charging strategy and safety control.</x:v>
      </x:c>
      <x:c r="Q122" s="2" t="str">
        <x:v>Biofuels from algae: vehicle and fuel standards, homologation, charging or refuelling codes, maintenance competence, energy pricing, warranty and end-of-life responsibility.</x:v>
      </x:c>
      <x:c r="R122" s="2" t="str">
        <x:v>Biofuels from algae: vehicle production and maintenance facilities, depots, charging or refuelling stations, grid or fuel supply, rescue equipment and parts logistics.</x:v>
      </x:c>
      <x:c r="S122" s="2" t="str">
        <x:v>Biofuels from algae: electricity, liquid or gaseous fuel and auxiliary thermal loads; well-to-wheel carbon intensity and real operating efficiency determine the climate result.</x:v>
      </x:c>
      <x:c r="T122" s="2" t="str">
        <x:v>Biofuels from algae: steel, aluminium, copper, polymers, power electronics, magnets, catalysts and—where electrochemical storage is used—battery-active materials.</x:v>
      </x:c>
      <x:c r="U122" s="2" t="str">
        <x:v>Biofuels from algae: filters, fluids, seals, bearings, brake components, sensors, control modules, cables, connectors and battery or fuel-system service parts.</x:v>
      </x:c>
      <x:c r="V122" s="2" t="str">
        <x:v>https://www.ctc-n.org/sites/default/files/resources/ctcn_taxonomy_0.pdf</x:v>
      </x:c>
      <x:c r="W122" s="2" t="str">
        <x:v>https://institutoagricoladepueblobello.edu.co/colegiapp/archivostemas/GUIA%209.%5B25%5D.pdf</x:v>
      </x:c>
      <x:c r="X122" s="2" t="str">
        <x:v>https://iiasa.ac.at/what-is-technology</x:v>
      </x:c>
      <x:c r="Y122" s="2" t="str">
        <x:v>https://www.ipcc.ch/report/ar6/wg3/chapter/chapter-6/; https://www.iea.org/data-and-statistics/data-tools/etp-clean-energy-technology-guide; https://bogota.gov.co/en/international/new-era-transmilenio-transmiapp-and-largest-electric-fleet</x:v>
      </x:c>
      <x:c r="Z122" s="2" t="str">
        <x:v>Technology-specific analytical synthesis. The CTCN hierarchy is retained; classifications and component dependencies require validation against the selected design, site and supplier documentation before investment or policy use.</x:v>
      </x:c>
      <x:c r="AA122" s="2" t="str">
        <x:v>Physical deployment of Biofuels from algae requires vehicle production and maintenance facilities, depots, charging or refuelling stations, grid or fuel supply, rescue equipment and parts logistics; interfaces, foundations, access and environmental protection are sized to the specific resource and design load.</x:v>
      </x:c>
      <x:c r="AB122" s="2" t="str">
        <x:v>For Biofuels from algae,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122" s="2" t="str">
        <x:v>Construction and operation use steel, aluminium, copper, polymers, power electronics, magnets, catalysts and—where electrochemical storage is used—battery-active materials. For Biofuels from algae, specifications must include durability, compatibility, recycled content and recoverability.</x:v>
      </x:c>
      <x:c r="AD122" s="2" t="str">
        <x:v>Maintenance of Biofuels from algae depends on filters, fluids, seals, bearings, brake components, sensors, control modules, cables, connectors and battery or fuel-system service parts; critical spares are selected from failure-mode, lead-time and safety analysis for its installed configuration.</x:v>
      </x:c>
      <x:c r="AE122" s="2" t="str">
        <x:v>The software stack for Biofuels from algae requires databases, secure communications, version-controlled models, computing, backup and interfaces with field or operational systems.</x:v>
      </x:c>
      <x:c r="AF122" s="2" t="str">
        <x:v>For Biofuels from algae, software-related energy is electricity for sensing, computing, storage, communication and cooling; it is normally secondary but must be included for data-intensive or continuous services.</x:v>
      </x:c>
      <x:c r="AG122" s="2" t="str">
        <x:v>The non-physical inputs are calibrated data, metadata, algorithms, boundary conditions, emission or hazard factors, manuals and validation records specific to Biofuels from algae.</x:v>
      </x:c>
      <x:c r="AH122" s="2" t="str">
        <x:v>Software continuity for Biofuels from algae requires licences where applicable, updates, cybersecurity patches, backups, calibration files, model validation and technical support.</x:v>
      </x:c>
      <x:c r="AI122" s="2" t="str">
        <x:v>Orgware depends on the institutions, laboratories, training providers, regulators, operators and community interfaces needed to govern Biofuels from algae.</x:v>
      </x:c>
      <x:c r="AJ122" s="2" t="str">
        <x:v>The orgware supporting Biofuels from algae has mainly indirect energy use from offices, meetings, training and information systems; travel and field supervision may be material at dispersed sites.</x:v>
      </x:c>
      <x:c r="AK122" s="2" t="str">
        <x:v>Its organisational inputs are permits, budgets, trained staff, competence records, contracts, procedures, safeguards, monitoring evidence and stakeholder agreements tailored to Biofuels from algae.</x:v>
      </x:c>
      <x:c r="AL122" s="2" t="str">
        <x:v>Sustained implementation of Biofuels from algae requires procurement and service contracts, audit protocols, training material, reporting templates, insurance or guarantees and periodic independent review.</x:v>
      </x:c>
      <x:c r="AM122" s="2" t="str">
        <x:v>Iron ore / steel inputs</x:v>
      </x:c>
      <x:c r="AN122" s="2" t="str">
        <x:v>Australia; Brazil; China</x:v>
      </x:c>
      <x:c r="AO122" s="2" t="str">
        <x:v>China; India; Japan</x:v>
      </x:c>
      <x:c r="AP122" s="2" t="str">
        <x:v>Biofuels from algae: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2" s="2" t="str">
        <x:v>2024–2025</x:v>
      </x:c>
      <x:c r="AR122" s="2" t="str">
        <x:v>https://pubs.usgs.gov/periodicals/mcs2026/mcs2026.pdf</x:v>
      </x:c>
    </x:row>
    <x:row r="123" ht="240" customHeight="1">
      <x:c r="A123" s="2" t="str">
        <x:v>MIT-0116</x:v>
      </x:c>
      <x:c r="B123" s="2" t="str">
        <x:v>Mitigation</x:v>
      </x:c>
      <x:c r="C123" s="2" t="str">
        <x:v>Renewable energy</x:v>
      </x:c>
      <x:c r="D123" s="2" t="str">
        <x:v>Bioenergy</x:v>
      </x:c>
      <x:c r="E123" s="2" t="str">
        <x:v>Switch from fossil fuel to biomass</x:v>
      </x:c>
      <x:c r="F123" s="2" t="str">
        <x:v>Switch from fossil fuel to biomass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Switch from fossil fuel to biomass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3" s="2" t="str">
        <x:v>Mixed: adaptable design, site-specific implementation</x:v>
      </x:c>
      <x:c r="H123" s="2" t="str">
        <x:v>Switch from fossil fuel to biomass is adaptable in capacity and configuration but site-specific in final engineering. Its principle remains the same, but resource quality, climate, scale, interfaces and safety constraints must be recalculated for each deployment.</x:v>
      </x:c>
      <x:c r="I123" s="2" t="str">
        <x:v>Primarily hard, with a soft component</x:v>
      </x:c>
      <x:c r="J123" s="2" t="str">
        <x:v>Switch from fossil fuel to biomass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3" s="2" t="str">
        <x:v>Equipment and operation</x:v>
      </x:c>
      <x:c r="L123" s="2" t="str">
        <x:v>Switch from fossil fuel to biomass is embodied mainly as an equipment-and-operation system. The deliverable is accepted only when measurable service, quality, safety and climate-performance criteria are met under real conditions.</x:v>
      </x:c>
      <x:c r="M123" s="2" t="str">
        <x:v>Conditional on performance and life cycle</x:v>
      </x:c>
      <x:c r="N123" s="2" t="str">
        <x:v>Switch from fossil fuel to biomass is classified as conditional.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3" s="2" t="str">
        <x:v>Switch from fossil fuel to biomass: resource collector or prime mover, generator or heat exchanger, support structure, power conversion, protection, metering and connection equipment.</x:v>
      </x:c>
      <x:c r="P123" s="2" t="str">
        <x:v>Switch from fossil fuel to biomass: resource assessment, energy-yield modelling, forecasting, maximum-power or process control, dispatch, condition monitoring and maintenance planning.</x:v>
      </x:c>
      <x:c r="Q123" s="2" t="str">
        <x:v>Switch from fossil fuel to biomass: resource and land or sea rights, environmental licensing, grid code, safety, community participation, revenue contract and decommissioning plan.</x:v>
      </x:c>
      <x:c r="R123" s="2" t="str">
        <x:v>Switch from fossil fuel to biomass: foundations, access, electrical or thermal network, substation, control and communications, drainage and construction or marine logistics.</x:v>
      </x:c>
      <x:c r="S123" s="2" t="str">
        <x:v>Switch from fossil fuel to biomass: the renewable resource is the primary input; auxiliary electricity, start-up fuel, pumping or thermal energy may be required depending on the design.</x:v>
      </x:c>
      <x:c r="T123" s="2" t="str">
        <x:v>Switch from fossil fuel to biomass: steel, concrete, copper, aluminium, polymers, glass and technology-specific materials such as silicon, magnets, coatings, catalysts or working fluids.</x:v>
      </x:c>
      <x:c r="U123" s="2" t="str">
        <x:v>Switch from fossil fuel to biomass: bearings, seals, filters, lubricants, sensors, converter parts, cables, fasteners, coatings and replaceable collector or heat-exchanger components.</x:v>
      </x:c>
      <x:c r="V123" s="2" t="str">
        <x:v>https://www.ctc-n.org/sites/default/files/resources/ctcn_taxonomy_0.pdf</x:v>
      </x:c>
      <x:c r="W123" s="2" t="str">
        <x:v>https://institutoagricoladepueblobello.edu.co/colegiapp/archivostemas/GUIA%209.%5B25%5D.pdf</x:v>
      </x:c>
      <x:c r="X123" s="2" t="str">
        <x:v>https://iiasa.ac.at/what-is-technology</x:v>
      </x:c>
      <x:c r="Y123" s="2" t="str">
        <x:v>https://www.ipcc.ch/report/ar6/wg3/chapter/chapter-6/; https://www.iea.org/data-and-statistics/data-tools/etp-clean-energy-technology-guide</x:v>
      </x:c>
      <x:c r="Z123" s="2" t="str">
        <x:v>Technology-specific analytical synthesis. The CTCN hierarchy is retained; classifications and component dependencies require validation against the selected design, site and supplier documentation before investment or policy use.</x:v>
      </x:c>
      <x:c r="AA123" s="2" t="str">
        <x:v>Physical deployment of Switch from fossil fuel to biomass requires foundations, access, electrical or thermal network, substation, control and communications, drainage and construction or marine logistics; interfaces, foundations, access and environmental protection are sized to the specific resource and design load.</x:v>
      </x:c>
      <x:c r="AB123" s="2" t="str">
        <x:v>For Switch from fossil fuel to biomass,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3" s="2" t="str">
        <x:v>Construction and operation use steel, concrete, copper, aluminium, polymers, glass and technology-specific materials such as silicon, magnets, coatings, catalysts or working fluids. For Switch from fossil fuel to biomass, specifications must include durability, compatibility, recycled content and recoverability.</x:v>
      </x:c>
      <x:c r="AD123" s="2" t="str">
        <x:v>Maintenance of Switch from fossil fuel to biomass depends on bearings, seals, filters, lubricants, sensors, converter parts, cables, fasteners, coatings and replaceable collector or heat-exchanger components; critical spares are selected from failure-mode, lead-time and safety analysis for its installed configuration.</x:v>
      </x:c>
      <x:c r="AE123" s="2" t="str">
        <x:v>The software stack for Switch from fossil fuel to biomass requires databases, secure communications, version-controlled models, computing, backup and interfaces with field or operational systems.</x:v>
      </x:c>
      <x:c r="AF123" s="2" t="str">
        <x:v>For Switch from fossil fuel to biomass, software-related energy is electricity for sensing, computing, storage, communication and cooling; it is normally secondary but must be included for data-intensive or continuous services.</x:v>
      </x:c>
      <x:c r="AG123" s="2" t="str">
        <x:v>The non-physical inputs are calibrated data, metadata, algorithms, boundary conditions, emission or hazard factors, manuals and validation records specific to Switch from fossil fuel to biomass.</x:v>
      </x:c>
      <x:c r="AH123" s="2" t="str">
        <x:v>Software continuity for Switch from fossil fuel to biomass requires licences where applicable, updates, cybersecurity patches, backups, calibration files, model validation and technical support.</x:v>
      </x:c>
      <x:c r="AI123" s="2" t="str">
        <x:v>Orgware depends on the institutions, laboratories, training providers, regulators, operators and community interfaces needed to govern Switch from fossil fuel to biomass.</x:v>
      </x:c>
      <x:c r="AJ123" s="2" t="str">
        <x:v>The orgware supporting Switch from fossil fuel to biomass has mainly indirect energy use from offices, meetings, training and information systems; travel and field supervision may be material at dispersed sites.</x:v>
      </x:c>
      <x:c r="AK123" s="2" t="str">
        <x:v>Its organisational inputs are permits, budgets, trained staff, competence records, contracts, procedures, safeguards, monitoring evidence and stakeholder agreements tailored to Switch from fossil fuel to biomass.</x:v>
      </x:c>
      <x:c r="AL123" s="2" t="str">
        <x:v>Sustained implementation of Switch from fossil fuel to biomass requires procurement and service contracts, audit protocols, training material, reporting templates, insurance or guarantees and periodic independent review.</x:v>
      </x:c>
      <x:c r="AM123" s="2" t="str">
        <x:v>Iron ore / steel inputs</x:v>
      </x:c>
      <x:c r="AN123" s="2" t="str">
        <x:v>Australia; Brazil; China</x:v>
      </x:c>
      <x:c r="AO123" s="2" t="str">
        <x:v>China; India; Japan</x:v>
      </x:c>
      <x:c r="AP123" s="2" t="str">
        <x:v>Switch from fossil fuel to biomass: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3" s="2" t="str">
        <x:v>2024–2025</x:v>
      </x:c>
      <x:c r="AR123" s="2" t="str">
        <x:v>https://pubs.usgs.gov/periodicals/mcs2026/mcs2026.pdf</x:v>
      </x:c>
    </x:row>
    <x:row r="124" ht="240" customHeight="1">
      <x:c r="A124" s="2" t="str">
        <x:v>MIT-0117</x:v>
      </x:c>
      <x:c r="B124" s="2" t="str">
        <x:v>Mitigation</x:v>
      </x:c>
      <x:c r="C124" s="2" t="str">
        <x:v>Renewable energy</x:v>
      </x:c>
      <x:c r="D124" s="2" t="str">
        <x:v>Bioenergy</x:v>
      </x:c>
      <x:c r="E124" s="2" t="str">
        <x:v>Biogas for heating</x:v>
      </x:c>
      <x:c r="F124" s="2" t="str">
        <x:v>Biogas for heating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Biogas for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4" s="2" t="str">
        <x:v>Mixed: adaptable design, site-specific implementation</x:v>
      </x:c>
      <x:c r="H124" s="2" t="str">
        <x:v>Biogas for heating is adaptable in capacity and configuration but site-specific in final engineering. Its principle remains the same, but resource quality, climate, scale, interfaces and safety constraints must be recalculated for each deployment.</x:v>
      </x:c>
      <x:c r="I124" s="2" t="str">
        <x:v>Primarily hard, with a soft component</x:v>
      </x:c>
      <x:c r="J124" s="2" t="str">
        <x:v>Biogas for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4" s="2" t="str">
        <x:v>Equipment and operation</x:v>
      </x:c>
      <x:c r="L124" s="2" t="str">
        <x:v>Biogas for heating is embodied mainly as an equipment-and-operation system. The deliverable is accepted only when measurable service, quality, safety and climate-performance criteria are met under real conditions.</x:v>
      </x:c>
      <x:c r="M124" s="2" t="str">
        <x:v>Yes, subject to life-cycle safeguards</x:v>
      </x:c>
      <x:c r="N124" s="2" t="str">
        <x:v>Biogas for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4" s="2" t="str">
        <x:v>Biogas for heating: resource collector or prime mover, generator or heat exchanger, support structure, power conversion, protection, metering and connection equipment.</x:v>
      </x:c>
      <x:c r="P124" s="2" t="str">
        <x:v>Biogas for heating: resource assessment, energy-yield modelling, forecasting, maximum-power or process control, dispatch, condition monitoring and maintenance planning.</x:v>
      </x:c>
      <x:c r="Q124" s="2" t="str">
        <x:v>Biogas for heating: resource and land or sea rights, environmental licensing, grid code, safety, community participation, revenue contract and decommissioning plan.</x:v>
      </x:c>
      <x:c r="R124" s="2" t="str">
        <x:v>Biogas for heating: foundations, access, electrical or thermal network, substation, control and communications, drainage and construction or marine logistics.</x:v>
      </x:c>
      <x:c r="S124" s="2" t="str">
        <x:v>Biogas for heating: the renewable resource is the primary input; auxiliary electricity, start-up fuel, pumping or thermal energy may be required depending on the design.</x:v>
      </x:c>
      <x:c r="T124" s="2" t="str">
        <x:v>Biogas for heating: steel, concrete, copper, aluminium, polymers, glass and technology-specific materials such as silicon, magnets, coatings, catalysts or working fluids.</x:v>
      </x:c>
      <x:c r="U124" s="2" t="str">
        <x:v>Biogas for heating: bearings, seals, filters, lubricants, sensors, converter parts, cables, fasteners, coatings and replaceable collector or heat-exchanger components.</x:v>
      </x:c>
      <x:c r="V124" s="2" t="str">
        <x:v>https://www.ctc-n.org/sites/default/files/resources/ctcn_taxonomy_0.pdf</x:v>
      </x:c>
      <x:c r="W124" s="2" t="str">
        <x:v>https://institutoagricoladepueblobello.edu.co/colegiapp/archivostemas/GUIA%209.%5B25%5D.pdf</x:v>
      </x:c>
      <x:c r="X124" s="2" t="str">
        <x:v>https://iiasa.ac.at/what-is-technology</x:v>
      </x:c>
      <x:c r="Y124" s="2" t="str">
        <x:v>https://www.ipcc.ch/report/ar6/wg3/chapter/chapter-6/; https://www.iea.org/data-and-statistics/data-tools/etp-clean-energy-technology-guide</x:v>
      </x:c>
      <x:c r="Z124" s="2" t="str">
        <x:v>Technology-specific analytical synthesis. The CTCN hierarchy is retained; classifications and component dependencies require validation against the selected design, site and supplier documentation before investment or policy use.</x:v>
      </x:c>
      <x:c r="AA124" s="2" t="str">
        <x:v>Physical deployment of Biogas for heating requires foundations, access, electrical or thermal network, substation, control and communications, drainage and construction or marine logistics; interfaces, foundations, access and environmental protection are sized to the specific resource and design load.</x:v>
      </x:c>
      <x:c r="AB124" s="2" t="str">
        <x:v>For Biogas for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4" s="2" t="str">
        <x:v>Construction and operation use steel, concrete, copper, aluminium, polymers, glass and technology-specific materials such as silicon, magnets, coatings, catalysts or working fluids. For Biogas for heating, specifications must include durability, compatibility, recycled content and recoverability.</x:v>
      </x:c>
      <x:c r="AD124" s="2" t="str">
        <x:v>Maintenance of Biogas for heating depends on bearings, seals, filters, lubricants, sensors, converter parts, cables, fasteners, coatings and replaceable collector or heat-exchanger components; critical spares are selected from failure-mode, lead-time and safety analysis for its installed configuration.</x:v>
      </x:c>
      <x:c r="AE124" s="2" t="str">
        <x:v>The software stack for Biogas for heating requires databases, secure communications, version-controlled models, computing, backup and interfaces with field or operational systems.</x:v>
      </x:c>
      <x:c r="AF124" s="2" t="str">
        <x:v>For Biogas for heating, software-related energy is electricity for sensing, computing, storage, communication and cooling; it is normally secondary but must be included for data-intensive or continuous services.</x:v>
      </x:c>
      <x:c r="AG124" s="2" t="str">
        <x:v>The non-physical inputs are calibrated data, metadata, algorithms, boundary conditions, emission or hazard factors, manuals and validation records specific to Biogas for heating.</x:v>
      </x:c>
      <x:c r="AH124" s="2" t="str">
        <x:v>Software continuity for Biogas for heating requires licences where applicable, updates, cybersecurity patches, backups, calibration files, model validation and technical support.</x:v>
      </x:c>
      <x:c r="AI124" s="2" t="str">
        <x:v>Orgware depends on the institutions, laboratories, training providers, regulators, operators and community interfaces needed to govern Biogas for heating.</x:v>
      </x:c>
      <x:c r="AJ124" s="2" t="str">
        <x:v>The orgware supporting Biogas for heating has mainly indirect energy use from offices, meetings, training and information systems; travel and field supervision may be material at dispersed sites.</x:v>
      </x:c>
      <x:c r="AK124" s="2" t="str">
        <x:v>Its organisational inputs are permits, budgets, trained staff, competence records, contracts, procedures, safeguards, monitoring evidence and stakeholder agreements tailored to Biogas for heating.</x:v>
      </x:c>
      <x:c r="AL124" s="2" t="str">
        <x:v>Sustained implementation of Biogas for heating requires procurement and service contracts, audit protocols, training material, reporting templates, insurance or guarantees and periodic independent review.</x:v>
      </x:c>
      <x:c r="AM124" s="2" t="str">
        <x:v>Iron ore / steel inputs</x:v>
      </x:c>
      <x:c r="AN124" s="2" t="str">
        <x:v>Australia; Brazil; China</x:v>
      </x:c>
      <x:c r="AO124" s="2" t="str">
        <x:v>China; India; Japan</x:v>
      </x:c>
      <x:c r="AP124" s="2" t="str">
        <x:v>Biogas for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4" s="2" t="str">
        <x:v>2024–2025</x:v>
      </x:c>
      <x:c r="AR124" s="2" t="str">
        <x:v>https://pubs.usgs.gov/periodicals/mcs2026/mcs2026.pdf</x:v>
      </x:c>
    </x:row>
    <x:row r="125" ht="240" customHeight="1">
      <x:c r="A125" s="2" t="str">
        <x:v>MIT-0118</x:v>
      </x:c>
      <x:c r="B125" s="2" t="str">
        <x:v>Mitigation</x:v>
      </x:c>
      <x:c r="C125" s="2" t="str">
        <x:v>Renewable energy</x:v>
      </x:c>
      <x:c r="D125" s="2" t="str">
        <x:v>Bioenergy</x:v>
      </x:c>
      <x:c r="E125" s="2" t="str">
        <x:v>Energy supply from waste</x:v>
      </x:c>
      <x:c r="F125" s="2" t="str">
        <x:v>Energy supply from waste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Energy supply from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5" s="2" t="str">
        <x:v>Mixed: adaptable design, site-specific implementation</x:v>
      </x:c>
      <x:c r="H125" s="2" t="str">
        <x:v>Energy supply from waste is adaptable in capacity and configuration but site-specific in final engineering. Its principle remains the same, but resource quality, climate, scale, interfaces and safety constraints must be recalculated for each deployment.</x:v>
      </x:c>
      <x:c r="I125" s="2" t="str">
        <x:v>Primarily hard, with a soft component</x:v>
      </x:c>
      <x:c r="J125" s="2" t="str">
        <x:v>Energy supply from waste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5" s="2" t="str">
        <x:v>Equipment and operation</x:v>
      </x:c>
      <x:c r="L125" s="2" t="str">
        <x:v>Energy supply from waste is embodied mainly as an equipment-and-operation system. The deliverable is accepted only when measurable service, quality, safety and climate-performance criteria are met under real conditions.</x:v>
      </x:c>
      <x:c r="M125" s="2" t="str">
        <x:v>Yes, subject to life-cycle safeguards</x:v>
      </x:c>
      <x:c r="N125" s="2" t="str">
        <x:v>Energy supply from waste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5" s="2" t="str">
        <x:v>Energy supply from waste: resource collector or prime mover, generator or heat exchanger, support structure, power conversion, protection, metering and connection equipment.</x:v>
      </x:c>
      <x:c r="P125" s="2" t="str">
        <x:v>Energy supply from waste: resource assessment, energy-yield modelling, forecasting, maximum-power or process control, dispatch, condition monitoring and maintenance planning.</x:v>
      </x:c>
      <x:c r="Q125" s="2" t="str">
        <x:v>Energy supply from waste: resource and land or sea rights, environmental licensing, grid code, safety, community participation, revenue contract and decommissioning plan.</x:v>
      </x:c>
      <x:c r="R125" s="2" t="str">
        <x:v>Energy supply from waste: foundations, access, electrical or thermal network, substation, control and communications, drainage and construction or marine logistics.</x:v>
      </x:c>
      <x:c r="S125" s="2" t="str">
        <x:v>Energy supply from waste: the renewable resource is the primary input; auxiliary electricity, start-up fuel, pumping or thermal energy may be required depending on the design.</x:v>
      </x:c>
      <x:c r="T125" s="2" t="str">
        <x:v>Energy supply from waste: steel, concrete, copper, aluminium, polymers, glass and technology-specific materials such as silicon, magnets, coatings, catalysts or working fluids.</x:v>
      </x:c>
      <x:c r="U125" s="2" t="str">
        <x:v>Energy supply from waste: bearings, seals, filters, lubricants, sensors, converter parts, cables, fasteners, coatings and replaceable collector or heat-exchanger components.</x:v>
      </x:c>
      <x:c r="V125" s="2" t="str">
        <x:v>https://www.ctc-n.org/sites/default/files/resources/ctcn_taxonomy_0.pdf</x:v>
      </x:c>
      <x:c r="W125" s="2" t="str">
        <x:v>https://institutoagricoladepueblobello.edu.co/colegiapp/archivostemas/GUIA%209.%5B25%5D.pdf</x:v>
      </x:c>
      <x:c r="X125" s="2" t="str">
        <x:v>https://iiasa.ac.at/what-is-technology</x:v>
      </x:c>
      <x:c r="Y125" s="2" t="str">
        <x:v>https://www.ipcc.ch/report/ar6/wg3/chapter/chapter-6/; https://www.iea.org/data-and-statistics/data-tools/etp-clean-energy-technology-guide</x:v>
      </x:c>
      <x:c r="Z125" s="2" t="str">
        <x:v>Technology-specific analytical synthesis. The CTCN hierarchy is retained; classifications and component dependencies require validation against the selected design, site and supplier documentation before investment or policy use.</x:v>
      </x:c>
      <x:c r="AA125" s="2" t="str">
        <x:v>Physical deployment of Energy supply from waste requires foundations, access, electrical or thermal network, substation, control and communications, drainage and construction or marine logistics; interfaces, foundations, access and environmental protection are sized to the specific resource and design load.</x:v>
      </x:c>
      <x:c r="AB125" s="2" t="str">
        <x:v>For Energy supply from waste,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5" s="2" t="str">
        <x:v>Construction and operation use steel, concrete, copper, aluminium, polymers, glass and technology-specific materials such as silicon, magnets, coatings, catalysts or working fluids. For Energy supply from waste, specifications must include durability, compatibility, recycled content and recoverability.</x:v>
      </x:c>
      <x:c r="AD125" s="2" t="str">
        <x:v>Maintenance of Energy supply from waste depends on bearings, seals, filters, lubricants, sensors, converter parts, cables, fasteners, coatings and replaceable collector or heat-exchanger components; critical spares are selected from failure-mode, lead-time and safety analysis for its installed configuration.</x:v>
      </x:c>
      <x:c r="AE125" s="2" t="str">
        <x:v>The software stack for Energy supply from waste requires databases, secure communications, version-controlled models, computing, backup and interfaces with field or operational systems.</x:v>
      </x:c>
      <x:c r="AF125" s="2" t="str">
        <x:v>For Energy supply from waste, software-related energy is electricity for sensing, computing, storage, communication and cooling; it is normally secondary but must be included for data-intensive or continuous services.</x:v>
      </x:c>
      <x:c r="AG125" s="2" t="str">
        <x:v>The non-physical inputs are calibrated data, metadata, algorithms, boundary conditions, emission or hazard factors, manuals and validation records specific to Energy supply from waste.</x:v>
      </x:c>
      <x:c r="AH125" s="2" t="str">
        <x:v>Software continuity for Energy supply from waste requires licences where applicable, updates, cybersecurity patches, backups, calibration files, model validation and technical support.</x:v>
      </x:c>
      <x:c r="AI125" s="2" t="str">
        <x:v>Orgware depends on the institutions, laboratories, training providers, regulators, operators and community interfaces needed to govern Energy supply from waste.</x:v>
      </x:c>
      <x:c r="AJ125" s="2" t="str">
        <x:v>The orgware supporting Energy supply from waste has mainly indirect energy use from offices, meetings, training and information systems; travel and field supervision may be material at dispersed sites.</x:v>
      </x:c>
      <x:c r="AK125" s="2" t="str">
        <x:v>Its organisational inputs are permits, budgets, trained staff, competence records, contracts, procedures, safeguards, monitoring evidence and stakeholder agreements tailored to Energy supply from waste.</x:v>
      </x:c>
      <x:c r="AL125" s="2" t="str">
        <x:v>Sustained implementation of Energy supply from waste requires procurement and service contracts, audit protocols, training material, reporting templates, insurance or guarantees and periodic independent review.</x:v>
      </x:c>
      <x:c r="AM125" s="2" t="str">
        <x:v>Iron ore / steel inputs</x:v>
      </x:c>
      <x:c r="AN125" s="2" t="str">
        <x:v>Australia; Brazil; China</x:v>
      </x:c>
      <x:c r="AO125" s="2" t="str">
        <x:v>China; India; Japan</x:v>
      </x:c>
      <x:c r="AP125" s="2" t="str">
        <x:v>Energy supply from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5" s="2" t="str">
        <x:v>2024–2025</x:v>
      </x:c>
      <x:c r="AR125" s="2" t="str">
        <x:v>https://pubs.usgs.gov/periodicals/mcs2026/mcs2026.pdf</x:v>
      </x:c>
    </x:row>
    <x:row r="126" ht="240" customHeight="1">
      <x:c r="A126" s="2" t="str">
        <x:v>MIT-0119</x:v>
      </x:c>
      <x:c r="B126" s="2" t="str">
        <x:v>Mitigation</x:v>
      </x:c>
      <x:c r="C126" s="2" t="str">
        <x:v>Renewable energy</x:v>
      </x:c>
      <x:c r="D126" s="2" t="str">
        <x:v>Bioenergy</x:v>
      </x:c>
      <x:c r="E126" s="2" t="str">
        <x:v>Biogas power</x:v>
      </x:c>
      <x:c r="F126" s="2" t="str">
        <x:v>Biogas power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Biogas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6" s="2" t="str">
        <x:v>Mixed: adaptable design, site-specific implementation</x:v>
      </x:c>
      <x:c r="H126" s="2" t="str">
        <x:v>Biogas power is adaptable in capacity and configuration but site-specific in final engineering. Its principle remains the same, but resource quality, climate, scale, interfaces and safety constraints must be recalculated for each deployment.</x:v>
      </x:c>
      <x:c r="I126" s="2" t="str">
        <x:v>Primarily hard, with a soft component</x:v>
      </x:c>
      <x:c r="J126" s="2" t="str">
        <x:v>Biogas 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6" s="2" t="str">
        <x:v>Equipment and operation</x:v>
      </x:c>
      <x:c r="L126" s="2" t="str">
        <x:v>Biogas power is embodied mainly as an equipment-and-operation system. The deliverable is accepted only when measurable service, quality, safety and climate-performance criteria are met under real conditions.</x:v>
      </x:c>
      <x:c r="M126" s="2" t="str">
        <x:v>Yes, subject to life-cycle safeguards</x:v>
      </x:c>
      <x:c r="N126" s="2" t="str">
        <x:v>Biogas 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6" s="2" t="str">
        <x:v>Biogas power: resource collector or prime mover, generator or heat exchanger, support structure, power conversion, protection, metering and connection equipment.</x:v>
      </x:c>
      <x:c r="P126" s="2" t="str">
        <x:v>Biogas power: resource assessment, energy-yield modelling, forecasting, maximum-power or process control, dispatch, condition monitoring and maintenance planning.</x:v>
      </x:c>
      <x:c r="Q126" s="2" t="str">
        <x:v>Biogas power: resource and land or sea rights, environmental licensing, grid code, safety, community participation, revenue contract and decommissioning plan.</x:v>
      </x:c>
      <x:c r="R126" s="2" t="str">
        <x:v>Biogas power: foundations, access, electrical or thermal network, substation, control and communications, drainage and construction or marine logistics.</x:v>
      </x:c>
      <x:c r="S126" s="2" t="str">
        <x:v>Biogas power: the renewable resource is the primary input; auxiliary electricity, start-up fuel, pumping or thermal energy may be required depending on the design.</x:v>
      </x:c>
      <x:c r="T126" s="2" t="str">
        <x:v>Biogas power: steel, concrete, copper, aluminium, polymers, glass and technology-specific materials such as silicon, magnets, coatings, catalysts or working fluids.</x:v>
      </x:c>
      <x:c r="U126" s="2" t="str">
        <x:v>Biogas power: bearings, seals, filters, lubricants, sensors, converter parts, cables, fasteners, coatings and replaceable collector or heat-exchanger components.</x:v>
      </x:c>
      <x:c r="V126" s="2" t="str">
        <x:v>https://www.ctc-n.org/sites/default/files/resources/ctcn_taxonomy_0.pdf</x:v>
      </x:c>
      <x:c r="W126" s="2" t="str">
        <x:v>https://institutoagricoladepueblobello.edu.co/colegiapp/archivostemas/GUIA%209.%5B25%5D.pdf</x:v>
      </x:c>
      <x:c r="X126" s="2" t="str">
        <x:v>https://iiasa.ac.at/what-is-technology</x:v>
      </x:c>
      <x:c r="Y126" s="2" t="str">
        <x:v>https://www.ipcc.ch/report/ar6/wg3/chapter/chapter-6/; https://www.iea.org/data-and-statistics/data-tools/etp-clean-energy-technology-guide</x:v>
      </x:c>
      <x:c r="Z126" s="2" t="str">
        <x:v>Technology-specific analytical synthesis. The CTCN hierarchy is retained; classifications and component dependencies require validation against the selected design, site and supplier documentation before investment or policy use.</x:v>
      </x:c>
      <x:c r="AA126" s="2" t="str">
        <x:v>Physical deployment of Biogas power requires foundations, access, electrical or thermal network, substation, control and communications, drainage and construction or marine logistics; interfaces, foundations, access and environmental protection are sized to the specific resource and design load.</x:v>
      </x:c>
      <x:c r="AB126" s="2" t="str">
        <x:v>For Biogas 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6" s="2" t="str">
        <x:v>Construction and operation use steel, concrete, copper, aluminium, polymers, glass and technology-specific materials such as silicon, magnets, coatings, catalysts or working fluids. For Biogas power, specifications must include durability, compatibility, recycled content and recoverability.</x:v>
      </x:c>
      <x:c r="AD126" s="2" t="str">
        <x:v>Maintenance of Biogas power depends on bearings, seals, filters, lubricants, sensors, converter parts, cables, fasteners, coatings and replaceable collector or heat-exchanger components; critical spares are selected from failure-mode, lead-time and safety analysis for its installed configuration.</x:v>
      </x:c>
      <x:c r="AE126" s="2" t="str">
        <x:v>The software stack for Biogas power requires databases, secure communications, version-controlled models, computing, backup and interfaces with field or operational systems.</x:v>
      </x:c>
      <x:c r="AF126" s="2" t="str">
        <x:v>For Biogas power, software-related energy is electricity for sensing, computing, storage, communication and cooling; it is normally secondary but must be included for data-intensive or continuous services.</x:v>
      </x:c>
      <x:c r="AG126" s="2" t="str">
        <x:v>The non-physical inputs are calibrated data, metadata, algorithms, boundary conditions, emission or hazard factors, manuals and validation records specific to Biogas power.</x:v>
      </x:c>
      <x:c r="AH126" s="2" t="str">
        <x:v>Software continuity for Biogas power requires licences where applicable, updates, cybersecurity patches, backups, calibration files, model validation and technical support.</x:v>
      </x:c>
      <x:c r="AI126" s="2" t="str">
        <x:v>Orgware depends on the institutions, laboratories, training providers, regulators, operators and community interfaces needed to govern Biogas power.</x:v>
      </x:c>
      <x:c r="AJ126" s="2" t="str">
        <x:v>The orgware supporting Biogas power has mainly indirect energy use from offices, meetings, training and information systems; travel and field supervision may be material at dispersed sites.</x:v>
      </x:c>
      <x:c r="AK126" s="2" t="str">
        <x:v>Its organisational inputs are permits, budgets, trained staff, competence records, contracts, procedures, safeguards, monitoring evidence and stakeholder agreements tailored to Biogas power.</x:v>
      </x:c>
      <x:c r="AL126" s="2" t="str">
        <x:v>Sustained implementation of Biogas power requires procurement and service contracts, audit protocols, training material, reporting templates, insurance or guarantees and periodic independent review.</x:v>
      </x:c>
      <x:c r="AM126" s="2" t="str">
        <x:v>Iron ore / steel inputs</x:v>
      </x:c>
      <x:c r="AN126" s="2" t="str">
        <x:v>Australia; Brazil; China</x:v>
      </x:c>
      <x:c r="AO126" s="2" t="str">
        <x:v>China; India; Japan</x:v>
      </x:c>
      <x:c r="AP126" s="2" t="str">
        <x:v>Biogas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6" s="2" t="str">
        <x:v>2024–2025</x:v>
      </x:c>
      <x:c r="AR126" s="2" t="str">
        <x:v>https://pubs.usgs.gov/periodicals/mcs2026/mcs2026.pdf</x:v>
      </x:c>
    </x:row>
    <x:row r="127" ht="240" customHeight="1">
      <x:c r="A127" s="2" t="str">
        <x:v>MIT-0120</x:v>
      </x:c>
      <x:c r="B127" s="2" t="str">
        <x:v>Mitigation</x:v>
      </x:c>
      <x:c r="C127" s="2" t="str">
        <x:v>Renewable energy</x:v>
      </x:c>
      <x:c r="D127" s="2" t="str">
        <x:v>Bioenergy</x:v>
      </x:c>
      <x:c r="E127" s="2" t="str">
        <x:v>Biomass briquettes or pellets</x:v>
      </x:c>
      <x:c r="F127" s="2" t="str">
        <x:v>Biomass briquettes or pellets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Biomass briquettes or pellets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7" s="2" t="str">
        <x:v>Mixed: adaptable design, site-specific implementation</x:v>
      </x:c>
      <x:c r="H127" s="2" t="str">
        <x:v>Biomass briquettes or pellets is adaptable in capacity and configuration but site-specific in final engineering. Its principle remains the same, but resource quality, climate, scale, interfaces and safety constraints must be recalculated for each deployment.</x:v>
      </x:c>
      <x:c r="I127" s="2" t="str">
        <x:v>Primarily hard, with a soft component</x:v>
      </x:c>
      <x:c r="J127" s="2" t="str">
        <x:v>Biomass briquettes or pellets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7" s="2" t="str">
        <x:v>Product and equipment; complementary operation</x:v>
      </x:c>
      <x:c r="L127" s="2" t="str">
        <x:v>Biomass briquettes or pellets is embodied mainly as a product/equipment package. The deliverable is accepted only when measurable service, quality, safety and climate-performance criteria are met under real conditions.</x:v>
      </x:c>
      <x:c r="M127" s="2" t="str">
        <x:v>Yes, subject to life-cycle safeguards</x:v>
      </x:c>
      <x:c r="N127" s="2" t="str">
        <x:v>Biomass briquettes or pellets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7" s="2" t="str">
        <x:v>Biomass briquettes or pellets: resource collector or prime mover, generator or heat exchanger, support structure, power conversion, protection, metering and connection equipment.</x:v>
      </x:c>
      <x:c r="P127" s="2" t="str">
        <x:v>Biomass briquettes or pellets: resource assessment, energy-yield modelling, forecasting, maximum-power or process control, dispatch, condition monitoring and maintenance planning.</x:v>
      </x:c>
      <x:c r="Q127" s="2" t="str">
        <x:v>Biomass briquettes or pellets: resource and land or sea rights, environmental licensing, grid code, safety, community participation, revenue contract and decommissioning plan.</x:v>
      </x:c>
      <x:c r="R127" s="2" t="str">
        <x:v>Biomass briquettes or pellets: foundations, access, electrical or thermal network, substation, control and communications, drainage and construction or marine logistics.</x:v>
      </x:c>
      <x:c r="S127" s="2" t="str">
        <x:v>Biomass briquettes or pellets: the renewable resource is the primary input; auxiliary electricity, start-up fuel, pumping or thermal energy may be required depending on the design.</x:v>
      </x:c>
      <x:c r="T127" s="2" t="str">
        <x:v>Biomass briquettes or pellets: steel, concrete, copper, aluminium, polymers, glass and technology-specific materials such as silicon, magnets, coatings, catalysts or working fluids.</x:v>
      </x:c>
      <x:c r="U127" s="2" t="str">
        <x:v>Biomass briquettes or pellets: bearings, seals, filters, lubricants, sensors, converter parts, cables, fasteners, coatings and replaceable collector or heat-exchanger components.</x:v>
      </x:c>
      <x:c r="V127" s="2" t="str">
        <x:v>https://www.ctc-n.org/sites/default/files/resources/ctcn_taxonomy_0.pdf</x:v>
      </x:c>
      <x:c r="W127" s="2" t="str">
        <x:v>https://institutoagricoladepueblobello.edu.co/colegiapp/archivostemas/GUIA%209.%5B25%5D.pdf</x:v>
      </x:c>
      <x:c r="X127" s="2" t="str">
        <x:v>https://iiasa.ac.at/what-is-technology</x:v>
      </x:c>
      <x:c r="Y127" s="2" t="str">
        <x:v>https://www.ipcc.ch/report/ar6/wg3/chapter/chapter-6/; https://www.iea.org/data-and-statistics/data-tools/etp-clean-energy-technology-guide</x:v>
      </x:c>
      <x:c r="Z127" s="2" t="str">
        <x:v>Technology-specific analytical synthesis. The CTCN hierarchy is retained; classifications and component dependencies require validation against the selected design, site and supplier documentation before investment or policy use.</x:v>
      </x:c>
      <x:c r="AA127" s="2" t="str">
        <x:v>Physical deployment of Biomass briquettes or pellets requires foundations, access, electrical or thermal network, substation, control and communications, drainage and construction or marine logistics; interfaces, foundations, access and environmental protection are sized to the specific resource and design load.</x:v>
      </x:c>
      <x:c r="AB127" s="2" t="str">
        <x:v>For Biomass briquettes or pellets,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7" s="2" t="str">
        <x:v>Construction and operation use steel, concrete, copper, aluminium, polymers, glass and technology-specific materials such as silicon, magnets, coatings, catalysts or working fluids. For Biomass briquettes or pellets, specifications must include durability, compatibility, recycled content and recoverability.</x:v>
      </x:c>
      <x:c r="AD127" s="2" t="str">
        <x:v>Maintenance of Biomass briquettes or pellets depends on bearings, seals, filters, lubricants, sensors, converter parts, cables, fasteners, coatings and replaceable collector or heat-exchanger components; critical spares are selected from failure-mode, lead-time and safety analysis for its installed configuration.</x:v>
      </x:c>
      <x:c r="AE127" s="2" t="str">
        <x:v>The software stack for Biomass briquettes or pellets requires databases, secure communications, version-controlled models, computing, backup and interfaces with field or operational systems.</x:v>
      </x:c>
      <x:c r="AF127" s="2" t="str">
        <x:v>For Biomass briquettes or pellets, software-related energy is electricity for sensing, computing, storage, communication and cooling; it is normally secondary but must be included for data-intensive or continuous services.</x:v>
      </x:c>
      <x:c r="AG127" s="2" t="str">
        <x:v>The non-physical inputs are calibrated data, metadata, algorithms, boundary conditions, emission or hazard factors, manuals and validation records specific to Biomass briquettes or pellets.</x:v>
      </x:c>
      <x:c r="AH127" s="2" t="str">
        <x:v>Software continuity for Biomass briquettes or pellets requires licences where applicable, updates, cybersecurity patches, backups, calibration files, model validation and technical support.</x:v>
      </x:c>
      <x:c r="AI127" s="2" t="str">
        <x:v>Orgware depends on the institutions, laboratories, training providers, regulators, operators and community interfaces needed to govern Biomass briquettes or pellets.</x:v>
      </x:c>
      <x:c r="AJ127" s="2" t="str">
        <x:v>The orgware supporting Biomass briquettes or pellets has mainly indirect energy use from offices, meetings, training and information systems; travel and field supervision may be material at dispersed sites.</x:v>
      </x:c>
      <x:c r="AK127" s="2" t="str">
        <x:v>Its organisational inputs are permits, budgets, trained staff, competence records, contracts, procedures, safeguards, monitoring evidence and stakeholder agreements tailored to Biomass briquettes or pellets.</x:v>
      </x:c>
      <x:c r="AL127" s="2" t="str">
        <x:v>Sustained implementation of Biomass briquettes or pellets requires procurement and service contracts, audit protocols, training material, reporting templates, insurance or guarantees and periodic independent review.</x:v>
      </x:c>
      <x:c r="AM127" s="2" t="str">
        <x:v>Iron ore / steel inputs</x:v>
      </x:c>
      <x:c r="AN127" s="2" t="str">
        <x:v>Australia; Brazil; China</x:v>
      </x:c>
      <x:c r="AO127" s="2" t="str">
        <x:v>China; India; Japan</x:v>
      </x:c>
      <x:c r="AP127" s="2" t="str">
        <x:v>Biomass briquettes or pellets: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7" s="2" t="str">
        <x:v>2024–2025</x:v>
      </x:c>
      <x:c r="AR127" s="2" t="str">
        <x:v>https://pubs.usgs.gov/periodicals/mcs2026/mcs2026.pdf</x:v>
      </x:c>
    </x:row>
    <x:row r="128" ht="240" customHeight="1">
      <x:c r="A128" s="2" t="str">
        <x:v>MIT-0121</x:v>
      </x:c>
      <x:c r="B128" s="2" t="str">
        <x:v>Mitigation</x:v>
      </x:c>
      <x:c r="C128" s="2" t="str">
        <x:v>Renewable energy</x:v>
      </x:c>
      <x:c r="D128" s="2" t="str">
        <x:v>Bioenergy</x:v>
      </x:c>
      <x:c r="E128" s="2" t="str">
        <x:v>Biomass for heating</x:v>
      </x:c>
      <x:c r="F128" s="2" t="str">
        <x:v>Biomass for heating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Biomass for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8" s="2" t="str">
        <x:v>Mixed: adaptable design, site-specific implementation</x:v>
      </x:c>
      <x:c r="H128" s="2" t="str">
        <x:v>Biomass for heating is adaptable in capacity and configuration but site-specific in final engineering. Its principle remains the same, but resource quality, climate, scale, interfaces and safety constraints must be recalculated for each deployment.</x:v>
      </x:c>
      <x:c r="I128" s="2" t="str">
        <x:v>Primarily hard, with a soft component</x:v>
      </x:c>
      <x:c r="J128" s="2" t="str">
        <x:v>Biomass for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8" s="2" t="str">
        <x:v>Equipment and operation</x:v>
      </x:c>
      <x:c r="L128" s="2" t="str">
        <x:v>Biomass for heating is embodied mainly as an equipment-and-operation system. The deliverable is accepted only when measurable service, quality, safety and climate-performance criteria are met under real conditions.</x:v>
      </x:c>
      <x:c r="M128" s="2" t="str">
        <x:v>Yes, subject to life-cycle safeguards</x:v>
      </x:c>
      <x:c r="N128" s="2" t="str">
        <x:v>Biomass for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8" s="2" t="str">
        <x:v>Biomass for heating: resource collector or prime mover, generator or heat exchanger, support structure, power conversion, protection, metering and connection equipment.</x:v>
      </x:c>
      <x:c r="P128" s="2" t="str">
        <x:v>Biomass for heating: resource assessment, energy-yield modelling, forecasting, maximum-power or process control, dispatch, condition monitoring and maintenance planning.</x:v>
      </x:c>
      <x:c r="Q128" s="2" t="str">
        <x:v>Biomass for heating: resource and land or sea rights, environmental licensing, grid code, safety, community participation, revenue contract and decommissioning plan.</x:v>
      </x:c>
      <x:c r="R128" s="2" t="str">
        <x:v>Biomass for heating: foundations, access, electrical or thermal network, substation, control and communications, drainage and construction or marine logistics.</x:v>
      </x:c>
      <x:c r="S128" s="2" t="str">
        <x:v>Biomass for heating: the renewable resource is the primary input; auxiliary electricity, start-up fuel, pumping or thermal energy may be required depending on the design.</x:v>
      </x:c>
      <x:c r="T128" s="2" t="str">
        <x:v>Biomass for heating: steel, concrete, copper, aluminium, polymers, glass and technology-specific materials such as silicon, magnets, coatings, catalysts or working fluids.</x:v>
      </x:c>
      <x:c r="U128" s="2" t="str">
        <x:v>Biomass for heating: bearings, seals, filters, lubricants, sensors, converter parts, cables, fasteners, coatings and replaceable collector or heat-exchanger components.</x:v>
      </x:c>
      <x:c r="V128" s="2" t="str">
        <x:v>https://www.ctc-n.org/sites/default/files/resources/ctcn_taxonomy_0.pdf</x:v>
      </x:c>
      <x:c r="W128" s="2" t="str">
        <x:v>https://institutoagricoladepueblobello.edu.co/colegiapp/archivostemas/GUIA%209.%5B25%5D.pdf</x:v>
      </x:c>
      <x:c r="X128" s="2" t="str">
        <x:v>https://iiasa.ac.at/what-is-technology</x:v>
      </x:c>
      <x:c r="Y128" s="2" t="str">
        <x:v>https://www.ipcc.ch/report/ar6/wg3/chapter/chapter-6/; https://www.iea.org/data-and-statistics/data-tools/etp-clean-energy-technology-guide</x:v>
      </x:c>
      <x:c r="Z128" s="2" t="str">
        <x:v>Technology-specific analytical synthesis. The CTCN hierarchy is retained; classifications and component dependencies require validation against the selected design, site and supplier documentation before investment or policy use.</x:v>
      </x:c>
      <x:c r="AA128" s="2" t="str">
        <x:v>Physical deployment of Biomass for heating requires foundations, access, electrical or thermal network, substation, control and communications, drainage and construction or marine logistics; interfaces, foundations, access and environmental protection are sized to the specific resource and design load.</x:v>
      </x:c>
      <x:c r="AB128" s="2" t="str">
        <x:v>For Biomass for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8" s="2" t="str">
        <x:v>Construction and operation use steel, concrete, copper, aluminium, polymers, glass and technology-specific materials such as silicon, magnets, coatings, catalysts or working fluids. For Biomass for heating, specifications must include durability, compatibility, recycled content and recoverability.</x:v>
      </x:c>
      <x:c r="AD128" s="2" t="str">
        <x:v>Maintenance of Biomass for heating depends on bearings, seals, filters, lubricants, sensors, converter parts, cables, fasteners, coatings and replaceable collector or heat-exchanger components; critical spares are selected from failure-mode, lead-time and safety analysis for its installed configuration.</x:v>
      </x:c>
      <x:c r="AE128" s="2" t="str">
        <x:v>The software stack for Biomass for heating requires databases, secure communications, version-controlled models, computing, backup and interfaces with field or operational systems.</x:v>
      </x:c>
      <x:c r="AF128" s="2" t="str">
        <x:v>For Biomass for heating, software-related energy is electricity for sensing, computing, storage, communication and cooling; it is normally secondary but must be included for data-intensive or continuous services.</x:v>
      </x:c>
      <x:c r="AG128" s="2" t="str">
        <x:v>The non-physical inputs are calibrated data, metadata, algorithms, boundary conditions, emission or hazard factors, manuals and validation records specific to Biomass for heating.</x:v>
      </x:c>
      <x:c r="AH128" s="2" t="str">
        <x:v>Software continuity for Biomass for heating requires licences where applicable, updates, cybersecurity patches, backups, calibration files, model validation and technical support.</x:v>
      </x:c>
      <x:c r="AI128" s="2" t="str">
        <x:v>Orgware depends on the institutions, laboratories, training providers, regulators, operators and community interfaces needed to govern Biomass for heating.</x:v>
      </x:c>
      <x:c r="AJ128" s="2" t="str">
        <x:v>The orgware supporting Biomass for heating has mainly indirect energy use from offices, meetings, training and information systems; travel and field supervision may be material at dispersed sites.</x:v>
      </x:c>
      <x:c r="AK128" s="2" t="str">
        <x:v>Its organisational inputs are permits, budgets, trained staff, competence records, contracts, procedures, safeguards, monitoring evidence and stakeholder agreements tailored to Biomass for heating.</x:v>
      </x:c>
      <x:c r="AL128" s="2" t="str">
        <x:v>Sustained implementation of Biomass for heating requires procurement and service contracts, audit protocols, training material, reporting templates, insurance or guarantees and periodic independent review.</x:v>
      </x:c>
      <x:c r="AM128" s="2" t="str">
        <x:v>Iron ore / steel inputs</x:v>
      </x:c>
      <x:c r="AN128" s="2" t="str">
        <x:v>Australia; Brazil; China</x:v>
      </x:c>
      <x:c r="AO128" s="2" t="str">
        <x:v>China; India; Japan</x:v>
      </x:c>
      <x:c r="AP128" s="2" t="str">
        <x:v>Biomass for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8" s="2" t="str">
        <x:v>2024–2025</x:v>
      </x:c>
      <x:c r="AR128" s="2" t="str">
        <x:v>https://pubs.usgs.gov/periodicals/mcs2026/mcs2026.pdf</x:v>
      </x:c>
    </x:row>
    <x:row r="129" ht="240" customHeight="1">
      <x:c r="A129" s="2" t="str">
        <x:v>MIT-0122</x:v>
      </x:c>
      <x:c r="B129" s="2" t="str">
        <x:v>Mitigation</x:v>
      </x:c>
      <x:c r="C129" s="2" t="str">
        <x:v>Renewable energy</x:v>
      </x:c>
      <x:c r="D129" s="2" t="str">
        <x:v>Bioenergy</x:v>
      </x:c>
      <x:c r="E129" s="2" t="str">
        <x:v>Black liquor</x:v>
      </x:c>
      <x:c r="F129" s="2" t="str">
        <x:v>Black liquor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Black liquor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9" s="2" t="str">
        <x:v>Mixed: adaptable design, site-specific implementation</x:v>
      </x:c>
      <x:c r="H129" s="2" t="str">
        <x:v>Black liquor is adaptable in capacity and configuration but site-specific in final engineering. Its principle remains the same, but resource quality, climate, scale, interfaces and safety constraints must be recalculated for each deployment.</x:v>
      </x:c>
      <x:c r="I129" s="2" t="str">
        <x:v>Primarily hard, with a soft component</x:v>
      </x:c>
      <x:c r="J129" s="2" t="str">
        <x:v>Black liquor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9" s="2" t="str">
        <x:v>Equipment and operation</x:v>
      </x:c>
      <x:c r="L129" s="2" t="str">
        <x:v>Black liquor is embodied mainly as an equipment-and-operation system. The deliverable is accepted only when measurable service, quality, safety and climate-performance criteria are met under real conditions.</x:v>
      </x:c>
      <x:c r="M129" s="2" t="str">
        <x:v>Yes, subject to life-cycle safeguards</x:v>
      </x:c>
      <x:c r="N129" s="2" t="str">
        <x:v>Black liquor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9" s="2" t="str">
        <x:v>Black liquor: resource collector or prime mover, generator or heat exchanger, support structure, power conversion, protection, metering and connection equipment.</x:v>
      </x:c>
      <x:c r="P129" s="2" t="str">
        <x:v>Black liquor: resource assessment, energy-yield modelling, forecasting, maximum-power or process control, dispatch, condition monitoring and maintenance planning.</x:v>
      </x:c>
      <x:c r="Q129" s="2" t="str">
        <x:v>Black liquor: resource and land or sea rights, environmental licensing, grid code, safety, community participation, revenue contract and decommissioning plan.</x:v>
      </x:c>
      <x:c r="R129" s="2" t="str">
        <x:v>Black liquor: foundations, access, electrical or thermal network, substation, control and communications, drainage and construction or marine logistics.</x:v>
      </x:c>
      <x:c r="S129" s="2" t="str">
        <x:v>Black liquor: the renewable resource is the primary input; auxiliary electricity, start-up fuel, pumping or thermal energy may be required depending on the design.</x:v>
      </x:c>
      <x:c r="T129" s="2" t="str">
        <x:v>Black liquor: steel, concrete, copper, aluminium, polymers, glass and technology-specific materials such as silicon, magnets, coatings, catalysts or working fluids.</x:v>
      </x:c>
      <x:c r="U129" s="2" t="str">
        <x:v>Black liquor: bearings, seals, filters, lubricants, sensors, converter parts, cables, fasteners, coatings and replaceable collector or heat-exchanger components.</x:v>
      </x:c>
      <x:c r="V129" s="2" t="str">
        <x:v>https://www.ctc-n.org/sites/default/files/resources/ctcn_taxonomy_0.pdf</x:v>
      </x:c>
      <x:c r="W129" s="2" t="str">
        <x:v>https://institutoagricoladepueblobello.edu.co/colegiapp/archivostemas/GUIA%209.%5B25%5D.pdf</x:v>
      </x:c>
      <x:c r="X129" s="2" t="str">
        <x:v>https://iiasa.ac.at/what-is-technology</x:v>
      </x:c>
      <x:c r="Y129" s="2" t="str">
        <x:v>https://www.ipcc.ch/report/ar6/wg3/chapter/chapter-6/; https://www.iea.org/data-and-statistics/data-tools/etp-clean-energy-technology-guide</x:v>
      </x:c>
      <x:c r="Z129" s="2" t="str">
        <x:v>Technology-specific analytical synthesis. The CTCN hierarchy is retained; classifications and component dependencies require validation against the selected design, site and supplier documentation before investment or policy use.</x:v>
      </x:c>
      <x:c r="AA129" s="2" t="str">
        <x:v>Physical deployment of Black liquor requires foundations, access, electrical or thermal network, substation, control and communications, drainage and construction or marine logistics; interfaces, foundations, access and environmental protection are sized to the specific resource and design load.</x:v>
      </x:c>
      <x:c r="AB129" s="2" t="str">
        <x:v>For Black liquor,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9" s="2" t="str">
        <x:v>Construction and operation use steel, concrete, copper, aluminium, polymers, glass and technology-specific materials such as silicon, magnets, coatings, catalysts or working fluids. For Black liquor, specifications must include durability, compatibility, recycled content and recoverability.</x:v>
      </x:c>
      <x:c r="AD129" s="2" t="str">
        <x:v>Maintenance of Black liquor depends on bearings, seals, filters, lubricants, sensors, converter parts, cables, fasteners, coatings and replaceable collector or heat-exchanger components; critical spares are selected from failure-mode, lead-time and safety analysis for its installed configuration.</x:v>
      </x:c>
      <x:c r="AE129" s="2" t="str">
        <x:v>The software stack for Black liquor requires databases, secure communications, version-controlled models, computing, backup and interfaces with field or operational systems.</x:v>
      </x:c>
      <x:c r="AF129" s="2" t="str">
        <x:v>For Black liquor, software-related energy is electricity for sensing, computing, storage, communication and cooling; it is normally secondary but must be included for data-intensive or continuous services.</x:v>
      </x:c>
      <x:c r="AG129" s="2" t="str">
        <x:v>The non-physical inputs are calibrated data, metadata, algorithms, boundary conditions, emission or hazard factors, manuals and validation records specific to Black liquor.</x:v>
      </x:c>
      <x:c r="AH129" s="2" t="str">
        <x:v>Software continuity for Black liquor requires licences where applicable, updates, cybersecurity patches, backups, calibration files, model validation and technical support.</x:v>
      </x:c>
      <x:c r="AI129" s="2" t="str">
        <x:v>Orgware depends on the institutions, laboratories, training providers, regulators, operators and community interfaces needed to govern Black liquor.</x:v>
      </x:c>
      <x:c r="AJ129" s="2" t="str">
        <x:v>The orgware supporting Black liquor has mainly indirect energy use from offices, meetings, training and information systems; travel and field supervision may be material at dispersed sites.</x:v>
      </x:c>
      <x:c r="AK129" s="2" t="str">
        <x:v>Its organisational inputs are permits, budgets, trained staff, competence records, contracts, procedures, safeguards, monitoring evidence and stakeholder agreements tailored to Black liquor.</x:v>
      </x:c>
      <x:c r="AL129" s="2" t="str">
        <x:v>Sustained implementation of Black liquor requires procurement and service contracts, audit protocols, training material, reporting templates, insurance or guarantees and periodic independent review.</x:v>
      </x:c>
      <x:c r="AM129" s="2" t="str">
        <x:v>Iron ore / steel inputs</x:v>
      </x:c>
      <x:c r="AN129" s="2" t="str">
        <x:v>Australia; Brazil; China</x:v>
      </x:c>
      <x:c r="AO129" s="2" t="str">
        <x:v>China; India; Japan</x:v>
      </x:c>
      <x:c r="AP129" s="2" t="str">
        <x:v>Black liquor: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9" s="2" t="str">
        <x:v>2024–2025</x:v>
      </x:c>
      <x:c r="AR129" s="2" t="str">
        <x:v>https://pubs.usgs.gov/periodicals/mcs2026/mcs2026.pdf</x:v>
      </x:c>
    </x:row>
    <x:row r="130" ht="240" customHeight="1">
      <x:c r="A130" s="2" t="str">
        <x:v>MIT-0123</x:v>
      </x:c>
      <x:c r="B130" s="2" t="str">
        <x:v>Mitigation</x:v>
      </x:c>
      <x:c r="C130" s="2" t="str">
        <x:v>Renewable energy</x:v>
      </x:c>
      <x:c r="D130" s="2" t="str">
        <x:v>Bioenergy</x:v>
      </x:c>
      <x:c r="E130" s="2" t="str">
        <x:v>Biomass power</x:v>
      </x:c>
      <x:c r="F130" s="2" t="str">
        <x:v>Biomass power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Biomass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0" s="2" t="str">
        <x:v>Mixed: adaptable design, site-specific implementation</x:v>
      </x:c>
      <x:c r="H130" s="2" t="str">
        <x:v>Biomass power is adaptable in capacity and configuration but site-specific in final engineering. Its principle remains the same, but resource quality, climate, scale, interfaces and safety constraints must be recalculated for each deployment.</x:v>
      </x:c>
      <x:c r="I130" s="2" t="str">
        <x:v>Primarily hard, with a soft component</x:v>
      </x:c>
      <x:c r="J130" s="2" t="str">
        <x:v>Biomass 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0" s="2" t="str">
        <x:v>Equipment and operation</x:v>
      </x:c>
      <x:c r="L130" s="2" t="str">
        <x:v>Biomass power is embodied mainly as an equipment-and-operation system. The deliverable is accepted only when measurable service, quality, safety and climate-performance criteria are met under real conditions.</x:v>
      </x:c>
      <x:c r="M130" s="2" t="str">
        <x:v>Yes, subject to life-cycle safeguards</x:v>
      </x:c>
      <x:c r="N130" s="2" t="str">
        <x:v>Biomass 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0" s="2" t="str">
        <x:v>Biomass power: resource collector or prime mover, generator or heat exchanger, support structure, power conversion, protection, metering and connection equipment.</x:v>
      </x:c>
      <x:c r="P130" s="2" t="str">
        <x:v>Biomass power: resource assessment, energy-yield modelling, forecasting, maximum-power or process control, dispatch, condition monitoring and maintenance planning.</x:v>
      </x:c>
      <x:c r="Q130" s="2" t="str">
        <x:v>Biomass power: resource and land or sea rights, environmental licensing, grid code, safety, community participation, revenue contract and decommissioning plan.</x:v>
      </x:c>
      <x:c r="R130" s="2" t="str">
        <x:v>Biomass power: foundations, access, electrical or thermal network, substation, control and communications, drainage and construction or marine logistics.</x:v>
      </x:c>
      <x:c r="S130" s="2" t="str">
        <x:v>Biomass power: the renewable resource is the primary input; auxiliary electricity, start-up fuel, pumping or thermal energy may be required depending on the design.</x:v>
      </x:c>
      <x:c r="T130" s="2" t="str">
        <x:v>Biomass power: steel, concrete, copper, aluminium, polymers, glass and technology-specific materials such as silicon, magnets, coatings, catalysts or working fluids.</x:v>
      </x:c>
      <x:c r="U130" s="2" t="str">
        <x:v>Biomass power: bearings, seals, filters, lubricants, sensors, converter parts, cables, fasteners, coatings and replaceable collector or heat-exchanger components.</x:v>
      </x:c>
      <x:c r="V130" s="2" t="str">
        <x:v>https://www.ctc-n.org/sites/default/files/resources/ctcn_taxonomy_0.pdf</x:v>
      </x:c>
      <x:c r="W130" s="2" t="str">
        <x:v>https://institutoagricoladepueblobello.edu.co/colegiapp/archivostemas/GUIA%209.%5B25%5D.pdf</x:v>
      </x:c>
      <x:c r="X130" s="2" t="str">
        <x:v>https://iiasa.ac.at/what-is-technology</x:v>
      </x:c>
      <x:c r="Y130" s="2" t="str">
        <x:v>https://www.ipcc.ch/report/ar6/wg3/chapter/chapter-6/; https://www.iea.org/data-and-statistics/data-tools/etp-clean-energy-technology-guide</x:v>
      </x:c>
      <x:c r="Z130" s="2" t="str">
        <x:v>Technology-specific analytical synthesis. The CTCN hierarchy is retained; classifications and component dependencies require validation against the selected design, site and supplier documentation before investment or policy use.</x:v>
      </x:c>
      <x:c r="AA130" s="2" t="str">
        <x:v>Physical deployment of Biomass power requires foundations, access, electrical or thermal network, substation, control and communications, drainage and construction or marine logistics; interfaces, foundations, access and environmental protection are sized to the specific resource and design load.</x:v>
      </x:c>
      <x:c r="AB130" s="2" t="str">
        <x:v>For Biomass 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0" s="2" t="str">
        <x:v>Construction and operation use steel, concrete, copper, aluminium, polymers, glass and technology-specific materials such as silicon, magnets, coatings, catalysts or working fluids. For Biomass power, specifications must include durability, compatibility, recycled content and recoverability.</x:v>
      </x:c>
      <x:c r="AD130" s="2" t="str">
        <x:v>Maintenance of Biomass power depends on bearings, seals, filters, lubricants, sensors, converter parts, cables, fasteners, coatings and replaceable collector or heat-exchanger components; critical spares are selected from failure-mode, lead-time and safety analysis for its installed configuration.</x:v>
      </x:c>
      <x:c r="AE130" s="2" t="str">
        <x:v>The software stack for Biomass power requires databases, secure communications, version-controlled models, computing, backup and interfaces with field or operational systems.</x:v>
      </x:c>
      <x:c r="AF130" s="2" t="str">
        <x:v>For Biomass power, software-related energy is electricity for sensing, computing, storage, communication and cooling; it is normally secondary but must be included for data-intensive or continuous services.</x:v>
      </x:c>
      <x:c r="AG130" s="2" t="str">
        <x:v>The non-physical inputs are calibrated data, metadata, algorithms, boundary conditions, emission or hazard factors, manuals and validation records specific to Biomass power.</x:v>
      </x:c>
      <x:c r="AH130" s="2" t="str">
        <x:v>Software continuity for Biomass power requires licences where applicable, updates, cybersecurity patches, backups, calibration files, model validation and technical support.</x:v>
      </x:c>
      <x:c r="AI130" s="2" t="str">
        <x:v>Orgware depends on the institutions, laboratories, training providers, regulators, operators and community interfaces needed to govern Biomass power.</x:v>
      </x:c>
      <x:c r="AJ130" s="2" t="str">
        <x:v>The orgware supporting Biomass power has mainly indirect energy use from offices, meetings, training and information systems; travel and field supervision may be material at dispersed sites.</x:v>
      </x:c>
      <x:c r="AK130" s="2" t="str">
        <x:v>Its organisational inputs are permits, budgets, trained staff, competence records, contracts, procedures, safeguards, monitoring evidence and stakeholder agreements tailored to Biomass power.</x:v>
      </x:c>
      <x:c r="AL130" s="2" t="str">
        <x:v>Sustained implementation of Biomass power requires procurement and service contracts, audit protocols, training material, reporting templates, insurance or guarantees and periodic independent review.</x:v>
      </x:c>
      <x:c r="AM130" s="2" t="str">
        <x:v>Iron ore / steel inputs</x:v>
      </x:c>
      <x:c r="AN130" s="2" t="str">
        <x:v>Australia; Brazil; China</x:v>
      </x:c>
      <x:c r="AO130" s="2" t="str">
        <x:v>China; India; Japan</x:v>
      </x:c>
      <x:c r="AP130" s="2" t="str">
        <x:v>Biomass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0" s="2" t="str">
        <x:v>2024–2025</x:v>
      </x:c>
      <x:c r="AR130" s="2" t="str">
        <x:v>https://pubs.usgs.gov/periodicals/mcs2026/mcs2026.pdf</x:v>
      </x:c>
    </x:row>
    <x:row r="131" ht="240" customHeight="1">
      <x:c r="A131" s="2" t="str">
        <x:v>MIT-0124</x:v>
      </x:c>
      <x:c r="B131" s="2" t="str">
        <x:v>Mitigation</x:v>
      </x:c>
      <x:c r="C131" s="2" t="str">
        <x:v>Renewable energy</x:v>
      </x:c>
      <x:c r="D131" s="2" t="str">
        <x:v>Bioenergy</x:v>
      </x:c>
      <x:c r="E131" s="2" t="str">
        <x:v>Ethanol fuel</x:v>
      </x:c>
      <x:c r="F131" s="2" t="str">
        <x:v>Ethanol fuel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Ethanol fuel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1" s="2" t="str">
        <x:v>Mixed: adaptable design, site-specific implementation</x:v>
      </x:c>
      <x:c r="H131" s="2" t="str">
        <x:v>Ethanol fuel is adaptable in capacity and configuration but site-specific in final engineering. Its principle remains the same, but resource quality, climate, scale, interfaces and safety constraints must be recalculated for each deployment.</x:v>
      </x:c>
      <x:c r="I131" s="2" t="str">
        <x:v>Primarily hard, with a soft component</x:v>
      </x:c>
      <x:c r="J131" s="2" t="str">
        <x:v>Ethanol fuel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1" s="2" t="str">
        <x:v>Product and equipment; complementary operation</x:v>
      </x:c>
      <x:c r="L131" s="2" t="str">
        <x:v>Ethanol fuel is embodied mainly as a product/equipment package. The deliverable is accepted only when measurable service, quality, safety and climate-performance criteria are met under real conditions.</x:v>
      </x:c>
      <x:c r="M131" s="2" t="str">
        <x:v>Yes, subject to life-cycle safeguards</x:v>
      </x:c>
      <x:c r="N131" s="2" t="str">
        <x:v>Ethanol fuel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1" s="2" t="str">
        <x:v>Ethanol fuel: resource collector or prime mover, generator or heat exchanger, support structure, power conversion, protection, metering and connection equipment.</x:v>
      </x:c>
      <x:c r="P131" s="2" t="str">
        <x:v>Ethanol fuel: resource assessment, energy-yield modelling, forecasting, maximum-power or process control, dispatch, condition monitoring and maintenance planning.</x:v>
      </x:c>
      <x:c r="Q131" s="2" t="str">
        <x:v>Ethanol fuel: resource and land or sea rights, environmental licensing, grid code, safety, community participation, revenue contract and decommissioning plan.</x:v>
      </x:c>
      <x:c r="R131" s="2" t="str">
        <x:v>Ethanol fuel: foundations, access, electrical or thermal network, substation, control and communications, drainage and construction or marine logistics.</x:v>
      </x:c>
      <x:c r="S131" s="2" t="str">
        <x:v>Ethanol fuel: the renewable resource is the primary input; auxiliary electricity, start-up fuel, pumping or thermal energy may be required depending on the design.</x:v>
      </x:c>
      <x:c r="T131" s="2" t="str">
        <x:v>Ethanol fuel: steel, concrete, copper, aluminium, polymers, glass and technology-specific materials such as silicon, magnets, coatings, catalysts or working fluids.</x:v>
      </x:c>
      <x:c r="U131" s="2" t="str">
        <x:v>Ethanol fuel: bearings, seals, filters, lubricants, sensors, converter parts, cables, fasteners, coatings and replaceable collector or heat-exchanger components.</x:v>
      </x:c>
      <x:c r="V131" s="2" t="str">
        <x:v>https://www.ctc-n.org/sites/default/files/resources/ctcn_taxonomy_0.pdf</x:v>
      </x:c>
      <x:c r="W131" s="2" t="str">
        <x:v>https://institutoagricoladepueblobello.edu.co/colegiapp/archivostemas/GUIA%209.%5B25%5D.pdf</x:v>
      </x:c>
      <x:c r="X131" s="2" t="str">
        <x:v>https://iiasa.ac.at/what-is-technology</x:v>
      </x:c>
      <x:c r="Y131" s="2" t="str">
        <x:v>https://www.ipcc.ch/report/ar6/wg3/chapter/chapter-6/; https://www.iea.org/data-and-statistics/data-tools/etp-clean-energy-technology-guide</x:v>
      </x:c>
      <x:c r="Z131" s="2" t="str">
        <x:v>Technology-specific analytical synthesis. The CTCN hierarchy is retained; classifications and component dependencies require validation against the selected design, site and supplier documentation before investment or policy use.</x:v>
      </x:c>
      <x:c r="AA131" s="2" t="str">
        <x:v>Physical deployment of Ethanol fuel requires foundations, access, electrical or thermal network, substation, control and communications, drainage and construction or marine logistics; interfaces, foundations, access and environmental protection are sized to the specific resource and design load.</x:v>
      </x:c>
      <x:c r="AB131" s="2" t="str">
        <x:v>For Ethanol fuel,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1" s="2" t="str">
        <x:v>Construction and operation use steel, concrete, copper, aluminium, polymers, glass and technology-specific materials such as silicon, magnets, coatings, catalysts or working fluids. For Ethanol fuel, specifications must include durability, compatibility, recycled content and recoverability.</x:v>
      </x:c>
      <x:c r="AD131" s="2" t="str">
        <x:v>Maintenance of Ethanol fuel depends on bearings, seals, filters, lubricants, sensors, converter parts, cables, fasteners, coatings and replaceable collector or heat-exchanger components; critical spares are selected from failure-mode, lead-time and safety analysis for its installed configuration.</x:v>
      </x:c>
      <x:c r="AE131" s="2" t="str">
        <x:v>The software stack for Ethanol fuel requires databases, secure communications, version-controlled models, computing, backup and interfaces with field or operational systems.</x:v>
      </x:c>
      <x:c r="AF131" s="2" t="str">
        <x:v>For Ethanol fuel, software-related energy is electricity for sensing, computing, storage, communication and cooling; it is normally secondary but must be included for data-intensive or continuous services.</x:v>
      </x:c>
      <x:c r="AG131" s="2" t="str">
        <x:v>The non-physical inputs are calibrated data, metadata, algorithms, boundary conditions, emission or hazard factors, manuals and validation records specific to Ethanol fuel.</x:v>
      </x:c>
      <x:c r="AH131" s="2" t="str">
        <x:v>Software continuity for Ethanol fuel requires licences where applicable, updates, cybersecurity patches, backups, calibration files, model validation and technical support.</x:v>
      </x:c>
      <x:c r="AI131" s="2" t="str">
        <x:v>Orgware depends on the institutions, laboratories, training providers, regulators, operators and community interfaces needed to govern Ethanol fuel.</x:v>
      </x:c>
      <x:c r="AJ131" s="2" t="str">
        <x:v>The orgware supporting Ethanol fuel has mainly indirect energy use from offices, meetings, training and information systems; travel and field supervision may be material at dispersed sites.</x:v>
      </x:c>
      <x:c r="AK131" s="2" t="str">
        <x:v>Its organisational inputs are permits, budgets, trained staff, competence records, contracts, procedures, safeguards, monitoring evidence and stakeholder agreements tailored to Ethanol fuel.</x:v>
      </x:c>
      <x:c r="AL131" s="2" t="str">
        <x:v>Sustained implementation of Ethanol fuel requires procurement and service contracts, audit protocols, training material, reporting templates, insurance or guarantees and periodic independent review.</x:v>
      </x:c>
      <x:c r="AM131" s="2" t="str">
        <x:v>Iron ore / steel inputs</x:v>
      </x:c>
      <x:c r="AN131" s="2" t="str">
        <x:v>Australia; Brazil; China</x:v>
      </x:c>
      <x:c r="AO131" s="2" t="str">
        <x:v>China; India; Japan</x:v>
      </x:c>
      <x:c r="AP131" s="2" t="str">
        <x:v>Ethanol fuel: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1" s="2" t="str">
        <x:v>2024–2025</x:v>
      </x:c>
      <x:c r="AR131" s="2" t="str">
        <x:v>https://pubs.usgs.gov/periodicals/mcs2026/mcs2026.pdf</x:v>
      </x:c>
    </x:row>
    <x:row r="132" ht="240" customHeight="1">
      <x:c r="A132" s="2" t="str">
        <x:v>MIT-0125</x:v>
      </x:c>
      <x:c r="B132" s="2" t="str">
        <x:v>Mitigation</x:v>
      </x:c>
      <x:c r="C132" s="2" t="str">
        <x:v>Renewable energy</x:v>
      </x:c>
      <x:c r="D132" s="2" t="str">
        <x:v>Bioenergy</x:v>
      </x:c>
      <x:c r="E132" s="2" t="str">
        <x:v>Biodiesel</x:v>
      </x:c>
      <x:c r="F132" s="2" t="str">
        <x:v>Biodiesel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Biodiesel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2" s="2" t="str">
        <x:v>Mixed: adaptable design, site-specific implementation</x:v>
      </x:c>
      <x:c r="H132" s="2" t="str">
        <x:v>Biodiesel is adaptable in capacity and configuration but site-specific in final engineering. Its principle remains the same, but resource quality, climate, scale, interfaces and safety constraints must be recalculated for each deployment.</x:v>
      </x:c>
      <x:c r="I132" s="2" t="str">
        <x:v>Primarily hard, with a soft component</x:v>
      </x:c>
      <x:c r="J132" s="2" t="str">
        <x:v>Biodiesel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2" s="2" t="str">
        <x:v>Product and equipment; complementary operation</x:v>
      </x:c>
      <x:c r="L132" s="2" t="str">
        <x:v>Biodiesel is embodied mainly as a product/equipment package. The deliverable is accepted only when measurable service, quality, safety and climate-performance criteria are met under real conditions.</x:v>
      </x:c>
      <x:c r="M132" s="2" t="str">
        <x:v>Yes, subject to life-cycle safeguards</x:v>
      </x:c>
      <x:c r="N132" s="2" t="str">
        <x:v>Biodiesel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2" s="2" t="str">
        <x:v>Biodiesel: resource collector or prime mover, generator or heat exchanger, support structure, power conversion, protection, metering and connection equipment.</x:v>
      </x:c>
      <x:c r="P132" s="2" t="str">
        <x:v>Biodiesel: resource assessment, energy-yield modelling, forecasting, maximum-power or process control, dispatch, condition monitoring and maintenance planning.</x:v>
      </x:c>
      <x:c r="Q132" s="2" t="str">
        <x:v>Biodiesel: resource and land or sea rights, environmental licensing, grid code, safety, community participation, revenue contract and decommissioning plan.</x:v>
      </x:c>
      <x:c r="R132" s="2" t="str">
        <x:v>Biodiesel: foundations, access, electrical or thermal network, substation, control and communications, drainage and construction or marine logistics.</x:v>
      </x:c>
      <x:c r="S132" s="2" t="str">
        <x:v>Biodiesel: the renewable resource is the primary input; auxiliary electricity, start-up fuel, pumping or thermal energy may be required depending on the design.</x:v>
      </x:c>
      <x:c r="T132" s="2" t="str">
        <x:v>Biodiesel: steel, concrete, copper, aluminium, polymers, glass and technology-specific materials such as silicon, magnets, coatings, catalysts or working fluids.</x:v>
      </x:c>
      <x:c r="U132" s="2" t="str">
        <x:v>Biodiesel: bearings, seals, filters, lubricants, sensors, converter parts, cables, fasteners, coatings and replaceable collector or heat-exchanger components.</x:v>
      </x:c>
      <x:c r="V132" s="2" t="str">
        <x:v>https://www.ctc-n.org/sites/default/files/resources/ctcn_taxonomy_0.pdf</x:v>
      </x:c>
      <x:c r="W132" s="2" t="str">
        <x:v>https://institutoagricoladepueblobello.edu.co/colegiapp/archivostemas/GUIA%209.%5B25%5D.pdf</x:v>
      </x:c>
      <x:c r="X132" s="2" t="str">
        <x:v>https://iiasa.ac.at/what-is-technology</x:v>
      </x:c>
      <x:c r="Y132" s="2" t="str">
        <x:v>https://www.ipcc.ch/report/ar6/wg3/chapter/chapter-6/; https://www.iea.org/data-and-statistics/data-tools/etp-clean-energy-technology-guide</x:v>
      </x:c>
      <x:c r="Z132" s="2" t="str">
        <x:v>Technology-specific analytical synthesis. The CTCN hierarchy is retained; classifications and component dependencies require validation against the selected design, site and supplier documentation before investment or policy use.</x:v>
      </x:c>
      <x:c r="AA132" s="2" t="str">
        <x:v>Physical deployment of Biodiesel requires foundations, access, electrical or thermal network, substation, control and communications, drainage and construction or marine logistics; interfaces, foundations, access and environmental protection are sized to the specific resource and design load.</x:v>
      </x:c>
      <x:c r="AB132" s="2" t="str">
        <x:v>For Biodiesel,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2" s="2" t="str">
        <x:v>Construction and operation use steel, concrete, copper, aluminium, polymers, glass and technology-specific materials such as silicon, magnets, coatings, catalysts or working fluids. For Biodiesel, specifications must include durability, compatibility, recycled content and recoverability.</x:v>
      </x:c>
      <x:c r="AD132" s="2" t="str">
        <x:v>Maintenance of Biodiesel depends on bearings, seals, filters, lubricants, sensors, converter parts, cables, fasteners, coatings and replaceable collector or heat-exchanger components; critical spares are selected from failure-mode, lead-time and safety analysis for its installed configuration.</x:v>
      </x:c>
      <x:c r="AE132" s="2" t="str">
        <x:v>The software stack for Biodiesel requires databases, secure communications, version-controlled models, computing, backup and interfaces with field or operational systems.</x:v>
      </x:c>
      <x:c r="AF132" s="2" t="str">
        <x:v>For Biodiesel, software-related energy is electricity for sensing, computing, storage, communication and cooling; it is normally secondary but must be included for data-intensive or continuous services.</x:v>
      </x:c>
      <x:c r="AG132" s="2" t="str">
        <x:v>The non-physical inputs are calibrated data, metadata, algorithms, boundary conditions, emission or hazard factors, manuals and validation records specific to Biodiesel.</x:v>
      </x:c>
      <x:c r="AH132" s="2" t="str">
        <x:v>Software continuity for Biodiesel requires licences where applicable, updates, cybersecurity patches, backups, calibration files, model validation and technical support.</x:v>
      </x:c>
      <x:c r="AI132" s="2" t="str">
        <x:v>Orgware depends on the institutions, laboratories, training providers, regulators, operators and community interfaces needed to govern Biodiesel.</x:v>
      </x:c>
      <x:c r="AJ132" s="2" t="str">
        <x:v>The orgware supporting Biodiesel has mainly indirect energy use from offices, meetings, training and information systems; travel and field supervision may be material at dispersed sites.</x:v>
      </x:c>
      <x:c r="AK132" s="2" t="str">
        <x:v>Its organisational inputs are permits, budgets, trained staff, competence records, contracts, procedures, safeguards, monitoring evidence and stakeholder agreements tailored to Biodiesel.</x:v>
      </x:c>
      <x:c r="AL132" s="2" t="str">
        <x:v>Sustained implementation of Biodiesel requires procurement and service contracts, audit protocols, training material, reporting templates, insurance or guarantees and periodic independent review.</x:v>
      </x:c>
      <x:c r="AM132" s="2" t="str">
        <x:v>Iron ore / steel inputs</x:v>
      </x:c>
      <x:c r="AN132" s="2" t="str">
        <x:v>Australia; Brazil; China</x:v>
      </x:c>
      <x:c r="AO132" s="2" t="str">
        <x:v>China; India; Japan</x:v>
      </x:c>
      <x:c r="AP132" s="2" t="str">
        <x:v>Biodiesel: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2" s="2" t="str">
        <x:v>2024–2025</x:v>
      </x:c>
      <x:c r="AR132" s="2" t="str">
        <x:v>https://pubs.usgs.gov/periodicals/mcs2026/mcs2026.pdf</x:v>
      </x:c>
    </x:row>
    <x:row r="133" ht="240" customHeight="1">
      <x:c r="A133" s="2" t="str">
        <x:v>MIT-0126</x:v>
      </x:c>
      <x:c r="B133" s="2" t="str">
        <x:v>Mitigation</x:v>
      </x:c>
      <x:c r="C133" s="2" t="str">
        <x:v>Renewable energy</x:v>
      </x:c>
      <x:c r="D133" s="2" t="str">
        <x:v>Bioenergy</x:v>
      </x:c>
      <x:c r="E133" s="2" t="str">
        <x:v>Biodiesel from waste oil</x:v>
      </x:c>
      <x:c r="F133" s="2" t="str">
        <x:v>Biodiesel from waste oil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Biodiesel from waste oil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3" s="2" t="str">
        <x:v>Mixed: adaptable design, site-specific implementation</x:v>
      </x:c>
      <x:c r="H133" s="2" t="str">
        <x:v>Biodiesel from waste oil is adaptable in capacity and configuration but site-specific in final engineering. Its principle remains the same, but resource quality, climate, scale, interfaces and safety constraints must be recalculated for each deployment.</x:v>
      </x:c>
      <x:c r="I133" s="2" t="str">
        <x:v>Primarily hard, with a soft component</x:v>
      </x:c>
      <x:c r="J133" s="2" t="str">
        <x:v>Biodiesel from waste oil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3" s="2" t="str">
        <x:v>Product and equipment; complementary operation</x:v>
      </x:c>
      <x:c r="L133" s="2" t="str">
        <x:v>Biodiesel from waste oil is embodied mainly as a product/equipment package. The deliverable is accepted only when measurable service, quality, safety and climate-performance criteria are met under real conditions.</x:v>
      </x:c>
      <x:c r="M133" s="2" t="str">
        <x:v>Yes, subject to life-cycle safeguards</x:v>
      </x:c>
      <x:c r="N133" s="2" t="str">
        <x:v>Biodiesel from waste oil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3" s="2" t="str">
        <x:v>Biodiesel from waste oil: resource collector or prime mover, generator or heat exchanger, support structure, power conversion, protection, metering and connection equipment.</x:v>
      </x:c>
      <x:c r="P133" s="2" t="str">
        <x:v>Biodiesel from waste oil: resource assessment, energy-yield modelling, forecasting, maximum-power or process control, dispatch, condition monitoring and maintenance planning.</x:v>
      </x:c>
      <x:c r="Q133" s="2" t="str">
        <x:v>Biodiesel from waste oil: resource and land or sea rights, environmental licensing, grid code, safety, community participation, revenue contract and decommissioning plan.</x:v>
      </x:c>
      <x:c r="R133" s="2" t="str">
        <x:v>Biodiesel from waste oil: foundations, access, electrical or thermal network, substation, control and communications, drainage and construction or marine logistics.</x:v>
      </x:c>
      <x:c r="S133" s="2" t="str">
        <x:v>Biodiesel from waste oil: the renewable resource is the primary input; auxiliary electricity, start-up fuel, pumping or thermal energy may be required depending on the design.</x:v>
      </x:c>
      <x:c r="T133" s="2" t="str">
        <x:v>Biodiesel from waste oil: steel, concrete, copper, aluminium, polymers, glass and technology-specific materials such as silicon, magnets, coatings, catalysts or working fluids.</x:v>
      </x:c>
      <x:c r="U133" s="2" t="str">
        <x:v>Biodiesel from waste oil: bearings, seals, filters, lubricants, sensors, converter parts, cables, fasteners, coatings and replaceable collector or heat-exchanger components.</x:v>
      </x:c>
      <x:c r="V133" s="2" t="str">
        <x:v>https://www.ctc-n.org/sites/default/files/resources/ctcn_taxonomy_0.pdf</x:v>
      </x:c>
      <x:c r="W133" s="2" t="str">
        <x:v>https://institutoagricoladepueblobello.edu.co/colegiapp/archivostemas/GUIA%209.%5B25%5D.pdf</x:v>
      </x:c>
      <x:c r="X133" s="2" t="str">
        <x:v>https://iiasa.ac.at/what-is-technology</x:v>
      </x:c>
      <x:c r="Y133" s="2" t="str">
        <x:v>https://www.ipcc.ch/report/ar6/wg3/chapter/chapter-6/; https://www.iea.org/data-and-statistics/data-tools/etp-clean-energy-technology-guide</x:v>
      </x:c>
      <x:c r="Z133" s="2" t="str">
        <x:v>Technology-specific analytical synthesis. The CTCN hierarchy is retained; classifications and component dependencies require validation against the selected design, site and supplier documentation before investment or policy use.</x:v>
      </x:c>
      <x:c r="AA133" s="2" t="str">
        <x:v>Physical deployment of Biodiesel from waste oil requires foundations, access, electrical or thermal network, substation, control and communications, drainage and construction or marine logistics; interfaces, foundations, access and environmental protection are sized to the specific resource and design load.</x:v>
      </x:c>
      <x:c r="AB133" s="2" t="str">
        <x:v>For Biodiesel from waste oil,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3" s="2" t="str">
        <x:v>Construction and operation use steel, concrete, copper, aluminium, polymers, glass and technology-specific materials such as silicon, magnets, coatings, catalysts or working fluids. For Biodiesel from waste oil, specifications must include durability, compatibility, recycled content and recoverability.</x:v>
      </x:c>
      <x:c r="AD133" s="2" t="str">
        <x:v>Maintenance of Biodiesel from waste oil depends on bearings, seals, filters, lubricants, sensors, converter parts, cables, fasteners, coatings and replaceable collector or heat-exchanger components; critical spares are selected from failure-mode, lead-time and safety analysis for its installed configuration.</x:v>
      </x:c>
      <x:c r="AE133" s="2" t="str">
        <x:v>The software stack for Biodiesel from waste oil requires databases, secure communications, version-controlled models, computing, backup and interfaces with field or operational systems.</x:v>
      </x:c>
      <x:c r="AF133" s="2" t="str">
        <x:v>For Biodiesel from waste oil, software-related energy is electricity for sensing, computing, storage, communication and cooling; it is normally secondary but must be included for data-intensive or continuous services.</x:v>
      </x:c>
      <x:c r="AG133" s="2" t="str">
        <x:v>The non-physical inputs are calibrated data, metadata, algorithms, boundary conditions, emission or hazard factors, manuals and validation records specific to Biodiesel from waste oil.</x:v>
      </x:c>
      <x:c r="AH133" s="2" t="str">
        <x:v>Software continuity for Biodiesel from waste oil requires licences where applicable, updates, cybersecurity patches, backups, calibration files, model validation and technical support.</x:v>
      </x:c>
      <x:c r="AI133" s="2" t="str">
        <x:v>Orgware depends on the institutions, laboratories, training providers, regulators, operators and community interfaces needed to govern Biodiesel from waste oil.</x:v>
      </x:c>
      <x:c r="AJ133" s="2" t="str">
        <x:v>The orgware supporting Biodiesel from waste oil has mainly indirect energy use from offices, meetings, training and information systems; travel and field supervision may be material at dispersed sites.</x:v>
      </x:c>
      <x:c r="AK133" s="2" t="str">
        <x:v>Its organisational inputs are permits, budgets, trained staff, competence records, contracts, procedures, safeguards, monitoring evidence and stakeholder agreements tailored to Biodiesel from waste oil.</x:v>
      </x:c>
      <x:c r="AL133" s="2" t="str">
        <x:v>Sustained implementation of Biodiesel from waste oil requires procurement and service contracts, audit protocols, training material, reporting templates, insurance or guarantees and periodic independent review.</x:v>
      </x:c>
      <x:c r="AM133" s="2" t="str">
        <x:v>Iron ore / steel inputs</x:v>
      </x:c>
      <x:c r="AN133" s="2" t="str">
        <x:v>Australia; Brazil; China</x:v>
      </x:c>
      <x:c r="AO133" s="2" t="str">
        <x:v>China; India; Japan</x:v>
      </x:c>
      <x:c r="AP133" s="2" t="str">
        <x:v>Biodiesel from waste oil: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3" s="2" t="str">
        <x:v>2024–2025</x:v>
      </x:c>
      <x:c r="AR133" s="2" t="str">
        <x:v>https://pubs.usgs.gov/periodicals/mcs2026/mcs2026.pdf</x:v>
      </x:c>
    </x:row>
    <x:row r="134" ht="240" customHeight="1">
      <x:c r="A134" s="2" t="str">
        <x:v>MIT-0127</x:v>
      </x:c>
      <x:c r="B134" s="2" t="str">
        <x:v>Mitigation</x:v>
      </x:c>
      <x:c r="C134" s="2" t="str">
        <x:v>Renewable energy</x:v>
      </x:c>
      <x:c r="D134" s="2" t="str">
        <x:v>Bioenergy</x:v>
      </x:c>
      <x:c r="E134" s="2" t="str">
        <x:v>Charcoal production for cooking and heating</x:v>
      </x:c>
      <x:c r="F134" s="2" t="str">
        <x:v>Charcoal production for cooking and heating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Charcoal production for cooking and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4" s="2" t="str">
        <x:v>Mixed: adaptable design, site-specific implementation</x:v>
      </x:c>
      <x:c r="H134" s="2" t="str">
        <x:v>Charcoal production for cooking and heating is adaptable in capacity and configuration but site-specific in final engineering. Its principle remains the same, but resource quality, climate, scale, interfaces and safety constraints must be recalculated for each deployment.</x:v>
      </x:c>
      <x:c r="I134" s="2" t="str">
        <x:v>Primarily hard, with a soft component</x:v>
      </x:c>
      <x:c r="J134" s="2" t="str">
        <x:v>Charcoal production for cooking and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4" s="2" t="str">
        <x:v>Equipment and operation</x:v>
      </x:c>
      <x:c r="L134" s="2" t="str">
        <x:v>Charcoal production for cooking and heating is embodied mainly as an equipment-and-operation system. The deliverable is accepted only when measurable service, quality, safety and climate-performance criteria are met under real conditions.</x:v>
      </x:c>
      <x:c r="M134" s="2" t="str">
        <x:v>Yes, subject to life-cycle safeguards</x:v>
      </x:c>
      <x:c r="N134" s="2" t="str">
        <x:v>Charcoal production for cooking and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4" s="2" t="str">
        <x:v>Charcoal production for cooking and heating: resource collector or prime mover, generator or heat exchanger, support structure, power conversion, protection, metering and connection equipment.</x:v>
      </x:c>
      <x:c r="P134" s="2" t="str">
        <x:v>Charcoal production for cooking and heating: resource assessment, energy-yield modelling, forecasting, maximum-power or process control, dispatch, condition monitoring and maintenance planning.</x:v>
      </x:c>
      <x:c r="Q134" s="2" t="str">
        <x:v>Charcoal production for cooking and heating: resource and land or sea rights, environmental licensing, grid code, safety, community participation, revenue contract and decommissioning plan.</x:v>
      </x:c>
      <x:c r="R134" s="2" t="str">
        <x:v>Charcoal production for cooking and heating: foundations, access, electrical or thermal network, substation, control and communications, drainage and construction or marine logistics.</x:v>
      </x:c>
      <x:c r="S134" s="2" t="str">
        <x:v>Charcoal production for cooking and heating: the renewable resource is the primary input; auxiliary electricity, start-up fuel, pumping or thermal energy may be required depending on the design.</x:v>
      </x:c>
      <x:c r="T134" s="2" t="str">
        <x:v>Charcoal production for cooking and heating: steel, concrete, copper, aluminium, polymers, glass and technology-specific materials such as silicon, magnets, coatings, catalysts or working fluids.</x:v>
      </x:c>
      <x:c r="U134" s="2" t="str">
        <x:v>Charcoal production for cooking and heating: bearings, seals, filters, lubricants, sensors, converter parts, cables, fasteners, coatings and replaceable collector or heat-exchanger components.</x:v>
      </x:c>
      <x:c r="V134" s="2" t="str">
        <x:v>https://www.ctc-n.org/sites/default/files/resources/ctcn_taxonomy_0.pdf</x:v>
      </x:c>
      <x:c r="W134" s="2" t="str">
        <x:v>https://institutoagricoladepueblobello.edu.co/colegiapp/archivostemas/GUIA%209.%5B25%5D.pdf</x:v>
      </x:c>
      <x:c r="X134" s="2" t="str">
        <x:v>https://iiasa.ac.at/what-is-technology</x:v>
      </x:c>
      <x:c r="Y134" s="2" t="str">
        <x:v>https://www.ipcc.ch/report/ar6/wg3/chapter/chapter-6/; https://www.iea.org/data-and-statistics/data-tools/etp-clean-energy-technology-guide</x:v>
      </x:c>
      <x:c r="Z134" s="2" t="str">
        <x:v>Technology-specific analytical synthesis. The CTCN hierarchy is retained; classifications and component dependencies require validation against the selected design, site and supplier documentation before investment or policy use.</x:v>
      </x:c>
      <x:c r="AA134" s="2" t="str">
        <x:v>Physical deployment of Charcoal production for cooking and heating requires foundations, access, electrical or thermal network, substation, control and communications, drainage and construction or marine logistics; interfaces, foundations, access and environmental protection are sized to the specific resource and design load.</x:v>
      </x:c>
      <x:c r="AB134" s="2" t="str">
        <x:v>For Charcoal production for cooking and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4" s="2" t="str">
        <x:v>Construction and operation use steel, concrete, copper, aluminium, polymers, glass and technology-specific materials such as silicon, magnets, coatings, catalysts or working fluids. For Charcoal production for cooking and heating, specifications must include durability, compatibility, recycled content and recoverability.</x:v>
      </x:c>
      <x:c r="AD134" s="2" t="str">
        <x:v>Maintenance of Charcoal production for cooking and heating depends on bearings, seals, filters, lubricants, sensors, converter parts, cables, fasteners, coatings and replaceable collector or heat-exchanger components; critical spares are selected from failure-mode, lead-time and safety analysis for its installed configuration.</x:v>
      </x:c>
      <x:c r="AE134" s="2" t="str">
        <x:v>The software stack for Charcoal production for cooking and heating requires databases, secure communications, version-controlled models, computing, backup and interfaces with field or operational systems.</x:v>
      </x:c>
      <x:c r="AF134" s="2" t="str">
        <x:v>For Charcoal production for cooking and heating, software-related energy is electricity for sensing, computing, storage, communication and cooling; it is normally secondary but must be included for data-intensive or continuous services.</x:v>
      </x:c>
      <x:c r="AG134" s="2" t="str">
        <x:v>The non-physical inputs are calibrated data, metadata, algorithms, boundary conditions, emission or hazard factors, manuals and validation records specific to Charcoal production for cooking and heating.</x:v>
      </x:c>
      <x:c r="AH134" s="2" t="str">
        <x:v>Software continuity for Charcoal production for cooking and heating requires licences where applicable, updates, cybersecurity patches, backups, calibration files, model validation and technical support.</x:v>
      </x:c>
      <x:c r="AI134" s="2" t="str">
        <x:v>Orgware depends on the institutions, laboratories, training providers, regulators, operators and community interfaces needed to govern Charcoal production for cooking and heating.</x:v>
      </x:c>
      <x:c r="AJ134" s="2" t="str">
        <x:v>The orgware supporting Charcoal production for cooking and heating has mainly indirect energy use from offices, meetings, training and information systems; travel and field supervision may be material at dispersed sites.</x:v>
      </x:c>
      <x:c r="AK134" s="2" t="str">
        <x:v>Its organisational inputs are permits, budgets, trained staff, competence records, contracts, procedures, safeguards, monitoring evidence and stakeholder agreements tailored to Charcoal production for cooking and heating.</x:v>
      </x:c>
      <x:c r="AL134" s="2" t="str">
        <x:v>Sustained implementation of Charcoal production for cooking and heating requires procurement and service contracts, audit protocols, training material, reporting templates, insurance or guarantees and periodic independent review.</x:v>
      </x:c>
      <x:c r="AM134" s="2" t="str">
        <x:v>Iron ore / steel inputs</x:v>
      </x:c>
      <x:c r="AN134" s="2" t="str">
        <x:v>Australia; Brazil; China</x:v>
      </x:c>
      <x:c r="AO134" s="2" t="str">
        <x:v>China; India; Japan</x:v>
      </x:c>
      <x:c r="AP134" s="2" t="str">
        <x:v>Charcoal production for cooking and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4" s="2" t="str">
        <x:v>2024–2025</x:v>
      </x:c>
      <x:c r="AR134" s="2" t="str">
        <x:v>https://pubs.usgs.gov/periodicals/mcs2026/mcs2026.pdf</x:v>
      </x:c>
    </x:row>
    <x:row r="135" ht="240" customHeight="1">
      <x:c r="A135" s="2" t="str">
        <x:v>MIT-0128</x:v>
      </x:c>
      <x:c r="B135" s="2" t="str">
        <x:v>Mitigation</x:v>
      </x:c>
      <x:c r="C135" s="2" t="str">
        <x:v>Renewable energy</x:v>
      </x:c>
      <x:c r="D135" s="2" t="str">
        <x:v>Bioenergy</x:v>
      </x:c>
      <x:c r="E135" s="2" t="str">
        <x:v>Household biogas</x:v>
      </x:c>
      <x:c r="F135" s="2" t="str">
        <x:v>Household biogas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Household biogas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5" s="2" t="str">
        <x:v>Mixed: adaptable design, site-specific implementation</x:v>
      </x:c>
      <x:c r="H135" s="2" t="str">
        <x:v>Household biogas is adaptable in capacity and configuration but site-specific in final engineering. Its principle remains the same, but resource quality, climate, scale, interfaces and safety constraints must be recalculated for each deployment.</x:v>
      </x:c>
      <x:c r="I135" s="2" t="str">
        <x:v>Primarily hard, with a soft component</x:v>
      </x:c>
      <x:c r="J135" s="2" t="str">
        <x:v>Household biogas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5" s="2" t="str">
        <x:v>Equipment and operation</x:v>
      </x:c>
      <x:c r="L135" s="2" t="str">
        <x:v>Household biogas is embodied mainly as an equipment-and-operation system. The deliverable is accepted only when measurable service, quality, safety and climate-performance criteria are met under real conditions.</x:v>
      </x:c>
      <x:c r="M135" s="2" t="str">
        <x:v>Yes, subject to life-cycle safeguards</x:v>
      </x:c>
      <x:c r="N135" s="2" t="str">
        <x:v>Household biogas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5" s="2" t="str">
        <x:v>Household biogas: resource collector or prime mover, generator or heat exchanger, support structure, power conversion, protection, metering and connection equipment.</x:v>
      </x:c>
      <x:c r="P135" s="2" t="str">
        <x:v>Household biogas: resource assessment, energy-yield modelling, forecasting, maximum-power or process control, dispatch, condition monitoring and maintenance planning.</x:v>
      </x:c>
      <x:c r="Q135" s="2" t="str">
        <x:v>Household biogas: resource and land or sea rights, environmental licensing, grid code, safety, community participation, revenue contract and decommissioning plan.</x:v>
      </x:c>
      <x:c r="R135" s="2" t="str">
        <x:v>Household biogas: foundations, access, electrical or thermal network, substation, control and communications, drainage and construction or marine logistics.</x:v>
      </x:c>
      <x:c r="S135" s="2" t="str">
        <x:v>Household biogas: the renewable resource is the primary input; auxiliary electricity, start-up fuel, pumping or thermal energy may be required depending on the design.</x:v>
      </x:c>
      <x:c r="T135" s="2" t="str">
        <x:v>Household biogas: steel, concrete, copper, aluminium, polymers, glass and technology-specific materials such as silicon, magnets, coatings, catalysts or working fluids.</x:v>
      </x:c>
      <x:c r="U135" s="2" t="str">
        <x:v>Household biogas: bearings, seals, filters, lubricants, sensors, converter parts, cables, fasteners, coatings and replaceable collector or heat-exchanger components.</x:v>
      </x:c>
      <x:c r="V135" s="2" t="str">
        <x:v>https://www.ctc-n.org/sites/default/files/resources/ctcn_taxonomy_0.pdf</x:v>
      </x:c>
      <x:c r="W135" s="2" t="str">
        <x:v>https://institutoagricoladepueblobello.edu.co/colegiapp/archivostemas/GUIA%209.%5B25%5D.pdf</x:v>
      </x:c>
      <x:c r="X135" s="2" t="str">
        <x:v>https://iiasa.ac.at/what-is-technology</x:v>
      </x:c>
      <x:c r="Y135" s="2" t="str">
        <x:v>https://www.ipcc.ch/report/ar6/wg3/chapter/chapter-6/; https://www.iea.org/data-and-statistics/data-tools/etp-clean-energy-technology-guide</x:v>
      </x:c>
      <x:c r="Z135" s="2" t="str">
        <x:v>Technology-specific analytical synthesis. The CTCN hierarchy is retained; classifications and component dependencies require validation against the selected design, site and supplier documentation before investment or policy use.</x:v>
      </x:c>
      <x:c r="AA135" s="2" t="str">
        <x:v>Physical deployment of Household biogas requires foundations, access, electrical or thermal network, substation, control and communications, drainage and construction or marine logistics; interfaces, foundations, access and environmental protection are sized to the specific resource and design load.</x:v>
      </x:c>
      <x:c r="AB135" s="2" t="str">
        <x:v>For Household biogas,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5" s="2" t="str">
        <x:v>Construction and operation use steel, concrete, copper, aluminium, polymers, glass and technology-specific materials such as silicon, magnets, coatings, catalysts or working fluids. For Household biogas, specifications must include durability, compatibility, recycled content and recoverability.</x:v>
      </x:c>
      <x:c r="AD135" s="2" t="str">
        <x:v>Maintenance of Household biogas depends on bearings, seals, filters, lubricants, sensors, converter parts, cables, fasteners, coatings and replaceable collector or heat-exchanger components; critical spares are selected from failure-mode, lead-time and safety analysis for its installed configuration.</x:v>
      </x:c>
      <x:c r="AE135" s="2" t="str">
        <x:v>The software stack for Household biogas requires databases, secure communications, version-controlled models, computing, backup and interfaces with field or operational systems.</x:v>
      </x:c>
      <x:c r="AF135" s="2" t="str">
        <x:v>For Household biogas, software-related energy is electricity for sensing, computing, storage, communication and cooling; it is normally secondary but must be included for data-intensive or continuous services.</x:v>
      </x:c>
      <x:c r="AG135" s="2" t="str">
        <x:v>The non-physical inputs are calibrated data, metadata, algorithms, boundary conditions, emission or hazard factors, manuals and validation records specific to Household biogas.</x:v>
      </x:c>
      <x:c r="AH135" s="2" t="str">
        <x:v>Software continuity for Household biogas requires licences where applicable, updates, cybersecurity patches, backups, calibration files, model validation and technical support.</x:v>
      </x:c>
      <x:c r="AI135" s="2" t="str">
        <x:v>Orgware depends on the institutions, laboratories, training providers, regulators, operators and community interfaces needed to govern Household biogas.</x:v>
      </x:c>
      <x:c r="AJ135" s="2" t="str">
        <x:v>The orgware supporting Household biogas has mainly indirect energy use from offices, meetings, training and information systems; travel and field supervision may be material at dispersed sites.</x:v>
      </x:c>
      <x:c r="AK135" s="2" t="str">
        <x:v>Its organisational inputs are permits, budgets, trained staff, competence records, contracts, procedures, safeguards, monitoring evidence and stakeholder agreements tailored to Household biogas.</x:v>
      </x:c>
      <x:c r="AL135" s="2" t="str">
        <x:v>Sustained implementation of Household biogas requires procurement and service contracts, audit protocols, training material, reporting templates, insurance or guarantees and periodic independent review.</x:v>
      </x:c>
      <x:c r="AM135" s="2" t="str">
        <x:v>Iron ore / steel inputs</x:v>
      </x:c>
      <x:c r="AN135" s="2" t="str">
        <x:v>Australia; Brazil; China</x:v>
      </x:c>
      <x:c r="AO135" s="2" t="str">
        <x:v>China; India; Japan</x:v>
      </x:c>
      <x:c r="AP135" s="2" t="str">
        <x:v>Household biogas: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5" s="2" t="str">
        <x:v>2024–2025</x:v>
      </x:c>
      <x:c r="AR135" s="2" t="str">
        <x:v>https://pubs.usgs.gov/periodicals/mcs2026/mcs2026.pdf</x:v>
      </x:c>
    </x:row>
    <x:row r="136" ht="240" customHeight="1">
      <x:c r="A136" s="2" t="str">
        <x:v>MIT-0129</x:v>
      </x:c>
      <x:c r="B136" s="2" t="str">
        <x:v>Mitigation</x:v>
      </x:c>
      <x:c r="C136" s="2" t="str">
        <x:v>Renewable energy</x:v>
      </x:c>
      <x:c r="D136" s="2" t="str">
        <x:v>Bioenergy</x:v>
      </x:c>
      <x:c r="E136" s="2" t="str">
        <x:v>Biodiesel from waste oil</x:v>
      </x:c>
      <x:c r="F136" s="2" t="str">
        <x:v>Biodiesel from waste oil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Biodiesel from waste oil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6" s="2" t="str">
        <x:v>Mixed: adaptable design, site-specific implementation</x:v>
      </x:c>
      <x:c r="H136" s="2" t="str">
        <x:v>Biodiesel from waste oil is adaptable in capacity and configuration but site-specific in final engineering. Its principle remains the same, but resource quality, climate, scale, interfaces and safety constraints must be recalculated for each deployment.</x:v>
      </x:c>
      <x:c r="I136" s="2" t="str">
        <x:v>Primarily hard, with a soft component</x:v>
      </x:c>
      <x:c r="J136" s="2" t="str">
        <x:v>Biodiesel from waste oil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6" s="2" t="str">
        <x:v>Product and equipment; complementary operation</x:v>
      </x:c>
      <x:c r="L136" s="2" t="str">
        <x:v>Biodiesel from waste oil is embodied mainly as a product/equipment package. The deliverable is accepted only when measurable service, quality, safety and climate-performance criteria are met under real conditions.</x:v>
      </x:c>
      <x:c r="M136" s="2" t="str">
        <x:v>Yes, subject to life-cycle safeguards</x:v>
      </x:c>
      <x:c r="N136" s="2" t="str">
        <x:v>Biodiesel from waste oil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6" s="2" t="str">
        <x:v>Biodiesel from waste oil: resource collector or prime mover, generator or heat exchanger, support structure, power conversion, protection, metering and connection equipment.</x:v>
      </x:c>
      <x:c r="P136" s="2" t="str">
        <x:v>Biodiesel from waste oil: resource assessment, energy-yield modelling, forecasting, maximum-power or process control, dispatch, condition monitoring and maintenance planning.</x:v>
      </x:c>
      <x:c r="Q136" s="2" t="str">
        <x:v>Biodiesel from waste oil: resource and land or sea rights, environmental licensing, grid code, safety, community participation, revenue contract and decommissioning plan.</x:v>
      </x:c>
      <x:c r="R136" s="2" t="str">
        <x:v>Biodiesel from waste oil: foundations, access, electrical or thermal network, substation, control and communications, drainage and construction or marine logistics.</x:v>
      </x:c>
      <x:c r="S136" s="2" t="str">
        <x:v>Biodiesel from waste oil: the renewable resource is the primary input; auxiliary electricity, start-up fuel, pumping or thermal energy may be required depending on the design.</x:v>
      </x:c>
      <x:c r="T136" s="2" t="str">
        <x:v>Biodiesel from waste oil: steel, concrete, copper, aluminium, polymers, glass and technology-specific materials such as silicon, magnets, coatings, catalysts or working fluids.</x:v>
      </x:c>
      <x:c r="U136" s="2" t="str">
        <x:v>Biodiesel from waste oil: bearings, seals, filters, lubricants, sensors, converter parts, cables, fasteners, coatings and replaceable collector or heat-exchanger components.</x:v>
      </x:c>
      <x:c r="V136" s="2" t="str">
        <x:v>https://www.ctc-n.org/sites/default/files/resources/ctcn_taxonomy_0.pdf</x:v>
      </x:c>
      <x:c r="W136" s="2" t="str">
        <x:v>https://institutoagricoladepueblobello.edu.co/colegiapp/archivostemas/GUIA%209.%5B25%5D.pdf</x:v>
      </x:c>
      <x:c r="X136" s="2" t="str">
        <x:v>https://iiasa.ac.at/what-is-technology</x:v>
      </x:c>
      <x:c r="Y136" s="2" t="str">
        <x:v>https://www.ipcc.ch/report/ar6/wg3/chapter/chapter-6/; https://www.iea.org/data-and-statistics/data-tools/etp-clean-energy-technology-guide</x:v>
      </x:c>
      <x:c r="Z136" s="2" t="str">
        <x:v>Technology-specific analytical synthesis. The CTCN hierarchy is retained; classifications and component dependencies require validation against the selected design, site and supplier documentation before investment or policy use.</x:v>
      </x:c>
      <x:c r="AA136" s="2" t="str">
        <x:v>Physical deployment of Biodiesel from waste oil requires foundations, access, electrical or thermal network, substation, control and communications, drainage and construction or marine logistics; interfaces, foundations, access and environmental protection are sized to the specific resource and design load.</x:v>
      </x:c>
      <x:c r="AB136" s="2" t="str">
        <x:v>For Biodiesel from waste oil,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6" s="2" t="str">
        <x:v>Construction and operation use steel, concrete, copper, aluminium, polymers, glass and technology-specific materials such as silicon, magnets, coatings, catalysts or working fluids. For Biodiesel from waste oil, specifications must include durability, compatibility, recycled content and recoverability.</x:v>
      </x:c>
      <x:c r="AD136" s="2" t="str">
        <x:v>Maintenance of Biodiesel from waste oil depends on bearings, seals, filters, lubricants, sensors, converter parts, cables, fasteners, coatings and replaceable collector or heat-exchanger components; critical spares are selected from failure-mode, lead-time and safety analysis for its installed configuration.</x:v>
      </x:c>
      <x:c r="AE136" s="2" t="str">
        <x:v>The software stack for Biodiesel from waste oil requires databases, secure communications, version-controlled models, computing, backup and interfaces with field or operational systems.</x:v>
      </x:c>
      <x:c r="AF136" s="2" t="str">
        <x:v>For Biodiesel from waste oil, software-related energy is electricity for sensing, computing, storage, communication and cooling; it is normally secondary but must be included for data-intensive or continuous services.</x:v>
      </x:c>
      <x:c r="AG136" s="2" t="str">
        <x:v>The non-physical inputs are calibrated data, metadata, algorithms, boundary conditions, emission or hazard factors, manuals and validation records specific to Biodiesel from waste oil.</x:v>
      </x:c>
      <x:c r="AH136" s="2" t="str">
        <x:v>Software continuity for Biodiesel from waste oil requires licences where applicable, updates, cybersecurity patches, backups, calibration files, model validation and technical support.</x:v>
      </x:c>
      <x:c r="AI136" s="2" t="str">
        <x:v>Orgware depends on the institutions, laboratories, training providers, regulators, operators and community interfaces needed to govern Biodiesel from waste oil.</x:v>
      </x:c>
      <x:c r="AJ136" s="2" t="str">
        <x:v>The orgware supporting Biodiesel from waste oil has mainly indirect energy use from offices, meetings, training and information systems; travel and field supervision may be material at dispersed sites.</x:v>
      </x:c>
      <x:c r="AK136" s="2" t="str">
        <x:v>Its organisational inputs are permits, budgets, trained staff, competence records, contracts, procedures, safeguards, monitoring evidence and stakeholder agreements tailored to Biodiesel from waste oil.</x:v>
      </x:c>
      <x:c r="AL136" s="2" t="str">
        <x:v>Sustained implementation of Biodiesel from waste oil requires procurement and service contracts, audit protocols, training material, reporting templates, insurance or guarantees and periodic independent review.</x:v>
      </x:c>
      <x:c r="AM136" s="2" t="str">
        <x:v>Iron ore / steel inputs</x:v>
      </x:c>
      <x:c r="AN136" s="2" t="str">
        <x:v>Australia; Brazil; China</x:v>
      </x:c>
      <x:c r="AO136" s="2" t="str">
        <x:v>China; India; Japan</x:v>
      </x:c>
      <x:c r="AP136" s="2" t="str">
        <x:v>Biodiesel from waste oil: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6" s="2" t="str">
        <x:v>2024–2025</x:v>
      </x:c>
      <x:c r="AR136" s="2" t="str">
        <x:v>https://pubs.usgs.gov/periodicals/mcs2026/mcs2026.pdf</x:v>
      </x:c>
    </x:row>
    <x:row r="137" ht="240" customHeight="1">
      <x:c r="A137" s="2" t="str">
        <x:v>MIT-0130</x:v>
      </x:c>
      <x:c r="B137" s="2" t="str">
        <x:v>Mitigation</x:v>
      </x:c>
      <x:c r="C137" s="2" t="str">
        <x:v>Renewable energy</x:v>
      </x:c>
      <x:c r="D137" s="2" t="str">
        <x:v>Geothermal</x:v>
      </x:c>
      <x:c r="E137" s="2" t="str">
        <x:v>Heat pumps</x:v>
      </x:c>
      <x:c r="F137" s="2" t="str">
        <x:v>Heat pumps is a mitigation technology in the Renewable energy sector and the Geothermal technology group. It is defined as a combined hardware–software–orgware system that converts a renewable solar, wind, water, ocean, geothermal or chemical resource into electricity, heat or mechanical work while controlling variability and conversion losses. Heat pumps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7" s="2" t="str">
        <x:v>Mixed: adaptable design, site-specific implementation</x:v>
      </x:c>
      <x:c r="H137" s="2" t="str">
        <x:v>Heat pumps is adaptable in capacity and configuration but site-specific in final engineering. Its principle remains the same, but resource quality, climate, scale, interfaces and safety constraints must be recalculated for each deployment.</x:v>
      </x:c>
      <x:c r="I137" s="2" t="str">
        <x:v>Primarily hard, with a soft component</x:v>
      </x:c>
      <x:c r="J137" s="2" t="str">
        <x:v>Heat pumps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7" s="2" t="str">
        <x:v>Equipment and operation</x:v>
      </x:c>
      <x:c r="L137" s="2" t="str">
        <x:v>Heat pumps is embodied mainly as an equipment-and-operation system. The deliverable is accepted only when measurable service, quality, safety and climate-performance criteria are met under real conditions.</x:v>
      </x:c>
      <x:c r="M137" s="2" t="str">
        <x:v>Yes, subject to life-cycle safeguards</x:v>
      </x:c>
      <x:c r="N137" s="2" t="str">
        <x:v>Heat pumps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7" s="2" t="str">
        <x:v>Heat pumps: resource collector or prime mover, generator or heat exchanger, support structure, power conversion, protection, metering and connection equipment.</x:v>
      </x:c>
      <x:c r="P137" s="2" t="str">
        <x:v>Heat pumps: resource assessment, energy-yield modelling, forecasting, maximum-power or process control, dispatch, condition monitoring and maintenance planning.</x:v>
      </x:c>
      <x:c r="Q137" s="2" t="str">
        <x:v>Heat pumps: resource and land or sea rights, environmental licensing, grid code, safety, community participation, revenue contract and decommissioning plan.</x:v>
      </x:c>
      <x:c r="R137" s="2" t="str">
        <x:v>Heat pumps: foundations, access, electrical or thermal network, substation, control and communications, drainage and construction or marine logistics.</x:v>
      </x:c>
      <x:c r="S137" s="2" t="str">
        <x:v>Heat pumps: the renewable resource is the primary input; auxiliary electricity, start-up fuel, pumping or thermal energy may be required depending on the design.</x:v>
      </x:c>
      <x:c r="T137" s="2" t="str">
        <x:v>Heat pumps: steel, concrete, copper, aluminium, polymers, glass and technology-specific materials such as silicon, magnets, coatings, catalysts or working fluids.</x:v>
      </x:c>
      <x:c r="U137" s="2" t="str">
        <x:v>Heat pumps: bearings, seals, filters, lubricants, sensors, converter parts, cables, fasteners, coatings and replaceable collector or heat-exchanger components.</x:v>
      </x:c>
      <x:c r="V137" s="2" t="str">
        <x:v>https://www.ctc-n.org/sites/default/files/resources/ctcn_taxonomy_0.pdf</x:v>
      </x:c>
      <x:c r="W137" s="2" t="str">
        <x:v>https://institutoagricoladepueblobello.edu.co/colegiapp/archivostemas/GUIA%209.%5B25%5D.pdf</x:v>
      </x:c>
      <x:c r="X137" s="2" t="str">
        <x:v>https://iiasa.ac.at/what-is-technology</x:v>
      </x:c>
      <x:c r="Y137" s="2" t="str">
        <x:v>https://www.ipcc.ch/report/ar6/wg3/chapter/chapter-6/; https://www.iea.org/data-and-statistics/data-tools/etp-clean-energy-technology-guide</x:v>
      </x:c>
      <x:c r="Z137" s="2" t="str">
        <x:v>Technology-specific analytical synthesis. The CTCN hierarchy is retained; classifications and component dependencies require validation against the selected design, site and supplier documentation before investment or policy use.</x:v>
      </x:c>
      <x:c r="AA137" s="2" t="str">
        <x:v>Physical deployment of Heat pumps requires foundations, access, electrical or thermal network, substation, control and communications, drainage and construction or marine logistics; interfaces, foundations, access and environmental protection are sized to the specific resource and design load.</x:v>
      </x:c>
      <x:c r="AB137" s="2" t="str">
        <x:v>For Heat pumps,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7" s="2" t="str">
        <x:v>Construction and operation use steel, concrete, copper, aluminium, polymers, glass and technology-specific materials such as silicon, magnets, coatings, catalysts or working fluids. For Heat pumps, specifications must include durability, compatibility, recycled content and recoverability.</x:v>
      </x:c>
      <x:c r="AD137" s="2" t="str">
        <x:v>Maintenance of Heat pumps depends on bearings, seals, filters, lubricants, sensors, converter parts, cables, fasteners, coatings and replaceable collector or heat-exchanger components; critical spares are selected from failure-mode, lead-time and safety analysis for its installed configuration.</x:v>
      </x:c>
      <x:c r="AE137" s="2" t="str">
        <x:v>The software stack for Heat pumps requires databases, secure communications, version-controlled models, computing, backup and interfaces with field or operational systems.</x:v>
      </x:c>
      <x:c r="AF137" s="2" t="str">
        <x:v>For Heat pumps, software-related energy is electricity for sensing, computing, storage, communication and cooling; it is normally secondary but must be included for data-intensive or continuous services.</x:v>
      </x:c>
      <x:c r="AG137" s="2" t="str">
        <x:v>The non-physical inputs are calibrated data, metadata, algorithms, boundary conditions, emission or hazard factors, manuals and validation records specific to Heat pumps.</x:v>
      </x:c>
      <x:c r="AH137" s="2" t="str">
        <x:v>Software continuity for Heat pumps requires licences where applicable, updates, cybersecurity patches, backups, calibration files, model validation and technical support.</x:v>
      </x:c>
      <x:c r="AI137" s="2" t="str">
        <x:v>Orgware depends on the institutions, laboratories, training providers, regulators, operators and community interfaces needed to govern Heat pumps.</x:v>
      </x:c>
      <x:c r="AJ137" s="2" t="str">
        <x:v>The orgware supporting Heat pumps has mainly indirect energy use from offices, meetings, training and information systems; travel and field supervision may be material at dispersed sites.</x:v>
      </x:c>
      <x:c r="AK137" s="2" t="str">
        <x:v>Its organisational inputs are permits, budgets, trained staff, competence records, contracts, procedures, safeguards, monitoring evidence and stakeholder agreements tailored to Heat pumps.</x:v>
      </x:c>
      <x:c r="AL137" s="2" t="str">
        <x:v>Sustained implementation of Heat pumps requires procurement and service contracts, audit protocols, training material, reporting templates, insurance or guarantees and periodic independent review.</x:v>
      </x:c>
      <x:c r="AM137" s="2" t="str">
        <x:v>Iron ore / steel inputs; Copper; Tin; Nickel; Chromium</x:v>
      </x:c>
      <x:c r="AN137" s="2" t="str">
        <x:v>Australia; Brazil; China; Chile; Democratic Republic of the Congo; Peru; Indonesia; Myanmar; Philippines; Russia; South Africa; Kazakhstan; Turkey</x:v>
      </x:c>
      <x:c r="AO137" s="2" t="str">
        <x:v>China; India; Japan; Chile; Democratic Republic of the Congo; Indonesia; Malaysia; South Africa; Kazakhstan</x:v>
      </x:c>
      <x:c r="AP137" s="2" t="str">
        <x:v>Heat pumps: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7" s="2" t="str">
        <x:v>2024–2025</x:v>
      </x:c>
      <x:c r="AR137" s="2" t="str">
        <x:v>https://pubs.usgs.gov/periodicals/mcs2026/mcs2026.pdf; https://www.iea.org/reports/global-critical-minerals-outlook-2025</x:v>
      </x:c>
    </x:row>
    <x:row r="138" ht="240" customHeight="1">
      <x:c r="A138" s="2" t="str">
        <x:v>MIT-0131</x:v>
      </x:c>
      <x:c r="B138" s="2" t="str">
        <x:v>Mitigation</x:v>
      </x:c>
      <x:c r="C138" s="2" t="str">
        <x:v>Renewable energy</x:v>
      </x:c>
      <x:c r="D138" s="2" t="str">
        <x:v>Geothermal</x:v>
      </x:c>
      <x:c r="E138" s="2" t="str">
        <x:v>Geothermal electricity</x:v>
      </x:c>
      <x:c r="F138" s="2" t="str">
        <x:v>Geothermal electricity is a mitigation technology in the Renewable energy sector and the Geothermal technology group. It is defined as a combined hardware–software–orgware system that converts a renewable solar, wind, water, ocean, geothermal or chemical resource into electricity, heat or mechanical work while controlling variability and conversion losses. Geothermal electricity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8" s="2" t="str">
        <x:v>Mixed: adaptable design, site-specific implementation</x:v>
      </x:c>
      <x:c r="H138" s="2" t="str">
        <x:v>Geothermal electricity is adaptable in capacity and configuration but site-specific in final engineering. Its principle remains the same, but resource quality, climate, scale, interfaces and safety constraints must be recalculated for each deployment.</x:v>
      </x:c>
      <x:c r="I138" s="2" t="str">
        <x:v>Primarily hard, with a soft component</x:v>
      </x:c>
      <x:c r="J138" s="2" t="str">
        <x:v>Geothermal electricity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8" s="2" t="str">
        <x:v>Equipment and operation</x:v>
      </x:c>
      <x:c r="L138" s="2" t="str">
        <x:v>Geothermal electricity is embodied mainly as an equipment-and-operation system. The deliverable is accepted only when measurable service, quality, safety and climate-performance criteria are met under real conditions.</x:v>
      </x:c>
      <x:c r="M138" s="2" t="str">
        <x:v>Yes, subject to life-cycle safeguards</x:v>
      </x:c>
      <x:c r="N138" s="2" t="str">
        <x:v>Geothermal electricity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8" s="2" t="str">
        <x:v>Geothermal electricity: resource collector or prime mover, generator or heat exchanger, support structure, power conversion, protection, metering and connection equipment.</x:v>
      </x:c>
      <x:c r="P138" s="2" t="str">
        <x:v>Geothermal electricity: resource assessment, energy-yield modelling, forecasting, maximum-power or process control, dispatch, condition monitoring and maintenance planning.</x:v>
      </x:c>
      <x:c r="Q138" s="2" t="str">
        <x:v>Geothermal electricity: resource and land or sea rights, environmental licensing, grid code, safety, community participation, revenue contract and decommissioning plan.</x:v>
      </x:c>
      <x:c r="R138" s="2" t="str">
        <x:v>Geothermal electricity: foundations, access, electrical or thermal network, substation, control and communications, drainage and construction or marine logistics.</x:v>
      </x:c>
      <x:c r="S138" s="2" t="str">
        <x:v>Geothermal electricity: the renewable resource is the primary input; auxiliary electricity, start-up fuel, pumping or thermal energy may be required depending on the design.</x:v>
      </x:c>
      <x:c r="T138" s="2" t="str">
        <x:v>Geothermal electricity: steel, concrete, copper, aluminium, polymers, glass and technology-specific materials such as silicon, magnets, coatings, catalysts or working fluids.</x:v>
      </x:c>
      <x:c r="U138" s="2" t="str">
        <x:v>Geothermal electricity: bearings, seals, filters, lubricants, sensors, converter parts, cables, fasteners, coatings and replaceable collector or heat-exchanger components.</x:v>
      </x:c>
      <x:c r="V138" s="2" t="str">
        <x:v>https://www.ctc-n.org/sites/default/files/resources/ctcn_taxonomy_0.pdf</x:v>
      </x:c>
      <x:c r="W138" s="2" t="str">
        <x:v>https://institutoagricoladepueblobello.edu.co/colegiapp/archivostemas/GUIA%209.%5B25%5D.pdf</x:v>
      </x:c>
      <x:c r="X138" s="2" t="str">
        <x:v>https://iiasa.ac.at/what-is-technology</x:v>
      </x:c>
      <x:c r="Y138" s="2" t="str">
        <x:v>https://www.ipcc.ch/report/ar6/wg3/chapter/chapter-6/; https://www.iea.org/data-and-statistics/data-tools/etp-clean-energy-technology-guide</x:v>
      </x:c>
      <x:c r="Z138" s="2" t="str">
        <x:v>Technology-specific analytical synthesis. The CTCN hierarchy is retained; classifications and component dependencies require validation against the selected design, site and supplier documentation before investment or policy use.</x:v>
      </x:c>
      <x:c r="AA138" s="2" t="str">
        <x:v>Physical deployment of Geothermal electricity requires foundations, access, electrical or thermal network, substation, control and communications, drainage and construction or marine logistics; interfaces, foundations, access and environmental protection are sized to the specific resource and design load.</x:v>
      </x:c>
      <x:c r="AB138" s="2" t="str">
        <x:v>For Geothermal electricity,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8" s="2" t="str">
        <x:v>Construction and operation use steel, concrete, copper, aluminium, polymers, glass and technology-specific materials such as silicon, magnets, coatings, catalysts or working fluids. For Geothermal electricity, specifications must include durability, compatibility, recycled content and recoverability.</x:v>
      </x:c>
      <x:c r="AD138" s="2" t="str">
        <x:v>Maintenance of Geothermal electricity depends on bearings, seals, filters, lubricants, sensors, converter parts, cables, fasteners, coatings and replaceable collector or heat-exchanger components; critical spares are selected from failure-mode, lead-time and safety analysis for its installed configuration.</x:v>
      </x:c>
      <x:c r="AE138" s="2" t="str">
        <x:v>The software stack for Geothermal electricity requires databases, secure communications, version-controlled models, computing, backup and interfaces with field or operational systems.</x:v>
      </x:c>
      <x:c r="AF138" s="2" t="str">
        <x:v>For Geothermal electricity, software-related energy is electricity for sensing, computing, storage, communication and cooling; it is normally secondary but must be included for data-intensive or continuous services.</x:v>
      </x:c>
      <x:c r="AG138" s="2" t="str">
        <x:v>The non-physical inputs are calibrated data, metadata, algorithms, boundary conditions, emission or hazard factors, manuals and validation records specific to Geothermal electricity.</x:v>
      </x:c>
      <x:c r="AH138" s="2" t="str">
        <x:v>Software continuity for Geothermal electricity requires licences where applicable, updates, cybersecurity patches, backups, calibration files, model validation and technical support.</x:v>
      </x:c>
      <x:c r="AI138" s="2" t="str">
        <x:v>Orgware depends on the institutions, laboratories, training providers, regulators, operators and community interfaces needed to govern Geothermal electricity.</x:v>
      </x:c>
      <x:c r="AJ138" s="2" t="str">
        <x:v>The orgware supporting Geothermal electricity has mainly indirect energy use from offices, meetings, training and information systems; travel and field supervision may be material at dispersed sites.</x:v>
      </x:c>
      <x:c r="AK138" s="2" t="str">
        <x:v>Its organisational inputs are permits, budgets, trained staff, competence records, contracts, procedures, safeguards, monitoring evidence and stakeholder agreements tailored to Geothermal electricity.</x:v>
      </x:c>
      <x:c r="AL138" s="2" t="str">
        <x:v>Sustained implementation of Geothermal electricity requires procurement and service contracts, audit protocols, training material, reporting templates, insurance or guarantees and periodic independent review.</x:v>
      </x:c>
      <x:c r="AM138" s="2" t="str">
        <x:v>Iron ore / steel inputs; Copper; Tin; Nickel; Chromium</x:v>
      </x:c>
      <x:c r="AN138" s="2" t="str">
        <x:v>Australia; Brazil; China; Chile; Democratic Republic of the Congo; Peru; Indonesia; Myanmar; Philippines; Russia; South Africa; Kazakhstan; Turkey</x:v>
      </x:c>
      <x:c r="AO138" s="2" t="str">
        <x:v>China; India; Japan; Chile; Democratic Republic of the Congo; Indonesia; Malaysia; South Africa; Kazakhstan</x:v>
      </x:c>
      <x:c r="AP138" s="2" t="str">
        <x:v>Geothermal electricity: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8" s="2" t="str">
        <x:v>2024–2025</x:v>
      </x:c>
      <x:c r="AR138" s="2" t="str">
        <x:v>https://pubs.usgs.gov/periodicals/mcs2026/mcs2026.pdf; https://www.iea.org/reports/global-critical-minerals-outlook-2025</x:v>
      </x:c>
    </x:row>
    <x:row r="139" ht="240" customHeight="1">
      <x:c r="A139" s="2" t="str">
        <x:v>MIT-0132</x:v>
      </x:c>
      <x:c r="B139" s="2" t="str">
        <x:v>Mitigation</x:v>
      </x:c>
      <x:c r="C139" s="2" t="str">
        <x:v>Renewable energy</x:v>
      </x:c>
      <x:c r="D139" s="2" t="str">
        <x:v>Geothermal</x:v>
      </x:c>
      <x:c r="E139" s="2" t="str">
        <x:v>Geothermal heating</x:v>
      </x:c>
      <x:c r="F139" s="2" t="str">
        <x:v>Geothermal heating is a mitigation technology in the Renewable energy sector and the Geothermal technology group. It is defined as a combined hardware–software–orgware system that converts a renewable solar, wind, water, ocean, geothermal or chemical resource into electricity, heat or mechanical work while controlling variability and conversion losses. Geothermal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9" s="2" t="str">
        <x:v>Mixed: adaptable design, site-specific implementation</x:v>
      </x:c>
      <x:c r="H139" s="2" t="str">
        <x:v>Geothermal heating is adaptable in capacity and configuration but site-specific in final engineering. Its principle remains the same, but resource quality, climate, scale, interfaces and safety constraints must be recalculated for each deployment.</x:v>
      </x:c>
      <x:c r="I139" s="2" t="str">
        <x:v>Primarily hard, with a soft component</x:v>
      </x:c>
      <x:c r="J139" s="2" t="str">
        <x:v>Geothermal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9" s="2" t="str">
        <x:v>Equipment and operation</x:v>
      </x:c>
      <x:c r="L139" s="2" t="str">
        <x:v>Geothermal heating is embodied mainly as an equipment-and-operation system. The deliverable is accepted only when measurable service, quality, safety and climate-performance criteria are met under real conditions.</x:v>
      </x:c>
      <x:c r="M139" s="2" t="str">
        <x:v>Yes, subject to life-cycle safeguards</x:v>
      </x:c>
      <x:c r="N139" s="2" t="str">
        <x:v>Geothermal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9" s="2" t="str">
        <x:v>Geothermal heating: resource collector or prime mover, generator or heat exchanger, support structure, power conversion, protection, metering and connection equipment.</x:v>
      </x:c>
      <x:c r="P139" s="2" t="str">
        <x:v>Geothermal heating: resource assessment, energy-yield modelling, forecasting, maximum-power or process control, dispatch, condition monitoring and maintenance planning.</x:v>
      </x:c>
      <x:c r="Q139" s="2" t="str">
        <x:v>Geothermal heating: resource and land or sea rights, environmental licensing, grid code, safety, community participation, revenue contract and decommissioning plan.</x:v>
      </x:c>
      <x:c r="R139" s="2" t="str">
        <x:v>Geothermal heating: foundations, access, electrical or thermal network, substation, control and communications, drainage and construction or marine logistics.</x:v>
      </x:c>
      <x:c r="S139" s="2" t="str">
        <x:v>Geothermal heating: the renewable resource is the primary input; auxiliary electricity, start-up fuel, pumping or thermal energy may be required depending on the design.</x:v>
      </x:c>
      <x:c r="T139" s="2" t="str">
        <x:v>Geothermal heating: steel, concrete, copper, aluminium, polymers, glass and technology-specific materials such as silicon, magnets, coatings, catalysts or working fluids.</x:v>
      </x:c>
      <x:c r="U139" s="2" t="str">
        <x:v>Geothermal heating: bearings, seals, filters, lubricants, sensors, converter parts, cables, fasteners, coatings and replaceable collector or heat-exchanger components.</x:v>
      </x:c>
      <x:c r="V139" s="2" t="str">
        <x:v>https://www.ctc-n.org/sites/default/files/resources/ctcn_taxonomy_0.pdf</x:v>
      </x:c>
      <x:c r="W139" s="2" t="str">
        <x:v>https://institutoagricoladepueblobello.edu.co/colegiapp/archivostemas/GUIA%209.%5B25%5D.pdf</x:v>
      </x:c>
      <x:c r="X139" s="2" t="str">
        <x:v>https://iiasa.ac.at/what-is-technology</x:v>
      </x:c>
      <x:c r="Y139" s="2" t="str">
        <x:v>https://www.ipcc.ch/report/ar6/wg3/chapter/chapter-6/; https://www.iea.org/data-and-statistics/data-tools/etp-clean-energy-technology-guide</x:v>
      </x:c>
      <x:c r="Z139" s="2" t="str">
        <x:v>Technology-specific analytical synthesis. The CTCN hierarchy is retained; classifications and component dependencies require validation against the selected design, site and supplier documentation before investment or policy use.</x:v>
      </x:c>
      <x:c r="AA139" s="2" t="str">
        <x:v>Physical deployment of Geothermal heating requires foundations, access, electrical or thermal network, substation, control and communications, drainage and construction or marine logistics; interfaces, foundations, access and environmental protection are sized to the specific resource and design load.</x:v>
      </x:c>
      <x:c r="AB139" s="2" t="str">
        <x:v>For Geothermal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9" s="2" t="str">
        <x:v>Construction and operation use steel, concrete, copper, aluminium, polymers, glass and technology-specific materials such as silicon, magnets, coatings, catalysts or working fluids. For Geothermal heating, specifications must include durability, compatibility, recycled content and recoverability.</x:v>
      </x:c>
      <x:c r="AD139" s="2" t="str">
        <x:v>Maintenance of Geothermal heating depends on bearings, seals, filters, lubricants, sensors, converter parts, cables, fasteners, coatings and replaceable collector or heat-exchanger components; critical spares are selected from failure-mode, lead-time and safety analysis for its installed configuration.</x:v>
      </x:c>
      <x:c r="AE139" s="2" t="str">
        <x:v>The software stack for Geothermal heating requires databases, secure communications, version-controlled models, computing, backup and interfaces with field or operational systems.</x:v>
      </x:c>
      <x:c r="AF139" s="2" t="str">
        <x:v>For Geothermal heating, software-related energy is electricity for sensing, computing, storage, communication and cooling; it is normally secondary but must be included for data-intensive or continuous services.</x:v>
      </x:c>
      <x:c r="AG139" s="2" t="str">
        <x:v>The non-physical inputs are calibrated data, metadata, algorithms, boundary conditions, emission or hazard factors, manuals and validation records specific to Geothermal heating.</x:v>
      </x:c>
      <x:c r="AH139" s="2" t="str">
        <x:v>Software continuity for Geothermal heating requires licences where applicable, updates, cybersecurity patches, backups, calibration files, model validation and technical support.</x:v>
      </x:c>
      <x:c r="AI139" s="2" t="str">
        <x:v>Orgware depends on the institutions, laboratories, training providers, regulators, operators and community interfaces needed to govern Geothermal heating.</x:v>
      </x:c>
      <x:c r="AJ139" s="2" t="str">
        <x:v>The orgware supporting Geothermal heating has mainly indirect energy use from offices, meetings, training and information systems; travel and field supervision may be material at dispersed sites.</x:v>
      </x:c>
      <x:c r="AK139" s="2" t="str">
        <x:v>Its organisational inputs are permits, budgets, trained staff, competence records, contracts, procedures, safeguards, monitoring evidence and stakeholder agreements tailored to Geothermal heating.</x:v>
      </x:c>
      <x:c r="AL139" s="2" t="str">
        <x:v>Sustained implementation of Geothermal heating requires procurement and service contracts, audit protocols, training material, reporting templates, insurance or guarantees and periodic independent review.</x:v>
      </x:c>
      <x:c r="AM139" s="2" t="str">
        <x:v>Iron ore / steel inputs; Nickel; Chromium</x:v>
      </x:c>
      <x:c r="AN139" s="2" t="str">
        <x:v>Australia; Brazil; China; Indonesia; Philippines; Russia; South Africa; Kazakhstan; Turkey</x:v>
      </x:c>
      <x:c r="AO139" s="2" t="str">
        <x:v>China; India; Japan; Indonesia; South Africa; Kazakhstan</x:v>
      </x:c>
      <x:c r="AP139" s="2" t="str">
        <x:v>Geothermal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9" s="2" t="str">
        <x:v>2024–2025</x:v>
      </x:c>
      <x:c r="AR139" s="2" t="str">
        <x:v>https://pubs.usgs.gov/periodicals/mcs2026/mcs2026.pdf; https://www.iea.org/reports/global-critical-minerals-outlook-2025</x:v>
      </x:c>
    </x:row>
    <x:row r="140" ht="240" customHeight="1">
      <x:c r="A140" s="2" t="str">
        <x:v>MIT-0133</x:v>
      </x:c>
      <x:c r="B140" s="2" t="str">
        <x:v>Mitigation</x:v>
      </x:c>
      <x:c r="C140" s="2" t="str">
        <x:v>Waste Management</x:v>
      </x:c>
      <x:c r="D140" s="2" t="str">
        <x:v>Solid waste</x:v>
      </x:c>
      <x:c r="E140" s="2" t="str">
        <x:v>Landfill aeration</x:v>
      </x:c>
      <x:c r="F140" s="2" t="str">
        <x:v>Landfill aeration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Landfill aeration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0" s="2" t="str">
        <x:v>Primarily fixed</x:v>
      </x:c>
      <x:c r="H140" s="2" t="str">
        <x:v>Landfill aeration is tied to long-lived, site-specific assets and design loads. Its principle remains the same, but resource quality, climate, scale, interfaces and safety constraints must be recalculated for each deployment.</x:v>
      </x:c>
      <x:c r="I140" s="2" t="str">
        <x:v>Primarily hard, with a soft component</x:v>
      </x:c>
      <x:c r="J140" s="2" t="str">
        <x:v>Landfill aeration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0" s="2" t="str">
        <x:v>Equipment and operation</x:v>
      </x:c>
      <x:c r="L140" s="2" t="str">
        <x:v>Landfill aeration is embodied mainly as an equipment-and-operation system. The deliverable is accepted only when measurable service, quality, safety and climate-performance criteria are met under real conditions.</x:v>
      </x:c>
      <x:c r="M140" s="2" t="str">
        <x:v>Yes, subject to life-cycle safeguards</x:v>
      </x:c>
      <x:c r="N140" s="2" t="str">
        <x:v>Landfill aeration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0" s="2" t="str">
        <x:v>Landfill aeration: collection and sorting equipment, reactors or digesters, aeration, gas handling, thermal conversion, pollution control and product conditioning.</x:v>
      </x:c>
      <x:c r="P140" s="2" t="str">
        <x:v>Landfill aeration: feedstock characterisation, mass balances, biological or thermal process control, methane accounting, quality assurance and logistics optimisation.</x:v>
      </x:c>
      <x:c r="Q140" s="2" t="str">
        <x:v>Landfill aeration: waste hierarchy, source separation, collection contracts, emission permits, digestate or product standards, occupational safety and informal-sector inclusion.</x:v>
      </x:c>
      <x:c r="R140" s="2" t="str">
        <x:v>Landfill aeration: collection network, transfer and treatment sites, weighbridge, drainage, electricity or heat connection, gas line and residue disposal.</x:v>
      </x:c>
      <x:c r="S140" s="2" t="str">
        <x:v>Landfill aeration: electricity, process heat or auxiliary fuel; recovered biogas, syngas, heat or electricity may offset external energy.</x:v>
      </x:c>
      <x:c r="T140" s="2" t="str">
        <x:v>Landfill aeration: steel, concrete, polymers, filters, catalysts or sorbents, biological inoculum and treatment chemicals according to the process.</x:v>
      </x:c>
      <x:c r="U140" s="2" t="str">
        <x:v>Landfill aeration: pumps, screens, blowers, mixers, seals, burners, analysers, filter media, reagents and personal protective equipment.</x:v>
      </x:c>
      <x:c r="V140" s="2" t="str">
        <x:v>https://www.ctc-n.org/sites/default/files/resources/ctcn_taxonomy_0.pdf</x:v>
      </x:c>
      <x:c r="W140" s="2" t="str">
        <x:v>https://institutoagricoladepueblobello.edu.co/colegiapp/archivostemas/GUIA%209.%5B25%5D.pdf</x:v>
      </x:c>
      <x:c r="X140" s="2" t="str">
        <x:v>https://iiasa.ac.at/what-is-technology</x:v>
      </x:c>
      <x:c r="Y140" s="2" t="str">
        <x:v>https://www.unep.org/resources/report/global-waste-management-outlook-2024</x:v>
      </x:c>
      <x:c r="Z140" s="2" t="str">
        <x:v>Technology-specific analytical synthesis. The CTCN hierarchy is retained; classifications and component dependencies require validation against the selected design, site and supplier documentation before investment or policy use.</x:v>
      </x:c>
      <x:c r="AA140" s="2" t="str">
        <x:v>Physical deployment of Landfill aeration requires collection network, transfer and treatment sites, weighbridge, drainage, electricity or heat connection, gas line and residue disposal; interfaces, foundations, access and environmental protection are sized to the specific resource and design load.</x:v>
      </x:c>
      <x:c r="AB140" s="2" t="str">
        <x:v>For Landfill aeration, the hardware energy balance comprises electricity, process heat or auxiliary fuel; recovered biogas, syngas, heat or electricity may offset external energy; metering must separate useful output, conversion losses and auxiliaries for the selected design.</x:v>
      </x:c>
      <x:c r="AC140" s="2" t="str">
        <x:v>Construction and operation use steel, concrete, polymers, filters, catalysts or sorbents, biological inoculum and treatment chemicals according to the process. For Landfill aeration, specifications must include durability, compatibility, recycled content and recoverability.</x:v>
      </x:c>
      <x:c r="AD140" s="2" t="str">
        <x:v>Maintenance of Landfill aeration depends on pumps, screens, blowers, mixers, seals, burners, analysers, filter media, reagents and personal protective equipment; critical spares are selected from failure-mode, lead-time and safety analysis for its installed configuration.</x:v>
      </x:c>
      <x:c r="AE140" s="2" t="str">
        <x:v>The software stack for Landfill aeration requires databases, secure communications, version-controlled models, computing, backup and interfaces with field or operational systems.</x:v>
      </x:c>
      <x:c r="AF140" s="2" t="str">
        <x:v>For Landfill aeration, software-related energy is electricity for sensing, computing, storage, communication and cooling; it is normally secondary but must be included for data-intensive or continuous services.</x:v>
      </x:c>
      <x:c r="AG140" s="2" t="str">
        <x:v>The non-physical inputs are calibrated data, metadata, algorithms, boundary conditions, emission or hazard factors, manuals and validation records specific to Landfill aeration.</x:v>
      </x:c>
      <x:c r="AH140" s="2" t="str">
        <x:v>Software continuity for Landfill aeration requires licences where applicable, updates, cybersecurity patches, backups, calibration files, model validation and technical support.</x:v>
      </x:c>
      <x:c r="AI140" s="2" t="str">
        <x:v>Orgware depends on the institutions, laboratories, training providers, regulators, operators and community interfaces needed to govern Landfill aeration.</x:v>
      </x:c>
      <x:c r="AJ140" s="2" t="str">
        <x:v>The orgware supporting Landfill aeration has mainly indirect energy use from offices, meetings, training and information systems; travel and field supervision may be material at dispersed sites.</x:v>
      </x:c>
      <x:c r="AK140" s="2" t="str">
        <x:v>Its organisational inputs are permits, budgets, trained staff, competence records, contracts, procedures, safeguards, monitoring evidence and stakeholder agreements tailored to Landfill aeration.</x:v>
      </x:c>
      <x:c r="AL140" s="2" t="str">
        <x:v>Sustained implementation of Landfill aeration requires procurement and service contracts, audit protocols, training material, reporting templates, insurance or guarantees and periodic independent review.</x:v>
      </x:c>
      <x:c r="AM140" s="2" t="str">
        <x:v>Iron ore / steel inputs</x:v>
      </x:c>
      <x:c r="AN140" s="2" t="str">
        <x:v>Australia; Brazil; China</x:v>
      </x:c>
      <x:c r="AO140" s="2" t="str">
        <x:v>China; India; Japan</x:v>
      </x:c>
      <x:c r="AP140" s="2" t="str">
        <x:v>Landfill aeration: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0" s="2" t="str">
        <x:v>2024–2025</x:v>
      </x:c>
      <x:c r="AR140" s="2" t="str">
        <x:v>https://pubs.usgs.gov/periodicals/mcs2026/mcs2026.pdf</x:v>
      </x:c>
    </x:row>
    <x:row r="141" ht="240" customHeight="1">
      <x:c r="A141" s="2" t="str">
        <x:v>MIT-0134</x:v>
      </x:c>
      <x:c r="B141" s="2" t="str">
        <x:v>Mitigation</x:v>
      </x:c>
      <x:c r="C141" s="2" t="str">
        <x:v>Waste Management</x:v>
      </x:c>
      <x:c r="D141" s="2" t="str">
        <x:v>Solid waste</x:v>
      </x:c>
      <x:c r="E141" s="2" t="str">
        <x:v>Gasification of waste</x:v>
      </x:c>
      <x:c r="F141" s="2" t="str">
        <x:v>Gasification of waste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Gasification of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1" s="2" t="str">
        <x:v>Mixed: adaptable design, site-specific implementation</x:v>
      </x:c>
      <x:c r="H141" s="2" t="str">
        <x:v>Gasification of waste is adaptable in capacity and configuration but site-specific in final engineering. Its principle remains the same, but resource quality, climate, scale, interfaces and safety constraints must be recalculated for each deployment.</x:v>
      </x:c>
      <x:c r="I141" s="2" t="str">
        <x:v>Primarily hard, with a soft component</x:v>
      </x:c>
      <x:c r="J141" s="2" t="str">
        <x:v>Gasification of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1" s="2" t="str">
        <x:v>Equipment and operation</x:v>
      </x:c>
      <x:c r="L141" s="2" t="str">
        <x:v>Gasification of waste is embodied mainly as an equipment-and-operation system. The deliverable is accepted only when measurable service, quality, safety and climate-performance criteria are met under real conditions.</x:v>
      </x:c>
      <x:c r="M141" s="2" t="str">
        <x:v>Yes, subject to life-cycle safeguards</x:v>
      </x:c>
      <x:c r="N141" s="2" t="str">
        <x:v>Gasification of waste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1" s="2" t="str">
        <x:v>Gasification of waste: collection and sorting equipment, reactors or digesters, aeration, gas handling, thermal conversion, pollution control and product conditioning.</x:v>
      </x:c>
      <x:c r="P141" s="2" t="str">
        <x:v>Gasification of waste: feedstock characterisation, mass balances, biological or thermal process control, methane accounting, quality assurance and logistics optimisation.</x:v>
      </x:c>
      <x:c r="Q141" s="2" t="str">
        <x:v>Gasification of waste: waste hierarchy, source separation, collection contracts, emission permits, digestate or product standards, occupational safety and informal-sector inclusion.</x:v>
      </x:c>
      <x:c r="R141" s="2" t="str">
        <x:v>Gasification of waste: collection network, transfer and treatment sites, weighbridge, drainage, electricity or heat connection, gas line and residue disposal.</x:v>
      </x:c>
      <x:c r="S141" s="2" t="str">
        <x:v>Gasification of waste: electricity, process heat or auxiliary fuel; recovered biogas, syngas, heat or electricity may offset external energy.</x:v>
      </x:c>
      <x:c r="T141" s="2" t="str">
        <x:v>Gasification of waste: steel, concrete, polymers, filters, catalysts or sorbents, biological inoculum and treatment chemicals according to the process.</x:v>
      </x:c>
      <x:c r="U141" s="2" t="str">
        <x:v>Gasification of waste: pumps, screens, blowers, mixers, seals, burners, analysers, filter media, reagents and personal protective equipment.</x:v>
      </x:c>
      <x:c r="V141" s="2" t="str">
        <x:v>https://www.ctc-n.org/sites/default/files/resources/ctcn_taxonomy_0.pdf</x:v>
      </x:c>
      <x:c r="W141" s="2" t="str">
        <x:v>https://institutoagricoladepueblobello.edu.co/colegiapp/archivostemas/GUIA%209.%5B25%5D.pdf</x:v>
      </x:c>
      <x:c r="X141" s="2" t="str">
        <x:v>https://iiasa.ac.at/what-is-technology</x:v>
      </x:c>
      <x:c r="Y141" s="2" t="str">
        <x:v>https://www.unep.org/resources/report/global-waste-management-outlook-2024</x:v>
      </x:c>
      <x:c r="Z141" s="2" t="str">
        <x:v>Technology-specific analytical synthesis. The CTCN hierarchy is retained; classifications and component dependencies require validation against the selected design, site and supplier documentation before investment or policy use.</x:v>
      </x:c>
      <x:c r="AA141" s="2" t="str">
        <x:v>Physical deployment of Gasification of waste requires collection network, transfer and treatment sites, weighbridge, drainage, electricity or heat connection, gas line and residue disposal; interfaces, foundations, access and environmental protection are sized to the specific resource and design load.</x:v>
      </x:c>
      <x:c r="AB141" s="2" t="str">
        <x:v>For Gasification of waste, the hardware energy balance comprises electricity, process heat or auxiliary fuel; recovered biogas, syngas, heat or electricity may offset external energy; metering must separate useful output, conversion losses and auxiliaries for the selected design.</x:v>
      </x:c>
      <x:c r="AC141" s="2" t="str">
        <x:v>Construction and operation use steel, concrete, polymers, filters, catalysts or sorbents, biological inoculum and treatment chemicals according to the process. For Gasification of waste, specifications must include durability, compatibility, recycled content and recoverability.</x:v>
      </x:c>
      <x:c r="AD141" s="2" t="str">
        <x:v>Maintenance of Gasification of waste depends on pumps, screens, blowers, mixers, seals, burners, analysers, filter media, reagents and personal protective equipment; critical spares are selected from failure-mode, lead-time and safety analysis for its installed configuration.</x:v>
      </x:c>
      <x:c r="AE141" s="2" t="str">
        <x:v>The software stack for Gasification of waste requires databases, secure communications, version-controlled models, computing, backup and interfaces with field or operational systems.</x:v>
      </x:c>
      <x:c r="AF141" s="2" t="str">
        <x:v>For Gasification of waste, software-related energy is electricity for sensing, computing, storage, communication and cooling; it is normally secondary but must be included for data-intensive or continuous services.</x:v>
      </x:c>
      <x:c r="AG141" s="2" t="str">
        <x:v>The non-physical inputs are calibrated data, metadata, algorithms, boundary conditions, emission or hazard factors, manuals and validation records specific to Gasification of waste.</x:v>
      </x:c>
      <x:c r="AH141" s="2" t="str">
        <x:v>Software continuity for Gasification of waste requires licences where applicable, updates, cybersecurity patches, backups, calibration files, model validation and technical support.</x:v>
      </x:c>
      <x:c r="AI141" s="2" t="str">
        <x:v>Orgware depends on the institutions, laboratories, training providers, regulators, operators and community interfaces needed to govern Gasification of waste.</x:v>
      </x:c>
      <x:c r="AJ141" s="2" t="str">
        <x:v>The orgware supporting Gasification of waste has mainly indirect energy use from offices, meetings, training and information systems; travel and field supervision may be material at dispersed sites.</x:v>
      </x:c>
      <x:c r="AK141" s="2" t="str">
        <x:v>Its organisational inputs are permits, budgets, trained staff, competence records, contracts, procedures, safeguards, monitoring evidence and stakeholder agreements tailored to Gasification of waste.</x:v>
      </x:c>
      <x:c r="AL141" s="2" t="str">
        <x:v>Sustained implementation of Gasification of waste requires procurement and service contracts, audit protocols, training material, reporting templates, insurance or guarantees and periodic independent review.</x:v>
      </x:c>
      <x:c r="AM141" s="2" t="str">
        <x:v>Iron ore / steel inputs</x:v>
      </x:c>
      <x:c r="AN141" s="2" t="str">
        <x:v>Australia; Brazil; China</x:v>
      </x:c>
      <x:c r="AO141" s="2" t="str">
        <x:v>China; India; Japan</x:v>
      </x:c>
      <x:c r="AP141" s="2" t="str">
        <x:v>Gasification of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1" s="2" t="str">
        <x:v>2024–2025</x:v>
      </x:c>
      <x:c r="AR141" s="2" t="str">
        <x:v>https://pubs.usgs.gov/periodicals/mcs2026/mcs2026.pdf</x:v>
      </x:c>
    </x:row>
    <x:row r="142" ht="240" customHeight="1">
      <x:c r="A142" s="2" t="str">
        <x:v>MIT-0135</x:v>
      </x:c>
      <x:c r="B142" s="2" t="str">
        <x:v>Mitigation</x:v>
      </x:c>
      <x:c r="C142" s="2" t="str">
        <x:v>Waste Management</x:v>
      </x:c>
      <x:c r="D142" s="2" t="str">
        <x:v>Solid waste</x:v>
      </x:c>
      <x:c r="E142" s="2" t="str">
        <x:v>Integrated solid waste management</x:v>
      </x:c>
      <x:c r="F142" s="2" t="str">
        <x:v>Integrated solid waste management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Integrated solid waste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2" s="2" t="str">
        <x:v>Flexible</x:v>
      </x:c>
      <x:c r="H142" s="2" t="str">
        <x:v>Integrated solid waste management is transferable through configurable methods, rules and operating parameters. Its principle remains the same, but resource quality, climate, scale, interfaces and safety constraints must be recalculated for each deployment.</x:v>
      </x:c>
      <x:c r="I142" s="2" t="str">
        <x:v>Primarily soft, with physical support</x:v>
      </x:c>
      <x:c r="J142" s="2" t="str">
        <x:v>Integrated solid waste management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2" s="2" t="str">
        <x:v>Operation</x:v>
      </x:c>
      <x:c r="L142" s="2" t="str">
        <x:v>Integrated solid waste management is embodied mainly as an operating practice. The deliverable is accepted only when measurable service, quality, safety and climate-performance criteria are met under real conditions.</x:v>
      </x:c>
      <x:c r="M142" s="2" t="str">
        <x:v>Yes, subject to life-cycle safeguards</x:v>
      </x:c>
      <x:c r="N142" s="2" t="str">
        <x:v>Integrated solid waste management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2" s="2" t="str">
        <x:v>Integrated solid waste management: collection and sorting equipment, reactors or digesters, aeration, gas handling, thermal conversion, pollution control and product conditioning.</x:v>
      </x:c>
      <x:c r="P142" s="2" t="str">
        <x:v>Integrated solid waste management: feedstock characterisation, mass balances, biological or thermal process control, methane accounting, quality assurance and logistics optimisation.</x:v>
      </x:c>
      <x:c r="Q142" s="2" t="str">
        <x:v>Integrated solid waste management: waste hierarchy, source separation, collection contracts, emission permits, digestate or product standards, occupational safety and informal-sector inclusion.</x:v>
      </x:c>
      <x:c r="R142" s="2" t="str">
        <x:v>Integrated solid waste management: collection network, transfer and treatment sites, weighbridge, drainage, electricity or heat connection, gas line and residue disposal.</x:v>
      </x:c>
      <x:c r="S142" s="2" t="str">
        <x:v>Integrated solid waste management: electricity, process heat or auxiliary fuel; recovered biogas, syngas, heat or electricity may offset external energy.</x:v>
      </x:c>
      <x:c r="T142" s="2" t="str">
        <x:v>Integrated solid waste management: steel, concrete, polymers, filters, catalysts or sorbents, biological inoculum and treatment chemicals according to the process.</x:v>
      </x:c>
      <x:c r="U142" s="2" t="str">
        <x:v>Integrated solid waste management: pumps, screens, blowers, mixers, seals, burners, analysers, filter media, reagents and personal protective equipment.</x:v>
      </x:c>
      <x:c r="V142" s="2" t="str">
        <x:v>https://www.ctc-n.org/sites/default/files/resources/ctcn_taxonomy_0.pdf</x:v>
      </x:c>
      <x:c r="W142" s="2" t="str">
        <x:v>https://institutoagricoladepueblobello.edu.co/colegiapp/archivostemas/GUIA%209.%5B25%5D.pdf</x:v>
      </x:c>
      <x:c r="X142" s="2" t="str">
        <x:v>https://iiasa.ac.at/what-is-technology</x:v>
      </x:c>
      <x:c r="Y142" s="2" t="str">
        <x:v>https://www.unep.org/resources/report/global-waste-management-outlook-2024</x:v>
      </x:c>
      <x:c r="Z142" s="2" t="str">
        <x:v>Technology-specific analytical synthesis. The CTCN hierarchy is retained; classifications and component dependencies require validation against the selected design, site and supplier documentation before investment or policy use.</x:v>
      </x:c>
      <x:c r="AA142" s="2" t="str">
        <x:v>Physical deployment of Integrated solid waste management requires collection network, transfer and treatment sites, weighbridge, drainage, electricity or heat connection, gas line and residue disposal; interfaces, foundations, access and environmental protection are sized to the specific resource and design load.</x:v>
      </x:c>
      <x:c r="AB142" s="2" t="str">
        <x:v>For Integrated solid waste management, the hardware energy balance comprises electricity, process heat or auxiliary fuel; recovered biogas, syngas, heat or electricity may offset external energy; metering must separate useful output, conversion losses and auxiliaries for the selected design.</x:v>
      </x:c>
      <x:c r="AC142" s="2" t="str">
        <x:v>Construction and operation use steel, concrete, polymers, filters, catalysts or sorbents, biological inoculum and treatment chemicals according to the process. For Integrated solid waste management, specifications must include durability, compatibility, recycled content and recoverability.</x:v>
      </x:c>
      <x:c r="AD142" s="2" t="str">
        <x:v>Maintenance of Integrated solid waste management depends on pumps, screens, blowers, mixers, seals, burners, analysers, filter media, reagents and personal protective equipment; critical spares are selected from failure-mode, lead-time and safety analysis for its installed configuration.</x:v>
      </x:c>
      <x:c r="AE142" s="2" t="str">
        <x:v>The software stack for Integrated solid waste management requires databases, secure communications, version-controlled models, computing, backup and interfaces with field or operational systems.</x:v>
      </x:c>
      <x:c r="AF142" s="2" t="str">
        <x:v>For Integrated solid waste management, software-related energy is electricity for sensing, computing, storage, communication and cooling; it is normally secondary but must be included for data-intensive or continuous services.</x:v>
      </x:c>
      <x:c r="AG142" s="2" t="str">
        <x:v>The non-physical inputs are calibrated data, metadata, algorithms, boundary conditions, emission or hazard factors, manuals and validation records specific to Integrated solid waste management.</x:v>
      </x:c>
      <x:c r="AH142" s="2" t="str">
        <x:v>Software continuity for Integrated solid waste management requires licences where applicable, updates, cybersecurity patches, backups, calibration files, model validation and technical support.</x:v>
      </x:c>
      <x:c r="AI142" s="2" t="str">
        <x:v>Orgware depends on the institutions, laboratories, training providers, regulators, operators and community interfaces needed to govern Integrated solid waste management.</x:v>
      </x:c>
      <x:c r="AJ142" s="2" t="str">
        <x:v>The orgware supporting Integrated solid waste management has mainly indirect energy use from offices, meetings, training and information systems; travel and field supervision may be material at dispersed sites.</x:v>
      </x:c>
      <x:c r="AK142" s="2" t="str">
        <x:v>Its organisational inputs are permits, budgets, trained staff, competence records, contracts, procedures, safeguards, monitoring evidence and stakeholder agreements tailored to Integrated solid waste management.</x:v>
      </x:c>
      <x:c r="AL142" s="2" t="str">
        <x:v>Sustained implementation of Integrated solid waste management requires procurement and service contracts, audit protocols, training material, reporting templates, insurance or guarantees and periodic independent review.</x:v>
      </x:c>
      <x:c r="AM142" s="2" t="str">
        <x:v>No critical or strategic raw material is identifiable at taxonomy level; site-specific bulk materials may still be required.</x:v>
      </x:c>
      <x:c r="AN142" s="2" t="str"/>
      <x:c r="AO142" s="2" t="str"/>
      <x:c r="AP142" s="2" t="str">
        <x:v>Integrated solid waste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2" s="2" t="str">
        <x:v>2024–2025</x:v>
      </x:c>
      <x:c r="AR142" s="2" t="str">
        <x:v>https://pubs.usgs.gov/periodicals/mcs2026/mcs2026.pdf; https://www.iea.org/reports/global-critical-minerals-outlook-2025</x:v>
      </x:c>
    </x:row>
    <x:row r="143" ht="240" customHeight="1">
      <x:c r="A143" s="2" t="str">
        <x:v>MIT-0136</x:v>
      </x:c>
      <x:c r="B143" s="2" t="str">
        <x:v>Mitigation</x:v>
      </x:c>
      <x:c r="C143" s="2" t="str">
        <x:v>Waste Management</x:v>
      </x:c>
      <x:c r="D143" s="2" t="str">
        <x:v>Solid waste</x:v>
      </x:c>
      <x:c r="E143" s="2" t="str">
        <x:v>Landfill biocovers</x:v>
      </x:c>
      <x:c r="F143" s="2" t="str">
        <x:v>Landfill biocovers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Landfill biocovers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3" s="2" t="str">
        <x:v>Primarily fixed</x:v>
      </x:c>
      <x:c r="H143" s="2" t="str">
        <x:v>Landfill biocovers is tied to long-lived, site-specific assets and design loads. Its principle remains the same, but resource quality, climate, scale, interfaces and safety constraints must be recalculated for each deployment.</x:v>
      </x:c>
      <x:c r="I143" s="2" t="str">
        <x:v>Primarily hard, with a soft component</x:v>
      </x:c>
      <x:c r="J143" s="2" t="str">
        <x:v>Landfill biocovers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3" s="2" t="str">
        <x:v>Equipment and operation</x:v>
      </x:c>
      <x:c r="L143" s="2" t="str">
        <x:v>Landfill biocovers is embodied mainly as an equipment-and-operation system. The deliverable is accepted only when measurable service, quality, safety and climate-performance criteria are met under real conditions.</x:v>
      </x:c>
      <x:c r="M143" s="2" t="str">
        <x:v>Yes, subject to life-cycle safeguards</x:v>
      </x:c>
      <x:c r="N143" s="2" t="str">
        <x:v>Landfill biocovers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3" s="2" t="str">
        <x:v>Landfill biocovers: collection and sorting equipment, reactors or digesters, aeration, gas handling, thermal conversion, pollution control and product conditioning.</x:v>
      </x:c>
      <x:c r="P143" s="2" t="str">
        <x:v>Landfill biocovers: feedstock characterisation, mass balances, biological or thermal process control, methane accounting, quality assurance and logistics optimisation.</x:v>
      </x:c>
      <x:c r="Q143" s="2" t="str">
        <x:v>Landfill biocovers: waste hierarchy, source separation, collection contracts, emission permits, digestate or product standards, occupational safety and informal-sector inclusion.</x:v>
      </x:c>
      <x:c r="R143" s="2" t="str">
        <x:v>Landfill biocovers: collection network, transfer and treatment sites, weighbridge, drainage, electricity or heat connection, gas line and residue disposal.</x:v>
      </x:c>
      <x:c r="S143" s="2" t="str">
        <x:v>Landfill biocovers: electricity, process heat or auxiliary fuel; recovered biogas, syngas, heat or electricity may offset external energy.</x:v>
      </x:c>
      <x:c r="T143" s="2" t="str">
        <x:v>Landfill biocovers: steel, concrete, polymers, filters, catalysts or sorbents, biological inoculum and treatment chemicals according to the process.</x:v>
      </x:c>
      <x:c r="U143" s="2" t="str">
        <x:v>Landfill biocovers: pumps, screens, blowers, mixers, seals, burners, analysers, filter media, reagents and personal protective equipment.</x:v>
      </x:c>
      <x:c r="V143" s="2" t="str">
        <x:v>https://www.ctc-n.org/sites/default/files/resources/ctcn_taxonomy_0.pdf</x:v>
      </x:c>
      <x:c r="W143" s="2" t="str">
        <x:v>https://institutoagricoladepueblobello.edu.co/colegiapp/archivostemas/GUIA%209.%5B25%5D.pdf</x:v>
      </x:c>
      <x:c r="X143" s="2" t="str">
        <x:v>https://iiasa.ac.at/what-is-technology</x:v>
      </x:c>
      <x:c r="Y143" s="2" t="str">
        <x:v>https://www.unep.org/resources/report/global-waste-management-outlook-2024</x:v>
      </x:c>
      <x:c r="Z143" s="2" t="str">
        <x:v>Technology-specific analytical synthesis. The CTCN hierarchy is retained; classifications and component dependencies require validation against the selected design, site and supplier documentation before investment or policy use.</x:v>
      </x:c>
      <x:c r="AA143" s="2" t="str">
        <x:v>Physical deployment of Landfill biocovers requires collection network, transfer and treatment sites, weighbridge, drainage, electricity or heat connection, gas line and residue disposal; interfaces, foundations, access and environmental protection are sized to the specific resource and design load.</x:v>
      </x:c>
      <x:c r="AB143" s="2" t="str">
        <x:v>For Landfill biocovers, the hardware energy balance comprises electricity, process heat or auxiliary fuel; recovered biogas, syngas, heat or electricity may offset external energy; metering must separate useful output, conversion losses and auxiliaries for the selected design.</x:v>
      </x:c>
      <x:c r="AC143" s="2" t="str">
        <x:v>Construction and operation use steel, concrete, polymers, filters, catalysts or sorbents, biological inoculum and treatment chemicals according to the process. For Landfill biocovers, specifications must include durability, compatibility, recycled content and recoverability.</x:v>
      </x:c>
      <x:c r="AD143" s="2" t="str">
        <x:v>Maintenance of Landfill biocovers depends on pumps, screens, blowers, mixers, seals, burners, analysers, filter media, reagents and personal protective equipment; critical spares are selected from failure-mode, lead-time and safety analysis for its installed configuration.</x:v>
      </x:c>
      <x:c r="AE143" s="2" t="str">
        <x:v>The software stack for Landfill biocovers requires databases, secure communications, version-controlled models, computing, backup and interfaces with field or operational systems.</x:v>
      </x:c>
      <x:c r="AF143" s="2" t="str">
        <x:v>For Landfill biocovers, software-related energy is electricity for sensing, computing, storage, communication and cooling; it is normally secondary but must be included for data-intensive or continuous services.</x:v>
      </x:c>
      <x:c r="AG143" s="2" t="str">
        <x:v>The non-physical inputs are calibrated data, metadata, algorithms, boundary conditions, emission or hazard factors, manuals and validation records specific to Landfill biocovers.</x:v>
      </x:c>
      <x:c r="AH143" s="2" t="str">
        <x:v>Software continuity for Landfill biocovers requires licences where applicable, updates, cybersecurity patches, backups, calibration files, model validation and technical support.</x:v>
      </x:c>
      <x:c r="AI143" s="2" t="str">
        <x:v>Orgware depends on the institutions, laboratories, training providers, regulators, operators and community interfaces needed to govern Landfill biocovers.</x:v>
      </x:c>
      <x:c r="AJ143" s="2" t="str">
        <x:v>The orgware supporting Landfill biocovers has mainly indirect energy use from offices, meetings, training and information systems; travel and field supervision may be material at dispersed sites.</x:v>
      </x:c>
      <x:c r="AK143" s="2" t="str">
        <x:v>Its organisational inputs are permits, budgets, trained staff, competence records, contracts, procedures, safeguards, monitoring evidence and stakeholder agreements tailored to Landfill biocovers.</x:v>
      </x:c>
      <x:c r="AL143" s="2" t="str">
        <x:v>Sustained implementation of Landfill biocovers requires procurement and service contracts, audit protocols, training material, reporting templates, insurance or guarantees and periodic independent review.</x:v>
      </x:c>
      <x:c r="AM143" s="2" t="str">
        <x:v>Iron ore / steel inputs</x:v>
      </x:c>
      <x:c r="AN143" s="2" t="str">
        <x:v>Australia; Brazil; China</x:v>
      </x:c>
      <x:c r="AO143" s="2" t="str">
        <x:v>China; India; Japan</x:v>
      </x:c>
      <x:c r="AP143" s="2" t="str">
        <x:v>Landfill biocovers: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3" s="2" t="str">
        <x:v>2024–2025</x:v>
      </x:c>
      <x:c r="AR143" s="2" t="str">
        <x:v>https://pubs.usgs.gov/periodicals/mcs2026/mcs2026.pdf</x:v>
      </x:c>
    </x:row>
    <x:row r="144" ht="240" customHeight="1">
      <x:c r="A144" s="2" t="str">
        <x:v>MIT-0137</x:v>
      </x:c>
      <x:c r="B144" s="2" t="str">
        <x:v>Mitigation</x:v>
      </x:c>
      <x:c r="C144" s="2" t="str">
        <x:v>Waste Management</x:v>
      </x:c>
      <x:c r="D144" s="2" t="str">
        <x:v>Solid waste</x:v>
      </x:c>
      <x:c r="E144" s="2" t="str">
        <x:v>Landfill composting</x:v>
      </x:c>
      <x:c r="F144" s="2" t="str">
        <x:v>Landfill composting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Landfill composting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4" s="2" t="str">
        <x:v>Primarily fixed</x:v>
      </x:c>
      <x:c r="H144" s="2" t="str">
        <x:v>Landfill composting is tied to long-lived, site-specific assets and design loads. Its principle remains the same, but resource quality, climate, scale, interfaces and safety constraints must be recalculated for each deployment.</x:v>
      </x:c>
      <x:c r="I144" s="2" t="str">
        <x:v>Primarily hard, with a soft component</x:v>
      </x:c>
      <x:c r="J144" s="2" t="str">
        <x:v>Landfill composting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4" s="2" t="str">
        <x:v>Equipment and operation</x:v>
      </x:c>
      <x:c r="L144" s="2" t="str">
        <x:v>Landfill composting is embodied mainly as an equipment-and-operation system. The deliverable is accepted only when measurable service, quality, safety and climate-performance criteria are met under real conditions.</x:v>
      </x:c>
      <x:c r="M144" s="2" t="str">
        <x:v>Yes, subject to life-cycle safeguards</x:v>
      </x:c>
      <x:c r="N144" s="2" t="str">
        <x:v>Landfill composting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4" s="2" t="str">
        <x:v>Landfill composting: collection and sorting equipment, reactors or digesters, aeration, gas handling, thermal conversion, pollution control and product conditioning.</x:v>
      </x:c>
      <x:c r="P144" s="2" t="str">
        <x:v>Landfill composting: feedstock characterisation, mass balances, biological or thermal process control, methane accounting, quality assurance and logistics optimisation.</x:v>
      </x:c>
      <x:c r="Q144" s="2" t="str">
        <x:v>Landfill composting: waste hierarchy, source separation, collection contracts, emission permits, digestate or product standards, occupational safety and informal-sector inclusion.</x:v>
      </x:c>
      <x:c r="R144" s="2" t="str">
        <x:v>Landfill composting: collection network, transfer and treatment sites, weighbridge, drainage, electricity or heat connection, gas line and residue disposal.</x:v>
      </x:c>
      <x:c r="S144" s="2" t="str">
        <x:v>Landfill composting: electricity, process heat or auxiliary fuel; recovered biogas, syngas, heat or electricity may offset external energy.</x:v>
      </x:c>
      <x:c r="T144" s="2" t="str">
        <x:v>Landfill composting: steel, concrete, polymers, filters, catalysts or sorbents, biological inoculum and treatment chemicals according to the process.</x:v>
      </x:c>
      <x:c r="U144" s="2" t="str">
        <x:v>Landfill composting: pumps, screens, blowers, mixers, seals, burners, analysers, filter media, reagents and personal protective equipment.</x:v>
      </x:c>
      <x:c r="V144" s="2" t="str">
        <x:v>https://www.ctc-n.org/sites/default/files/resources/ctcn_taxonomy_0.pdf</x:v>
      </x:c>
      <x:c r="W144" s="2" t="str">
        <x:v>https://institutoagricoladepueblobello.edu.co/colegiapp/archivostemas/GUIA%209.%5B25%5D.pdf</x:v>
      </x:c>
      <x:c r="X144" s="2" t="str">
        <x:v>https://iiasa.ac.at/what-is-technology</x:v>
      </x:c>
      <x:c r="Y144" s="2" t="str">
        <x:v>https://www.unep.org/resources/report/global-waste-management-outlook-2024</x:v>
      </x:c>
      <x:c r="Z144" s="2" t="str">
        <x:v>Technology-specific analytical synthesis. The CTCN hierarchy is retained; classifications and component dependencies require validation against the selected design, site and supplier documentation before investment or policy use.</x:v>
      </x:c>
      <x:c r="AA144" s="2" t="str">
        <x:v>Physical deployment of Landfill composting requires collection network, transfer and treatment sites, weighbridge, drainage, electricity or heat connection, gas line and residue disposal; interfaces, foundations, access and environmental protection are sized to the specific resource and design load.</x:v>
      </x:c>
      <x:c r="AB144" s="2" t="str">
        <x:v>For Landfill composting, the hardware energy balance comprises electricity, process heat or auxiliary fuel; recovered biogas, syngas, heat or electricity may offset external energy; metering must separate useful output, conversion losses and auxiliaries for the selected design.</x:v>
      </x:c>
      <x:c r="AC144" s="2" t="str">
        <x:v>Construction and operation use steel, concrete, polymers, filters, catalysts or sorbents, biological inoculum and treatment chemicals according to the process. For Landfill composting, specifications must include durability, compatibility, recycled content and recoverability.</x:v>
      </x:c>
      <x:c r="AD144" s="2" t="str">
        <x:v>Maintenance of Landfill composting depends on pumps, screens, blowers, mixers, seals, burners, analysers, filter media, reagents and personal protective equipment; critical spares are selected from failure-mode, lead-time and safety analysis for its installed configuration.</x:v>
      </x:c>
      <x:c r="AE144" s="2" t="str">
        <x:v>The software stack for Landfill composting requires databases, secure communications, version-controlled models, computing, backup and interfaces with field or operational systems.</x:v>
      </x:c>
      <x:c r="AF144" s="2" t="str">
        <x:v>For Landfill composting, software-related energy is electricity for sensing, computing, storage, communication and cooling; it is normally secondary but must be included for data-intensive or continuous services.</x:v>
      </x:c>
      <x:c r="AG144" s="2" t="str">
        <x:v>The non-physical inputs are calibrated data, metadata, algorithms, boundary conditions, emission or hazard factors, manuals and validation records specific to Landfill composting.</x:v>
      </x:c>
      <x:c r="AH144" s="2" t="str">
        <x:v>Software continuity for Landfill composting requires licences where applicable, updates, cybersecurity patches, backups, calibration files, model validation and technical support.</x:v>
      </x:c>
      <x:c r="AI144" s="2" t="str">
        <x:v>Orgware depends on the institutions, laboratories, training providers, regulators, operators and community interfaces needed to govern Landfill composting.</x:v>
      </x:c>
      <x:c r="AJ144" s="2" t="str">
        <x:v>The orgware supporting Landfill composting has mainly indirect energy use from offices, meetings, training and information systems; travel and field supervision may be material at dispersed sites.</x:v>
      </x:c>
      <x:c r="AK144" s="2" t="str">
        <x:v>Its organisational inputs are permits, budgets, trained staff, competence records, contracts, procedures, safeguards, monitoring evidence and stakeholder agreements tailored to Landfill composting.</x:v>
      </x:c>
      <x:c r="AL144" s="2" t="str">
        <x:v>Sustained implementation of Landfill composting requires procurement and service contracts, audit protocols, training material, reporting templates, insurance or guarantees and periodic independent review.</x:v>
      </x:c>
      <x:c r="AM144" s="2" t="str">
        <x:v>Iron ore / steel inputs</x:v>
      </x:c>
      <x:c r="AN144" s="2" t="str">
        <x:v>Australia; Brazil; China</x:v>
      </x:c>
      <x:c r="AO144" s="2" t="str">
        <x:v>China; India; Japan</x:v>
      </x:c>
      <x:c r="AP144" s="2" t="str">
        <x:v>Landfill composting: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4" s="2" t="str">
        <x:v>2024–2025</x:v>
      </x:c>
      <x:c r="AR144" s="2" t="str">
        <x:v>https://pubs.usgs.gov/periodicals/mcs2026/mcs2026.pdf</x:v>
      </x:c>
    </x:row>
    <x:row r="145" ht="240" customHeight="1">
      <x:c r="A145" s="2" t="str">
        <x:v>MIT-0138</x:v>
      </x:c>
      <x:c r="B145" s="2" t="str">
        <x:v>Mitigation</x:v>
      </x:c>
      <x:c r="C145" s="2" t="str">
        <x:v>Waste Management</x:v>
      </x:c>
      <x:c r="D145" s="2" t="str">
        <x:v>Solid waste</x:v>
      </x:c>
      <x:c r="E145" s="2" t="str">
        <x:v>Industrial solid waste</x:v>
      </x:c>
      <x:c r="F145" s="2" t="str">
        <x:v>Industrial solid waste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Industrial solid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5" s="2" t="str">
        <x:v>Mixed: adaptable design, site-specific implementation</x:v>
      </x:c>
      <x:c r="H145" s="2" t="str">
        <x:v>Industrial solid waste is adaptable in capacity and configuration but site-specific in final engineering. Its principle remains the same, but resource quality, climate, scale, interfaces and safety constraints must be recalculated for each deployment.</x:v>
      </x:c>
      <x:c r="I145" s="2" t="str">
        <x:v>Primarily hard, with a soft component</x:v>
      </x:c>
      <x:c r="J145" s="2" t="str">
        <x:v>Industrial solid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5" s="2" t="str">
        <x:v>Equipment and operation</x:v>
      </x:c>
      <x:c r="L145" s="2" t="str">
        <x:v>Industrial solid waste is embodied mainly as an equipment-and-operation system. The deliverable is accepted only when measurable service, quality, safety and climate-performance criteria are met under real conditions.</x:v>
      </x:c>
      <x:c r="M145" s="2" t="str">
        <x:v>Yes, subject to life-cycle safeguards</x:v>
      </x:c>
      <x:c r="N145" s="2" t="str">
        <x:v>Industrial solid waste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5" s="2" t="str">
        <x:v>Industrial solid waste: collection and sorting equipment, reactors or digesters, aeration, gas handling, thermal conversion, pollution control and product conditioning.</x:v>
      </x:c>
      <x:c r="P145" s="2" t="str">
        <x:v>Industrial solid waste: feedstock characterisation, mass balances, biological or thermal process control, methane accounting, quality assurance and logistics optimisation.</x:v>
      </x:c>
      <x:c r="Q145" s="2" t="str">
        <x:v>Industrial solid waste: waste hierarchy, source separation, collection contracts, emission permits, digestate or product standards, occupational safety and informal-sector inclusion.</x:v>
      </x:c>
      <x:c r="R145" s="2" t="str">
        <x:v>Industrial solid waste: collection network, transfer and treatment sites, weighbridge, drainage, electricity or heat connection, gas line and residue disposal.</x:v>
      </x:c>
      <x:c r="S145" s="2" t="str">
        <x:v>Industrial solid waste: electricity, process heat or auxiliary fuel; recovered biogas, syngas, heat or electricity may offset external energy.</x:v>
      </x:c>
      <x:c r="T145" s="2" t="str">
        <x:v>Industrial solid waste: steel, concrete, polymers, filters, catalysts or sorbents, biological inoculum and treatment chemicals according to the process.</x:v>
      </x:c>
      <x:c r="U145" s="2" t="str">
        <x:v>Industrial solid waste: pumps, screens, blowers, mixers, seals, burners, analysers, filter media, reagents and personal protective equipment.</x:v>
      </x:c>
      <x:c r="V145" s="2" t="str">
        <x:v>https://www.ctc-n.org/sites/default/files/resources/ctcn_taxonomy_0.pdf</x:v>
      </x:c>
      <x:c r="W145" s="2" t="str">
        <x:v>https://institutoagricoladepueblobello.edu.co/colegiapp/archivostemas/GUIA%209.%5B25%5D.pdf</x:v>
      </x:c>
      <x:c r="X145" s="2" t="str">
        <x:v>https://iiasa.ac.at/what-is-technology</x:v>
      </x:c>
      <x:c r="Y145" s="2" t="str">
        <x:v>https://www.unep.org/resources/report/global-waste-management-outlook-2024</x:v>
      </x:c>
      <x:c r="Z145" s="2" t="str">
        <x:v>Technology-specific analytical synthesis. The CTCN hierarchy is retained; classifications and component dependencies require validation against the selected design, site and supplier documentation before investment or policy use.</x:v>
      </x:c>
      <x:c r="AA145" s="2" t="str">
        <x:v>Physical deployment of Industrial solid waste requires collection network, transfer and treatment sites, weighbridge, drainage, electricity or heat connection, gas line and residue disposal; interfaces, foundations, access and environmental protection are sized to the specific resource and design load.</x:v>
      </x:c>
      <x:c r="AB145" s="2" t="str">
        <x:v>For Industrial solid waste, the hardware energy balance comprises electricity, process heat or auxiliary fuel; recovered biogas, syngas, heat or electricity may offset external energy; metering must separate useful output, conversion losses and auxiliaries for the selected design.</x:v>
      </x:c>
      <x:c r="AC145" s="2" t="str">
        <x:v>Construction and operation use steel, concrete, polymers, filters, catalysts or sorbents, biological inoculum and treatment chemicals according to the process. For Industrial solid waste, specifications must include durability, compatibility, recycled content and recoverability.</x:v>
      </x:c>
      <x:c r="AD145" s="2" t="str">
        <x:v>Maintenance of Industrial solid waste depends on pumps, screens, blowers, mixers, seals, burners, analysers, filter media, reagents and personal protective equipment; critical spares are selected from failure-mode, lead-time and safety analysis for its installed configuration.</x:v>
      </x:c>
      <x:c r="AE145" s="2" t="str">
        <x:v>The software stack for Industrial solid waste requires databases, secure communications, version-controlled models, computing, backup and interfaces with field or operational systems.</x:v>
      </x:c>
      <x:c r="AF145" s="2" t="str">
        <x:v>For Industrial solid waste, software-related energy is electricity for sensing, computing, storage, communication and cooling; it is normally secondary but must be included for data-intensive or continuous services.</x:v>
      </x:c>
      <x:c r="AG145" s="2" t="str">
        <x:v>The non-physical inputs are calibrated data, metadata, algorithms, boundary conditions, emission or hazard factors, manuals and validation records specific to Industrial solid waste.</x:v>
      </x:c>
      <x:c r="AH145" s="2" t="str">
        <x:v>Software continuity for Industrial solid waste requires licences where applicable, updates, cybersecurity patches, backups, calibration files, model validation and technical support.</x:v>
      </x:c>
      <x:c r="AI145" s="2" t="str">
        <x:v>Orgware depends on the institutions, laboratories, training providers, regulators, operators and community interfaces needed to govern Industrial solid waste.</x:v>
      </x:c>
      <x:c r="AJ145" s="2" t="str">
        <x:v>The orgware supporting Industrial solid waste has mainly indirect energy use from offices, meetings, training and information systems; travel and field supervision may be material at dispersed sites.</x:v>
      </x:c>
      <x:c r="AK145" s="2" t="str">
        <x:v>Its organisational inputs are permits, budgets, trained staff, competence records, contracts, procedures, safeguards, monitoring evidence and stakeholder agreements tailored to Industrial solid waste.</x:v>
      </x:c>
      <x:c r="AL145" s="2" t="str">
        <x:v>Sustained implementation of Industrial solid waste requires procurement and service contracts, audit protocols, training material, reporting templates, insurance or guarantees and periodic independent review.</x:v>
      </x:c>
      <x:c r="AM145" s="2" t="str">
        <x:v>Iron ore / steel inputs</x:v>
      </x:c>
      <x:c r="AN145" s="2" t="str">
        <x:v>Australia; Brazil; China</x:v>
      </x:c>
      <x:c r="AO145" s="2" t="str">
        <x:v>China; India; Japan</x:v>
      </x:c>
      <x:c r="AP145" s="2" t="str">
        <x:v>Industrial solid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5" s="2" t="str">
        <x:v>2024–2025</x:v>
      </x:c>
      <x:c r="AR145" s="2" t="str">
        <x:v>https://pubs.usgs.gov/periodicals/mcs2026/mcs2026.pdf</x:v>
      </x:c>
    </x:row>
    <x:row r="146" ht="240" customHeight="1">
      <x:c r="A146" s="2" t="str">
        <x:v>MIT-0139</x:v>
      </x:c>
      <x:c r="B146" s="2" t="str">
        <x:v>Mitigation</x:v>
      </x:c>
      <x:c r="C146" s="2" t="str">
        <x:v>Waste Management</x:v>
      </x:c>
      <x:c r="D146" s="2" t="str">
        <x:v>Solid waste</x:v>
      </x:c>
      <x:c r="E146" s="2" t="str">
        <x:v>Municipal solid waste</x:v>
      </x:c>
      <x:c r="F146" s="2" t="str">
        <x:v>Municipal solid waste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Municipal solid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6" s="2" t="str">
        <x:v>Mixed: adaptable design, site-specific implementation</x:v>
      </x:c>
      <x:c r="H146" s="2" t="str">
        <x:v>Municipal solid waste is adaptable in capacity and configuration but site-specific in final engineering. Its principle remains the same, but resource quality, climate, scale, interfaces and safety constraints must be recalculated for each deployment.</x:v>
      </x:c>
      <x:c r="I146" s="2" t="str">
        <x:v>Primarily hard, with a soft component</x:v>
      </x:c>
      <x:c r="J146" s="2" t="str">
        <x:v>Municipal solid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6" s="2" t="str">
        <x:v>Equipment and operation</x:v>
      </x:c>
      <x:c r="L146" s="2" t="str">
        <x:v>Municipal solid waste is embodied mainly as an equipment-and-operation system. The deliverable is accepted only when measurable service, quality, safety and climate-performance criteria are met under real conditions.</x:v>
      </x:c>
      <x:c r="M146" s="2" t="str">
        <x:v>Yes, subject to life-cycle safeguards</x:v>
      </x:c>
      <x:c r="N146" s="2" t="str">
        <x:v>Municipal solid waste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6" s="2" t="str">
        <x:v>Municipal solid waste: collection and sorting equipment, reactors or digesters, aeration, gas handling, thermal conversion, pollution control and product conditioning.</x:v>
      </x:c>
      <x:c r="P146" s="2" t="str">
        <x:v>Municipal solid waste: feedstock characterisation, mass balances, biological or thermal process control, methane accounting, quality assurance and logistics optimisation.</x:v>
      </x:c>
      <x:c r="Q146" s="2" t="str">
        <x:v>Municipal solid waste: waste hierarchy, source separation, collection contracts, emission permits, digestate or product standards, occupational safety and informal-sector inclusion.</x:v>
      </x:c>
      <x:c r="R146" s="2" t="str">
        <x:v>Municipal solid waste: collection network, transfer and treatment sites, weighbridge, drainage, electricity or heat connection, gas line and residue disposal.</x:v>
      </x:c>
      <x:c r="S146" s="2" t="str">
        <x:v>Municipal solid waste: electricity, process heat or auxiliary fuel; recovered biogas, syngas, heat or electricity may offset external energy.</x:v>
      </x:c>
      <x:c r="T146" s="2" t="str">
        <x:v>Municipal solid waste: steel, concrete, polymers, filters, catalysts or sorbents, biological inoculum and treatment chemicals according to the process.</x:v>
      </x:c>
      <x:c r="U146" s="2" t="str">
        <x:v>Municipal solid waste: pumps, screens, blowers, mixers, seals, burners, analysers, filter media, reagents and personal protective equipment.</x:v>
      </x:c>
      <x:c r="V146" s="2" t="str">
        <x:v>https://www.ctc-n.org/sites/default/files/resources/ctcn_taxonomy_0.pdf</x:v>
      </x:c>
      <x:c r="W146" s="2" t="str">
        <x:v>https://institutoagricoladepueblobello.edu.co/colegiapp/archivostemas/GUIA%209.%5B25%5D.pdf</x:v>
      </x:c>
      <x:c r="X146" s="2" t="str">
        <x:v>https://iiasa.ac.at/what-is-technology</x:v>
      </x:c>
      <x:c r="Y146" s="2" t="str">
        <x:v>https://www.unep.org/resources/report/global-waste-management-outlook-2024</x:v>
      </x:c>
      <x:c r="Z146" s="2" t="str">
        <x:v>Technology-specific analytical synthesis. The CTCN hierarchy is retained; classifications and component dependencies require validation against the selected design, site and supplier documentation before investment or policy use.</x:v>
      </x:c>
      <x:c r="AA146" s="2" t="str">
        <x:v>Physical deployment of Municipal solid waste requires collection network, transfer and treatment sites, weighbridge, drainage, electricity or heat connection, gas line and residue disposal; interfaces, foundations, access and environmental protection are sized to the specific resource and design load.</x:v>
      </x:c>
      <x:c r="AB146" s="2" t="str">
        <x:v>For Municipal solid waste, the hardware energy balance comprises electricity, process heat or auxiliary fuel; recovered biogas, syngas, heat or electricity may offset external energy; metering must separate useful output, conversion losses and auxiliaries for the selected design.</x:v>
      </x:c>
      <x:c r="AC146" s="2" t="str">
        <x:v>Construction and operation use steel, concrete, polymers, filters, catalysts or sorbents, biological inoculum and treatment chemicals according to the process. For Municipal solid waste, specifications must include durability, compatibility, recycled content and recoverability.</x:v>
      </x:c>
      <x:c r="AD146" s="2" t="str">
        <x:v>Maintenance of Municipal solid waste depends on pumps, screens, blowers, mixers, seals, burners, analysers, filter media, reagents and personal protective equipment; critical spares are selected from failure-mode, lead-time and safety analysis for its installed configuration.</x:v>
      </x:c>
      <x:c r="AE146" s="2" t="str">
        <x:v>The software stack for Municipal solid waste requires databases, secure communications, version-controlled models, computing, backup and interfaces with field or operational systems.</x:v>
      </x:c>
      <x:c r="AF146" s="2" t="str">
        <x:v>For Municipal solid waste, software-related energy is electricity for sensing, computing, storage, communication and cooling; it is normally secondary but must be included for data-intensive or continuous services.</x:v>
      </x:c>
      <x:c r="AG146" s="2" t="str">
        <x:v>The non-physical inputs are calibrated data, metadata, algorithms, boundary conditions, emission or hazard factors, manuals and validation records specific to Municipal solid waste.</x:v>
      </x:c>
      <x:c r="AH146" s="2" t="str">
        <x:v>Software continuity for Municipal solid waste requires licences where applicable, updates, cybersecurity patches, backups, calibration files, model validation and technical support.</x:v>
      </x:c>
      <x:c r="AI146" s="2" t="str">
        <x:v>Orgware depends on the institutions, laboratories, training providers, regulators, operators and community interfaces needed to govern Municipal solid waste.</x:v>
      </x:c>
      <x:c r="AJ146" s="2" t="str">
        <x:v>The orgware supporting Municipal solid waste has mainly indirect energy use from offices, meetings, training and information systems; travel and field supervision may be material at dispersed sites.</x:v>
      </x:c>
      <x:c r="AK146" s="2" t="str">
        <x:v>Its organisational inputs are permits, budgets, trained staff, competence records, contracts, procedures, safeguards, monitoring evidence and stakeholder agreements tailored to Municipal solid waste.</x:v>
      </x:c>
      <x:c r="AL146" s="2" t="str">
        <x:v>Sustained implementation of Municipal solid waste requires procurement and service contracts, audit protocols, training material, reporting templates, insurance or guarantees and periodic independent review.</x:v>
      </x:c>
      <x:c r="AM146" s="2" t="str">
        <x:v>Iron ore / steel inputs</x:v>
      </x:c>
      <x:c r="AN146" s="2" t="str">
        <x:v>Australia; Brazil; China</x:v>
      </x:c>
      <x:c r="AO146" s="2" t="str">
        <x:v>China; India; Japan</x:v>
      </x:c>
      <x:c r="AP146" s="2" t="str">
        <x:v>Municipal solid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6" s="2" t="str">
        <x:v>2024–2025</x:v>
      </x:c>
      <x:c r="AR146" s="2" t="str">
        <x:v>https://pubs.usgs.gov/periodicals/mcs2026/mcs2026.pdf</x:v>
      </x:c>
    </x:row>
    <x:row r="147" ht="240" customHeight="1">
      <x:c r="A147" s="2" t="str">
        <x:v>MIT-0140</x:v>
      </x:c>
      <x:c r="B147" s="2" t="str">
        <x:v>Mitigation</x:v>
      </x:c>
      <x:c r="C147" s="2" t="str">
        <x:v>Waste Management</x:v>
      </x:c>
      <x:c r="D147" s="2" t="str">
        <x:v>Solid waste</x:v>
      </x:c>
      <x:c r="E147" s="2" t="str">
        <x:v>Landfill gas power</x:v>
      </x:c>
      <x:c r="F147" s="2" t="str">
        <x:v>Landfill gas power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Landfill gas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7" s="2" t="str">
        <x:v>Primarily fixed</x:v>
      </x:c>
      <x:c r="H147" s="2" t="str">
        <x:v>Landfill gas power is tied to long-lived, site-specific assets and design loads. Its principle remains the same, but resource quality, climate, scale, interfaces and safety constraints must be recalculated for each deployment.</x:v>
      </x:c>
      <x:c r="I147" s="2" t="str">
        <x:v>Primarily hard, with a soft component</x:v>
      </x:c>
      <x:c r="J147" s="2" t="str">
        <x:v>Landfill gas power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7" s="2" t="str">
        <x:v>Equipment and operation</x:v>
      </x:c>
      <x:c r="L147" s="2" t="str">
        <x:v>Landfill gas power is embodied mainly as an equipment-and-operation system. The deliverable is accepted only when measurable service, quality, safety and climate-performance criteria are met under real conditions.</x:v>
      </x:c>
      <x:c r="M147" s="2" t="str">
        <x:v>Yes, subject to life-cycle safeguards</x:v>
      </x:c>
      <x:c r="N147" s="2" t="str">
        <x:v>Landfill gas power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7" s="2" t="str">
        <x:v>Landfill gas power: collection and sorting equipment, reactors or digesters, aeration, gas handling, thermal conversion, pollution control and product conditioning.</x:v>
      </x:c>
      <x:c r="P147" s="2" t="str">
        <x:v>Landfill gas power: feedstock characterisation, mass balances, biological or thermal process control, methane accounting, quality assurance and logistics optimisation.</x:v>
      </x:c>
      <x:c r="Q147" s="2" t="str">
        <x:v>Landfill gas power: waste hierarchy, source separation, collection contracts, emission permits, digestate or product standards, occupational safety and informal-sector inclusion.</x:v>
      </x:c>
      <x:c r="R147" s="2" t="str">
        <x:v>Landfill gas power: collection network, transfer and treatment sites, weighbridge, drainage, electricity or heat connection, gas line and residue disposal.</x:v>
      </x:c>
      <x:c r="S147" s="2" t="str">
        <x:v>Landfill gas power: electricity, process heat or auxiliary fuel; recovered biogas, syngas, heat or electricity may offset external energy.</x:v>
      </x:c>
      <x:c r="T147" s="2" t="str">
        <x:v>Landfill gas power: steel, concrete, polymers, filters, catalysts or sorbents, biological inoculum and treatment chemicals according to the process.</x:v>
      </x:c>
      <x:c r="U147" s="2" t="str">
        <x:v>Landfill gas power: pumps, screens, blowers, mixers, seals, burners, analysers, filter media, reagents and personal protective equipment.</x:v>
      </x:c>
      <x:c r="V147" s="2" t="str">
        <x:v>https://www.ctc-n.org/sites/default/files/resources/ctcn_taxonomy_0.pdf</x:v>
      </x:c>
      <x:c r="W147" s="2" t="str">
        <x:v>https://institutoagricoladepueblobello.edu.co/colegiapp/archivostemas/GUIA%209.%5B25%5D.pdf</x:v>
      </x:c>
      <x:c r="X147" s="2" t="str">
        <x:v>https://iiasa.ac.at/what-is-technology</x:v>
      </x:c>
      <x:c r="Y147" s="2" t="str">
        <x:v>https://www.unep.org/resources/report/global-waste-management-outlook-2024</x:v>
      </x:c>
      <x:c r="Z147" s="2" t="str">
        <x:v>Technology-specific analytical synthesis. The CTCN hierarchy is retained; classifications and component dependencies require validation against the selected design, site and supplier documentation before investment or policy use.</x:v>
      </x:c>
      <x:c r="AA147" s="2" t="str">
        <x:v>Physical deployment of Landfill gas power requires collection network, transfer and treatment sites, weighbridge, drainage, electricity or heat connection, gas line and residue disposal; interfaces, foundations, access and environmental protection are sized to the specific resource and design load.</x:v>
      </x:c>
      <x:c r="AB147" s="2" t="str">
        <x:v>For Landfill gas power, the hardware energy balance comprises electricity, process heat or auxiliary fuel; recovered biogas, syngas, heat or electricity may offset external energy; metering must separate useful output, conversion losses and auxiliaries for the selected design.</x:v>
      </x:c>
      <x:c r="AC147" s="2" t="str">
        <x:v>Construction and operation use steel, concrete, polymers, filters, catalysts or sorbents, biological inoculum and treatment chemicals according to the process. For Landfill gas power, specifications must include durability, compatibility, recycled content and recoverability.</x:v>
      </x:c>
      <x:c r="AD147" s="2" t="str">
        <x:v>Maintenance of Landfill gas power depends on pumps, screens, blowers, mixers, seals, burners, analysers, filter media, reagents and personal protective equipment; critical spares are selected from failure-mode, lead-time and safety analysis for its installed configuration.</x:v>
      </x:c>
      <x:c r="AE147" s="2" t="str">
        <x:v>The software stack for Landfill gas power requires databases, secure communications, version-controlled models, computing, backup and interfaces with field or operational systems.</x:v>
      </x:c>
      <x:c r="AF147" s="2" t="str">
        <x:v>For Landfill gas power, software-related energy is electricity for sensing, computing, storage, communication and cooling; it is normally secondary but must be included for data-intensive or continuous services.</x:v>
      </x:c>
      <x:c r="AG147" s="2" t="str">
        <x:v>The non-physical inputs are calibrated data, metadata, algorithms, boundary conditions, emission or hazard factors, manuals and validation records specific to Landfill gas power.</x:v>
      </x:c>
      <x:c r="AH147" s="2" t="str">
        <x:v>Software continuity for Landfill gas power requires licences where applicable, updates, cybersecurity patches, backups, calibration files, model validation and technical support.</x:v>
      </x:c>
      <x:c r="AI147" s="2" t="str">
        <x:v>Orgware depends on the institutions, laboratories, training providers, regulators, operators and community interfaces needed to govern Landfill gas power.</x:v>
      </x:c>
      <x:c r="AJ147" s="2" t="str">
        <x:v>The orgware supporting Landfill gas power has mainly indirect energy use from offices, meetings, training and information systems; travel and field supervision may be material at dispersed sites.</x:v>
      </x:c>
      <x:c r="AK147" s="2" t="str">
        <x:v>Its organisational inputs are permits, budgets, trained staff, competence records, contracts, procedures, safeguards, monitoring evidence and stakeholder agreements tailored to Landfill gas power.</x:v>
      </x:c>
      <x:c r="AL147" s="2" t="str">
        <x:v>Sustained implementation of Landfill gas power requires procurement and service contracts, audit protocols, training material, reporting templates, insurance or guarantees and periodic independent review.</x:v>
      </x:c>
      <x:c r="AM147" s="2" t="str">
        <x:v>Iron ore / steel inputs</x:v>
      </x:c>
      <x:c r="AN147" s="2" t="str">
        <x:v>Australia; Brazil; China</x:v>
      </x:c>
      <x:c r="AO147" s="2" t="str">
        <x:v>China; India; Japan</x:v>
      </x:c>
      <x:c r="AP147" s="2" t="str">
        <x:v>Landfill gas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7" s="2" t="str">
        <x:v>2024–2025</x:v>
      </x:c>
      <x:c r="AR147" s="2" t="str">
        <x:v>https://pubs.usgs.gov/periodicals/mcs2026/mcs2026.pdf</x:v>
      </x:c>
    </x:row>
    <x:row r="148" ht="240" customHeight="1">
      <x:c r="A148" s="2" t="str">
        <x:v>MIT-0141</x:v>
      </x:c>
      <x:c r="B148" s="2" t="str">
        <x:v>Mitigation</x:v>
      </x:c>
      <x:c r="C148" s="2" t="str">
        <x:v>Waste Management</x:v>
      </x:c>
      <x:c r="D148" s="2" t="str">
        <x:v>Solid waste</x:v>
      </x:c>
      <x:c r="E148" s="2" t="str">
        <x:v>Incineration of waste</x:v>
      </x:c>
      <x:c r="F148" s="2" t="str">
        <x:v>Incineration of waste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Incineration of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8" s="2" t="str">
        <x:v>Mixed: adaptable design, site-specific implementation</x:v>
      </x:c>
      <x:c r="H148" s="2" t="str">
        <x:v>Incineration of waste is adaptable in capacity and configuration but site-specific in final engineering. Its principle remains the same, but resource quality, climate, scale, interfaces and safety constraints must be recalculated for each deployment.</x:v>
      </x:c>
      <x:c r="I148" s="2" t="str">
        <x:v>Primarily hard, with a soft component</x:v>
      </x:c>
      <x:c r="J148" s="2" t="str">
        <x:v>Incineration of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8" s="2" t="str">
        <x:v>Equipment and operation</x:v>
      </x:c>
      <x:c r="L148" s="2" t="str">
        <x:v>Incineration of waste is embodied mainly as an equipment-and-operation system. The deliverable is accepted only when measurable service, quality, safety and climate-performance criteria are met under real conditions.</x:v>
      </x:c>
      <x:c r="M148" s="2" t="str">
        <x:v>Conditional on performance and life cycle</x:v>
      </x:c>
      <x:c r="N148" s="2" t="str">
        <x:v>Incineration of waste is classified as conditional.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8" s="2" t="str">
        <x:v>Incineration of waste: collection and sorting equipment, reactors or digesters, aeration, gas handling, thermal conversion, pollution control and product conditioning.</x:v>
      </x:c>
      <x:c r="P148" s="2" t="str">
        <x:v>Incineration of waste: feedstock characterisation, mass balances, biological or thermal process control, methane accounting, quality assurance and logistics optimisation.</x:v>
      </x:c>
      <x:c r="Q148" s="2" t="str">
        <x:v>Incineration of waste: waste hierarchy, source separation, collection contracts, emission permits, digestate or product standards, occupational safety and informal-sector inclusion.</x:v>
      </x:c>
      <x:c r="R148" s="2" t="str">
        <x:v>Incineration of waste: collection network, transfer and treatment sites, weighbridge, drainage, electricity or heat connection, gas line and residue disposal.</x:v>
      </x:c>
      <x:c r="S148" s="2" t="str">
        <x:v>Incineration of waste: electricity, process heat or auxiliary fuel; recovered biogas, syngas, heat or electricity may offset external energy.</x:v>
      </x:c>
      <x:c r="T148" s="2" t="str">
        <x:v>Incineration of waste: steel, concrete, polymers, filters, catalysts or sorbents, biological inoculum and treatment chemicals according to the process.</x:v>
      </x:c>
      <x:c r="U148" s="2" t="str">
        <x:v>Incineration of waste: pumps, screens, blowers, mixers, seals, burners, analysers, filter media, reagents and personal protective equipment.</x:v>
      </x:c>
      <x:c r="V148" s="2" t="str">
        <x:v>https://www.ctc-n.org/sites/default/files/resources/ctcn_taxonomy_0.pdf</x:v>
      </x:c>
      <x:c r="W148" s="2" t="str">
        <x:v>https://institutoagricoladepueblobello.edu.co/colegiapp/archivostemas/GUIA%209.%5B25%5D.pdf</x:v>
      </x:c>
      <x:c r="X148" s="2" t="str">
        <x:v>https://iiasa.ac.at/what-is-technology</x:v>
      </x:c>
      <x:c r="Y148" s="2" t="str">
        <x:v>https://www.unep.org/resources/report/global-waste-management-outlook-2024</x:v>
      </x:c>
      <x:c r="Z148" s="2" t="str">
        <x:v>Technology-specific analytical synthesis. The CTCN hierarchy is retained; classifications and component dependencies require validation against the selected design, site and supplier documentation before investment or policy use.</x:v>
      </x:c>
      <x:c r="AA148" s="2" t="str">
        <x:v>Physical deployment of Incineration of waste requires collection network, transfer and treatment sites, weighbridge, drainage, electricity or heat connection, gas line and residue disposal; interfaces, foundations, access and environmental protection are sized to the specific resource and design load.</x:v>
      </x:c>
      <x:c r="AB148" s="2" t="str">
        <x:v>For Incineration of waste, the hardware energy balance comprises electricity, process heat or auxiliary fuel; recovered biogas, syngas, heat or electricity may offset external energy; metering must separate useful output, conversion losses and auxiliaries for the selected design.</x:v>
      </x:c>
      <x:c r="AC148" s="2" t="str">
        <x:v>Construction and operation use steel, concrete, polymers, filters, catalysts or sorbents, biological inoculum and treatment chemicals according to the process. For Incineration of waste, specifications must include durability, compatibility, recycled content and recoverability.</x:v>
      </x:c>
      <x:c r="AD148" s="2" t="str">
        <x:v>Maintenance of Incineration of waste depends on pumps, screens, blowers, mixers, seals, burners, analysers, filter media, reagents and personal protective equipment; critical spares are selected from failure-mode, lead-time and safety analysis for its installed configuration.</x:v>
      </x:c>
      <x:c r="AE148" s="2" t="str">
        <x:v>The software stack for Incineration of waste requires databases, secure communications, version-controlled models, computing, backup and interfaces with field or operational systems.</x:v>
      </x:c>
      <x:c r="AF148" s="2" t="str">
        <x:v>For Incineration of waste, software-related energy is electricity for sensing, computing, storage, communication and cooling; it is normally secondary but must be included for data-intensive or continuous services.</x:v>
      </x:c>
      <x:c r="AG148" s="2" t="str">
        <x:v>The non-physical inputs are calibrated data, metadata, algorithms, boundary conditions, emission or hazard factors, manuals and validation records specific to Incineration of waste.</x:v>
      </x:c>
      <x:c r="AH148" s="2" t="str">
        <x:v>Software continuity for Incineration of waste requires licences where applicable, updates, cybersecurity patches, backups, calibration files, model validation and technical support.</x:v>
      </x:c>
      <x:c r="AI148" s="2" t="str">
        <x:v>Orgware depends on the institutions, laboratories, training providers, regulators, operators and community interfaces needed to govern Incineration of waste.</x:v>
      </x:c>
      <x:c r="AJ148" s="2" t="str">
        <x:v>The orgware supporting Incineration of waste has mainly indirect energy use from offices, meetings, training and information systems; travel and field supervision may be material at dispersed sites.</x:v>
      </x:c>
      <x:c r="AK148" s="2" t="str">
        <x:v>Its organisational inputs are permits, budgets, trained staff, competence records, contracts, procedures, safeguards, monitoring evidence and stakeholder agreements tailored to Incineration of waste.</x:v>
      </x:c>
      <x:c r="AL148" s="2" t="str">
        <x:v>Sustained implementation of Incineration of waste requires procurement and service contracts, audit protocols, training material, reporting templates, insurance or guarantees and periodic independent review.</x:v>
      </x:c>
      <x:c r="AM148" s="2" t="str">
        <x:v>Iron ore / steel inputs</x:v>
      </x:c>
      <x:c r="AN148" s="2" t="str">
        <x:v>Australia; Brazil; China</x:v>
      </x:c>
      <x:c r="AO148" s="2" t="str">
        <x:v>China; India; Japan</x:v>
      </x:c>
      <x:c r="AP148" s="2" t="str">
        <x:v>Incineration of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8" s="2" t="str">
        <x:v>2024–2025</x:v>
      </x:c>
      <x:c r="AR148" s="2" t="str">
        <x:v>https://pubs.usgs.gov/periodicals/mcs2026/mcs2026.pdf</x:v>
      </x:c>
    </x:row>
    <x:row r="149" ht="240" customHeight="1">
      <x:c r="A149" s="2" t="str">
        <x:v>MIT-0142</x:v>
      </x:c>
      <x:c r="B149" s="2" t="str">
        <x:v>Mitigation</x:v>
      </x:c>
      <x:c r="C149" s="2" t="str">
        <x:v>Waste Management</x:v>
      </x:c>
      <x:c r="D149" s="2" t="str">
        <x:v>Solid waste</x:v>
      </x:c>
      <x:c r="E149" s="2" t="str">
        <x:v>Landfill gas flaring</x:v>
      </x:c>
      <x:c r="F149" s="2" t="str">
        <x:v>Landfill gas flaring is a mitigation technology in the Waste Management sector and the Solid waste technology group. It is defined as a combined hardware–software–orgware system that detects, separates, captures, conditions, transports or securely contains carbon-bearing gases so that methane or CO₂ does not reach the atmosphere. It captures associated gas for use or routes it to a correctly designed flare where controlled combustion converts methane and volatile hydrocarbons mainly to CO₂ and water.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49" s="2" t="str">
        <x:v>Primarily fixed</x:v>
      </x:c>
      <x:c r="H149" s="2" t="str">
        <x:v>Landfill gas flaring is tied to long-lived, site-specific assets and design loads. Its principle remains the same, but resource quality, climate, scale, interfaces and safety constraints must be recalculated for each deployment.</x:v>
      </x:c>
      <x:c r="I149" s="2" t="str">
        <x:v>Primarily hard, with a soft component</x:v>
      </x:c>
      <x:c r="J149" s="2" t="str">
        <x:v>Landfill gas flaring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49" s="2" t="str">
        <x:v>Equipment and operation</x:v>
      </x:c>
      <x:c r="L149" s="2" t="str">
        <x:v>Landfill gas flaring is embodied mainly as an equipment-and-operation system. The deliverable is accepted only when measurable service, quality, safety and climate-performance criteria are met under real conditions.</x:v>
      </x:c>
      <x:c r="M149" s="2" t="str">
        <x:v>Yes, subject to life-cycle safeguards</x:v>
      </x:c>
      <x:c r="N149" s="2" t="str">
        <x:v>Landfill gas flaring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49" s="2" t="str">
        <x:v>Landfill gas flaring: gas analysers; flow, pressure and temperature instrumentation; separators; compressors; valves; sealed piping; flare or injection equipment.</x:v>
      </x:c>
      <x:c r="P149" s="2" t="str">
        <x:v>Landfill gas flaring: mass and energy balances; leak detection and repair logic; process simulation; dispersion modelling; integrity and injection surveillance.</x:v>
      </x:c>
      <x:c r="Q149" s="2" t="str">
        <x:v>Landfill gas flaring: emission permits; measurement, reporting and verification; asset-integrity management; emergency procedures; long-term liability.</x:v>
      </x:c>
      <x:c r="R149" s="2" t="str">
        <x:v>Landfill gas flaring: process units, access roads, power supply, pipelines, compression or storage sites, laboratories and monitoring networks.</x:v>
      </x:c>
      <x:c r="S149" s="2" t="str">
        <x:v>Landfill gas flaring: electricity for compression, pumping, refrigeration and instrumentation; fuel or heat where oxidation or regeneration is required.</x:v>
      </x:c>
      <x:c r="T149" s="2" t="str">
        <x:v>Landfill gas flaring: pressure-grade steel, corrosion-resistant alloys, concrete, elastomeric seals, sorbents, solvents, membranes or catalysts according to the process.</x:v>
      </x:c>
      <x:c r="U149" s="2" t="str">
        <x:v>Landfill gas flaring: calibrated sensors, valve trim, seals, compressor parts, filters, reagents and certified sampling equipment.</x:v>
      </x:c>
      <x:c r="V149" s="2" t="str">
        <x:v>https://www.ctc-n.org/sites/default/files/resources/ctcn_taxonomy_0.pdf</x:v>
      </x:c>
      <x:c r="W149" s="2" t="str">
        <x:v>https://institutoagricoladepueblobello.edu.co/colegiapp/archivostemas/GUIA%209.%5B25%5D.pdf</x:v>
      </x:c>
      <x:c r="X149" s="2" t="str">
        <x:v>https://iiasa.ac.at/what-is-technology</x:v>
      </x:c>
      <x:c r="Y149" s="2" t="str">
        <x:v>https://www.unep.org/resources/report/global-waste-management-outlook-2024; https://www.ipcc.ch/report/ar6/wg3/chapter/chapter-11/</x:v>
      </x:c>
      <x:c r="Z149" s="2" t="str">
        <x:v>Technology-specific analytical synthesis. The CTCN hierarchy is retained; classifications and component dependencies require validation against the selected design, site and supplier documentation before investment or policy use.</x:v>
      </x:c>
      <x:c r="AA149" s="2" t="str">
        <x:v>Physical deployment of Landfill gas flaring requires process units, access roads, power supply, pipelines, compression or storage sites, laboratories and monitoring networks; interfaces, foundations, access and environmental protection are sized to the specific resource and design load.</x:v>
      </x:c>
      <x:c r="AB149" s="2" t="str">
        <x:v>For Landfill gas flaring, the hardware energy balance comprises electricity for compression, pumping, refrigeration and instrumentation; fuel or heat where oxidation or regeneration is required; metering must separate useful output, conversion losses and auxiliaries for the selected design.</x:v>
      </x:c>
      <x:c r="AC149" s="2" t="str">
        <x:v>Construction and operation use pressure-grade steel, corrosion-resistant alloys, concrete, elastomeric seals, sorbents, solvents, membranes or catalysts according to the process. For Landfill gas flaring, specifications must include durability, compatibility, recycled content and recoverability.</x:v>
      </x:c>
      <x:c r="AD149" s="2" t="str">
        <x:v>Maintenance of Landfill gas flaring depends on calibrated sensors, valve trim, seals, compressor parts, filters, reagents and certified sampling equipment; critical spares are selected from failure-mode, lead-time and safety analysis for its installed configuration.</x:v>
      </x:c>
      <x:c r="AE149" s="2" t="str">
        <x:v>The software stack for Landfill gas flaring requires databases, secure communications, version-controlled models, computing, backup and interfaces with field or operational systems.</x:v>
      </x:c>
      <x:c r="AF149" s="2" t="str">
        <x:v>For Landfill gas flaring, software-related energy is electricity for sensing, computing, storage, communication and cooling; it is normally secondary but must be included for data-intensive or continuous services.</x:v>
      </x:c>
      <x:c r="AG149" s="2" t="str">
        <x:v>The non-physical inputs are calibrated data, metadata, algorithms, boundary conditions, emission or hazard factors, manuals and validation records specific to Landfill gas flaring.</x:v>
      </x:c>
      <x:c r="AH149" s="2" t="str">
        <x:v>Software continuity for Landfill gas flaring requires licences where applicable, updates, cybersecurity patches, backups, calibration files, model validation and technical support.</x:v>
      </x:c>
      <x:c r="AI149" s="2" t="str">
        <x:v>Orgware depends on the institutions, laboratories, training providers, regulators, operators and community interfaces needed to govern Landfill gas flaring.</x:v>
      </x:c>
      <x:c r="AJ149" s="2" t="str">
        <x:v>The orgware supporting Landfill gas flaring has mainly indirect energy use from offices, meetings, training and information systems; travel and field supervision may be material at dispersed sites.</x:v>
      </x:c>
      <x:c r="AK149" s="2" t="str">
        <x:v>Its organisational inputs are permits, budgets, trained staff, competence records, contracts, procedures, safeguards, monitoring evidence and stakeholder agreements tailored to Landfill gas flaring.</x:v>
      </x:c>
      <x:c r="AL149" s="2" t="str">
        <x:v>Sustained implementation of Landfill gas flaring requires procurement and service contracts, audit protocols, training material, reporting templates, insurance or guarantees and periodic independent review.</x:v>
      </x:c>
      <x:c r="AM149" s="2" t="str">
        <x:v>Iron ore / steel inputs</x:v>
      </x:c>
      <x:c r="AN149" s="2" t="str">
        <x:v>Australia; Brazil; China</x:v>
      </x:c>
      <x:c r="AO149" s="2" t="str">
        <x:v>China; India; Japan</x:v>
      </x:c>
      <x:c r="AP149" s="2" t="str">
        <x:v>Landfill gas flaring: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9" s="2" t="str">
        <x:v>2024–2025</x:v>
      </x:c>
      <x:c r="AR149" s="2" t="str">
        <x:v>https://pubs.usgs.gov/periodicals/mcs2026/mcs2026.pdf</x:v>
      </x:c>
    </x:row>
    <x:row r="150" ht="240" customHeight="1">
      <x:c r="A150" s="2" t="str">
        <x:v>MIT-0143</x:v>
      </x:c>
      <x:c r="B150" s="2" t="str">
        <x:v>Mitigation</x:v>
      </x:c>
      <x:c r="C150" s="2" t="str">
        <x:v>Waste Management</x:v>
      </x:c>
      <x:c r="D150" s="2" t="str">
        <x:v>Recycling</x:v>
      </x:c>
      <x:c r="E150" s="2" t="str">
        <x:v>Recycling of Waste Electronic and Electrical Equipment</x:v>
      </x:c>
      <x:c r="F150" s="2" t="str">
        <x:v>Recycling of Waste Electronic and Electrical Equipment is a mitigation technology in the Waste Management sector and the Recycling technology group. It is defined as a combined hardware–software–orgware system that changes vehicle kilometres, modal share, occupancy, speed profiles, routing or logistics so that the same mobility service is delivered with less final energy and fewer tailpipe emissions. Recycling of Waste Electronic and Electrical Equipment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0" s="2" t="str">
        <x:v>Mixed: adaptable design, site-specific implementation</x:v>
      </x:c>
      <x:c r="H150" s="2" t="str">
        <x:v>Recycling of Waste Electronic and Electrical Equipment is adaptable in capacity and configuration but site-specific in final engineering. Its principle remains the same, but resource quality, climate, scale, interfaces and safety constraints must be recalculated for each deployment.</x:v>
      </x:c>
      <x:c r="I150" s="2" t="str">
        <x:v>Primarily hard, with a soft component</x:v>
      </x:c>
      <x:c r="J150" s="2" t="str">
        <x:v>Recycling of Waste Electronic and Electrical Equipment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0" s="2" t="str">
        <x:v>Equipment and operation</x:v>
      </x:c>
      <x:c r="L150" s="2" t="str">
        <x:v>Recycling of Waste Electronic and Electrical Equipment is embodied mainly as an equipment-and-operation system. The deliverable is accepted only when measurable service, quality, safety and climate-performance criteria are met under real conditions.</x:v>
      </x:c>
      <x:c r="M150" s="2" t="str">
        <x:v>Yes, subject to life-cycle safeguards</x:v>
      </x:c>
      <x:c r="N150" s="2" t="str">
        <x:v>Recycling of Waste Electronic and Electrical Equipment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0" s="2" t="str">
        <x:v>Recycling of Waste Electronic and Electrical Equipment: corridor and station infrastructure, signalling, ticketing, communications, fleet equipment, traffic sensors and user interfaces as applicable.</x:v>
      </x:c>
      <x:c r="P150" s="2" t="str">
        <x:v>Recycling of Waste Electronic and Electrical Equipment: network and timetable design, demand models, traffic control, fleet dispatch, logistics optimisation, safety analysis and service-performance analytics.</x:v>
      </x:c>
      <x:c r="Q150" s="2" t="str">
        <x:v>Recycling of Waste Electronic and Electrical Equipment: transport authority mandates, operating contracts, tariffs, enforcement, street-space allocation, accessibility rules and coordination with land-use planning.</x:v>
      </x:c>
      <x:c r="R150" s="2" t="str">
        <x:v>Recycling of Waste Electronic and Electrical Equipment: rights-of-way, stops or terminals, depots, interchanges, control centres, communications and safe pedestrian or cycling access.</x:v>
      </x:c>
      <x:c r="S150" s="2" t="str">
        <x:v>Recycling of Waste Electronic and Electrical Equipment: electricity for control and stations plus the energy used by the affected vehicle fleet; the net result is governed by modal shift and occupancy.</x:v>
      </x:c>
      <x:c r="T150" s="2" t="str">
        <x:v>Recycling of Waste Electronic and Electrical Equipment: concrete, steel, asphalt, copper, signalling electronics, pavement materials and vehicle-related materials where new infrastructure is built.</x:v>
      </x:c>
      <x:c r="U150" s="2" t="str">
        <x:v>Recycling of Waste Electronic and Electrical Equipment: signal modules, communications equipment, validators, sensors, pavement components, station equipment and fleet consumables.</x:v>
      </x:c>
      <x:c r="V150" s="2" t="str">
        <x:v>https://www.ctc-n.org/sites/default/files/resources/ctcn_taxonomy_0.pdf</x:v>
      </x:c>
      <x:c r="W150" s="2" t="str">
        <x:v>https://institutoagricoladepueblobello.edu.co/colegiapp/archivostemas/GUIA%209.%5B25%5D.pdf</x:v>
      </x:c>
      <x:c r="X150" s="2" t="str">
        <x:v>https://iiasa.ac.at/what-is-technology</x:v>
      </x:c>
      <x:c r="Y150" s="2" t="str">
        <x:v>https://www.unep.org/resources/report/global-waste-management-outlook-2024; https://www.ipcc.ch/report/ar6/wg3/chapter/chapter-10/; https://ppp.worldbank.org/print/pdf/node/7300</x:v>
      </x:c>
      <x:c r="Z150" s="2" t="str">
        <x:v>Technology-specific analytical synthesis. The CTCN hierarchy is retained; classifications and component dependencies require validation against the selected design, site and supplier documentation before investment or policy use.</x:v>
      </x:c>
      <x:c r="AA150" s="2" t="str">
        <x:v>Physical deployment of Recycling of Waste Electronic and Electrical Equipment requires rights-of-way, stops or terminals, depots, interchanges, control centres, communications and safe pedestrian or cycling access; interfaces, foundations, access and environmental protection are sized to the specific resource and design load.</x:v>
      </x:c>
      <x:c r="AB150" s="2" t="str">
        <x:v>For Recycling of Waste Electronic and Electrical Equipment,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0" s="2" t="str">
        <x:v>Construction and operation use concrete, steel, asphalt, copper, signalling electronics, pavement materials and vehicle-related materials where new infrastructure is built. For Recycling of Waste Electronic and Electrical Equipment, specifications must include durability, compatibility, recycled content and recoverability.</x:v>
      </x:c>
      <x:c r="AD150" s="2" t="str">
        <x:v>Maintenance of Recycling of Waste Electronic and Electrical Equipment depends on signal modules, communications equipment, validators, sensors, pavement components, station equipment and fleet consumables; critical spares are selected from failure-mode, lead-time and safety analysis for its installed configuration.</x:v>
      </x:c>
      <x:c r="AE150" s="2" t="str">
        <x:v>The software stack for Recycling of Waste Electronic and Electrical Equipment requires databases, secure communications, version-controlled models, computing, backup and interfaces with field or operational systems.</x:v>
      </x:c>
      <x:c r="AF150" s="2" t="str">
        <x:v>For Recycling of Waste Electronic and Electrical Equipment, software-related energy is electricity for sensing, computing, storage, communication and cooling; it is normally secondary but must be included for data-intensive or continuous services.</x:v>
      </x:c>
      <x:c r="AG150" s="2" t="str">
        <x:v>The non-physical inputs are calibrated data, metadata, algorithms, boundary conditions, emission or hazard factors, manuals and validation records specific to Recycling of Waste Electronic and Electrical Equipment.</x:v>
      </x:c>
      <x:c r="AH150" s="2" t="str">
        <x:v>Software continuity for Recycling of Waste Electronic and Electrical Equipment requires licences where applicable, updates, cybersecurity patches, backups, calibration files, model validation and technical support.</x:v>
      </x:c>
      <x:c r="AI150" s="2" t="str">
        <x:v>Orgware depends on the institutions, laboratories, training providers, regulators, operators and community interfaces needed to govern Recycling of Waste Electronic and Electrical Equipment.</x:v>
      </x:c>
      <x:c r="AJ150" s="2" t="str">
        <x:v>The orgware supporting Recycling of Waste Electronic and Electrical Equipment has mainly indirect energy use from offices, meetings, training and information systems; travel and field supervision may be material at dispersed sites.</x:v>
      </x:c>
      <x:c r="AK150" s="2" t="str">
        <x:v>Its organisational inputs are permits, budgets, trained staff, competence records, contracts, procedures, safeguards, monitoring evidence and stakeholder agreements tailored to Recycling of Waste Electronic and Electrical Equipment.</x:v>
      </x:c>
      <x:c r="AL150" s="2" t="str">
        <x:v>Sustained implementation of Recycling of Waste Electronic and Electrical Equipment requires procurement and service contracts, audit protocols, training material, reporting templates, insurance or guarantees and periodic independent review.</x:v>
      </x:c>
      <x:c r="AM150" s="2" t="str">
        <x:v>Iron ore / steel inputs; Copper; Tin</x:v>
      </x:c>
      <x:c r="AN150" s="2" t="str">
        <x:v>Australia; Brazil; China; Chile; Democratic Republic of the Congo; Peru; Indonesia; Myanmar</x:v>
      </x:c>
      <x:c r="AO150" s="2" t="str">
        <x:v>China; India; Japan; Chile; Democratic Republic of the Congo; Indonesia; Malaysia</x:v>
      </x:c>
      <x:c r="AP150" s="2" t="str">
        <x:v>Recycling of Waste Electronic and Electrical Equipment: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0" s="2" t="str">
        <x:v>2024–2025</x:v>
      </x:c>
      <x:c r="AR150" s="2" t="str">
        <x:v>https://pubs.usgs.gov/periodicals/mcs2026/mcs2026.pdf</x:v>
      </x:c>
    </x:row>
    <x:row r="151" ht="240" customHeight="1">
      <x:c r="A151" s="2" t="str">
        <x:v>MIT-0144</x:v>
      </x:c>
      <x:c r="B151" s="2" t="str">
        <x:v>Mitigation</x:v>
      </x:c>
      <x:c r="C151" s="2" t="str">
        <x:v>Waste Management</x:v>
      </x:c>
      <x:c r="D151" s="2" t="str">
        <x:v>Recycling</x:v>
      </x:c>
      <x:c r="E151" s="2" t="str">
        <x:v>Glass recycling</x:v>
      </x:c>
      <x:c r="F151" s="2" t="str">
        <x:v>Glass recycling is a mitigation technology in the Waste Management sector and the Recycling technology group. It is defined as a combined hardware–software–orgware system that changes vehicle kilometres, modal share, occupancy, speed profiles, routing or logistics so that the same mobility service is delivered with less final energy and fewer tailpipe emissions. Glass recycling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1" s="2" t="str">
        <x:v>Mixed: adaptable design, site-specific implementation</x:v>
      </x:c>
      <x:c r="H151" s="2" t="str">
        <x:v>Glass recycling is adaptable in capacity and configuration but site-specific in final engineering. Its principle remains the same, but resource quality, climate, scale, interfaces and safety constraints must be recalculated for each deployment.</x:v>
      </x:c>
      <x:c r="I151" s="2" t="str">
        <x:v>Primarily hard, with a soft component</x:v>
      </x:c>
      <x:c r="J151" s="2" t="str">
        <x:v>Glass recycling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1" s="2" t="str">
        <x:v>Equipment and operation</x:v>
      </x:c>
      <x:c r="L151" s="2" t="str">
        <x:v>Glass recycling is embodied mainly as an equipment-and-operation system. The deliverable is accepted only when measurable service, quality, safety and climate-performance criteria are met under real conditions.</x:v>
      </x:c>
      <x:c r="M151" s="2" t="str">
        <x:v>Yes, subject to life-cycle safeguards</x:v>
      </x:c>
      <x:c r="N151" s="2" t="str">
        <x:v>Glass recycling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1" s="2" t="str">
        <x:v>Glass recycling: corridor and station infrastructure, signalling, ticketing, communications, fleet equipment, traffic sensors and user interfaces as applicable.</x:v>
      </x:c>
      <x:c r="P151" s="2" t="str">
        <x:v>Glass recycling: network and timetable design, demand models, traffic control, fleet dispatch, logistics optimisation, safety analysis and service-performance analytics.</x:v>
      </x:c>
      <x:c r="Q151" s="2" t="str">
        <x:v>Glass recycling: transport authority mandates, operating contracts, tariffs, enforcement, street-space allocation, accessibility rules and coordination with land-use planning.</x:v>
      </x:c>
      <x:c r="R151" s="2" t="str">
        <x:v>Glass recycling: rights-of-way, stops or terminals, depots, interchanges, control centres, communications and safe pedestrian or cycling access.</x:v>
      </x:c>
      <x:c r="S151" s="2" t="str">
        <x:v>Glass recycling: electricity for control and stations plus the energy used by the affected vehicle fleet; the net result is governed by modal shift and occupancy.</x:v>
      </x:c>
      <x:c r="T151" s="2" t="str">
        <x:v>Glass recycling: concrete, steel, asphalt, copper, signalling electronics, pavement materials and vehicle-related materials where new infrastructure is built.</x:v>
      </x:c>
      <x:c r="U151" s="2" t="str">
        <x:v>Glass recycling: signal modules, communications equipment, validators, sensors, pavement components, station equipment and fleet consumables.</x:v>
      </x:c>
      <x:c r="V151" s="2" t="str">
        <x:v>https://www.ctc-n.org/sites/default/files/resources/ctcn_taxonomy_0.pdf</x:v>
      </x:c>
      <x:c r="W151" s="2" t="str">
        <x:v>https://institutoagricoladepueblobello.edu.co/colegiapp/archivostemas/GUIA%209.%5B25%5D.pdf</x:v>
      </x:c>
      <x:c r="X151" s="2" t="str">
        <x:v>https://iiasa.ac.at/what-is-technology</x:v>
      </x:c>
      <x:c r="Y151" s="2" t="str">
        <x:v>https://www.unep.org/resources/report/global-waste-management-outlook-2024; https://www.ipcc.ch/report/ar6/wg3/chapter/chapter-10/; https://ppp.worldbank.org/print/pdf/node/7300</x:v>
      </x:c>
      <x:c r="Z151" s="2" t="str">
        <x:v>Technology-specific analytical synthesis. The CTCN hierarchy is retained; classifications and component dependencies require validation against the selected design, site and supplier documentation before investment or policy use.</x:v>
      </x:c>
      <x:c r="AA151" s="2" t="str">
        <x:v>Physical deployment of Glass recycling requires rights-of-way, stops or terminals, depots, interchanges, control centres, communications and safe pedestrian or cycling access; interfaces, foundations, access and environmental protection are sized to the specific resource and design load.</x:v>
      </x:c>
      <x:c r="AB151" s="2" t="str">
        <x:v>For Glass recycling,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1" s="2" t="str">
        <x:v>Construction and operation use concrete, steel, asphalt, copper, signalling electronics, pavement materials and vehicle-related materials where new infrastructure is built. For Glass recycling, specifications must include durability, compatibility, recycled content and recoverability.</x:v>
      </x:c>
      <x:c r="AD151" s="2" t="str">
        <x:v>Maintenance of Glass recycling depends on signal modules, communications equipment, validators, sensors, pavement components, station equipment and fleet consumables; critical spares are selected from failure-mode, lead-time and safety analysis for its installed configuration.</x:v>
      </x:c>
      <x:c r="AE151" s="2" t="str">
        <x:v>The software stack for Glass recycling requires databases, secure communications, version-controlled models, computing, backup and interfaces with field or operational systems.</x:v>
      </x:c>
      <x:c r="AF151" s="2" t="str">
        <x:v>For Glass recycling, software-related energy is electricity for sensing, computing, storage, communication and cooling; it is normally secondary but must be included for data-intensive or continuous services.</x:v>
      </x:c>
      <x:c r="AG151" s="2" t="str">
        <x:v>The non-physical inputs are calibrated data, metadata, algorithms, boundary conditions, emission or hazard factors, manuals and validation records specific to Glass recycling.</x:v>
      </x:c>
      <x:c r="AH151" s="2" t="str">
        <x:v>Software continuity for Glass recycling requires licences where applicable, updates, cybersecurity patches, backups, calibration files, model validation and technical support.</x:v>
      </x:c>
      <x:c r="AI151" s="2" t="str">
        <x:v>Orgware depends on the institutions, laboratories, training providers, regulators, operators and community interfaces needed to govern Glass recycling.</x:v>
      </x:c>
      <x:c r="AJ151" s="2" t="str">
        <x:v>The orgware supporting Glass recycling has mainly indirect energy use from offices, meetings, training and information systems; travel and field supervision may be material at dispersed sites.</x:v>
      </x:c>
      <x:c r="AK151" s="2" t="str">
        <x:v>Its organisational inputs are permits, budgets, trained staff, competence records, contracts, procedures, safeguards, monitoring evidence and stakeholder agreements tailored to Glass recycling.</x:v>
      </x:c>
      <x:c r="AL151" s="2" t="str">
        <x:v>Sustained implementation of Glass recycling requires procurement and service contracts, audit protocols, training material, reporting templates, insurance or guarantees and periodic independent review.</x:v>
      </x:c>
      <x:c r="AM151" s="2" t="str">
        <x:v>Iron ore / steel inputs</x:v>
      </x:c>
      <x:c r="AN151" s="2" t="str">
        <x:v>Australia; Brazil; China</x:v>
      </x:c>
      <x:c r="AO151" s="2" t="str">
        <x:v>China; India; Japan</x:v>
      </x:c>
      <x:c r="AP151" s="2" t="str">
        <x:v>Glass recycling: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1" s="2" t="str">
        <x:v>2024–2025</x:v>
      </x:c>
      <x:c r="AR151" s="2" t="str">
        <x:v>https://pubs.usgs.gov/periodicals/mcs2026/mcs2026.pdf</x:v>
      </x:c>
    </x:row>
    <x:row r="152" ht="240" customHeight="1">
      <x:c r="A152" s="2" t="str">
        <x:v>MIT-0145</x:v>
      </x:c>
      <x:c r="B152" s="2" t="str">
        <x:v>Mitigation</x:v>
      </x:c>
      <x:c r="C152" s="2" t="str">
        <x:v>Waste Management</x:v>
      </x:c>
      <x:c r="D152" s="2" t="str">
        <x:v>Recycling</x:v>
      </x:c>
      <x:c r="E152" s="2" t="str">
        <x:v>Advanced paper recycling</x:v>
      </x:c>
      <x:c r="F152" s="2" t="str">
        <x:v>Advanced paper recycling is a mitigation technology in the Waste Management sector and the Recycling technology group. It is defined as a combined hardware–software–orgware system that changes vehicle kilometres, modal share, occupancy, speed profiles, routing or logistics so that the same mobility service is delivered with less final energy and fewer tailpipe emissions. Advanced paper recycling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2" s="2" t="str">
        <x:v>Mixed: adaptable design, site-specific implementation</x:v>
      </x:c>
      <x:c r="H152" s="2" t="str">
        <x:v>Advanced paper recycling is adaptable in capacity and configuration but site-specific in final engineering. Its principle remains the same, but resource quality, climate, scale, interfaces and safety constraints must be recalculated for each deployment.</x:v>
      </x:c>
      <x:c r="I152" s="2" t="str">
        <x:v>Primarily hard, with a soft component</x:v>
      </x:c>
      <x:c r="J152" s="2" t="str">
        <x:v>Advanced paper recycling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2" s="2" t="str">
        <x:v>Equipment and operation</x:v>
      </x:c>
      <x:c r="L152" s="2" t="str">
        <x:v>Advanced paper recycling is embodied mainly as an equipment-and-operation system. The deliverable is accepted only when measurable service, quality, safety and climate-performance criteria are met under real conditions.</x:v>
      </x:c>
      <x:c r="M152" s="2" t="str">
        <x:v>Yes, subject to life-cycle safeguards</x:v>
      </x:c>
      <x:c r="N152" s="2" t="str">
        <x:v>Advanced paper recycling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2" s="2" t="str">
        <x:v>Advanced paper recycling: corridor and station infrastructure, signalling, ticketing, communications, fleet equipment, traffic sensors and user interfaces as applicable.</x:v>
      </x:c>
      <x:c r="P152" s="2" t="str">
        <x:v>Advanced paper recycling: network and timetable design, demand models, traffic control, fleet dispatch, logistics optimisation, safety analysis and service-performance analytics.</x:v>
      </x:c>
      <x:c r="Q152" s="2" t="str">
        <x:v>Advanced paper recycling: transport authority mandates, operating contracts, tariffs, enforcement, street-space allocation, accessibility rules and coordination with land-use planning.</x:v>
      </x:c>
      <x:c r="R152" s="2" t="str">
        <x:v>Advanced paper recycling: rights-of-way, stops or terminals, depots, interchanges, control centres, communications and safe pedestrian or cycling access.</x:v>
      </x:c>
      <x:c r="S152" s="2" t="str">
        <x:v>Advanced paper recycling: electricity for control and stations plus the energy used by the affected vehicle fleet; the net result is governed by modal shift and occupancy.</x:v>
      </x:c>
      <x:c r="T152" s="2" t="str">
        <x:v>Advanced paper recycling: concrete, steel, asphalt, copper, signalling electronics, pavement materials and vehicle-related materials where new infrastructure is built.</x:v>
      </x:c>
      <x:c r="U152" s="2" t="str">
        <x:v>Advanced paper recycling: signal modules, communications equipment, validators, sensors, pavement components, station equipment and fleet consumables.</x:v>
      </x:c>
      <x:c r="V152" s="2" t="str">
        <x:v>https://www.ctc-n.org/sites/default/files/resources/ctcn_taxonomy_0.pdf</x:v>
      </x:c>
      <x:c r="W152" s="2" t="str">
        <x:v>https://institutoagricoladepueblobello.edu.co/colegiapp/archivostemas/GUIA%209.%5B25%5D.pdf</x:v>
      </x:c>
      <x:c r="X152" s="2" t="str">
        <x:v>https://iiasa.ac.at/what-is-technology</x:v>
      </x:c>
      <x:c r="Y152" s="2" t="str">
        <x:v>https://www.unep.org/resources/report/global-waste-management-outlook-2024; https://www.ipcc.ch/report/ar6/wg3/chapter/chapter-10/; https://ppp.worldbank.org/print/pdf/node/7300</x:v>
      </x:c>
      <x:c r="Z152" s="2" t="str">
        <x:v>Technology-specific analytical synthesis. The CTCN hierarchy is retained; classifications and component dependencies require validation against the selected design, site and supplier documentation before investment or policy use.</x:v>
      </x:c>
      <x:c r="AA152" s="2" t="str">
        <x:v>Physical deployment of Advanced paper recycling requires rights-of-way, stops or terminals, depots, interchanges, control centres, communications and safe pedestrian or cycling access; interfaces, foundations, access and environmental protection are sized to the specific resource and design load.</x:v>
      </x:c>
      <x:c r="AB152" s="2" t="str">
        <x:v>For Advanced paper recycling,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2" s="2" t="str">
        <x:v>Construction and operation use concrete, steel, asphalt, copper, signalling electronics, pavement materials and vehicle-related materials where new infrastructure is built. For Advanced paper recycling, specifications must include durability, compatibility, recycled content and recoverability.</x:v>
      </x:c>
      <x:c r="AD152" s="2" t="str">
        <x:v>Maintenance of Advanced paper recycling depends on signal modules, communications equipment, validators, sensors, pavement components, station equipment and fleet consumables; critical spares are selected from failure-mode, lead-time and safety analysis for its installed configuration.</x:v>
      </x:c>
      <x:c r="AE152" s="2" t="str">
        <x:v>The software stack for Advanced paper recycling requires databases, secure communications, version-controlled models, computing, backup and interfaces with field or operational systems.</x:v>
      </x:c>
      <x:c r="AF152" s="2" t="str">
        <x:v>For Advanced paper recycling, software-related energy is electricity for sensing, computing, storage, communication and cooling; it is normally secondary but must be included for data-intensive or continuous services.</x:v>
      </x:c>
      <x:c r="AG152" s="2" t="str">
        <x:v>The non-physical inputs are calibrated data, metadata, algorithms, boundary conditions, emission or hazard factors, manuals and validation records specific to Advanced paper recycling.</x:v>
      </x:c>
      <x:c r="AH152" s="2" t="str">
        <x:v>Software continuity for Advanced paper recycling requires licences where applicable, updates, cybersecurity patches, backups, calibration files, model validation and technical support.</x:v>
      </x:c>
      <x:c r="AI152" s="2" t="str">
        <x:v>Orgware depends on the institutions, laboratories, training providers, regulators, operators and community interfaces needed to govern Advanced paper recycling.</x:v>
      </x:c>
      <x:c r="AJ152" s="2" t="str">
        <x:v>The orgware supporting Advanced paper recycling has mainly indirect energy use from offices, meetings, training and information systems; travel and field supervision may be material at dispersed sites.</x:v>
      </x:c>
      <x:c r="AK152" s="2" t="str">
        <x:v>Its organisational inputs are permits, budgets, trained staff, competence records, contracts, procedures, safeguards, monitoring evidence and stakeholder agreements tailored to Advanced paper recycling.</x:v>
      </x:c>
      <x:c r="AL152" s="2" t="str">
        <x:v>Sustained implementation of Advanced paper recycling requires procurement and service contracts, audit protocols, training material, reporting templates, insurance or guarantees and periodic independent review.</x:v>
      </x:c>
      <x:c r="AM152" s="2" t="str">
        <x:v>Iron ore / steel inputs</x:v>
      </x:c>
      <x:c r="AN152" s="2" t="str">
        <x:v>Australia; Brazil; China</x:v>
      </x:c>
      <x:c r="AO152" s="2" t="str">
        <x:v>China; India; Japan</x:v>
      </x:c>
      <x:c r="AP152" s="2" t="str">
        <x:v>Advanced paper recycling: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2" s="2" t="str">
        <x:v>2024–2025</x:v>
      </x:c>
      <x:c r="AR152" s="2" t="str">
        <x:v>https://pubs.usgs.gov/periodicals/mcs2026/mcs2026.pdf</x:v>
      </x:c>
    </x:row>
    <x:row r="153" ht="240" customHeight="1">
      <x:c r="A153" s="2" t="str">
        <x:v>MIT-0146</x:v>
      </x:c>
      <x:c r="B153" s="2" t="str">
        <x:v>Mitigation</x:v>
      </x:c>
      <x:c r="C153" s="2" t="str">
        <x:v>Waste Management</x:v>
      </x:c>
      <x:c r="D153" s="2" t="str">
        <x:v>Recycling</x:v>
      </x:c>
      <x:c r="E153" s="2" t="str">
        <x:v>Product component and materials recycling</x:v>
      </x:c>
      <x:c r="F153" s="2" t="str">
        <x:v>Product component and materials recycling is a mitigation technology in the Waste Management sector and the Recycling technology group. It is defined as a combined hardware–software–orgware system that changes vehicle kilometres, modal share, occupancy, speed profiles, routing or logistics so that the same mobility service is delivered with less final energy and fewer tailpipe emissions. Product component and materials recycling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3" s="2" t="str">
        <x:v>Mixed: adaptable design, site-specific implementation</x:v>
      </x:c>
      <x:c r="H153" s="2" t="str">
        <x:v>Product component and materials recycling is adaptable in capacity and configuration but site-specific in final engineering. Its principle remains the same, but resource quality, climate, scale, interfaces and safety constraints must be recalculated for each deployment.</x:v>
      </x:c>
      <x:c r="I153" s="2" t="str">
        <x:v>Primarily hard, with a soft component</x:v>
      </x:c>
      <x:c r="J153" s="2" t="str">
        <x:v>Product component and materials recycling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3" s="2" t="str">
        <x:v>Product and equipment; complementary operation</x:v>
      </x:c>
      <x:c r="L153" s="2" t="str">
        <x:v>Product component and materials recycling is embodied mainly as a product/equipment package. The deliverable is accepted only when measurable service, quality, safety and climate-performance criteria are met under real conditions.</x:v>
      </x:c>
      <x:c r="M153" s="2" t="str">
        <x:v>Yes, subject to life-cycle safeguards</x:v>
      </x:c>
      <x:c r="N153" s="2" t="str">
        <x:v>Product component and materials recycling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3" s="2" t="str">
        <x:v>Product component and materials recycling: corridor and station infrastructure, signalling, ticketing, communications, fleet equipment, traffic sensors and user interfaces as applicable.</x:v>
      </x:c>
      <x:c r="P153" s="2" t="str">
        <x:v>Product component and materials recycling: network and timetable design, demand models, traffic control, fleet dispatch, logistics optimisation, safety analysis and service-performance analytics.</x:v>
      </x:c>
      <x:c r="Q153" s="2" t="str">
        <x:v>Product component and materials recycling: transport authority mandates, operating contracts, tariffs, enforcement, street-space allocation, accessibility rules and coordination with land-use planning.</x:v>
      </x:c>
      <x:c r="R153" s="2" t="str">
        <x:v>Product component and materials recycling: rights-of-way, stops or terminals, depots, interchanges, control centres, communications and safe pedestrian or cycling access.</x:v>
      </x:c>
      <x:c r="S153" s="2" t="str">
        <x:v>Product component and materials recycling: electricity for control and stations plus the energy used by the affected vehicle fleet; the net result is governed by modal shift and occupancy.</x:v>
      </x:c>
      <x:c r="T153" s="2" t="str">
        <x:v>Product component and materials recycling: concrete, steel, asphalt, copper, signalling electronics, pavement materials and vehicle-related materials where new infrastructure is built.</x:v>
      </x:c>
      <x:c r="U153" s="2" t="str">
        <x:v>Product component and materials recycling: signal modules, communications equipment, validators, sensors, pavement components, station equipment and fleet consumables.</x:v>
      </x:c>
      <x:c r="V153" s="2" t="str">
        <x:v>https://www.ctc-n.org/sites/default/files/resources/ctcn_taxonomy_0.pdf</x:v>
      </x:c>
      <x:c r="W153" s="2" t="str">
        <x:v>https://institutoagricoladepueblobello.edu.co/colegiapp/archivostemas/GUIA%209.%5B25%5D.pdf</x:v>
      </x:c>
      <x:c r="X153" s="2" t="str">
        <x:v>https://iiasa.ac.at/what-is-technology</x:v>
      </x:c>
      <x:c r="Y153" s="2" t="str">
        <x:v>https://www.unep.org/resources/report/global-waste-management-outlook-2024; https://www.ipcc.ch/report/ar6/wg3/chapter/chapter-10/; https://ppp.worldbank.org/print/pdf/node/7300</x:v>
      </x:c>
      <x:c r="Z153" s="2" t="str">
        <x:v>Technology-specific analytical synthesis. The CTCN hierarchy is retained; classifications and component dependencies require validation against the selected design, site and supplier documentation before investment or policy use.</x:v>
      </x:c>
      <x:c r="AA153" s="2" t="str">
        <x:v>Physical deployment of Product component and materials recycling requires rights-of-way, stops or terminals, depots, interchanges, control centres, communications and safe pedestrian or cycling access; interfaces, foundations, access and environmental protection are sized to the specific resource and design load.</x:v>
      </x:c>
      <x:c r="AB153" s="2" t="str">
        <x:v>For Product component and materials recycling,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3" s="2" t="str">
        <x:v>Construction and operation use concrete, steel, asphalt, copper, signalling electronics, pavement materials and vehicle-related materials where new infrastructure is built. For Product component and materials recycling, specifications must include durability, compatibility, recycled content and recoverability.</x:v>
      </x:c>
      <x:c r="AD153" s="2" t="str">
        <x:v>Maintenance of Product component and materials recycling depends on signal modules, communications equipment, validators, sensors, pavement components, station equipment and fleet consumables; critical spares are selected from failure-mode, lead-time and safety analysis for its installed configuration.</x:v>
      </x:c>
      <x:c r="AE153" s="2" t="str">
        <x:v>The software stack for Product component and materials recycling requires databases, secure communications, version-controlled models, computing, backup and interfaces with field or operational systems.</x:v>
      </x:c>
      <x:c r="AF153" s="2" t="str">
        <x:v>For Product component and materials recycling, software-related energy is electricity for sensing, computing, storage, communication and cooling; it is normally secondary but must be included for data-intensive or continuous services.</x:v>
      </x:c>
      <x:c r="AG153" s="2" t="str">
        <x:v>The non-physical inputs are calibrated data, metadata, algorithms, boundary conditions, emission or hazard factors, manuals and validation records specific to Product component and materials recycling.</x:v>
      </x:c>
      <x:c r="AH153" s="2" t="str">
        <x:v>Software continuity for Product component and materials recycling requires licences where applicable, updates, cybersecurity patches, backups, calibration files, model validation and technical support.</x:v>
      </x:c>
      <x:c r="AI153" s="2" t="str">
        <x:v>Orgware depends on the institutions, laboratories, training providers, regulators, operators and community interfaces needed to govern Product component and materials recycling.</x:v>
      </x:c>
      <x:c r="AJ153" s="2" t="str">
        <x:v>The orgware supporting Product component and materials recycling has mainly indirect energy use from offices, meetings, training and information systems; travel and field supervision may be material at dispersed sites.</x:v>
      </x:c>
      <x:c r="AK153" s="2" t="str">
        <x:v>Its organisational inputs are permits, budgets, trained staff, competence records, contracts, procedures, safeguards, monitoring evidence and stakeholder agreements tailored to Product component and materials recycling.</x:v>
      </x:c>
      <x:c r="AL153" s="2" t="str">
        <x:v>Sustained implementation of Product component and materials recycling requires procurement and service contracts, audit protocols, training material, reporting templates, insurance or guarantees and periodic independent review.</x:v>
      </x:c>
      <x:c r="AM153" s="2" t="str">
        <x:v>Iron ore / steel inputs</x:v>
      </x:c>
      <x:c r="AN153" s="2" t="str">
        <x:v>Australia; Brazil; China</x:v>
      </x:c>
      <x:c r="AO153" s="2" t="str">
        <x:v>China; India; Japan</x:v>
      </x:c>
      <x:c r="AP153" s="2" t="str">
        <x:v>Product component and materials recycling: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3" s="2" t="str">
        <x:v>2024–2025</x:v>
      </x:c>
      <x:c r="AR153" s="2" t="str">
        <x:v>https://pubs.usgs.gov/periodicals/mcs2026/mcs2026.pdf</x:v>
      </x:c>
    </x:row>
    <x:row r="154" ht="240" customHeight="1">
      <x:c r="A154" s="2" t="str">
        <x:v>MIT-0147</x:v>
      </x:c>
      <x:c r="B154" s="2" t="str">
        <x:v>Mitigation</x:v>
      </x:c>
      <x:c r="C154" s="2" t="str">
        <x:v>Waste Management</x:v>
      </x:c>
      <x:c r="D154" s="2" t="str">
        <x:v>Wastewater</x:v>
      </x:c>
      <x:c r="E154" s="2" t="str">
        <x:v>Wastewater management systems</x:v>
      </x:c>
      <x:c r="F154" s="2" t="str">
        <x:v>Wastewater management systems is a mitigation technology in the Waste Management sector and the Wastewater technology group. It is defined as a combined hardware–software–orgware system that controls biological or thermochemical conversion of biomass, residues, solid waste or wastewater to avoid methane, recover materials and energy, or stabilise organic matter. Wastewater management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54" s="2" t="str">
        <x:v>Flexible</x:v>
      </x:c>
      <x:c r="H154" s="2" t="str">
        <x:v>Wastewater management systems is transferable through configurable methods, rules and operating parameters. Its principle remains the same, but resource quality, climate, scale, interfaces and safety constraints must be recalculated for each deployment.</x:v>
      </x:c>
      <x:c r="I154" s="2" t="str">
        <x:v>Primarily soft, with physical support</x:v>
      </x:c>
      <x:c r="J154" s="2" t="str">
        <x:v>Wastewater management systems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54" s="2" t="str">
        <x:v>Operation</x:v>
      </x:c>
      <x:c r="L154" s="2" t="str">
        <x:v>Wastewater management systems is embodied mainly as an operating practice. The deliverable is accepted only when measurable service, quality, safety and climate-performance criteria are met under real conditions.</x:v>
      </x:c>
      <x:c r="M154" s="2" t="str">
        <x:v>Yes, subject to life-cycle safeguards</x:v>
      </x:c>
      <x:c r="N154" s="2" t="str">
        <x:v>Wastewater management systems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54" s="2" t="str">
        <x:v>Wastewater management systems: collection and sorting equipment, reactors or digesters, aeration, gas handling, thermal conversion, pollution control and product conditioning.</x:v>
      </x:c>
      <x:c r="P154" s="2" t="str">
        <x:v>Wastewater management systems: feedstock characterisation, mass balances, biological or thermal process control, methane accounting, quality assurance and logistics optimisation.</x:v>
      </x:c>
      <x:c r="Q154" s="2" t="str">
        <x:v>Wastewater management systems: waste hierarchy, source separation, collection contracts, emission permits, digestate or product standards, occupational safety and informal-sector inclusion.</x:v>
      </x:c>
      <x:c r="R154" s="2" t="str">
        <x:v>Wastewater management systems: collection network, transfer and treatment sites, weighbridge, drainage, electricity or heat connection, gas line and residue disposal.</x:v>
      </x:c>
      <x:c r="S154" s="2" t="str">
        <x:v>Wastewater management systems: electricity, process heat or auxiliary fuel; recovered biogas, syngas, heat or electricity may offset external energy.</x:v>
      </x:c>
      <x:c r="T154" s="2" t="str">
        <x:v>Wastewater management systems: steel, concrete, polymers, filters, catalysts or sorbents, biological inoculum and treatment chemicals according to the process.</x:v>
      </x:c>
      <x:c r="U154" s="2" t="str">
        <x:v>Wastewater management systems: pumps, screens, blowers, mixers, seals, burners, analysers, filter media, reagents and personal protective equipment.</x:v>
      </x:c>
      <x:c r="V154" s="2" t="str">
        <x:v>https://www.ctc-n.org/sites/default/files/resources/ctcn_taxonomy_0.pdf</x:v>
      </x:c>
      <x:c r="W154" s="2" t="str">
        <x:v>https://institutoagricoladepueblobello.edu.co/colegiapp/archivostemas/GUIA%209.%5B25%5D.pdf</x:v>
      </x:c>
      <x:c r="X154" s="2" t="str">
        <x:v>https://iiasa.ac.at/what-is-technology</x:v>
      </x:c>
      <x:c r="Y154" s="2" t="str">
        <x:v>https://www.unep.org/resources/report/global-waste-management-outlook-2024</x:v>
      </x:c>
      <x:c r="Z154" s="2" t="str">
        <x:v>Technology-specific analytical synthesis. The CTCN hierarchy is retained; classifications and component dependencies require validation against the selected design, site and supplier documentation before investment or policy use.</x:v>
      </x:c>
      <x:c r="AA154" s="2" t="str">
        <x:v>Physical deployment of Wastewater management systems requires collection network, transfer and treatment sites, weighbridge, drainage, electricity or heat connection, gas line and residue disposal; interfaces, foundations, access and environmental protection are sized to the specific resource and design load.</x:v>
      </x:c>
      <x:c r="AB154" s="2" t="str">
        <x:v>For Wastewater management systems, the hardware energy balance comprises electricity, process heat or auxiliary fuel; recovered biogas, syngas, heat or electricity may offset external energy; metering must separate useful output, conversion losses and auxiliaries for the selected design.</x:v>
      </x:c>
      <x:c r="AC154" s="2" t="str">
        <x:v>Construction and operation use steel, concrete, polymers, filters, catalysts or sorbents, biological inoculum and treatment chemicals according to the process. For Wastewater management systems, specifications must include durability, compatibility, recycled content and recoverability.</x:v>
      </x:c>
      <x:c r="AD154" s="2" t="str">
        <x:v>Maintenance of Wastewater management systems depends on pumps, screens, blowers, mixers, seals, burners, analysers, filter media, reagents and personal protective equipment; critical spares are selected from failure-mode, lead-time and safety analysis for its installed configuration.</x:v>
      </x:c>
      <x:c r="AE154" s="2" t="str">
        <x:v>The software stack for Wastewater management systems requires databases, secure communications, version-controlled models, computing, backup and interfaces with field or operational systems.</x:v>
      </x:c>
      <x:c r="AF154" s="2" t="str">
        <x:v>For Wastewater management systems, software-related energy is electricity for sensing, computing, storage, communication and cooling; it is normally secondary but must be included for data-intensive or continuous services.</x:v>
      </x:c>
      <x:c r="AG154" s="2" t="str">
        <x:v>The non-physical inputs are calibrated data, metadata, algorithms, boundary conditions, emission or hazard factors, manuals and validation records specific to Wastewater management systems.</x:v>
      </x:c>
      <x:c r="AH154" s="2" t="str">
        <x:v>Software continuity for Wastewater management systems requires licences where applicable, updates, cybersecurity patches, backups, calibration files, model validation and technical support.</x:v>
      </x:c>
      <x:c r="AI154" s="2" t="str">
        <x:v>Orgware depends on the institutions, laboratories, training providers, regulators, operators and community interfaces needed to govern Wastewater management systems.</x:v>
      </x:c>
      <x:c r="AJ154" s="2" t="str">
        <x:v>The orgware supporting Wastewater management systems has mainly indirect energy use from offices, meetings, training and information systems; travel and field supervision may be material at dispersed sites.</x:v>
      </x:c>
      <x:c r="AK154" s="2" t="str">
        <x:v>Its organisational inputs are permits, budgets, trained staff, competence records, contracts, procedures, safeguards, monitoring evidence and stakeholder agreements tailored to Wastewater management systems.</x:v>
      </x:c>
      <x:c r="AL154" s="2" t="str">
        <x:v>Sustained implementation of Wastewater management systems requires procurement and service contracts, audit protocols, training material, reporting templates, insurance or guarantees and periodic independent review.</x:v>
      </x:c>
      <x:c r="AM154" s="2" t="str">
        <x:v>Iron ore / steel inputs; Nickel; Chromium</x:v>
      </x:c>
      <x:c r="AN154" s="2" t="str">
        <x:v>Australia; Brazil; China; Indonesia; Philippines; Russia; South Africa; Kazakhstan; Turkey</x:v>
      </x:c>
      <x:c r="AO154" s="2" t="str">
        <x:v>China; India; Japan; Indonesia; South Africa; Kazakhstan</x:v>
      </x:c>
      <x:c r="AP154" s="2" t="str">
        <x:v>Wastewater management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4" s="2" t="str">
        <x:v>2024–2025</x:v>
      </x:c>
      <x:c r="AR154" s="2" t="str">
        <x:v>https://pubs.usgs.gov/periodicals/mcs2026/mcs2026.pdf; https://www.iea.org/reports/global-critical-minerals-outlook-2025</x:v>
      </x:c>
    </x:row>
    <x:row r="155" ht="240" customHeight="1">
      <x:c r="A155" s="2" t="str">
        <x:v>MIT-0148</x:v>
      </x:c>
      <x:c r="B155" s="2" t="str">
        <x:v>Mitigation</x:v>
      </x:c>
      <x:c r="C155" s="2" t="str">
        <x:v>Waste Management</x:v>
      </x:c>
      <x:c r="D155" s="2" t="str">
        <x:v>Wastewater</x:v>
      </x:c>
      <x:c r="E155" s="2" t="str">
        <x:v>Aerobic wastewater treatment</x:v>
      </x:c>
      <x:c r="F155" s="2" t="str">
        <x:v>Aerobic wastewater treatment is a mitigation technology in the Waste Management sector and the Wastewater technology group. It is defined as a combined hardware–software–orgware system that controls biological or thermochemical conversion of biomass, residues, solid waste or wastewater to avoid methane, recover materials and energy, or stabilise organic matter. Aerobic wastewater treatment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55" s="2" t="str">
        <x:v>Mixed: adaptable design, site-specific implementation</x:v>
      </x:c>
      <x:c r="H155" s="2" t="str">
        <x:v>Aerobic wastewater treatment is adaptable in capacity and configuration but site-specific in final engineering. Its principle remains the same, but resource quality, climate, scale, interfaces and safety constraints must be recalculated for each deployment.</x:v>
      </x:c>
      <x:c r="I155" s="2" t="str">
        <x:v>Primarily hard, with a soft component</x:v>
      </x:c>
      <x:c r="J155" s="2" t="str">
        <x:v>Aerobic wastewater treatment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55" s="2" t="str">
        <x:v>Equipment and operation</x:v>
      </x:c>
      <x:c r="L155" s="2" t="str">
        <x:v>Aerobic wastewater treatment is embodied mainly as an equipment-and-operation system. The deliverable is accepted only when measurable service, quality, safety and climate-performance criteria are met under real conditions.</x:v>
      </x:c>
      <x:c r="M155" s="2" t="str">
        <x:v>Yes, subject to life-cycle safeguards</x:v>
      </x:c>
      <x:c r="N155" s="2" t="str">
        <x:v>Aerobic wastewater treatment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55" s="2" t="str">
        <x:v>Aerobic wastewater treatment: collection and sorting equipment, reactors or digesters, aeration, gas handling, thermal conversion, pollution control and product conditioning.</x:v>
      </x:c>
      <x:c r="P155" s="2" t="str">
        <x:v>Aerobic wastewater treatment: feedstock characterisation, mass balances, biological or thermal process control, methane accounting, quality assurance and logistics optimisation.</x:v>
      </x:c>
      <x:c r="Q155" s="2" t="str">
        <x:v>Aerobic wastewater treatment: waste hierarchy, source separation, collection contracts, emission permits, digestate or product standards, occupational safety and informal-sector inclusion.</x:v>
      </x:c>
      <x:c r="R155" s="2" t="str">
        <x:v>Aerobic wastewater treatment: collection network, transfer and treatment sites, weighbridge, drainage, electricity or heat connection, gas line and residue disposal.</x:v>
      </x:c>
      <x:c r="S155" s="2" t="str">
        <x:v>Aerobic wastewater treatment: electricity, process heat or auxiliary fuel; recovered biogas, syngas, heat or electricity may offset external energy.</x:v>
      </x:c>
      <x:c r="T155" s="2" t="str">
        <x:v>Aerobic wastewater treatment: steel, concrete, polymers, filters, catalysts or sorbents, biological inoculum and treatment chemicals according to the process.</x:v>
      </x:c>
      <x:c r="U155" s="2" t="str">
        <x:v>Aerobic wastewater treatment: pumps, screens, blowers, mixers, seals, burners, analysers, filter media, reagents and personal protective equipment.</x:v>
      </x:c>
      <x:c r="V155" s="2" t="str">
        <x:v>https://www.ctc-n.org/sites/default/files/resources/ctcn_taxonomy_0.pdf</x:v>
      </x:c>
      <x:c r="W155" s="2" t="str">
        <x:v>https://institutoagricoladepueblobello.edu.co/colegiapp/archivostemas/GUIA%209.%5B25%5D.pdf</x:v>
      </x:c>
      <x:c r="X155" s="2" t="str">
        <x:v>https://iiasa.ac.at/what-is-technology</x:v>
      </x:c>
      <x:c r="Y155" s="2" t="str">
        <x:v>https://www.unep.org/resources/report/global-waste-management-outlook-2024</x:v>
      </x:c>
      <x:c r="Z155" s="2" t="str">
        <x:v>Technology-specific analytical synthesis. The CTCN hierarchy is retained; classifications and component dependencies require validation against the selected design, site and supplier documentation before investment or policy use.</x:v>
      </x:c>
      <x:c r="AA155" s="2" t="str">
        <x:v>Physical deployment of Aerobic wastewater treatment requires collection network, transfer and treatment sites, weighbridge, drainage, electricity or heat connection, gas line and residue disposal; interfaces, foundations, access and environmental protection are sized to the specific resource and design load.</x:v>
      </x:c>
      <x:c r="AB155" s="2" t="str">
        <x:v>For Aerobic wastewater treatment, the hardware energy balance comprises electricity, process heat or auxiliary fuel; recovered biogas, syngas, heat or electricity may offset external energy; metering must separate useful output, conversion losses and auxiliaries for the selected design.</x:v>
      </x:c>
      <x:c r="AC155" s="2" t="str">
        <x:v>Construction and operation use steel, concrete, polymers, filters, catalysts or sorbents, biological inoculum and treatment chemicals according to the process. For Aerobic wastewater treatment, specifications must include durability, compatibility, recycled content and recoverability.</x:v>
      </x:c>
      <x:c r="AD155" s="2" t="str">
        <x:v>Maintenance of Aerobic wastewater treatment depends on pumps, screens, blowers, mixers, seals, burners, analysers, filter media, reagents and personal protective equipment; critical spares are selected from failure-mode, lead-time and safety analysis for its installed configuration.</x:v>
      </x:c>
      <x:c r="AE155" s="2" t="str">
        <x:v>The software stack for Aerobic wastewater treatment requires databases, secure communications, version-controlled models, computing, backup and interfaces with field or operational systems.</x:v>
      </x:c>
      <x:c r="AF155" s="2" t="str">
        <x:v>For Aerobic wastewater treatment, software-related energy is electricity for sensing, computing, storage, communication and cooling; it is normally secondary but must be included for data-intensive or continuous services.</x:v>
      </x:c>
      <x:c r="AG155" s="2" t="str">
        <x:v>The non-physical inputs are calibrated data, metadata, algorithms, boundary conditions, emission or hazard factors, manuals and validation records specific to Aerobic wastewater treatment.</x:v>
      </x:c>
      <x:c r="AH155" s="2" t="str">
        <x:v>Software continuity for Aerobic wastewater treatment requires licences where applicable, updates, cybersecurity patches, backups, calibration files, model validation and technical support.</x:v>
      </x:c>
      <x:c r="AI155" s="2" t="str">
        <x:v>Orgware depends on the institutions, laboratories, training providers, regulators, operators and community interfaces needed to govern Aerobic wastewater treatment.</x:v>
      </x:c>
      <x:c r="AJ155" s="2" t="str">
        <x:v>The orgware supporting Aerobic wastewater treatment has mainly indirect energy use from offices, meetings, training and information systems; travel and field supervision may be material at dispersed sites.</x:v>
      </x:c>
      <x:c r="AK155" s="2" t="str">
        <x:v>Its organisational inputs are permits, budgets, trained staff, competence records, contracts, procedures, safeguards, monitoring evidence and stakeholder agreements tailored to Aerobic wastewater treatment.</x:v>
      </x:c>
      <x:c r="AL155" s="2" t="str">
        <x:v>Sustained implementation of Aerobic wastewater treatment requires procurement and service contracts, audit protocols, training material, reporting templates, insurance or guarantees and periodic independent review.</x:v>
      </x:c>
      <x:c r="AM155" s="2" t="str">
        <x:v>Iron ore / steel inputs; Nickel; Chromium</x:v>
      </x:c>
      <x:c r="AN155" s="2" t="str">
        <x:v>Australia; Brazil; China; Indonesia; Philippines; Russia; South Africa; Kazakhstan; Turkey</x:v>
      </x:c>
      <x:c r="AO155" s="2" t="str">
        <x:v>China; India; Japan; Indonesia; South Africa; Kazakhstan</x:v>
      </x:c>
      <x:c r="AP155" s="2" t="str">
        <x:v>Aerobic wastewater treatment: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5" s="2" t="str">
        <x:v>2024–2025</x:v>
      </x:c>
      <x:c r="AR155" s="2" t="str">
        <x:v>https://pubs.usgs.gov/periodicals/mcs2026/mcs2026.pdf; https://www.iea.org/reports/global-critical-minerals-outlook-2025</x:v>
      </x:c>
    </x:row>
    <x:row r="156" ht="240" customHeight="1">
      <x:c r="A156" s="2" t="str">
        <x:v>MIT-0149</x:v>
      </x:c>
      <x:c r="B156" s="2" t="str">
        <x:v>Mitigation</x:v>
      </x:c>
      <x:c r="C156" s="2" t="str">
        <x:v>Forestry</x:v>
      </x:c>
      <x:c r="D156" s="2" t="str">
        <x:v>Sustainable forest management</x:v>
      </x:c>
      <x:c r="E156" s="2" t="str">
        <x:v>Sustainable forest management</x:v>
      </x:c>
      <x:c r="F156" s="2" t="str">
        <x:v>Sustainable forest management is a mitigation technology in the Forestry sector and the Sustainable forest management technology group. It is defined as a combined hardware–software–orgware system that changes vegetation, soil, nutrient, water, crop or livestock management to protect carbon stocks, increase resilience and productivity, and reduce CO₂, CH₄ or N₂O emissions. Sustainable forest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56" s="2" t="str">
        <x:v>Flexible</x:v>
      </x:c>
      <x:c r="H156" s="2" t="str">
        <x:v>Sustainable forest management is transferable through configurable methods, rules and operating parameters. Its principle remains the same, but resource quality, climate, scale, interfaces and safety constraints must be recalculated for each deployment.</x:v>
      </x:c>
      <x:c r="I156" s="2" t="str">
        <x:v>Primarily soft, with physical support</x:v>
      </x:c>
      <x:c r="J156" s="2" t="str">
        <x:v>Sustainable forest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56" s="2" t="str">
        <x:v>Operation</x:v>
      </x:c>
      <x:c r="L156" s="2" t="str">
        <x:v>Sustainable forest management is embodied mainly as an operating practice. The deliverable is accepted only when measurable service, quality, safety and climate-performance criteria are met under real conditions.</x:v>
      </x:c>
      <x:c r="M156" s="2" t="str">
        <x:v>Yes, subject to life-cycle safeguards</x:v>
      </x:c>
      <x:c r="N156" s="2" t="str">
        <x:v>Sustainable forest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56" s="2" t="str">
        <x:v>Sustainable forest management: field or forest implements, planting and irrigation equipment, storage or livestock facilities, sampling tools, sensors and protective structures as required.</x:v>
      </x:c>
      <x:c r="P156" s="2" t="str">
        <x:v>Sustainable forest management: soil–crop–livestock knowledge, nutrient and water budgets, emission factors, carbon accounting, climate services, monitoring protocols and adaptive management.</x:v>
      </x:c>
      <x:c r="Q156" s="2" t="str">
        <x:v>Sustainable forest management: land tenure, extension, producer organisations, veterinary or phytosanitary services, incentives, safeguards, certification and monitoring arrangements.</x:v>
      </x:c>
      <x:c r="R156" s="2" t="str">
        <x:v>Sustainable forest management: nurseries or seed banks, field access, water and storage systems, laboratories, extension centres, monitoring plots and processing or market facilities.</x:v>
      </x:c>
      <x:c r="S156" s="2" t="str">
        <x:v>Sustainable forest management: human and mechanical work, electricity or fuel for machinery, pumping, cooling and processing; biological energy and solar radiation dominate field processes.</x:v>
      </x:c>
      <x:c r="T156" s="2" t="str">
        <x:v>Sustainable forest management: seed or planting stock, organic matter, fertilisers, soil amendments, water, fencing or structural materials, veterinary inputs and monitoring consumables.</x:v>
      </x:c>
      <x:c r="U156" s="2" t="str">
        <x:v>Sustainable forest management: seed, inoculants, filters, drip lines, nozzles, tool parts, sampling containers, sensor batteries, veterinary supplies and protective equipment.</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https://www.ipcc.ch/report/ar6/wg3/chapter/chapter-7/; https://openknowledge.fao.org/server/api/core/bitstreams/b21f2087-f398-4718-8461-b92afc82e617/content</x:v>
      </x:c>
      <x:c r="Z156" s="2" t="str">
        <x:v>Technology-specific analytical synthesis. The CTCN hierarchy is retained; classifications and component dependencies require validation against the selected design, site and supplier documentation before investment or policy use.</x:v>
      </x:c>
      <x:c r="AA156" s="2" t="str">
        <x:v>Physical deployment of Sustainable forest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56" s="2" t="str">
        <x:v>For Sustainable forest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56" s="2" t="str">
        <x:v>Construction and operation use seed or planting stock, organic matter, fertilisers, soil amendments, water, fencing or structural materials, veterinary inputs and monitoring consumables. For Sustainable forest management, specifications must include durability, compatibility, recycled content and recoverability.</x:v>
      </x:c>
      <x:c r="AD156" s="2" t="str">
        <x:v>Maintenance of Sustainable forest management depends on seed, inoculants, filters, drip lines, nozzles, tool parts, sampling containers, sensor batteries, veterinary supplies and protective equipment; critical spares are selected from failure-mode, lead-time and safety analysis for its installed configuration.</x:v>
      </x:c>
      <x:c r="AE156" s="2" t="str">
        <x:v>The software stack for Sustainable forest management requires databases, secure communications, version-controlled models, computing, backup and interfaces with field or operational systems.</x:v>
      </x:c>
      <x:c r="AF156" s="2" t="str">
        <x:v>For Sustainable forest management, software-related energy is electricity for sensing, computing, storage, communication and cooling; it is normally secondary but must be included for data-intensive or continuous services.</x:v>
      </x:c>
      <x:c r="AG156" s="2" t="str">
        <x:v>The non-physical inputs are calibrated data, metadata, algorithms, boundary conditions, emission or hazard factors, manuals and validation records specific to Sustainable forest management.</x:v>
      </x:c>
      <x:c r="AH156" s="2" t="str">
        <x:v>Software continuity for Sustainable forest management requires licences where applicable, updates, cybersecurity patches, backups, calibration files, model validation and technical support.</x:v>
      </x:c>
      <x:c r="AI156" s="2" t="str">
        <x:v>Orgware depends on the institutions, laboratories, training providers, regulators, operators and community interfaces needed to govern Sustainable forest management.</x:v>
      </x:c>
      <x:c r="AJ156" s="2" t="str">
        <x:v>The orgware supporting Sustainable forest management has mainly indirect energy use from offices, meetings, training and information systems; travel and field supervision may be material at dispersed sites.</x:v>
      </x:c>
      <x:c r="AK156" s="2" t="str">
        <x:v>Its organisational inputs are permits, budgets, trained staff, competence records, contracts, procedures, safeguards, monitoring evidence and stakeholder agreements tailored to Sustainable forest management.</x:v>
      </x:c>
      <x:c r="AL156" s="2" t="str">
        <x:v>Sustained implementation of Sustainable forest management requires procurement and service contracts, audit protocols, training material, reporting templates, insurance or guarantees and periodic independent review.</x:v>
      </x:c>
      <x:c r="AM156" s="2" t="str">
        <x:v>No critical or strategic raw material is identifiable at taxonomy level; site-specific bulk materials may still be required.</x:v>
      </x:c>
      <x:c r="AN156" s="2" t="str"/>
      <x:c r="AO156" s="2" t="str"/>
      <x:c r="AP156" s="2" t="str">
        <x:v>Sustainable forest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6" s="2" t="str">
        <x:v>2024–2025</x:v>
      </x:c>
      <x:c r="AR156" s="2" t="str">
        <x:v>https://pubs.usgs.gov/periodicals/mcs2026/mcs2026.pdf; https://www.iea.org/reports/global-critical-minerals-outlook-2025</x:v>
      </x:c>
    </x:row>
    <x:row r="157" ht="240" customHeight="1">
      <x:c r="A157" s="2" t="str">
        <x:v>MIT-0150</x:v>
      </x:c>
      <x:c r="B157" s="2" t="str">
        <x:v>Mitigation</x:v>
      </x:c>
      <x:c r="C157" s="2" t="str">
        <x:v>Forestry</x:v>
      </x:c>
      <x:c r="D157" s="2" t="str">
        <x:v>Mangroves conservation and rehabilitation</x:v>
      </x:c>
      <x:c r="E157" s="2" t="str">
        <x:v>Mangroves conservation and rehabilitation</x:v>
      </x:c>
      <x:c r="F157" s="2" t="str">
        <x:v>Mangroves conservation and rehabilitation is a mitigation technology in the Forestry sector and the Mangroves conservation and rehabilitation technology group. It is defined as a combined hardware–software–orgware system that changes vegetation, soil, nutrient, water, crop or livestock management to protect carbon stocks, increase resilience and productivity, and reduce CO₂, CH₄ or N₂O emissions.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57" s="2" t="str">
        <x:v>Mixed: adaptable design, site-specific implementation</x:v>
      </x:c>
      <x:c r="H157" s="2" t="str">
        <x:v>Mangroves conservation and rehabilitation is adaptable in capacity and configuration but site-specific in final engineering. Its principle remains the same, but resource quality, climate, scale, interfaces and safety constraints must be recalculated for each deployment.</x:v>
      </x:c>
      <x:c r="I157" s="2" t="str">
        <x:v>Primarily hard, with a soft component</x:v>
      </x:c>
      <x:c r="J157" s="2" t="str">
        <x:v>Mangroves conservation and rehabilitation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57" s="2" t="str">
        <x:v>Operation</x:v>
      </x:c>
      <x:c r="L157" s="2" t="str">
        <x:v>Mangroves conservation and rehabilitation is embodied mainly as an operating practice. The deliverable is accepted only when measurable service, quality, safety and climate-performance criteria are met under real conditions.</x:v>
      </x:c>
      <x:c r="M157" s="2" t="str">
        <x:v>Yes, subject to life-cycle safeguards</x:v>
      </x:c>
      <x:c r="N157" s="2" t="str">
        <x:v>Mangroves conservation and rehabilitation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57" s="2" t="str">
        <x:v>Mangroves conservation and rehabilitation: field or forest implements, planting and irrigation equipment, storage or livestock facilities, sampling tools, sensors and protective structures as required.</x:v>
      </x:c>
      <x:c r="P157" s="2" t="str">
        <x:v>Mangroves conservation and rehabilitation: soil–crop–livestock knowledge, nutrient and water budgets, emission factors, carbon accounting, climate services, monitoring protocols and adaptive management.</x:v>
      </x:c>
      <x:c r="Q157" s="2" t="str">
        <x:v>Mangroves conservation and rehabilitation: land tenure, extension, producer organisations, veterinary or phytosanitary services, incentives, safeguards, certification and monitoring arrangements.</x:v>
      </x:c>
      <x:c r="R157" s="2" t="str">
        <x:v>Mangroves conservation and rehabilitation: nurseries or seed banks, field access, water and storage systems, laboratories, extension centres, monitoring plots and processing or market facilities.</x:v>
      </x:c>
      <x:c r="S157" s="2" t="str">
        <x:v>Mangroves conservation and rehabilitation: human and mechanical work, electricity or fuel for machinery, pumping, cooling and processing; biological energy and solar radiation dominate field processes.</x:v>
      </x:c>
      <x:c r="T157" s="2" t="str">
        <x:v>Mangroves conservation and rehabilitation: seed or planting stock, organic matter, fertilisers, soil amendments, water, fencing or structural materials, veterinary inputs and monitoring consumables.</x:v>
      </x:c>
      <x:c r="U157" s="2" t="str">
        <x:v>Mangroves conservation and rehabilitation: seed, inoculants, filters, drip lines, nozzles, tool parts, sampling containers, sensor batteries, veterinary supplies and protective equipment.</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https://www.ipcc.ch/report/ar6/wg3/chapter/chapter-7/; https://openknowledge.fao.org/server/api/core/bitstreams/b21f2087-f398-4718-8461-b92afc82e617/content</x:v>
      </x:c>
      <x:c r="Z157" s="2" t="str">
        <x:v>Technology-specific analytical synthesis. The CTCN hierarchy is retained; classifications and component dependencies require validation against the selected design, site and supplier documentation before investment or policy use.</x:v>
      </x:c>
      <x:c r="AA157" s="2" t="str">
        <x:v>Physical deployment of Mangroves conservation and rehabilitation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57" s="2" t="str">
        <x:v>For Mangroves conservation and rehabilitation,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57" s="2" t="str">
        <x:v>Construction and operation use seed or planting stock, organic matter, fertilisers, soil amendments, water, fencing or structural materials, veterinary inputs and monitoring consumables. For Mangroves conservation and rehabilitation, specifications must include durability, compatibility, recycled content and recoverability.</x:v>
      </x:c>
      <x:c r="AD157" s="2" t="str">
        <x:v>Maintenance of Mangroves conservation and rehabilitation depends on seed, inoculants, filters, drip lines, nozzles, tool parts, sampling containers, sensor batteries, veterinary supplies and protective equipment; critical spares are selected from failure-mode, lead-time and safety analysis for its installed configuration.</x:v>
      </x:c>
      <x:c r="AE157" s="2" t="str">
        <x:v>The software stack for Mangroves conservation and rehabilitation requires databases, secure communications, version-controlled models, computing, backup and interfaces with field or operational systems.</x:v>
      </x:c>
      <x:c r="AF157" s="2" t="str">
        <x:v>For Mangroves conservation and rehabilitation, software-related energy is electricity for sensing, computing, storage, communication and cooling; it is normally secondary but must be included for data-intensive or continuous services.</x:v>
      </x:c>
      <x:c r="AG157" s="2" t="str">
        <x:v>The non-physical inputs are calibrated data, metadata, algorithms, boundary conditions, emission or hazard factors, manuals and validation records specific to Mangroves conservation and rehabilitation.</x:v>
      </x:c>
      <x:c r="AH157" s="2" t="str">
        <x:v>Software continuity for Mangroves conservation and rehabilitation requires licences where applicable, updates, cybersecurity patches, backups, calibration files, model validation and technical support.</x:v>
      </x:c>
      <x:c r="AI157" s="2" t="str">
        <x:v>Orgware depends on the institutions, laboratories, training providers, regulators, operators and community interfaces needed to govern Mangroves conservation and rehabilitation.</x:v>
      </x:c>
      <x:c r="AJ157" s="2" t="str">
        <x:v>The orgware supporting Mangroves conservation and rehabilitation has mainly indirect energy use from offices, meetings, training and information systems; travel and field supervision may be material at dispersed sites.</x:v>
      </x:c>
      <x:c r="AK157" s="2" t="str">
        <x:v>Its organisational inputs are permits, budgets, trained staff, competence records, contracts, procedures, safeguards, monitoring evidence and stakeholder agreements tailored to Mangroves conservation and rehabilitation.</x:v>
      </x:c>
      <x:c r="AL157" s="2" t="str">
        <x:v>Sustained implementation of Mangroves conservation and rehabilitation requires procurement and service contracts, audit protocols, training material, reporting templates, insurance or guarantees and periodic independent review.</x:v>
      </x:c>
      <x:c r="AM157" s="2" t="str">
        <x:v>No critical or strategic raw material is identifiable at taxonomy level; site-specific bulk materials may still be required.</x:v>
      </x:c>
      <x:c r="AN157" s="2" t="str"/>
      <x:c r="AO157" s="2" t="str"/>
      <x:c r="AP157" s="2" t="str">
        <x:v>Mangroves conservation and rehabilitation: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7" s="2" t="str">
        <x:v>2024–2025</x:v>
      </x:c>
      <x:c r="AR157" s="2" t="str">
        <x:v>https://pubs.usgs.gov/periodicals/mcs2026/mcs2026.pdf; https://www.iea.org/reports/global-critical-minerals-outlook-2025</x:v>
      </x:c>
    </x:row>
    <x:row r="158" ht="240" customHeight="1">
      <x:c r="A158" s="2" t="str">
        <x:v>MIT-0151</x:v>
      </x:c>
      <x:c r="B158" s="2" t="str">
        <x:v>Mitigation</x:v>
      </x:c>
      <x:c r="C158" s="2" t="str">
        <x:v>Forestry</x:v>
      </x:c>
      <x:c r="D158" s="2" t="str">
        <x:v>Forest management techniques for mitigation</x:v>
      </x:c>
      <x:c r="E158" s="2" t="str">
        <x:v>Forest management techniques for mitigation</x:v>
      </x:c>
      <x:c r="F158" s="2" t="str">
        <x:v>Forest management techniques for mitigation is a mitigation technology in the Forestry sector and the Forest management techniques for mitigation technology group. It is defined as a combined hardware–software–orgware system that changes vegetation, soil, nutrient, water, crop or livestock management to protect carbon stocks, increase resilience and productivity, and reduce CO₂, CH₄ or N₂O emissions. Forest management techniques for mitigation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58" s="2" t="str">
        <x:v>Flexible</x:v>
      </x:c>
      <x:c r="H158" s="2" t="str">
        <x:v>Forest management techniques for mitigation is transferable through configurable methods, rules and operating parameters. Its principle remains the same, but resource quality, climate, scale, interfaces and safety constraints must be recalculated for each deployment.</x:v>
      </x:c>
      <x:c r="I158" s="2" t="str">
        <x:v>Primarily soft, with physical support</x:v>
      </x:c>
      <x:c r="J158" s="2" t="str">
        <x:v>Forest management techniques for mitigation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58" s="2" t="str">
        <x:v>Operation</x:v>
      </x:c>
      <x:c r="L158" s="2" t="str">
        <x:v>Forest management techniques for mitigation is embodied mainly as an operating practice. The deliverable is accepted only when measurable service, quality, safety and climate-performance criteria are met under real conditions.</x:v>
      </x:c>
      <x:c r="M158" s="2" t="str">
        <x:v>Yes, subject to life-cycle safeguards</x:v>
      </x:c>
      <x:c r="N158" s="2" t="str">
        <x:v>Forest management techniques for mitigation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58" s="2" t="str">
        <x:v>Forest management techniques for mitigation: field or forest implements, planting and irrigation equipment, storage or livestock facilities, sampling tools, sensors and protective structures as required.</x:v>
      </x:c>
      <x:c r="P158" s="2" t="str">
        <x:v>Forest management techniques for mitigation: soil–crop–livestock knowledge, nutrient and water budgets, emission factors, carbon accounting, climate services, monitoring protocols and adaptive management.</x:v>
      </x:c>
      <x:c r="Q158" s="2" t="str">
        <x:v>Forest management techniques for mitigation: land tenure, extension, producer organisations, veterinary or phytosanitary services, incentives, safeguards, certification and monitoring arrangements.</x:v>
      </x:c>
      <x:c r="R158" s="2" t="str">
        <x:v>Forest management techniques for mitigation: nurseries or seed banks, field access, water and storage systems, laboratories, extension centres, monitoring plots and processing or market facilities.</x:v>
      </x:c>
      <x:c r="S158" s="2" t="str">
        <x:v>Forest management techniques for mitigation: human and mechanical work, electricity or fuel for machinery, pumping, cooling and processing; biological energy and solar radiation dominate field processes.</x:v>
      </x:c>
      <x:c r="T158" s="2" t="str">
        <x:v>Forest management techniques for mitigation: seed or planting stock, organic matter, fertilisers, soil amendments, water, fencing or structural materials, veterinary inputs and monitoring consumables.</x:v>
      </x:c>
      <x:c r="U158" s="2" t="str">
        <x:v>Forest management techniques for mitigation: seed, inoculants, filters, drip lines, nozzles, tool parts, sampling containers, sensor batteries, veterinary supplies and protective equipment.</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https://www.ipcc.ch/report/ar6/wg3/chapter/chapter-7/; https://openknowledge.fao.org/server/api/core/bitstreams/b21f2087-f398-4718-8461-b92afc82e617/content</x:v>
      </x:c>
      <x:c r="Z158" s="2" t="str">
        <x:v>Technology-specific analytical synthesis. The CTCN hierarchy is retained; classifications and component dependencies require validation against the selected design, site and supplier documentation before investment or policy use.</x:v>
      </x:c>
      <x:c r="AA158" s="2" t="str">
        <x:v>Physical deployment of Forest management techniques for mitigation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58" s="2" t="str">
        <x:v>For Forest management techniques for mitigation,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58" s="2" t="str">
        <x:v>Construction and operation use seed or planting stock, organic matter, fertilisers, soil amendments, water, fencing or structural materials, veterinary inputs and monitoring consumables. For Forest management techniques for mitigation, specifications must include durability, compatibility, recycled content and recoverability.</x:v>
      </x:c>
      <x:c r="AD158" s="2" t="str">
        <x:v>Maintenance of Forest management techniques for mitigation depends on seed, inoculants, filters, drip lines, nozzles, tool parts, sampling containers, sensor batteries, veterinary supplies and protective equipment; critical spares are selected from failure-mode, lead-time and safety analysis for its installed configuration.</x:v>
      </x:c>
      <x:c r="AE158" s="2" t="str">
        <x:v>The software stack for Forest management techniques for mitigation requires databases, secure communications, version-controlled models, computing, backup and interfaces with field or operational systems.</x:v>
      </x:c>
      <x:c r="AF158" s="2" t="str">
        <x:v>For Forest management techniques for mitigation, software-related energy is electricity for sensing, computing, storage, communication and cooling; it is normally secondary but must be included for data-intensive or continuous services.</x:v>
      </x:c>
      <x:c r="AG158" s="2" t="str">
        <x:v>The non-physical inputs are calibrated data, metadata, algorithms, boundary conditions, emission or hazard factors, manuals and validation records specific to Forest management techniques for mitigation.</x:v>
      </x:c>
      <x:c r="AH158" s="2" t="str">
        <x:v>Software continuity for Forest management techniques for mitigation requires licences where applicable, updates, cybersecurity patches, backups, calibration files, model validation and technical support.</x:v>
      </x:c>
      <x:c r="AI158" s="2" t="str">
        <x:v>Orgware depends on the institutions, laboratories, training providers, regulators, operators and community interfaces needed to govern Forest management techniques for mitigation.</x:v>
      </x:c>
      <x:c r="AJ158" s="2" t="str">
        <x:v>The orgware supporting Forest management techniques for mitigation has mainly indirect energy use from offices, meetings, training and information systems; travel and field supervision may be material at dispersed sites.</x:v>
      </x:c>
      <x:c r="AK158" s="2" t="str">
        <x:v>Its organisational inputs are permits, budgets, trained staff, competence records, contracts, procedures, safeguards, monitoring evidence and stakeholder agreements tailored to Forest management techniques for mitigation.</x:v>
      </x:c>
      <x:c r="AL158" s="2" t="str">
        <x:v>Sustained implementation of Forest management techniques for mitigation requires procurement and service contracts, audit protocols, training material, reporting templates, insurance or guarantees and periodic independent review.</x:v>
      </x:c>
      <x:c r="AM158" s="2" t="str">
        <x:v>No critical or strategic raw material is identifiable at taxonomy level; site-specific bulk materials may still be required.</x:v>
      </x:c>
      <x:c r="AN158" s="2" t="str"/>
      <x:c r="AO158" s="2" t="str"/>
      <x:c r="AP158" s="2" t="str">
        <x:v>Forest management techniques for mitigation: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8" s="2" t="str">
        <x:v>2024–2025</x:v>
      </x:c>
      <x:c r="AR158" s="2" t="str">
        <x:v>https://pubs.usgs.gov/periodicals/mcs2026/mcs2026.pdf; https://www.iea.org/reports/global-critical-minerals-outlook-2025</x:v>
      </x:c>
    </x:row>
    <x:row r="159" ht="240" customHeight="1">
      <x:c r="A159" s="2" t="str">
        <x:v>MIT-0152</x:v>
      </x:c>
      <x:c r="B159" s="2" t="str">
        <x:v>Mitigation</x:v>
      </x:c>
      <x:c r="C159" s="2" t="str">
        <x:v>Forestry</x:v>
      </x:c>
      <x:c r="D159" s="2" t="str">
        <x:v>Urban forestry</x:v>
      </x:c>
      <x:c r="E159" s="2" t="str">
        <x:v>Urban forestry</x:v>
      </x:c>
      <x:c r="F159" s="2" t="str">
        <x:v>Urban forestry is a mitigation technology in the Forestry sector and the Urban forestry technology group. It is defined as a combined hardware–software–orgware system that changes vegetation, soil, nutrient, water, crop or livestock management to protect carbon stocks, increase resilience and productivity, and reduce CO₂, CH₄ or N₂O emissions. Urban forestry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59" s="2" t="str">
        <x:v>Mixed: adaptable design, site-specific implementation</x:v>
      </x:c>
      <x:c r="H159" s="2" t="str">
        <x:v>Urban forestry is adaptable in capacity and configuration but site-specific in final engineering. Its principle remains the same, but resource quality, climate, scale, interfaces and safety constraints must be recalculated for each deployment.</x:v>
      </x:c>
      <x:c r="I159" s="2" t="str">
        <x:v>Primarily hard, with a soft component</x:v>
      </x:c>
      <x:c r="J159" s="2" t="str">
        <x:v>Urban forestry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59" s="2" t="str">
        <x:v>Operation</x:v>
      </x:c>
      <x:c r="L159" s="2" t="str">
        <x:v>Urban forestry is embodied mainly as an operating practice. The deliverable is accepted only when measurable service, quality, safety and climate-performance criteria are met under real conditions.</x:v>
      </x:c>
      <x:c r="M159" s="2" t="str">
        <x:v>Yes, subject to life-cycle safeguards</x:v>
      </x:c>
      <x:c r="N159" s="2" t="str">
        <x:v>Urban forestry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59" s="2" t="str">
        <x:v>Urban forestry: field or forest implements, planting and irrigation equipment, storage or livestock facilities, sampling tools, sensors and protective structures as required.</x:v>
      </x:c>
      <x:c r="P159" s="2" t="str">
        <x:v>Urban forestry: soil–crop–livestock knowledge, nutrient and water budgets, emission factors, carbon accounting, climate services, monitoring protocols and adaptive management.</x:v>
      </x:c>
      <x:c r="Q159" s="2" t="str">
        <x:v>Urban forestry: land tenure, extension, producer organisations, veterinary or phytosanitary services, incentives, safeguards, certification and monitoring arrangements.</x:v>
      </x:c>
      <x:c r="R159" s="2" t="str">
        <x:v>Urban forestry: nurseries or seed banks, field access, water and storage systems, laboratories, extension centres, monitoring plots and processing or market facilities.</x:v>
      </x:c>
      <x:c r="S159" s="2" t="str">
        <x:v>Urban forestry: human and mechanical work, electricity or fuel for machinery, pumping, cooling and processing; biological energy and solar radiation dominate field processes.</x:v>
      </x:c>
      <x:c r="T159" s="2" t="str">
        <x:v>Urban forestry: seed or planting stock, organic matter, fertilisers, soil amendments, water, fencing or structural materials, veterinary inputs and monitoring consumables.</x:v>
      </x:c>
      <x:c r="U159" s="2" t="str">
        <x:v>Urban forestry: seed, inoculants, filters, drip lines, nozzles, tool parts, sampling containers, sensor batteries, veterinary supplies and protective equipment.</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https://www.ipcc.ch/report/ar6/wg3/chapter/chapter-7/; https://openknowledge.fao.org/server/api/core/bitstreams/b21f2087-f398-4718-8461-b92afc82e617/content</x:v>
      </x:c>
      <x:c r="Z159" s="2" t="str">
        <x:v>Technology-specific analytical synthesis. The CTCN hierarchy is retained; classifications and component dependencies require validation against the selected design, site and supplier documentation before investment or policy use.</x:v>
      </x:c>
      <x:c r="AA159" s="2" t="str">
        <x:v>Physical deployment of Urban forestry requires nurseries or seed banks, field access, water and storage systems, laboratories, extension centres, monitoring plots and processing or market facilities; interfaces, foundations, access and environmental protection are sized to the specific resource and design load.</x:v>
      </x:c>
      <x:c r="AB159" s="2" t="str">
        <x:v>For Urban forestry,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59" s="2" t="str">
        <x:v>Construction and operation use seed or planting stock, organic matter, fertilisers, soil amendments, water, fencing or structural materials, veterinary inputs and monitoring consumables. For Urban forestry, specifications must include durability, compatibility, recycled content and recoverability.</x:v>
      </x:c>
      <x:c r="AD159" s="2" t="str">
        <x:v>Maintenance of Urban forestry depends on seed, inoculants, filters, drip lines, nozzles, tool parts, sampling containers, sensor batteries, veterinary supplies and protective equipment; critical spares are selected from failure-mode, lead-time and safety analysis for its installed configuration.</x:v>
      </x:c>
      <x:c r="AE159" s="2" t="str">
        <x:v>The software stack for Urban forestry requires databases, secure communications, version-controlled models, computing, backup and interfaces with field or operational systems.</x:v>
      </x:c>
      <x:c r="AF159" s="2" t="str">
        <x:v>For Urban forestry, software-related energy is electricity for sensing, computing, storage, communication and cooling; it is normally secondary but must be included for data-intensive or continuous services.</x:v>
      </x:c>
      <x:c r="AG159" s="2" t="str">
        <x:v>The non-physical inputs are calibrated data, metadata, algorithms, boundary conditions, emission or hazard factors, manuals and validation records specific to Urban forestry.</x:v>
      </x:c>
      <x:c r="AH159" s="2" t="str">
        <x:v>Software continuity for Urban forestry requires licences where applicable, updates, cybersecurity patches, backups, calibration files, model validation and technical support.</x:v>
      </x:c>
      <x:c r="AI159" s="2" t="str">
        <x:v>Orgware depends on the institutions, laboratories, training providers, regulators, operators and community interfaces needed to govern Urban forestry.</x:v>
      </x:c>
      <x:c r="AJ159" s="2" t="str">
        <x:v>The orgware supporting Urban forestry has mainly indirect energy use from offices, meetings, training and information systems; travel and field supervision may be material at dispersed sites.</x:v>
      </x:c>
      <x:c r="AK159" s="2" t="str">
        <x:v>Its organisational inputs are permits, budgets, trained staff, competence records, contracts, procedures, safeguards, monitoring evidence and stakeholder agreements tailored to Urban forestry.</x:v>
      </x:c>
      <x:c r="AL159" s="2" t="str">
        <x:v>Sustained implementation of Urban forestry requires procurement and service contracts, audit protocols, training material, reporting templates, insurance or guarantees and periodic independent review.</x:v>
      </x:c>
      <x:c r="AM159" s="2" t="str">
        <x:v>No critical or strategic raw material is identifiable at taxonomy level; site-specific bulk materials may still be required.</x:v>
      </x:c>
      <x:c r="AN159" s="2" t="str"/>
      <x:c r="AO159" s="2" t="str"/>
      <x:c r="AP159" s="2" t="str">
        <x:v>Urban forestry: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9" s="2" t="str">
        <x:v>2024–2025</x:v>
      </x:c>
      <x:c r="AR159" s="2" t="str">
        <x:v>https://pubs.usgs.gov/periodicals/mcs2026/mcs2026.pdf; https://www.iea.org/reports/global-critical-minerals-outlook-2025</x:v>
      </x:c>
    </x:row>
    <x:row r="160" ht="240" customHeight="1">
      <x:c r="A160" s="2" t="str">
        <x:v>MIT-0153</x:v>
      </x:c>
      <x:c r="B160" s="2" t="str">
        <x:v>Mitigation</x:v>
      </x:c>
      <x:c r="C160" s="2" t="str">
        <x:v>Forestry</x:v>
      </x:c>
      <x:c r="D160" s="2" t="str">
        <x:v>Afforestation</x:v>
      </x:c>
      <x:c r="E160" s="2" t="str">
        <x:v>Afforestation</x:v>
      </x:c>
      <x:c r="F160" s="2" t="str">
        <x:v>Afforestation is a mitigation technology in the Forestry sector and the Afforestation technology group. It is defined as a combined hardware–software–orgware system that changes vegetation, soil, nutrient, water, crop or livestock management to protect carbon stocks, increase resilience and productivity, and reduce CO₂, CH₄ or N₂O emissions. Afforestation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0" s="2" t="str">
        <x:v>Mixed: adaptable design, site-specific implementation</x:v>
      </x:c>
      <x:c r="H160" s="2" t="str">
        <x:v>Afforestation is adaptable in capacity and configuration but site-specific in final engineering. Its principle remains the same, but resource quality, climate, scale, interfaces and safety constraints must be recalculated for each deployment.</x:v>
      </x:c>
      <x:c r="I160" s="2" t="str">
        <x:v>Primarily hard, with a soft component</x:v>
      </x:c>
      <x:c r="J160" s="2" t="str">
        <x:v>Afforestation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0" s="2" t="str">
        <x:v>Operation</x:v>
      </x:c>
      <x:c r="L160" s="2" t="str">
        <x:v>Afforestation is embodied mainly as an operating practice. The deliverable is accepted only when measurable service, quality, safety and climate-performance criteria are met under real conditions.</x:v>
      </x:c>
      <x:c r="M160" s="2" t="str">
        <x:v>Yes, subject to life-cycle safeguards</x:v>
      </x:c>
      <x:c r="N160" s="2" t="str">
        <x:v>Afforestation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0" s="2" t="str">
        <x:v>Afforestation: field or forest implements, planting and irrigation equipment, storage or livestock facilities, sampling tools, sensors and protective structures as required.</x:v>
      </x:c>
      <x:c r="P160" s="2" t="str">
        <x:v>Afforestation: soil–crop–livestock knowledge, nutrient and water budgets, emission factors, carbon accounting, climate services, monitoring protocols and adaptive management.</x:v>
      </x:c>
      <x:c r="Q160" s="2" t="str">
        <x:v>Afforestation: land tenure, extension, producer organisations, veterinary or phytosanitary services, incentives, safeguards, certification and monitoring arrangements.</x:v>
      </x:c>
      <x:c r="R160" s="2" t="str">
        <x:v>Afforestation: nurseries or seed banks, field access, water and storage systems, laboratories, extension centres, monitoring plots and processing or market facilities.</x:v>
      </x:c>
      <x:c r="S160" s="2" t="str">
        <x:v>Afforestation: human and mechanical work, electricity or fuel for machinery, pumping, cooling and processing; biological energy and solar radiation dominate field processes.</x:v>
      </x:c>
      <x:c r="T160" s="2" t="str">
        <x:v>Afforestation: seed or planting stock, organic matter, fertilisers, soil amendments, water, fencing or structural materials, veterinary inputs and monitoring consumables.</x:v>
      </x:c>
      <x:c r="U160" s="2" t="str">
        <x:v>Afforestation: seed, inoculants, filters, drip lines, nozzles, tool parts, sampling containers, sensor batteries, veterinary supplies and protective equipment.</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https://www.ipcc.ch/report/ar6/wg3/chapter/chapter-7/; https://openknowledge.fao.org/server/api/core/bitstreams/b21f2087-f398-4718-8461-b92afc82e617/content</x:v>
      </x:c>
      <x:c r="Z160" s="2" t="str">
        <x:v>Technology-specific analytical synthesis. The CTCN hierarchy is retained; classifications and component dependencies require validation against the selected design, site and supplier documentation before investment or policy use.</x:v>
      </x:c>
      <x:c r="AA160" s="2" t="str">
        <x:v>Physical deployment of Afforestation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0" s="2" t="str">
        <x:v>For Afforestation,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0" s="2" t="str">
        <x:v>Construction and operation use seed or planting stock, organic matter, fertilisers, soil amendments, water, fencing or structural materials, veterinary inputs and monitoring consumables. For Afforestation, specifications must include durability, compatibility, recycled content and recoverability.</x:v>
      </x:c>
      <x:c r="AD160" s="2" t="str">
        <x:v>Maintenance of Afforestation depends on seed, inoculants, filters, drip lines, nozzles, tool parts, sampling containers, sensor batteries, veterinary supplies and protective equipment; critical spares are selected from failure-mode, lead-time and safety analysis for its installed configuration.</x:v>
      </x:c>
      <x:c r="AE160" s="2" t="str">
        <x:v>The software stack for Afforestation requires databases, secure communications, version-controlled models, computing, backup and interfaces with field or operational systems.</x:v>
      </x:c>
      <x:c r="AF160" s="2" t="str">
        <x:v>For Afforestation, software-related energy is electricity for sensing, computing, storage, communication and cooling; it is normally secondary but must be included for data-intensive or continuous services.</x:v>
      </x:c>
      <x:c r="AG160" s="2" t="str">
        <x:v>The non-physical inputs are calibrated data, metadata, algorithms, boundary conditions, emission or hazard factors, manuals and validation records specific to Afforestation.</x:v>
      </x:c>
      <x:c r="AH160" s="2" t="str">
        <x:v>Software continuity for Afforestation requires licences where applicable, updates, cybersecurity patches, backups, calibration files, model validation and technical support.</x:v>
      </x:c>
      <x:c r="AI160" s="2" t="str">
        <x:v>Orgware depends on the institutions, laboratories, training providers, regulators, operators and community interfaces needed to govern Afforestation.</x:v>
      </x:c>
      <x:c r="AJ160" s="2" t="str">
        <x:v>The orgware supporting Afforestation has mainly indirect energy use from offices, meetings, training and information systems; travel and field supervision may be material at dispersed sites.</x:v>
      </x:c>
      <x:c r="AK160" s="2" t="str">
        <x:v>Its organisational inputs are permits, budgets, trained staff, competence records, contracts, procedures, safeguards, monitoring evidence and stakeholder agreements tailored to Afforestation.</x:v>
      </x:c>
      <x:c r="AL160" s="2" t="str">
        <x:v>Sustained implementation of Afforestation requires procurement and service contracts, audit protocols, training material, reporting templates, insurance or guarantees and periodic independent review.</x:v>
      </x:c>
      <x:c r="AM160" s="2" t="str">
        <x:v>No critical or strategic raw material is identifiable at taxonomy level; site-specific bulk materials may still be required.</x:v>
      </x:c>
      <x:c r="AN160" s="2" t="str"/>
      <x:c r="AO160" s="2" t="str"/>
      <x:c r="AP160" s="2" t="str">
        <x:v>Afforestation: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0" s="2" t="str">
        <x:v>2024–2025</x:v>
      </x:c>
      <x:c r="AR160" s="2" t="str">
        <x:v>https://pubs.usgs.gov/periodicals/mcs2026/mcs2026.pdf; https://www.iea.org/reports/global-critical-minerals-outlook-2025</x:v>
      </x:c>
    </x:row>
    <x:row r="161" ht="240" customHeight="1">
      <x:c r="A161" s="2" t="str">
        <x:v>MIT-0154</x:v>
      </x:c>
      <x:c r="B161" s="2" t="str">
        <x:v>Mitigation</x:v>
      </x:c>
      <x:c r="C161" s="2" t="str">
        <x:v>Forestry</x:v>
      </x:c>
      <x:c r="D161" s="2" t="str">
        <x:v>Soil carbon measurement</x:v>
      </x:c>
      <x:c r="E161" s="2" t="str">
        <x:v>Soil carbon measurement</x:v>
      </x:c>
      <x:c r="F161" s="2" t="str">
        <x:v>Soil carbon measurement is a mitigation technology in the Forestry sector and the Soil carbon measurement technology group. It is defined as a combined hardware–software–orgware system that changes vegetation, soil, nutrient, water, crop or livestock management to protect carbon stocks, increase resilience and productivity, and reduce CO₂, CH₄ or N₂O emissions. Soil carbon measurement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1" s="2" t="str">
        <x:v>Mixed: adaptable design, site-specific implementation</x:v>
      </x:c>
      <x:c r="H161" s="2" t="str">
        <x:v>Soil carbon measurement is adaptable in capacity and configuration but site-specific in final engineering. Its principle remains the same, but resource quality, climate, scale, interfaces and safety constraints must be recalculated for each deployment.</x:v>
      </x:c>
      <x:c r="I161" s="2" t="str">
        <x:v>Primarily hard, with a soft component</x:v>
      </x:c>
      <x:c r="J161" s="2" t="str">
        <x:v>Soil carbon measurement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1" s="2" t="str">
        <x:v>Operation</x:v>
      </x:c>
      <x:c r="L161" s="2" t="str">
        <x:v>Soil carbon measurement is embodied mainly as an operating practice. The deliverable is accepted only when measurable service, quality, safety and climate-performance criteria are met under real conditions.</x:v>
      </x:c>
      <x:c r="M161" s="2" t="str">
        <x:v>Yes, subject to life-cycle safeguards</x:v>
      </x:c>
      <x:c r="N161" s="2" t="str">
        <x:v>Soil carbon measurement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1" s="2" t="str">
        <x:v>Soil carbon measurement: field or forest implements, planting and irrigation equipment, storage or livestock facilities, sampling tools, sensors and protective structures as required.</x:v>
      </x:c>
      <x:c r="P161" s="2" t="str">
        <x:v>Soil carbon measurement: soil–crop–livestock knowledge, nutrient and water budgets, emission factors, carbon accounting, climate services, monitoring protocols and adaptive management.</x:v>
      </x:c>
      <x:c r="Q161" s="2" t="str">
        <x:v>Soil carbon measurement: land tenure, extension, producer organisations, veterinary or phytosanitary services, incentives, safeguards, certification and monitoring arrangements.</x:v>
      </x:c>
      <x:c r="R161" s="2" t="str">
        <x:v>Soil carbon measurement: nurseries or seed banks, field access, water and storage systems, laboratories, extension centres, monitoring plots and processing or market facilities.</x:v>
      </x:c>
      <x:c r="S161" s="2" t="str">
        <x:v>Soil carbon measurement: human and mechanical work, electricity or fuel for machinery, pumping, cooling and processing; biological energy and solar radiation dominate field processes.</x:v>
      </x:c>
      <x:c r="T161" s="2" t="str">
        <x:v>Soil carbon measurement: seed or planting stock, organic matter, fertilisers, soil amendments, water, fencing or structural materials, veterinary inputs and monitoring consumables.</x:v>
      </x:c>
      <x:c r="U161" s="2" t="str">
        <x:v>Soil carbon measurement: seed, inoculants, filters, drip lines, nozzles, tool parts, sampling containers, sensor batteries, veterinary supplies and protective equipment.</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https://www.ipcc.ch/report/ar6/wg3/chapter/chapter-7/; https://openknowledge.fao.org/server/api/core/bitstreams/b21f2087-f398-4718-8461-b92afc82e617/content</x:v>
      </x:c>
      <x:c r="Z161" s="2" t="str">
        <x:v>Technology-specific analytical synthesis. The CTCN hierarchy is retained; classifications and component dependencies require validation against the selected design, site and supplier documentation before investment or policy use.</x:v>
      </x:c>
      <x:c r="AA161" s="2" t="str">
        <x:v>Physical deployment of Soil carbon measurement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1" s="2" t="str">
        <x:v>For Soil carbon measurement,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1" s="2" t="str">
        <x:v>Construction and operation use seed or planting stock, organic matter, fertilisers, soil amendments, water, fencing or structural materials, veterinary inputs and monitoring consumables. For Soil carbon measurement, specifications must include durability, compatibility, recycled content and recoverability.</x:v>
      </x:c>
      <x:c r="AD161" s="2" t="str">
        <x:v>Maintenance of Soil carbon measurement depends on seed, inoculants, filters, drip lines, nozzles, tool parts, sampling containers, sensor batteries, veterinary supplies and protective equipment; critical spares are selected from failure-mode, lead-time and safety analysis for its installed configuration.</x:v>
      </x:c>
      <x:c r="AE161" s="2" t="str">
        <x:v>The software stack for Soil carbon measurement requires databases, secure communications, version-controlled models, computing, backup and interfaces with field or operational systems.</x:v>
      </x:c>
      <x:c r="AF161" s="2" t="str">
        <x:v>For Soil carbon measurement, software-related energy is electricity for sensing, computing, storage, communication and cooling; it is normally secondary but must be included for data-intensive or continuous services.</x:v>
      </x:c>
      <x:c r="AG161" s="2" t="str">
        <x:v>The non-physical inputs are calibrated data, metadata, algorithms, boundary conditions, emission or hazard factors, manuals and validation records specific to Soil carbon measurement.</x:v>
      </x:c>
      <x:c r="AH161" s="2" t="str">
        <x:v>Software continuity for Soil carbon measurement requires licences where applicable, updates, cybersecurity patches, backups, calibration files, model validation and technical support.</x:v>
      </x:c>
      <x:c r="AI161" s="2" t="str">
        <x:v>Orgware depends on the institutions, laboratories, training providers, regulators, operators and community interfaces needed to govern Soil carbon measurement.</x:v>
      </x:c>
      <x:c r="AJ161" s="2" t="str">
        <x:v>The orgware supporting Soil carbon measurement has mainly indirect energy use from offices, meetings, training and information systems; travel and field supervision may be material at dispersed sites.</x:v>
      </x:c>
      <x:c r="AK161" s="2" t="str">
        <x:v>Its organisational inputs are permits, budgets, trained staff, competence records, contracts, procedures, safeguards, monitoring evidence and stakeholder agreements tailored to Soil carbon measurement.</x:v>
      </x:c>
      <x:c r="AL161" s="2" t="str">
        <x:v>Sustained implementation of Soil carbon measurement requires procurement and service contracts, audit protocols, training material, reporting templates, insurance or guarantees and periodic independent review.</x:v>
      </x:c>
      <x:c r="AM161" s="2" t="str">
        <x:v>Phosphate rock; Potash</x:v>
      </x:c>
      <x:c r="AN161" s="2" t="str">
        <x:v>China; Morocco; United States; Canada; Russia; Belarus</x:v>
      </x:c>
      <x:c r="AO161" s="2" t="str">
        <x:v>China; Morocco; United States; Canada; Russia; Belarus</x:v>
      </x:c>
      <x:c r="AP161" s="2" t="str">
        <x:v>Soil carbon measurement: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1" s="2" t="str">
        <x:v>2024–2025</x:v>
      </x:c>
      <x:c r="AR161" s="2" t="str">
        <x:v>https://pubs.usgs.gov/periodicals/mcs2026/mcs2026.pdf</x:v>
      </x:c>
    </x:row>
    <x:row r="162" ht="240" customHeight="1">
      <x:c r="A162" s="2" t="str">
        <x:v>MIT-0155</x:v>
      </x:c>
      <x:c r="B162" s="2" t="str">
        <x:v>Mitigation</x:v>
      </x:c>
      <x:c r="C162" s="2" t="str">
        <x:v>Forestry</x:v>
      </x:c>
      <x:c r="D162" s="2" t="str">
        <x:v>Carbon stock measurement, monitoring and verification</x:v>
      </x:c>
      <x:c r="E162" s="2" t="str">
        <x:v>Carbon stock measurement, monitoring and verification</x:v>
      </x:c>
      <x:c r="F162" s="2" t="str">
        <x:v>Carbon stock measurement, monitoring and verification is a mitigation technology in the Forestry sector and the Carbon stock measurement, monitoring and verification technology group. It is defined as a combined hardware–software–orgware system that changes vegetation, soil, nutrient, water, crop or livestock management to protect carbon stocks, increase resilience and productivity, and reduce CO₂, CH₄ or N₂O emissions. Carbon stock measurement, monitoring and verification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2" s="2" t="str">
        <x:v>Mixed: adaptable design, site-specific implementation</x:v>
      </x:c>
      <x:c r="H162" s="2" t="str">
        <x:v>Carbon stock measurement, monitoring and verification is adaptable in capacity and configuration but site-specific in final engineering. Its principle remains the same, but resource quality, climate, scale, interfaces and safety constraints must be recalculated for each deployment.</x:v>
      </x:c>
      <x:c r="I162" s="2" t="str">
        <x:v>Hard and soft</x:v>
      </x:c>
      <x:c r="J162" s="2" t="str">
        <x:v>Carbon stock measurement, monitoring and verification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2" s="2" t="str">
        <x:v>Operation and information service</x:v>
      </x:c>
      <x:c r="L162" s="2" t="str">
        <x:v>Carbon stock measurement, monitoring and verification is embodied mainly as an information and decision service. The deliverable is accepted only when measurable service, quality, safety and climate-performance criteria are met under real conditions.</x:v>
      </x:c>
      <x:c r="M162" s="2" t="str">
        <x:v>Yes, subject to life-cycle safeguards</x:v>
      </x:c>
      <x:c r="N162" s="2" t="str">
        <x:v>Carbon stock measurement, monitoring and verification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2" s="2" t="str">
        <x:v>Carbon stock measurement, monitoring and verification: field or forest implements, planting and irrigation equipment, storage or livestock facilities, sampling tools, sensors and protective structures as required.</x:v>
      </x:c>
      <x:c r="P162" s="2" t="str">
        <x:v>Carbon stock measurement, monitoring and verification: soil–crop–livestock knowledge, nutrient and water budgets, emission factors, carbon accounting, climate services, monitoring protocols and adaptive management.</x:v>
      </x:c>
      <x:c r="Q162" s="2" t="str">
        <x:v>Carbon stock measurement, monitoring and verification: land tenure, extension, producer organisations, veterinary or phytosanitary services, incentives, safeguards, certification and monitoring arrangements.</x:v>
      </x:c>
      <x:c r="R162" s="2" t="str">
        <x:v>Carbon stock measurement, monitoring and verification: nurseries or seed banks, field access, water and storage systems, laboratories, extension centres, monitoring plots and processing or market facilities.</x:v>
      </x:c>
      <x:c r="S162" s="2" t="str">
        <x:v>Carbon stock measurement, monitoring and verification: human and mechanical work, electricity or fuel for machinery, pumping, cooling and processing; biological energy and solar radiation dominate field processes.</x:v>
      </x:c>
      <x:c r="T162" s="2" t="str">
        <x:v>Carbon stock measurement, monitoring and verification: seed or planting stock, organic matter, fertilisers, soil amendments, water, fencing or structural materials, veterinary inputs and monitoring consumables.</x:v>
      </x:c>
      <x:c r="U162" s="2" t="str">
        <x:v>Carbon stock measurement, monitoring and verification: seed, inoculants, filters, drip lines, nozzles, tool parts, sampling containers, sensor batteries, veterinary supplies and protective equipment.</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https://www.ipcc.ch/report/ar6/wg3/chapter/chapter-7/; https://openknowledge.fao.org/server/api/core/bitstreams/b21f2087-f398-4718-8461-b92afc82e617/content</x:v>
      </x:c>
      <x:c r="Z162" s="2" t="str">
        <x:v>Technology-specific analytical synthesis. The CTCN hierarchy is retained; classifications and component dependencies require validation against the selected design, site and supplier documentation before investment or policy use.</x:v>
      </x:c>
      <x:c r="AA162" s="2" t="str">
        <x:v>Physical deployment of Carbon stock measurement, monitoring and verification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2" s="2" t="str">
        <x:v>For Carbon stock measurement, monitoring and verification,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2" s="2" t="str">
        <x:v>Construction and operation use seed or planting stock, organic matter, fertilisers, soil amendments, water, fencing or structural materials, veterinary inputs and monitoring consumables. For Carbon stock measurement, monitoring and verification, specifications must include durability, compatibility, recycled content and recoverability.</x:v>
      </x:c>
      <x:c r="AD162" s="2" t="str">
        <x:v>Maintenance of Carbon stock measurement, monitoring and verification depends on seed, inoculants, filters, drip lines, nozzles, tool parts, sampling containers, sensor batteries, veterinary supplies and protective equipment; critical spares are selected from failure-mode, lead-time and safety analysis for its installed configuration.</x:v>
      </x:c>
      <x:c r="AE162" s="2" t="str">
        <x:v>The software stack for Carbon stock measurement, monitoring and verification requires databases, secure communications, version-controlled models, computing, backup and interfaces with field or operational systems.</x:v>
      </x:c>
      <x:c r="AF162" s="2" t="str">
        <x:v>For Carbon stock measurement, monitoring and verification, software-related energy is electricity for sensing, computing, storage, communication and cooling; it is normally secondary but must be included for data-intensive or continuous services.</x:v>
      </x:c>
      <x:c r="AG162" s="2" t="str">
        <x:v>The non-physical inputs are calibrated data, metadata, algorithms, boundary conditions, emission or hazard factors, manuals and validation records specific to Carbon stock measurement, monitoring and verification.</x:v>
      </x:c>
      <x:c r="AH162" s="2" t="str">
        <x:v>Software continuity for Carbon stock measurement, monitoring and verification requires licences where applicable, updates, cybersecurity patches, backups, calibration files, model validation and technical support.</x:v>
      </x:c>
      <x:c r="AI162" s="2" t="str">
        <x:v>Orgware depends on the institutions, laboratories, training providers, regulators, operators and community interfaces needed to govern Carbon stock measurement, monitoring and verification.</x:v>
      </x:c>
      <x:c r="AJ162" s="2" t="str">
        <x:v>The orgware supporting Carbon stock measurement, monitoring and verification has mainly indirect energy use from offices, meetings, training and information systems; travel and field supervision may be material at dispersed sites.</x:v>
      </x:c>
      <x:c r="AK162" s="2" t="str">
        <x:v>Its organisational inputs are permits, budgets, trained staff, competence records, contracts, procedures, safeguards, monitoring evidence and stakeholder agreements tailored to Carbon stock measurement, monitoring and verification.</x:v>
      </x:c>
      <x:c r="AL162" s="2" t="str">
        <x:v>Sustained implementation of Carbon stock measurement, monitoring and verification requires procurement and service contracts, audit protocols, training material, reporting templates, insurance or guarantees and periodic independent review.</x:v>
      </x:c>
      <x:c r="AM162" s="2" t="str">
        <x:v>Copper; Tin</x:v>
      </x:c>
      <x:c r="AN162" s="2" t="str">
        <x:v>Chile; Democratic Republic of the Congo; Peru; China; Indonesia; Myanmar</x:v>
      </x:c>
      <x:c r="AO162" s="2" t="str">
        <x:v>China; Chile; Democratic Republic of the Congo; Indonesia; Malaysia</x:v>
      </x:c>
      <x:c r="AP162" s="2" t="str">
        <x:v>Carbon stock measurement, monitoring and verification: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2" s="2" t="str">
        <x:v>2024–2025</x:v>
      </x:c>
      <x:c r="AR162" s="2" t="str">
        <x:v>https://pubs.usgs.gov/periodicals/mcs2026/mcs2026.pdf</x:v>
      </x:c>
    </x:row>
    <x:row r="163" ht="240" customHeight="1">
      <x:c r="A163" s="2" t="str">
        <x:v>MIT-0156</x:v>
      </x:c>
      <x:c r="B163" s="2" t="str">
        <x:v>Mitigation</x:v>
      </x:c>
      <x:c r="C163" s="2" t="str">
        <x:v>Forestry</x:v>
      </x:c>
      <x:c r="D163" s="2" t="str">
        <x:v>Reforestation</x:v>
      </x:c>
      <x:c r="E163" s="2" t="str">
        <x:v>Reforestation</x:v>
      </x:c>
      <x:c r="F163" s="2" t="str">
        <x:v>Reforestation is a mitigation technology in the Forestry sector and the Reforestation technology group. It is defined as a combined hardware–software–orgware system that changes vegetation, soil, nutrient, water, crop or livestock management to protect carbon stocks, increase resilience and productivity, and reduce CO₂, CH₄ or N₂O emissions. Reforestation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3" s="2" t="str">
        <x:v>Mixed: adaptable design, site-specific implementation</x:v>
      </x:c>
      <x:c r="H163" s="2" t="str">
        <x:v>Reforestation is adaptable in capacity and configuration but site-specific in final engineering. Its principle remains the same, but resource quality, climate, scale, interfaces and safety constraints must be recalculated for each deployment.</x:v>
      </x:c>
      <x:c r="I163" s="2" t="str">
        <x:v>Primarily hard, with a soft component</x:v>
      </x:c>
      <x:c r="J163" s="2" t="str">
        <x:v>Reforestation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3" s="2" t="str">
        <x:v>Operation</x:v>
      </x:c>
      <x:c r="L163" s="2" t="str">
        <x:v>Reforestation is embodied mainly as an operating practice. The deliverable is accepted only when measurable service, quality, safety and climate-performance criteria are met under real conditions.</x:v>
      </x:c>
      <x:c r="M163" s="2" t="str">
        <x:v>Yes, subject to life-cycle safeguards</x:v>
      </x:c>
      <x:c r="N163" s="2" t="str">
        <x:v>Reforestation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3" s="2" t="str">
        <x:v>Reforestation: field or forest implements, planting and irrigation equipment, storage or livestock facilities, sampling tools, sensors and protective structures as required.</x:v>
      </x:c>
      <x:c r="P163" s="2" t="str">
        <x:v>Reforestation: soil–crop–livestock knowledge, nutrient and water budgets, emission factors, carbon accounting, climate services, monitoring protocols and adaptive management.</x:v>
      </x:c>
      <x:c r="Q163" s="2" t="str">
        <x:v>Reforestation: land tenure, extension, producer organisations, veterinary or phytosanitary services, incentives, safeguards, certification and monitoring arrangements.</x:v>
      </x:c>
      <x:c r="R163" s="2" t="str">
        <x:v>Reforestation: nurseries or seed banks, field access, water and storage systems, laboratories, extension centres, monitoring plots and processing or market facilities.</x:v>
      </x:c>
      <x:c r="S163" s="2" t="str">
        <x:v>Reforestation: human and mechanical work, electricity or fuel for machinery, pumping, cooling and processing; biological energy and solar radiation dominate field processes.</x:v>
      </x:c>
      <x:c r="T163" s="2" t="str">
        <x:v>Reforestation: seed or planting stock, organic matter, fertilisers, soil amendments, water, fencing or structural materials, veterinary inputs and monitoring consumables.</x:v>
      </x:c>
      <x:c r="U163" s="2" t="str">
        <x:v>Reforestation: seed, inoculants, filters, drip lines, nozzles, tool parts, sampling containers, sensor batteries, veterinary supplies and protective equipment.</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https://www.ipcc.ch/report/ar6/wg3/chapter/chapter-7/; https://openknowledge.fao.org/server/api/core/bitstreams/b21f2087-f398-4718-8461-b92afc82e617/content</x:v>
      </x:c>
      <x:c r="Z163" s="2" t="str">
        <x:v>Technology-specific analytical synthesis. The CTCN hierarchy is retained; classifications and component dependencies require validation against the selected design, site and supplier documentation before investment or policy use.</x:v>
      </x:c>
      <x:c r="AA163" s="2" t="str">
        <x:v>Physical deployment of Reforestation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3" s="2" t="str">
        <x:v>For Reforestation,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3" s="2" t="str">
        <x:v>Construction and operation use seed or planting stock, organic matter, fertilisers, soil amendments, water, fencing or structural materials, veterinary inputs and monitoring consumables. For Reforestation, specifications must include durability, compatibility, recycled content and recoverability.</x:v>
      </x:c>
      <x:c r="AD163" s="2" t="str">
        <x:v>Maintenance of Reforestation depends on seed, inoculants, filters, drip lines, nozzles, tool parts, sampling containers, sensor batteries, veterinary supplies and protective equipment; critical spares are selected from failure-mode, lead-time and safety analysis for its installed configuration.</x:v>
      </x:c>
      <x:c r="AE163" s="2" t="str">
        <x:v>The software stack for Reforestation requires databases, secure communications, version-controlled models, computing, backup and interfaces with field or operational systems.</x:v>
      </x:c>
      <x:c r="AF163" s="2" t="str">
        <x:v>For Reforestation, software-related energy is electricity for sensing, computing, storage, communication and cooling; it is normally secondary but must be included for data-intensive or continuous services.</x:v>
      </x:c>
      <x:c r="AG163" s="2" t="str">
        <x:v>The non-physical inputs are calibrated data, metadata, algorithms, boundary conditions, emission or hazard factors, manuals and validation records specific to Reforestation.</x:v>
      </x:c>
      <x:c r="AH163" s="2" t="str">
        <x:v>Software continuity for Reforestation requires licences where applicable, updates, cybersecurity patches, backups, calibration files, model validation and technical support.</x:v>
      </x:c>
      <x:c r="AI163" s="2" t="str">
        <x:v>Orgware depends on the institutions, laboratories, training providers, regulators, operators and community interfaces needed to govern Reforestation.</x:v>
      </x:c>
      <x:c r="AJ163" s="2" t="str">
        <x:v>The orgware supporting Reforestation has mainly indirect energy use from offices, meetings, training and information systems; travel and field supervision may be material at dispersed sites.</x:v>
      </x:c>
      <x:c r="AK163" s="2" t="str">
        <x:v>Its organisational inputs are permits, budgets, trained staff, competence records, contracts, procedures, safeguards, monitoring evidence and stakeholder agreements tailored to Reforestation.</x:v>
      </x:c>
      <x:c r="AL163" s="2" t="str">
        <x:v>Sustained implementation of Reforestation requires procurement and service contracts, audit protocols, training material, reporting templates, insurance or guarantees and periodic independent review.</x:v>
      </x:c>
      <x:c r="AM163" s="2" t="str">
        <x:v>No critical or strategic raw material is identifiable at taxonomy level; site-specific bulk materials may still be required.</x:v>
      </x:c>
      <x:c r="AN163" s="2" t="str"/>
      <x:c r="AO163" s="2" t="str"/>
      <x:c r="AP163" s="2" t="str">
        <x:v>Reforestation: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3" s="2" t="str">
        <x:v>2024–2025</x:v>
      </x:c>
      <x:c r="AR163" s="2" t="str">
        <x:v>https://pubs.usgs.gov/periodicals/mcs2026/mcs2026.pdf; https://www.iea.org/reports/global-critical-minerals-outlook-2025</x:v>
      </x:c>
    </x:row>
    <x:row r="164" ht="240" customHeight="1">
      <x:c r="A164" s="2" t="str">
        <x:v>MIT-0157</x:v>
      </x:c>
      <x:c r="B164" s="2" t="str">
        <x:v>Mitigation</x:v>
      </x:c>
      <x:c r="C164" s="2" t="str">
        <x:v>Forestry</x:v>
      </x:c>
      <x:c r="D164" s="2" t="str">
        <x:v>Biomass carbon measurement and monitoring</x:v>
      </x:c>
      <x:c r="E164" s="2" t="str">
        <x:v>Biomass carbon measurement and monitoring</x:v>
      </x:c>
      <x:c r="F164" s="2" t="str">
        <x:v>Biomass carbon measurement and monitoring is a mitigation technology in the Forestry sector and the Biomass carbon measurement and monitoring technology group. It is defined as a combined hardware–software–orgware system that controls biological or thermochemical conversion of biomass, residues, solid waste or wastewater to avoid methane, recover materials and energy, or stabilise organic matter. Biomass carbon measurement and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64" s="2" t="str">
        <x:v>Mixed: adaptable design, site-specific implementation</x:v>
      </x:c>
      <x:c r="H164" s="2" t="str">
        <x:v>Biomass carbon measurement and monitoring is adaptable in capacity and configuration but site-specific in final engineering. Its principle remains the same, but resource quality, climate, scale, interfaces and safety constraints must be recalculated for each deployment.</x:v>
      </x:c>
      <x:c r="I164" s="2" t="str">
        <x:v>Hard and soft</x:v>
      </x:c>
      <x:c r="J164" s="2" t="str">
        <x:v>Biomass carbon measurement and monitoring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64" s="2" t="str">
        <x:v>Operation and information service</x:v>
      </x:c>
      <x:c r="L164" s="2" t="str">
        <x:v>Biomass carbon measurement and monitoring is embodied mainly as an information and decision service. The deliverable is accepted only when measurable service, quality, safety and climate-performance criteria are met under real conditions.</x:v>
      </x:c>
      <x:c r="M164" s="2" t="str">
        <x:v>Yes, subject to life-cycle safeguards</x:v>
      </x:c>
      <x:c r="N164" s="2" t="str">
        <x:v>Biomass carbon measurement and monitoring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64" s="2" t="str">
        <x:v>Biomass carbon measurement and monitoring: collection and sorting equipment, reactors or digesters, aeration, gas handling, thermal conversion, pollution control and product conditioning.</x:v>
      </x:c>
      <x:c r="P164" s="2" t="str">
        <x:v>Biomass carbon measurement and monitoring: feedstock characterisation, mass balances, biological or thermal process control, methane accounting, quality assurance and logistics optimisation.</x:v>
      </x:c>
      <x:c r="Q164" s="2" t="str">
        <x:v>Biomass carbon measurement and monitoring: waste hierarchy, source separation, collection contracts, emission permits, digestate or product standards, occupational safety and informal-sector inclusion.</x:v>
      </x:c>
      <x:c r="R164" s="2" t="str">
        <x:v>Biomass carbon measurement and monitoring: collection network, transfer and treatment sites, weighbridge, drainage, electricity or heat connection, gas line and residue disposal.</x:v>
      </x:c>
      <x:c r="S164" s="2" t="str">
        <x:v>Biomass carbon measurement and monitoring: electricity, process heat or auxiliary fuel; recovered biogas, syngas, heat or electricity may offset external energy.</x:v>
      </x:c>
      <x:c r="T164" s="2" t="str">
        <x:v>Biomass carbon measurement and monitoring: steel, concrete, polymers, filters, catalysts or sorbents, biological inoculum and treatment chemicals according to the process.</x:v>
      </x:c>
      <x:c r="U164" s="2" t="str">
        <x:v>Biomass carbon measurement and monitoring: pumps, screens, blowers, mixers, seals, burners, analysers, filter media, reagents and personal protective equipment.</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https://www.ipcc.ch/report/ar6/wg3/chapter/chapter-7/; https://www.unep.org/resources/report/global-waste-management-outlook-2024</x:v>
      </x:c>
      <x:c r="Z164" s="2" t="str">
        <x:v>Technology-specific analytical synthesis. The CTCN hierarchy is retained; classifications and component dependencies require validation against the selected design, site and supplier documentation before investment or policy use.</x:v>
      </x:c>
      <x:c r="AA164" s="2" t="str">
        <x:v>Physical deployment of Biomass carbon measurement and monitoring requires collection network, transfer and treatment sites, weighbridge, drainage, electricity or heat connection, gas line and residue disposal; interfaces, foundations, access and environmental protection are sized to the specific resource and design load.</x:v>
      </x:c>
      <x:c r="AB164" s="2" t="str">
        <x:v>For Biomass carbon measurement and monitoring, the hardware energy balance comprises electricity, process heat or auxiliary fuel; recovered biogas, syngas, heat or electricity may offset external energy; metering must separate useful output, conversion losses and auxiliaries for the selected design.</x:v>
      </x:c>
      <x:c r="AC164" s="2" t="str">
        <x:v>Construction and operation use steel, concrete, polymers, filters, catalysts or sorbents, biological inoculum and treatment chemicals according to the process. For Biomass carbon measurement and monitoring, specifications must include durability, compatibility, recycled content and recoverability.</x:v>
      </x:c>
      <x:c r="AD164" s="2" t="str">
        <x:v>Maintenance of Biomass carbon measurement and monitoring depends on pumps, screens, blowers, mixers, seals, burners, analysers, filter media, reagents and personal protective equipment; critical spares are selected from failure-mode, lead-time and safety analysis for its installed configuration.</x:v>
      </x:c>
      <x:c r="AE164" s="2" t="str">
        <x:v>The software stack for Biomass carbon measurement and monitoring requires databases, secure communications, version-controlled models, computing, backup and interfaces with field or operational systems.</x:v>
      </x:c>
      <x:c r="AF164" s="2" t="str">
        <x:v>For Biomass carbon measurement and monitoring, software-related energy is electricity for sensing, computing, storage, communication and cooling; it is normally secondary but must be included for data-intensive or continuous services.</x:v>
      </x:c>
      <x:c r="AG164" s="2" t="str">
        <x:v>The non-physical inputs are calibrated data, metadata, algorithms, boundary conditions, emission or hazard factors, manuals and validation records specific to Biomass carbon measurement and monitoring.</x:v>
      </x:c>
      <x:c r="AH164" s="2" t="str">
        <x:v>Software continuity for Biomass carbon measurement and monitoring requires licences where applicable, updates, cybersecurity patches, backups, calibration files, model validation and technical support.</x:v>
      </x:c>
      <x:c r="AI164" s="2" t="str">
        <x:v>Orgware depends on the institutions, laboratories, training providers, regulators, operators and community interfaces needed to govern Biomass carbon measurement and monitoring.</x:v>
      </x:c>
      <x:c r="AJ164" s="2" t="str">
        <x:v>The orgware supporting Biomass carbon measurement and monitoring has mainly indirect energy use from offices, meetings, training and information systems; travel and field supervision may be material at dispersed sites.</x:v>
      </x:c>
      <x:c r="AK164" s="2" t="str">
        <x:v>Its organisational inputs are permits, budgets, trained staff, competence records, contracts, procedures, safeguards, monitoring evidence and stakeholder agreements tailored to Biomass carbon measurement and monitoring.</x:v>
      </x:c>
      <x:c r="AL164" s="2" t="str">
        <x:v>Sustained implementation of Biomass carbon measurement and monitoring requires procurement and service contracts, audit protocols, training material, reporting templates, insurance or guarantees and periodic independent review.</x:v>
      </x:c>
      <x:c r="AM164" s="2" t="str">
        <x:v>Iron ore / steel inputs; Copper; Tin</x:v>
      </x:c>
      <x:c r="AN164" s="2" t="str">
        <x:v>Australia; Brazil; China; Chile; Democratic Republic of the Congo; Peru; Indonesia; Myanmar</x:v>
      </x:c>
      <x:c r="AO164" s="2" t="str">
        <x:v>China; India; Japan; Chile; Democratic Republic of the Congo; Indonesia; Malaysia</x:v>
      </x:c>
      <x:c r="AP164" s="2" t="str">
        <x:v>Biomass carbon measurement and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4" s="2" t="str">
        <x:v>2024–2025</x:v>
      </x:c>
      <x:c r="AR164" s="2" t="str">
        <x:v>https://pubs.usgs.gov/periodicals/mcs2026/mcs2026.pdf</x:v>
      </x:c>
    </x:row>
    <x:row r="165" ht="240" customHeight="1">
      <x:c r="A165" s="2" t="str">
        <x:v>MIT-0158</x:v>
      </x:c>
      <x:c r="B165" s="2" t="str">
        <x:v>Mitigation</x:v>
      </x:c>
      <x:c r="C165" s="2" t="str">
        <x:v>Agriculture</x:v>
      </x:c>
      <x:c r="D165" s="2" t="str">
        <x:v>Grassland management</x:v>
      </x:c>
      <x:c r="E165" s="2" t="str">
        <x:v>Grassland management</x:v>
      </x:c>
      <x:c r="F165" s="2" t="str">
        <x:v>Grassland management is a mitigation technology in the Agriculture sector and the Grassland management technology group. It is defined as a combined hardware–software–orgware system that changes vegetation, soil, nutrient, water, crop or livestock management to protect carbon stocks, increase resilience and productivity, and reduce CO₂, CH₄ or N₂O emissions. Grassland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5" s="2" t="str">
        <x:v>Flexible</x:v>
      </x:c>
      <x:c r="H165" s="2" t="str">
        <x:v>Grassland management is transferable through configurable methods, rules and operating parameters. Its principle remains the same, but resource quality, climate, scale, interfaces and safety constraints must be recalculated for each deployment.</x:v>
      </x:c>
      <x:c r="I165" s="2" t="str">
        <x:v>Primarily soft, with physical support</x:v>
      </x:c>
      <x:c r="J165" s="2" t="str">
        <x:v>Grassland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5" s="2" t="str">
        <x:v>Operation</x:v>
      </x:c>
      <x:c r="L165" s="2" t="str">
        <x:v>Grassland management is embodied mainly as an operating practice. The deliverable is accepted only when measurable service, quality, safety and climate-performance criteria are met under real conditions.</x:v>
      </x:c>
      <x:c r="M165" s="2" t="str">
        <x:v>Yes, subject to life-cycle safeguards</x:v>
      </x:c>
      <x:c r="N165" s="2" t="str">
        <x:v>Grassland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5" s="2" t="str">
        <x:v>Grassland management: field or forest implements, planting and irrigation equipment, storage or livestock facilities, sampling tools, sensors and protective structures as required.</x:v>
      </x:c>
      <x:c r="P165" s="2" t="str">
        <x:v>Grassland management: soil–crop–livestock knowledge, nutrient and water budgets, emission factors, carbon accounting, climate services, monitoring protocols and adaptive management.</x:v>
      </x:c>
      <x:c r="Q165" s="2" t="str">
        <x:v>Grassland management: land tenure, extension, producer organisations, veterinary or phytosanitary services, incentives, safeguards, certification and monitoring arrangements.</x:v>
      </x:c>
      <x:c r="R165" s="2" t="str">
        <x:v>Grassland management: nurseries or seed banks, field access, water and storage systems, laboratories, extension centres, monitoring plots and processing or market facilities.</x:v>
      </x:c>
      <x:c r="S165" s="2" t="str">
        <x:v>Grassland management: human and mechanical work, electricity or fuel for machinery, pumping, cooling and processing; biological energy and solar radiation dominate field processes.</x:v>
      </x:c>
      <x:c r="T165" s="2" t="str">
        <x:v>Grassland management: seed or planting stock, organic matter, fertilisers, soil amendments, water, fencing or structural materials, veterinary inputs and monitoring consumables.</x:v>
      </x:c>
      <x:c r="U165" s="2" t="str">
        <x:v>Grassland management: seed, inoculants, filters, drip lines, nozzles, tool parts, sampling containers, sensor batteries, veterinary supplies and protective equipment.</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https://www.ipcc.ch/report/ar6/wg3/chapter/chapter-7/; https://openknowledge.fao.org/server/api/core/bitstreams/b21f2087-f398-4718-8461-b92afc82e617/content</x:v>
      </x:c>
      <x:c r="Z165" s="2" t="str">
        <x:v>Technology-specific analytical synthesis. The CTCN hierarchy is retained; classifications and component dependencies require validation against the selected design, site and supplier documentation before investment or policy use.</x:v>
      </x:c>
      <x:c r="AA165" s="2" t="str">
        <x:v>Physical deployment of Grassland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5" s="2" t="str">
        <x:v>For Grassland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5" s="2" t="str">
        <x:v>Construction and operation use seed or planting stock, organic matter, fertilisers, soil amendments, water, fencing or structural materials, veterinary inputs and monitoring consumables. For Grassland management, specifications must include durability, compatibility, recycled content and recoverability.</x:v>
      </x:c>
      <x:c r="AD165" s="2" t="str">
        <x:v>Maintenance of Grassland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165" s="2" t="str">
        <x:v>The software stack for Grassland management requires databases, secure communications, version-controlled models, computing, backup and interfaces with field or operational systems.</x:v>
      </x:c>
      <x:c r="AF165" s="2" t="str">
        <x:v>For Grassland management, software-related energy is electricity for sensing, computing, storage, communication and cooling; it is normally secondary but must be included for data-intensive or continuous services.</x:v>
      </x:c>
      <x:c r="AG165" s="2" t="str">
        <x:v>The non-physical inputs are calibrated data, metadata, algorithms, boundary conditions, emission or hazard factors, manuals and validation records specific to Grassland management.</x:v>
      </x:c>
      <x:c r="AH165" s="2" t="str">
        <x:v>Software continuity for Grassland management requires licences where applicable, updates, cybersecurity patches, backups, calibration files, model validation and technical support.</x:v>
      </x:c>
      <x:c r="AI165" s="2" t="str">
        <x:v>Orgware depends on the institutions, laboratories, training providers, regulators, operators and community interfaces needed to govern Grassland management.</x:v>
      </x:c>
      <x:c r="AJ165" s="2" t="str">
        <x:v>The orgware supporting Grassland management has mainly indirect energy use from offices, meetings, training and information systems; travel and field supervision may be material at dispersed sites.</x:v>
      </x:c>
      <x:c r="AK165" s="2" t="str">
        <x:v>Its organisational inputs are permits, budgets, trained staff, competence records, contracts, procedures, safeguards, monitoring evidence and stakeholder agreements tailored to Grassland management.</x:v>
      </x:c>
      <x:c r="AL165" s="2" t="str">
        <x:v>Sustained implementation of Grassland management requires procurement and service contracts, audit protocols, training material, reporting templates, insurance or guarantees and periodic independent review.</x:v>
      </x:c>
      <x:c r="AM165" s="2" t="str">
        <x:v>No critical or strategic raw material is identifiable at taxonomy level; site-specific bulk materials may still be required.</x:v>
      </x:c>
      <x:c r="AN165" s="2" t="str"/>
      <x:c r="AO165" s="2" t="str"/>
      <x:c r="AP165" s="2" t="str">
        <x:v>Grassland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5" s="2" t="str">
        <x:v>2024–2025</x:v>
      </x:c>
      <x:c r="AR165" s="2" t="str">
        <x:v>https://pubs.usgs.gov/periodicals/mcs2026/mcs2026.pdf</x:v>
      </x:c>
    </x:row>
    <x:row r="166" ht="240" customHeight="1">
      <x:c r="A166" s="2" t="str">
        <x:v>MIT-0159</x:v>
      </x:c>
      <x:c r="B166" s="2" t="str">
        <x:v>Mitigation</x:v>
      </x:c>
      <x:c r="C166" s="2" t="str">
        <x:v>Agriculture</x:v>
      </x:c>
      <x:c r="D166" s="2" t="str">
        <x:v>Demand efficiency</x:v>
      </x:c>
      <x:c r="E166" s="2" t="str">
        <x:v>Minimizing food waste</x:v>
      </x:c>
      <x:c r="F166" s="2" t="str">
        <x:v>Minimizing food waste is a mitigation technology in the Agriculture sector and the Demand efficiency technology group. It is defined as a combined hardware–software–orgware system that controls biological or thermochemical conversion of biomass, residues, solid waste or wastewater to avoid methane, recover materials and energy, or stabilise organic matter. Minimizing food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66" s="2" t="str">
        <x:v>Mixed: adaptable design, site-specific implementation</x:v>
      </x:c>
      <x:c r="H166" s="2" t="str">
        <x:v>Minimizing food waste is adaptable in capacity and configuration but site-specific in final engineering. Its principle remains the same, but resource quality, climate, scale, interfaces and safety constraints must be recalculated for each deployment.</x:v>
      </x:c>
      <x:c r="I166" s="2" t="str">
        <x:v>Primarily hard, with a soft component</x:v>
      </x:c>
      <x:c r="J166" s="2" t="str">
        <x:v>Minimizing food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66" s="2" t="str">
        <x:v>Equipment and operation</x:v>
      </x:c>
      <x:c r="L166" s="2" t="str">
        <x:v>Minimizing food waste is embodied mainly as an equipment-and-operation system. The deliverable is accepted only when measurable service, quality, safety and climate-performance criteria are met under real conditions.</x:v>
      </x:c>
      <x:c r="M166" s="2" t="str">
        <x:v>Yes, subject to life-cycle safeguards</x:v>
      </x:c>
      <x:c r="N166" s="2" t="str">
        <x:v>Minimizing food waste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66" s="2" t="str">
        <x:v>Minimizing food waste: collection and sorting equipment, reactors or digesters, aeration, gas handling, thermal conversion, pollution control and product conditioning.</x:v>
      </x:c>
      <x:c r="P166" s="2" t="str">
        <x:v>Minimizing food waste: feedstock characterisation, mass balances, biological or thermal process control, methane accounting, quality assurance and logistics optimisation.</x:v>
      </x:c>
      <x:c r="Q166" s="2" t="str">
        <x:v>Minimizing food waste: waste hierarchy, source separation, collection contracts, emission permits, digestate or product standards, occupational safety and informal-sector inclusion.</x:v>
      </x:c>
      <x:c r="R166" s="2" t="str">
        <x:v>Minimizing food waste: collection network, transfer and treatment sites, weighbridge, drainage, electricity or heat connection, gas line and residue disposal.</x:v>
      </x:c>
      <x:c r="S166" s="2" t="str">
        <x:v>Minimizing food waste: electricity, process heat or auxiliary fuel; recovered biogas, syngas, heat or electricity may offset external energy.</x:v>
      </x:c>
      <x:c r="T166" s="2" t="str">
        <x:v>Minimizing food waste: steel, concrete, polymers, filters, catalysts or sorbents, biological inoculum and treatment chemicals according to the process.</x:v>
      </x:c>
      <x:c r="U166" s="2" t="str">
        <x:v>Minimizing food waste: pumps, screens, blowers, mixers, seals, burners, analysers, filter media, reagents and personal protective equipment.</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https://www.ipcc.ch/report/ar6/wg3/chapter/chapter-7/; https://www.unep.org/resources/report/global-waste-management-outlook-2024</x:v>
      </x:c>
      <x:c r="Z166" s="2" t="str">
        <x:v>Technology-specific analytical synthesis. The CTCN hierarchy is retained; classifications and component dependencies require validation against the selected design, site and supplier documentation before investment or policy use.</x:v>
      </x:c>
      <x:c r="AA166" s="2" t="str">
        <x:v>Physical deployment of Minimizing food waste requires collection network, transfer and treatment sites, weighbridge, drainage, electricity or heat connection, gas line and residue disposal; interfaces, foundations, access and environmental protection are sized to the specific resource and design load.</x:v>
      </x:c>
      <x:c r="AB166" s="2" t="str">
        <x:v>For Minimizing food waste, the hardware energy balance comprises electricity, process heat or auxiliary fuel; recovered biogas, syngas, heat or electricity may offset external energy; metering must separate useful output, conversion losses and auxiliaries for the selected design.</x:v>
      </x:c>
      <x:c r="AC166" s="2" t="str">
        <x:v>Construction and operation use steel, concrete, polymers, filters, catalysts or sorbents, biological inoculum and treatment chemicals according to the process. For Minimizing food waste, specifications must include durability, compatibility, recycled content and recoverability.</x:v>
      </x:c>
      <x:c r="AD166" s="2" t="str">
        <x:v>Maintenance of Minimizing food waste depends on pumps, screens, blowers, mixers, seals, burners, analysers, filter media, reagents and personal protective equipment; critical spares are selected from failure-mode, lead-time and safety analysis for its installed configuration.</x:v>
      </x:c>
      <x:c r="AE166" s="2" t="str">
        <x:v>The software stack for Minimizing food waste requires databases, secure communications, version-controlled models, computing, backup and interfaces with field or operational systems.</x:v>
      </x:c>
      <x:c r="AF166" s="2" t="str">
        <x:v>For Minimizing food waste, software-related energy is electricity for sensing, computing, storage, communication and cooling; it is normally secondary but must be included for data-intensive or continuous services.</x:v>
      </x:c>
      <x:c r="AG166" s="2" t="str">
        <x:v>The non-physical inputs are calibrated data, metadata, algorithms, boundary conditions, emission or hazard factors, manuals and validation records specific to Minimizing food waste.</x:v>
      </x:c>
      <x:c r="AH166" s="2" t="str">
        <x:v>Software continuity for Minimizing food waste requires licences where applicable, updates, cybersecurity patches, backups, calibration files, model validation and technical support.</x:v>
      </x:c>
      <x:c r="AI166" s="2" t="str">
        <x:v>Orgware depends on the institutions, laboratories, training providers, regulators, operators and community interfaces needed to govern Minimizing food waste.</x:v>
      </x:c>
      <x:c r="AJ166" s="2" t="str">
        <x:v>The orgware supporting Minimizing food waste has mainly indirect energy use from offices, meetings, training and information systems; travel and field supervision may be material at dispersed sites.</x:v>
      </x:c>
      <x:c r="AK166" s="2" t="str">
        <x:v>Its organisational inputs are permits, budgets, trained staff, competence records, contracts, procedures, safeguards, monitoring evidence and stakeholder agreements tailored to Minimizing food waste.</x:v>
      </x:c>
      <x:c r="AL166" s="2" t="str">
        <x:v>Sustained implementation of Minimizing food waste requires procurement and service contracts, audit protocols, training material, reporting templates, insurance or guarantees and periodic independent review.</x:v>
      </x:c>
      <x:c r="AM166" s="2" t="str">
        <x:v>Iron ore / steel inputs</x:v>
      </x:c>
      <x:c r="AN166" s="2" t="str">
        <x:v>Australia; Brazil; China</x:v>
      </x:c>
      <x:c r="AO166" s="2" t="str">
        <x:v>China; India; Japan</x:v>
      </x:c>
      <x:c r="AP166" s="2" t="str">
        <x:v>Minimizing food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6" s="2" t="str">
        <x:v>2024–2025</x:v>
      </x:c>
      <x:c r="AR166" s="2" t="str">
        <x:v>https://pubs.usgs.gov/periodicals/mcs2026/mcs2026.pdf</x:v>
      </x:c>
    </x:row>
    <x:row r="167" ht="240" customHeight="1">
      <x:c r="A167" s="2" t="str">
        <x:v>MIT-0160</x:v>
      </x:c>
      <x:c r="B167" s="2" t="str">
        <x:v>Mitigation</x:v>
      </x:c>
      <x:c r="C167" s="2" t="str">
        <x:v>Agriculture</x:v>
      </x:c>
      <x:c r="D167" s="2" t="str">
        <x:v>Demand efficiency</x:v>
      </x:c>
      <x:c r="E167" s="2" t="str">
        <x:v>Dietary changes</x:v>
      </x:c>
      <x:c r="F167" s="2" t="str">
        <x:v>Dietary changes is a mitigation technology in the Agriculture sector and the Demand efficiency technology group. It is defined as a combined hardware–software–orgware system that changes vegetation, soil, nutrient, water, crop or livestock management to protect carbon stocks, increase resilience and productivity, and reduce CO₂, CH₄ or N₂O emissions. Dietary changes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7" s="2" t="str">
        <x:v>Flexible</x:v>
      </x:c>
      <x:c r="H167" s="2" t="str">
        <x:v>Dietary changes is transferable through configurable methods, rules and operating parameters. Its principle remains the same, but resource quality, climate, scale, interfaces and safety constraints must be recalculated for each deployment.</x:v>
      </x:c>
      <x:c r="I167" s="2" t="str">
        <x:v>Primarily soft, with physical support</x:v>
      </x:c>
      <x:c r="J167" s="2" t="str">
        <x:v>Dietary changes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7" s="2" t="str">
        <x:v>Operation</x:v>
      </x:c>
      <x:c r="L167" s="2" t="str">
        <x:v>Dietary changes is embodied mainly as an operating practice. The deliverable is accepted only when measurable service, quality, safety and climate-performance criteria are met under real conditions.</x:v>
      </x:c>
      <x:c r="M167" s="2" t="str">
        <x:v>Yes, subject to life-cycle safeguards</x:v>
      </x:c>
      <x:c r="N167" s="2" t="str">
        <x:v>Dietary changes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7" s="2" t="str">
        <x:v>Dietary changes: field or forest implements, planting and irrigation equipment, storage or livestock facilities, sampling tools, sensors and protective structures as required.</x:v>
      </x:c>
      <x:c r="P167" s="2" t="str">
        <x:v>Dietary changes: soil–crop–livestock knowledge, nutrient and water budgets, emission factors, carbon accounting, climate services, monitoring protocols and adaptive management.</x:v>
      </x:c>
      <x:c r="Q167" s="2" t="str">
        <x:v>Dietary changes: land tenure, extension, producer organisations, veterinary or phytosanitary services, incentives, safeguards, certification and monitoring arrangements.</x:v>
      </x:c>
      <x:c r="R167" s="2" t="str">
        <x:v>Dietary changes: nurseries or seed banks, field access, water and storage systems, laboratories, extension centres, monitoring plots and processing or market facilities.</x:v>
      </x:c>
      <x:c r="S167" s="2" t="str">
        <x:v>Dietary changes: human and mechanical work, electricity or fuel for machinery, pumping, cooling and processing; biological energy and solar radiation dominate field processes.</x:v>
      </x:c>
      <x:c r="T167" s="2" t="str">
        <x:v>Dietary changes: seed or planting stock, organic matter, fertilisers, soil amendments, water, fencing or structural materials, veterinary inputs and monitoring consumables.</x:v>
      </x:c>
      <x:c r="U167" s="2" t="str">
        <x:v>Dietary changes: seed, inoculants, filters, drip lines, nozzles, tool parts, sampling containers, sensor batteries, veterinary supplies and protective equipment.</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https://www.ipcc.ch/report/ar6/wg3/chapter/chapter-7/; https://openknowledge.fao.org/server/api/core/bitstreams/b21f2087-f398-4718-8461-b92afc82e617/content</x:v>
      </x:c>
      <x:c r="Z167" s="2" t="str">
        <x:v>Technology-specific analytical synthesis. The CTCN hierarchy is retained; classifications and component dependencies require validation against the selected design, site and supplier documentation before investment or policy use.</x:v>
      </x:c>
      <x:c r="AA167" s="2" t="str">
        <x:v>Physical deployment of Dietary changes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7" s="2" t="str">
        <x:v>For Dietary changes,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7" s="2" t="str">
        <x:v>Construction and operation use seed or planting stock, organic matter, fertilisers, soil amendments, water, fencing or structural materials, veterinary inputs and monitoring consumables. For Dietary changes, specifications must include durability, compatibility, recycled content and recoverability.</x:v>
      </x:c>
      <x:c r="AD167" s="2" t="str">
        <x:v>Maintenance of Dietary changes depends on seed, inoculants, filters, drip lines, nozzles, tool parts, sampling containers, sensor batteries, veterinary supplies and protective equipment; critical spares are selected from failure-mode, lead-time and safety analysis for its installed configuration.</x:v>
      </x:c>
      <x:c r="AE167" s="2" t="str">
        <x:v>The software stack for Dietary changes requires databases, secure communications, version-controlled models, computing, backup and interfaces with field or operational systems.</x:v>
      </x:c>
      <x:c r="AF167" s="2" t="str">
        <x:v>For Dietary changes, software-related energy is electricity for sensing, computing, storage, communication and cooling; it is normally secondary but must be included for data-intensive or continuous services.</x:v>
      </x:c>
      <x:c r="AG167" s="2" t="str">
        <x:v>The non-physical inputs are calibrated data, metadata, algorithms, boundary conditions, emission or hazard factors, manuals and validation records specific to Dietary changes.</x:v>
      </x:c>
      <x:c r="AH167" s="2" t="str">
        <x:v>Software continuity for Dietary changes requires licences where applicable, updates, cybersecurity patches, backups, calibration files, model validation and technical support.</x:v>
      </x:c>
      <x:c r="AI167" s="2" t="str">
        <x:v>Orgware depends on the institutions, laboratories, training providers, regulators, operators and community interfaces needed to govern Dietary changes.</x:v>
      </x:c>
      <x:c r="AJ167" s="2" t="str">
        <x:v>The orgware supporting Dietary changes has mainly indirect energy use from offices, meetings, training and information systems; travel and field supervision may be material at dispersed sites.</x:v>
      </x:c>
      <x:c r="AK167" s="2" t="str">
        <x:v>Its organisational inputs are permits, budgets, trained staff, competence records, contracts, procedures, safeguards, monitoring evidence and stakeholder agreements tailored to Dietary changes.</x:v>
      </x:c>
      <x:c r="AL167" s="2" t="str">
        <x:v>Sustained implementation of Dietary changes requires procurement and service contracts, audit protocols, training material, reporting templates, insurance or guarantees and periodic independent review.</x:v>
      </x:c>
      <x:c r="AM167" s="2" t="str">
        <x:v>No critical or strategic raw material is identifiable at taxonomy level; site-specific bulk materials may still be required.</x:v>
      </x:c>
      <x:c r="AN167" s="2" t="str"/>
      <x:c r="AO167" s="2" t="str"/>
      <x:c r="AP167" s="2" t="str">
        <x:v>Dietary changes: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7" s="2" t="str">
        <x:v>2024–2025</x:v>
      </x:c>
      <x:c r="AR167" s="2" t="str">
        <x:v>https://pubs.usgs.gov/periodicals/mcs2026/mcs2026.pdf</x:v>
      </x:c>
    </x:row>
    <x:row r="168" ht="240" customHeight="1">
      <x:c r="A168" s="2" t="str">
        <x:v>MIT-0161</x:v>
      </x:c>
      <x:c r="B168" s="2" t="str">
        <x:v>Mitigation</x:v>
      </x:c>
      <x:c r="C168" s="2" t="str">
        <x:v>Agriculture</x:v>
      </x:c>
      <x:c r="D168" s="2" t="str">
        <x:v>Cropland</x:v>
      </x:c>
      <x:c r="E168" s="2" t="str">
        <x:v>Crop varieties with enhanced carbon sequestration</x:v>
      </x:c>
      <x:c r="F168" s="2" t="str">
        <x:v>Crop varieties with enhanced carbon sequestration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Crop varieties with enhanced carbon sequestration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8" s="2" t="str">
        <x:v>Mixed: adaptable design, site-specific implementation</x:v>
      </x:c>
      <x:c r="H168" s="2" t="str">
        <x:v>Crop varieties with enhanced carbon sequestration is adaptable in capacity and configuration but site-specific in final engineering. Its principle remains the same, but resource quality, climate, scale, interfaces and safety constraints must be recalculated for each deployment.</x:v>
      </x:c>
      <x:c r="I168" s="2" t="str">
        <x:v>Primarily hard, with a soft component</x:v>
      </x:c>
      <x:c r="J168" s="2" t="str">
        <x:v>Crop varieties with enhanced carbon sequestration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8" s="2" t="str">
        <x:v>Product and equipment; complementary operation</x:v>
      </x:c>
      <x:c r="L168" s="2" t="str">
        <x:v>Crop varieties with enhanced carbon sequestration is embodied mainly as a product/equipment package. The deliverable is accepted only when measurable service, quality, safety and climate-performance criteria are met under real conditions.</x:v>
      </x:c>
      <x:c r="M168" s="2" t="str">
        <x:v>Yes, subject to life-cycle safeguards</x:v>
      </x:c>
      <x:c r="N168" s="2" t="str">
        <x:v>Crop varieties with enhanced carbon sequestration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8" s="2" t="str">
        <x:v>Crop varieties with enhanced carbon sequestration: field or forest implements, planting and irrigation equipment, storage or livestock facilities, sampling tools, sensors and protective structures as required.</x:v>
      </x:c>
      <x:c r="P168" s="2" t="str">
        <x:v>Crop varieties with enhanced carbon sequestration: soil–crop–livestock knowledge, nutrient and water budgets, emission factors, carbon accounting, climate services, monitoring protocols and adaptive management.</x:v>
      </x:c>
      <x:c r="Q168" s="2" t="str">
        <x:v>Crop varieties with enhanced carbon sequestration: land tenure, extension, producer organisations, veterinary or phytosanitary services, incentives, safeguards, certification and monitoring arrangements.</x:v>
      </x:c>
      <x:c r="R168" s="2" t="str">
        <x:v>Crop varieties with enhanced carbon sequestration: nurseries or seed banks, field access, water and storage systems, laboratories, extension centres, monitoring plots and processing or market facilities.</x:v>
      </x:c>
      <x:c r="S168" s="2" t="str">
        <x:v>Crop varieties with enhanced carbon sequestration: human and mechanical work, electricity or fuel for machinery, pumping, cooling and processing; biological energy and solar radiation dominate field processes.</x:v>
      </x:c>
      <x:c r="T168" s="2" t="str">
        <x:v>Crop varieties with enhanced carbon sequestration: seed or planting stock, organic matter, fertilisers, soil amendments, water, fencing or structural materials, veterinary inputs and monitoring consumables.</x:v>
      </x:c>
      <x:c r="U168" s="2" t="str">
        <x:v>Crop varieties with enhanced carbon sequestration: seed, inoculants, filters, drip lines, nozzles, tool parts, sampling containers, sensor batteries, veterinary supplies and protective equipment.</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https://www.ipcc.ch/report/ar6/wg3/chapter/chapter-7/; https://openknowledge.fao.org/server/api/core/bitstreams/b21f2087-f398-4718-8461-b92afc82e617/content</x:v>
      </x:c>
      <x:c r="Z168" s="2" t="str">
        <x:v>Technology-specific analytical synthesis. The CTCN hierarchy is retained; classifications and component dependencies require validation against the selected design, site and supplier documentation before investment or policy use.</x:v>
      </x:c>
      <x:c r="AA168" s="2" t="str">
        <x:v>Physical deployment of Crop varieties with enhanced carbon sequestration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8" s="2" t="str">
        <x:v>For Crop varieties with enhanced carbon sequestration,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8" s="2" t="str">
        <x:v>Construction and operation use seed or planting stock, organic matter, fertilisers, soil amendments, water, fencing or structural materials, veterinary inputs and monitoring consumables. For Crop varieties with enhanced carbon sequestration, specifications must include durability, compatibility, recycled content and recoverability.</x:v>
      </x:c>
      <x:c r="AD168" s="2" t="str">
        <x:v>Maintenance of Crop varieties with enhanced carbon sequestration depends on seed, inoculants, filters, drip lines, nozzles, tool parts, sampling containers, sensor batteries, veterinary supplies and protective equipment; critical spares are selected from failure-mode, lead-time and safety analysis for its installed configuration.</x:v>
      </x:c>
      <x:c r="AE168" s="2" t="str">
        <x:v>The software stack for Crop varieties with enhanced carbon sequestration requires databases, secure communications, version-controlled models, computing, backup and interfaces with field or operational systems.</x:v>
      </x:c>
      <x:c r="AF168" s="2" t="str">
        <x:v>For Crop varieties with enhanced carbon sequestration, software-related energy is electricity for sensing, computing, storage, communication and cooling; it is normally secondary but must be included for data-intensive or continuous services.</x:v>
      </x:c>
      <x:c r="AG168" s="2" t="str">
        <x:v>The non-physical inputs are calibrated data, metadata, algorithms, boundary conditions, emission or hazard factors, manuals and validation records specific to Crop varieties with enhanced carbon sequestration.</x:v>
      </x:c>
      <x:c r="AH168" s="2" t="str">
        <x:v>Software continuity for Crop varieties with enhanced carbon sequestration requires licences where applicable, updates, cybersecurity patches, backups, calibration files, model validation and technical support.</x:v>
      </x:c>
      <x:c r="AI168" s="2" t="str">
        <x:v>Orgware depends on the institutions, laboratories, training providers, regulators, operators and community interfaces needed to govern Crop varieties with enhanced carbon sequestration.</x:v>
      </x:c>
      <x:c r="AJ168" s="2" t="str">
        <x:v>The orgware supporting Crop varieties with enhanced carbon sequestration has mainly indirect energy use from offices, meetings, training and information systems; travel and field supervision may be material at dispersed sites.</x:v>
      </x:c>
      <x:c r="AK168" s="2" t="str">
        <x:v>Its organisational inputs are permits, budgets, trained staff, competence records, contracts, procedures, safeguards, monitoring evidence and stakeholder agreements tailored to Crop varieties with enhanced carbon sequestration.</x:v>
      </x:c>
      <x:c r="AL168" s="2" t="str">
        <x:v>Sustained implementation of Crop varieties with enhanced carbon sequestration requires procurement and service contracts, audit protocols, training material, reporting templates, insurance or guarantees and periodic independent review.</x:v>
      </x:c>
      <x:c r="AM168" s="2" t="str">
        <x:v>Phosphate rock; Potash</x:v>
      </x:c>
      <x:c r="AN168" s="2" t="str">
        <x:v>China; Morocco; United States; Canada; Russia; Belarus</x:v>
      </x:c>
      <x:c r="AO168" s="2" t="str">
        <x:v>China; Morocco; United States; Canada; Russia; Belarus</x:v>
      </x:c>
      <x:c r="AP168" s="2" t="str">
        <x:v>Crop varieties with enhanced carbon sequestration: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8" s="2" t="str">
        <x:v>2024–2025</x:v>
      </x:c>
      <x:c r="AR168" s="2" t="str">
        <x:v>https://pubs.usgs.gov/periodicals/mcs2026/mcs2026.pdf</x:v>
      </x:c>
    </x:row>
    <x:row r="169" ht="240" customHeight="1">
      <x:c r="A169" s="2" t="str">
        <x:v>MIT-0162</x:v>
      </x:c>
      <x:c r="B169" s="2" t="str">
        <x:v>Mitigation</x:v>
      </x:c>
      <x:c r="C169" s="2" t="str">
        <x:v>Agriculture</x:v>
      </x:c>
      <x:c r="D169" s="2" t="str">
        <x:v>Cropland</x:v>
      </x:c>
      <x:c r="E169" s="2" t="str">
        <x:v>Nutrient management: mycorrhiza</x:v>
      </x:c>
      <x:c r="F169" s="2" t="str">
        <x:v>Nutrient management: mycorrhiza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Nutrient management: mycorrhiza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9" s="2" t="str">
        <x:v>Flexible</x:v>
      </x:c>
      <x:c r="H169" s="2" t="str">
        <x:v>Nutrient management: mycorrhiza is transferable through configurable methods, rules and operating parameters. Its principle remains the same, but resource quality, climate, scale, interfaces and safety constraints must be recalculated for each deployment.</x:v>
      </x:c>
      <x:c r="I169" s="2" t="str">
        <x:v>Primarily soft, with physical support</x:v>
      </x:c>
      <x:c r="J169" s="2" t="str">
        <x:v>Nutrient management: mycorrhiza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9" s="2" t="str">
        <x:v>Operation</x:v>
      </x:c>
      <x:c r="L169" s="2" t="str">
        <x:v>Nutrient management: mycorrhiza is embodied mainly as an operating practice. The deliverable is accepted only when measurable service, quality, safety and climate-performance criteria are met under real conditions.</x:v>
      </x:c>
      <x:c r="M169" s="2" t="str">
        <x:v>Yes, subject to life-cycle safeguards</x:v>
      </x:c>
      <x:c r="N169" s="2" t="str">
        <x:v>Nutrient management: mycorrhiza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9" s="2" t="str">
        <x:v>Nutrient management: mycorrhiza: field or forest implements, planting and irrigation equipment, storage or livestock facilities, sampling tools, sensors and protective structures as required.</x:v>
      </x:c>
      <x:c r="P169" s="2" t="str">
        <x:v>Nutrient management: mycorrhiza: soil–crop–livestock knowledge, nutrient and water budgets, emission factors, carbon accounting, climate services, monitoring protocols and adaptive management.</x:v>
      </x:c>
      <x:c r="Q169" s="2" t="str">
        <x:v>Nutrient management: mycorrhiza: land tenure, extension, producer organisations, veterinary or phytosanitary services, incentives, safeguards, certification and monitoring arrangements.</x:v>
      </x:c>
      <x:c r="R169" s="2" t="str">
        <x:v>Nutrient management: mycorrhiza: nurseries or seed banks, field access, water and storage systems, laboratories, extension centres, monitoring plots and processing or market facilities.</x:v>
      </x:c>
      <x:c r="S169" s="2" t="str">
        <x:v>Nutrient management: mycorrhiza: human and mechanical work, electricity or fuel for machinery, pumping, cooling and processing; biological energy and solar radiation dominate field processes.</x:v>
      </x:c>
      <x:c r="T169" s="2" t="str">
        <x:v>Nutrient management: mycorrhiza: seed or planting stock, organic matter, fertilisers, soil amendments, water, fencing or structural materials, veterinary inputs and monitoring consumables.</x:v>
      </x:c>
      <x:c r="U169" s="2" t="str">
        <x:v>Nutrient management: mycorrhiza: seed, inoculants, filters, drip lines, nozzles, tool parts, sampling containers, sensor batteries, veterinary supplies and protective equipment.</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https://www.ipcc.ch/report/ar6/wg3/chapter/chapter-7/; https://openknowledge.fao.org/server/api/core/bitstreams/b21f2087-f398-4718-8461-b92afc82e617/content</x:v>
      </x:c>
      <x:c r="Z169" s="2" t="str">
        <x:v>Technology-specific analytical synthesis. The CTCN hierarchy is retained; classifications and component dependencies require validation against the selected design, site and supplier documentation before investment or policy use.</x:v>
      </x:c>
      <x:c r="AA169" s="2" t="str">
        <x:v>Physical deployment of Nutrient management: mycorrhiza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9" s="2" t="str">
        <x:v>For Nutrient management: mycorrhiza,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9" s="2" t="str">
        <x:v>Construction and operation use seed or planting stock, organic matter, fertilisers, soil amendments, water, fencing or structural materials, veterinary inputs and monitoring consumables. For Nutrient management: mycorrhiza, specifications must include durability, compatibility, recycled content and recoverability.</x:v>
      </x:c>
      <x:c r="AD169" s="2" t="str">
        <x:v>Maintenance of Nutrient management: mycorrhiza depends on seed, inoculants, filters, drip lines, nozzles, tool parts, sampling containers, sensor batteries, veterinary supplies and protective equipment; critical spares are selected from failure-mode, lead-time and safety analysis for its installed configuration.</x:v>
      </x:c>
      <x:c r="AE169" s="2" t="str">
        <x:v>The software stack for Nutrient management: mycorrhiza requires databases, secure communications, version-controlled models, computing, backup and interfaces with field or operational systems.</x:v>
      </x:c>
      <x:c r="AF169" s="2" t="str">
        <x:v>For Nutrient management: mycorrhiza, software-related energy is electricity for sensing, computing, storage, communication and cooling; it is normally secondary but must be included for data-intensive or continuous services.</x:v>
      </x:c>
      <x:c r="AG169" s="2" t="str">
        <x:v>The non-physical inputs are calibrated data, metadata, algorithms, boundary conditions, emission or hazard factors, manuals and validation records specific to Nutrient management: mycorrhiza.</x:v>
      </x:c>
      <x:c r="AH169" s="2" t="str">
        <x:v>Software continuity for Nutrient management: mycorrhiza requires licences where applicable, updates, cybersecurity patches, backups, calibration files, model validation and technical support.</x:v>
      </x:c>
      <x:c r="AI169" s="2" t="str">
        <x:v>Orgware depends on the institutions, laboratories, training providers, regulators, operators and community interfaces needed to govern Nutrient management: mycorrhiza.</x:v>
      </x:c>
      <x:c r="AJ169" s="2" t="str">
        <x:v>The orgware supporting Nutrient management: mycorrhiza has mainly indirect energy use from offices, meetings, training and information systems; travel and field supervision may be material at dispersed sites.</x:v>
      </x:c>
      <x:c r="AK169" s="2" t="str">
        <x:v>Its organisational inputs are permits, budgets, trained staff, competence records, contracts, procedures, safeguards, monitoring evidence and stakeholder agreements tailored to Nutrient management: mycorrhiza.</x:v>
      </x:c>
      <x:c r="AL169" s="2" t="str">
        <x:v>Sustained implementation of Nutrient management: mycorrhiza requires procurement and service contracts, audit protocols, training material, reporting templates, insurance or guarantees and periodic independent review.</x:v>
      </x:c>
      <x:c r="AM169" s="2" t="str">
        <x:v>Phosphate rock; Potash</x:v>
      </x:c>
      <x:c r="AN169" s="2" t="str">
        <x:v>China; Morocco; United States; Canada; Russia; Belarus</x:v>
      </x:c>
      <x:c r="AO169" s="2" t="str">
        <x:v>China; Morocco; United States; Canada; Russia; Belarus</x:v>
      </x:c>
      <x:c r="AP169" s="2" t="str">
        <x:v>Nutrient management: mycorrhiza: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9" s="2" t="str">
        <x:v>2024–2025</x:v>
      </x:c>
      <x:c r="AR169" s="2" t="str">
        <x:v>https://pubs.usgs.gov/periodicals/mcs2026/mcs2026.pdf</x:v>
      </x:c>
    </x:row>
    <x:row r="170" ht="240" customHeight="1">
      <x:c r="A170" s="2" t="str">
        <x:v>MIT-0163</x:v>
      </x:c>
      <x:c r="B170" s="2" t="str">
        <x:v>Mitigation</x:v>
      </x:c>
      <x:c r="C170" s="2" t="str">
        <x:v>Agriculture</x:v>
      </x:c>
      <x:c r="D170" s="2" t="str">
        <x:v>Cropland</x:v>
      </x:c>
      <x:c r="E170" s="2" t="str">
        <x:v>N2O reduction</x:v>
      </x:c>
      <x:c r="F170" s="2" t="str">
        <x:v>N2O reduction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It suppresses N₂O formation through process optimisation or destroys N₂O catalytically in the process or tail gas; performance is verified by continuous concentration and flow measurement.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0" s="2" t="str">
        <x:v>Mixed: adaptable design, site-specific implementation</x:v>
      </x:c>
      <x:c r="H170" s="2" t="str">
        <x:v>N2O reduction is adaptable in capacity and configuration but site-specific in final engineering. Its principle remains the same, but resource quality, climate, scale, interfaces and safety constraints must be recalculated for each deployment.</x:v>
      </x:c>
      <x:c r="I170" s="2" t="str">
        <x:v>Primarily hard, with a soft component</x:v>
      </x:c>
      <x:c r="J170" s="2" t="str">
        <x:v>N2O reduction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0" s="2" t="str">
        <x:v>Operation</x:v>
      </x:c>
      <x:c r="L170" s="2" t="str">
        <x:v>N2O reduction is embodied mainly as an operating practice. The deliverable is accepted only when measurable service, quality, safety and climate-performance criteria are met under real conditions.</x:v>
      </x:c>
      <x:c r="M170" s="2" t="str">
        <x:v>Yes, subject to life-cycle safeguards</x:v>
      </x:c>
      <x:c r="N170" s="2" t="str">
        <x:v>N2O reduction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0" s="2" t="str">
        <x:v>N2O reduction: field or forest implements, planting and irrigation equipment, storage or livestock facilities, sampling tools, sensors and protective structures as required.</x:v>
      </x:c>
      <x:c r="P170" s="2" t="str">
        <x:v>N2O reduction: soil–crop–livestock knowledge, nutrient and water budgets, emission factors, carbon accounting, climate services, monitoring protocols and adaptive management.</x:v>
      </x:c>
      <x:c r="Q170" s="2" t="str">
        <x:v>N2O reduction: land tenure, extension, producer organisations, veterinary or phytosanitary services, incentives, safeguards, certification and monitoring arrangements.</x:v>
      </x:c>
      <x:c r="R170" s="2" t="str">
        <x:v>N2O reduction: nurseries or seed banks, field access, water and storage systems, laboratories, extension centres, monitoring plots and processing or market facilities.</x:v>
      </x:c>
      <x:c r="S170" s="2" t="str">
        <x:v>N2O reduction: human and mechanical work, electricity or fuel for machinery, pumping, cooling and processing; biological energy and solar radiation dominate field processes.</x:v>
      </x:c>
      <x:c r="T170" s="2" t="str">
        <x:v>N2O reduction: seed or planting stock, organic matter, fertilisers, soil amendments, water, fencing or structural materials, veterinary inputs and monitoring consumables.</x:v>
      </x:c>
      <x:c r="U170" s="2" t="str">
        <x:v>N2O reduction: seed, inoculants, filters, drip lines, nozzles, tool parts, sampling containers, sensor batteries, veterinary supplies and protective equipment.</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https://www.ipcc.ch/report/ar6/wg3/chapter/chapter-7/; https://openknowledge.fao.org/server/api/core/bitstreams/b21f2087-f398-4718-8461-b92afc82e617/content</x:v>
      </x:c>
      <x:c r="Z170" s="2" t="str">
        <x:v>Technology-specific analytical synthesis. The CTCN hierarchy is retained; classifications and component dependencies require validation against the selected design, site and supplier documentation before investment or policy use.</x:v>
      </x:c>
      <x:c r="AA170" s="2" t="str">
        <x:v>Physical deployment of N2O reduction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0" s="2" t="str">
        <x:v>For N2O reduction,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0" s="2" t="str">
        <x:v>Construction and operation use seed or planting stock, organic matter, fertilisers, soil amendments, water, fencing or structural materials, veterinary inputs and monitoring consumables. For N2O reduction, specifications must include durability, compatibility, recycled content and recoverability.</x:v>
      </x:c>
      <x:c r="AD170" s="2" t="str">
        <x:v>Maintenance of N2O reduction depends on seed, inoculants, filters, drip lines, nozzles, tool parts, sampling containers, sensor batteries, veterinary supplies and protective equipment; critical spares are selected from failure-mode, lead-time and safety analysis for its installed configuration.</x:v>
      </x:c>
      <x:c r="AE170" s="2" t="str">
        <x:v>The software stack for N2O reduction requires databases, secure communications, version-controlled models, computing, backup and interfaces with field or operational systems.</x:v>
      </x:c>
      <x:c r="AF170" s="2" t="str">
        <x:v>For N2O reduction, software-related energy is electricity for sensing, computing, storage, communication and cooling; it is normally secondary but must be included for data-intensive or continuous services.</x:v>
      </x:c>
      <x:c r="AG170" s="2" t="str">
        <x:v>The non-physical inputs are calibrated data, metadata, algorithms, boundary conditions, emission or hazard factors, manuals and validation records specific to N2O reduction.</x:v>
      </x:c>
      <x:c r="AH170" s="2" t="str">
        <x:v>Software continuity for N2O reduction requires licences where applicable, updates, cybersecurity patches, backups, calibration files, model validation and technical support.</x:v>
      </x:c>
      <x:c r="AI170" s="2" t="str">
        <x:v>Orgware depends on the institutions, laboratories, training providers, regulators, operators and community interfaces needed to govern N2O reduction.</x:v>
      </x:c>
      <x:c r="AJ170" s="2" t="str">
        <x:v>The orgware supporting N2O reduction has mainly indirect energy use from offices, meetings, training and information systems; travel and field supervision may be material at dispersed sites.</x:v>
      </x:c>
      <x:c r="AK170" s="2" t="str">
        <x:v>Its organisational inputs are permits, budgets, trained staff, competence records, contracts, procedures, safeguards, monitoring evidence and stakeholder agreements tailored to N2O reduction.</x:v>
      </x:c>
      <x:c r="AL170" s="2" t="str">
        <x:v>Sustained implementation of N2O reduction requires procurement and service contracts, audit protocols, training material, reporting templates, insurance or guarantees and periodic independent review.</x:v>
      </x:c>
      <x:c r="AM170" s="2" t="str">
        <x:v>Phosphate rock; Potash</x:v>
      </x:c>
      <x:c r="AN170" s="2" t="str">
        <x:v>China; Morocco; United States; Canada; Russia; Belarus</x:v>
      </x:c>
      <x:c r="AO170" s="2" t="str">
        <x:v>China; Morocco; United States; Canada; Russia; Belarus</x:v>
      </x:c>
      <x:c r="AP170" s="2" t="str">
        <x:v>N2O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0" s="2" t="str">
        <x:v>2024–2025</x:v>
      </x:c>
      <x:c r="AR170" s="2" t="str">
        <x:v>https://pubs.usgs.gov/periodicals/mcs2026/mcs2026.pdf</x:v>
      </x:c>
    </x:row>
    <x:row r="171" ht="240" customHeight="1">
      <x:c r="A171" s="2" t="str">
        <x:v>MIT-0164</x:v>
      </x:c>
      <x:c r="B171" s="2" t="str">
        <x:v>Mitigation</x:v>
      </x:c>
      <x:c r="C171" s="2" t="str">
        <x:v>Agriculture</x:v>
      </x:c>
      <x:c r="D171" s="2" t="str">
        <x:v>Cropland</x:v>
      </x:c>
      <x:c r="E171" s="2" t="str">
        <x:v>Cropland management</x:v>
      </x:c>
      <x:c r="F171" s="2" t="str">
        <x:v>Cropland management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Cropland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1" s="2" t="str">
        <x:v>Flexible</x:v>
      </x:c>
      <x:c r="H171" s="2" t="str">
        <x:v>Cropland management is transferable through configurable methods, rules and operating parameters. Its principle remains the same, but resource quality, climate, scale, interfaces and safety constraints must be recalculated for each deployment.</x:v>
      </x:c>
      <x:c r="I171" s="2" t="str">
        <x:v>Primarily soft, with physical support</x:v>
      </x:c>
      <x:c r="J171" s="2" t="str">
        <x:v>Cropland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1" s="2" t="str">
        <x:v>Operation</x:v>
      </x:c>
      <x:c r="L171" s="2" t="str">
        <x:v>Cropland management is embodied mainly as an operating practice. The deliverable is accepted only when measurable service, quality, safety and climate-performance criteria are met under real conditions.</x:v>
      </x:c>
      <x:c r="M171" s="2" t="str">
        <x:v>Yes, subject to life-cycle safeguards</x:v>
      </x:c>
      <x:c r="N171" s="2" t="str">
        <x:v>Cropland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1" s="2" t="str">
        <x:v>Cropland management: field or forest implements, planting and irrigation equipment, storage or livestock facilities, sampling tools, sensors and protective structures as required.</x:v>
      </x:c>
      <x:c r="P171" s="2" t="str">
        <x:v>Cropland management: soil–crop–livestock knowledge, nutrient and water budgets, emission factors, carbon accounting, climate services, monitoring protocols and adaptive management.</x:v>
      </x:c>
      <x:c r="Q171" s="2" t="str">
        <x:v>Cropland management: land tenure, extension, producer organisations, veterinary or phytosanitary services, incentives, safeguards, certification and monitoring arrangements.</x:v>
      </x:c>
      <x:c r="R171" s="2" t="str">
        <x:v>Cropland management: nurseries or seed banks, field access, water and storage systems, laboratories, extension centres, monitoring plots and processing or market facilities.</x:v>
      </x:c>
      <x:c r="S171" s="2" t="str">
        <x:v>Cropland management: human and mechanical work, electricity or fuel for machinery, pumping, cooling and processing; biological energy and solar radiation dominate field processes.</x:v>
      </x:c>
      <x:c r="T171" s="2" t="str">
        <x:v>Cropland management: seed or planting stock, organic matter, fertilisers, soil amendments, water, fencing or structural materials, veterinary inputs and monitoring consumables.</x:v>
      </x:c>
      <x:c r="U171" s="2" t="str">
        <x:v>Cropland management: seed, inoculants, filters, drip lines, nozzles, tool parts, sampling containers, sensor batteries, veterinary supplies and protective equipment.</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https://www.ipcc.ch/report/ar6/wg3/chapter/chapter-7/; https://openknowledge.fao.org/server/api/core/bitstreams/b21f2087-f398-4718-8461-b92afc82e617/content</x:v>
      </x:c>
      <x:c r="Z171" s="2" t="str">
        <x:v>Technology-specific analytical synthesis. The CTCN hierarchy is retained; classifications and component dependencies require validation against the selected design, site and supplier documentation before investment or policy use.</x:v>
      </x:c>
      <x:c r="AA171" s="2" t="str">
        <x:v>Physical deployment of Cropland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1" s="2" t="str">
        <x:v>For Cropland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1" s="2" t="str">
        <x:v>Construction and operation use seed or planting stock, organic matter, fertilisers, soil amendments, water, fencing or structural materials, veterinary inputs and monitoring consumables. For Cropland management, specifications must include durability, compatibility, recycled content and recoverability.</x:v>
      </x:c>
      <x:c r="AD171" s="2" t="str">
        <x:v>Maintenance of Cropland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171" s="2" t="str">
        <x:v>The software stack for Cropland management requires databases, secure communications, version-controlled models, computing, backup and interfaces with field or operational systems.</x:v>
      </x:c>
      <x:c r="AF171" s="2" t="str">
        <x:v>For Cropland management, software-related energy is electricity for sensing, computing, storage, communication and cooling; it is normally secondary but must be included for data-intensive or continuous services.</x:v>
      </x:c>
      <x:c r="AG171" s="2" t="str">
        <x:v>The non-physical inputs are calibrated data, metadata, algorithms, boundary conditions, emission or hazard factors, manuals and validation records specific to Cropland management.</x:v>
      </x:c>
      <x:c r="AH171" s="2" t="str">
        <x:v>Software continuity for Cropland management requires licences where applicable, updates, cybersecurity patches, backups, calibration files, model validation and technical support.</x:v>
      </x:c>
      <x:c r="AI171" s="2" t="str">
        <x:v>Orgware depends on the institutions, laboratories, training providers, regulators, operators and community interfaces needed to govern Cropland management.</x:v>
      </x:c>
      <x:c r="AJ171" s="2" t="str">
        <x:v>The orgware supporting Cropland management has mainly indirect energy use from offices, meetings, training and information systems; travel and field supervision may be material at dispersed sites.</x:v>
      </x:c>
      <x:c r="AK171" s="2" t="str">
        <x:v>Its organisational inputs are permits, budgets, trained staff, competence records, contracts, procedures, safeguards, monitoring evidence and stakeholder agreements tailored to Cropland management.</x:v>
      </x:c>
      <x:c r="AL171" s="2" t="str">
        <x:v>Sustained implementation of Cropland management requires procurement and service contracts, audit protocols, training material, reporting templates, insurance or guarantees and periodic independent review.</x:v>
      </x:c>
      <x:c r="AM171" s="2" t="str">
        <x:v>Phosphate rock; Potash</x:v>
      </x:c>
      <x:c r="AN171" s="2" t="str">
        <x:v>China; Morocco; United States; Canada; Russia; Belarus</x:v>
      </x:c>
      <x:c r="AO171" s="2" t="str">
        <x:v>China; Morocco; United States; Canada; Russia; Belarus</x:v>
      </x:c>
      <x:c r="AP171" s="2" t="str">
        <x:v>Cropland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1" s="2" t="str">
        <x:v>2024–2025</x:v>
      </x:c>
      <x:c r="AR171" s="2" t="str">
        <x:v>https://pubs.usgs.gov/periodicals/mcs2026/mcs2026.pdf</x:v>
      </x:c>
    </x:row>
    <x:row r="172" ht="240" customHeight="1">
      <x:c r="A172" s="2" t="str">
        <x:v>MIT-0165</x:v>
      </x:c>
      <x:c r="B172" s="2" t="str">
        <x:v>Mitigation</x:v>
      </x:c>
      <x:c r="C172" s="2" t="str">
        <x:v>Agriculture</x:v>
      </x:c>
      <x:c r="D172" s="2" t="str">
        <x:v>Cropland</x:v>
      </x:c>
      <x:c r="E172" s="2" t="str">
        <x:v>Machinery</x:v>
      </x:c>
      <x:c r="F172" s="2" t="str">
        <x:v>Machinery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Machinery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2" s="2" t="str">
        <x:v>Mixed: adaptable design, site-specific implementation</x:v>
      </x:c>
      <x:c r="H172" s="2" t="str">
        <x:v>Machinery is adaptable in capacity and configuration but site-specific in final engineering. Its principle remains the same, but resource quality, climate, scale, interfaces and safety constraints must be recalculated for each deployment.</x:v>
      </x:c>
      <x:c r="I172" s="2" t="str">
        <x:v>Primarily hard, with a soft component</x:v>
      </x:c>
      <x:c r="J172" s="2" t="str">
        <x:v>Machinery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2" s="2" t="str">
        <x:v>Operation</x:v>
      </x:c>
      <x:c r="L172" s="2" t="str">
        <x:v>Machinery is embodied mainly as an operating practice. The deliverable is accepted only when measurable service, quality, safety and climate-performance criteria are met under real conditions.</x:v>
      </x:c>
      <x:c r="M172" s="2" t="str">
        <x:v>Yes, subject to life-cycle safeguards</x:v>
      </x:c>
      <x:c r="N172" s="2" t="str">
        <x:v>Machinery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2" s="2" t="str">
        <x:v>Machinery: field or forest implements, planting and irrigation equipment, storage or livestock facilities, sampling tools, sensors and protective structures as required.</x:v>
      </x:c>
      <x:c r="P172" s="2" t="str">
        <x:v>Machinery: soil–crop–livestock knowledge, nutrient and water budgets, emission factors, carbon accounting, climate services, monitoring protocols and adaptive management.</x:v>
      </x:c>
      <x:c r="Q172" s="2" t="str">
        <x:v>Machinery: land tenure, extension, producer organisations, veterinary or phytosanitary services, incentives, safeguards, certification and monitoring arrangements.</x:v>
      </x:c>
      <x:c r="R172" s="2" t="str">
        <x:v>Machinery: nurseries or seed banks, field access, water and storage systems, laboratories, extension centres, monitoring plots and processing or market facilities.</x:v>
      </x:c>
      <x:c r="S172" s="2" t="str">
        <x:v>Machinery: human and mechanical work, electricity or fuel for machinery, pumping, cooling and processing; biological energy and solar radiation dominate field processes.</x:v>
      </x:c>
      <x:c r="T172" s="2" t="str">
        <x:v>Machinery: seed or planting stock, organic matter, fertilisers, soil amendments, water, fencing or structural materials, veterinary inputs and monitoring consumables.</x:v>
      </x:c>
      <x:c r="U172" s="2" t="str">
        <x:v>Machinery: seed, inoculants, filters, drip lines, nozzles, tool parts, sampling containers, sensor batteries, veterinary supplies and protective equipment.</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https://www.ipcc.ch/report/ar6/wg3/chapter/chapter-7/; https://openknowledge.fao.org/server/api/core/bitstreams/b21f2087-f398-4718-8461-b92afc82e617/content</x:v>
      </x:c>
      <x:c r="Z172" s="2" t="str">
        <x:v>Technology-specific analytical synthesis. The CTCN hierarchy is retained; classifications and component dependencies require validation against the selected design, site and supplier documentation before investment or policy use.</x:v>
      </x:c>
      <x:c r="AA172" s="2" t="str">
        <x:v>Physical deployment of Machinery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2" s="2" t="str">
        <x:v>For Machinery,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2" s="2" t="str">
        <x:v>Construction and operation use seed or planting stock, organic matter, fertilisers, soil amendments, water, fencing or structural materials, veterinary inputs and monitoring consumables. For Machinery, specifications must include durability, compatibility, recycled content and recoverability.</x:v>
      </x:c>
      <x:c r="AD172" s="2" t="str">
        <x:v>Maintenance of Machinery depends on seed, inoculants, filters, drip lines, nozzles, tool parts, sampling containers, sensor batteries, veterinary supplies and protective equipment; critical spares are selected from failure-mode, lead-time and safety analysis for its installed configuration.</x:v>
      </x:c>
      <x:c r="AE172" s="2" t="str">
        <x:v>The software stack for Machinery requires databases, secure communications, version-controlled models, computing, backup and interfaces with field or operational systems.</x:v>
      </x:c>
      <x:c r="AF172" s="2" t="str">
        <x:v>For Machinery, software-related energy is electricity for sensing, computing, storage, communication and cooling; it is normally secondary but must be included for data-intensive or continuous services.</x:v>
      </x:c>
      <x:c r="AG172" s="2" t="str">
        <x:v>The non-physical inputs are calibrated data, metadata, algorithms, boundary conditions, emission or hazard factors, manuals and validation records specific to Machinery.</x:v>
      </x:c>
      <x:c r="AH172" s="2" t="str">
        <x:v>Software continuity for Machinery requires licences where applicable, updates, cybersecurity patches, backups, calibration files, model validation and technical support.</x:v>
      </x:c>
      <x:c r="AI172" s="2" t="str">
        <x:v>Orgware depends on the institutions, laboratories, training providers, regulators, operators and community interfaces needed to govern Machinery.</x:v>
      </x:c>
      <x:c r="AJ172" s="2" t="str">
        <x:v>The orgware supporting Machinery has mainly indirect energy use from offices, meetings, training and information systems; travel and field supervision may be material at dispersed sites.</x:v>
      </x:c>
      <x:c r="AK172" s="2" t="str">
        <x:v>Its organisational inputs are permits, budgets, trained staff, competence records, contracts, procedures, safeguards, monitoring evidence and stakeholder agreements tailored to Machinery.</x:v>
      </x:c>
      <x:c r="AL172" s="2" t="str">
        <x:v>Sustained implementation of Machinery requires procurement and service contracts, audit protocols, training material, reporting templates, insurance or guarantees and periodic independent review.</x:v>
      </x:c>
      <x:c r="AM172" s="2" t="str">
        <x:v>Phosphate rock; Potash</x:v>
      </x:c>
      <x:c r="AN172" s="2" t="str">
        <x:v>China; Morocco; United States; Canada; Russia; Belarus</x:v>
      </x:c>
      <x:c r="AO172" s="2" t="str">
        <x:v>China; Morocco; United States; Canada; Russia; Belarus</x:v>
      </x:c>
      <x:c r="AP172" s="2" t="str">
        <x:v>Machinery: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2" s="2" t="str">
        <x:v>2024–2025</x:v>
      </x:c>
      <x:c r="AR172" s="2" t="str">
        <x:v>https://pubs.usgs.gov/periodicals/mcs2026/mcs2026.pdf</x:v>
      </x:c>
    </x:row>
    <x:row r="173" ht="240" customHeight="1">
      <x:c r="A173" s="2" t="str">
        <x:v>MIT-0166</x:v>
      </x:c>
      <x:c r="B173" s="2" t="str">
        <x:v>Mitigation</x:v>
      </x:c>
      <x:c r="C173" s="2" t="str">
        <x:v>Agriculture</x:v>
      </x:c>
      <x:c r="D173" s="2" t="str">
        <x:v>Cropland</x:v>
      </x:c>
      <x:c r="E173" s="2" t="str">
        <x:v>Mineral fertilisers</x:v>
      </x:c>
      <x:c r="F173" s="2" t="str">
        <x:v>Mineral fertilisers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Mineral fertilisers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3" s="2" t="str">
        <x:v>Mixed: adaptable design, site-specific implementation</x:v>
      </x:c>
      <x:c r="H173" s="2" t="str">
        <x:v>Mineral fertilisers is adaptable in capacity and configuration but site-specific in final engineering. Its principle remains the same, but resource quality, climate, scale, interfaces and safety constraints must be recalculated for each deployment.</x:v>
      </x:c>
      <x:c r="I173" s="2" t="str">
        <x:v>Primarily hard, with a soft component</x:v>
      </x:c>
      <x:c r="J173" s="2" t="str">
        <x:v>Mineral fertilisers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3" s="2" t="str">
        <x:v>Product and equipment; complementary operation</x:v>
      </x:c>
      <x:c r="L173" s="2" t="str">
        <x:v>Mineral fertilisers is embodied mainly as a product/equipment package. The deliverable is accepted only when measurable service, quality, safety and climate-performance criteria are met under real conditions.</x:v>
      </x:c>
      <x:c r="M173" s="2" t="str">
        <x:v>Conditional on performance and life cycle</x:v>
      </x:c>
      <x:c r="N173" s="2" t="str">
        <x:v>Mineral fertilisers is classified as conditional.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3" s="2" t="str">
        <x:v>Mineral fertilisers: field or forest implements, planting and irrigation equipment, storage or livestock facilities, sampling tools, sensors and protective structures as required.</x:v>
      </x:c>
      <x:c r="P173" s="2" t="str">
        <x:v>Mineral fertilisers: soil–crop–livestock knowledge, nutrient and water budgets, emission factors, carbon accounting, climate services, monitoring protocols and adaptive management.</x:v>
      </x:c>
      <x:c r="Q173" s="2" t="str">
        <x:v>Mineral fertilisers: land tenure, extension, producer organisations, veterinary or phytosanitary services, incentives, safeguards, certification and monitoring arrangements.</x:v>
      </x:c>
      <x:c r="R173" s="2" t="str">
        <x:v>Mineral fertilisers: nurseries or seed banks, field access, water and storage systems, laboratories, extension centres, monitoring plots and processing or market facilities.</x:v>
      </x:c>
      <x:c r="S173" s="2" t="str">
        <x:v>Mineral fertilisers: human and mechanical work, electricity or fuel for machinery, pumping, cooling and processing; biological energy and solar radiation dominate field processes.</x:v>
      </x:c>
      <x:c r="T173" s="2" t="str">
        <x:v>Mineral fertilisers: seed or planting stock, organic matter, fertilisers, soil amendments, water, fencing or structural materials, veterinary inputs and monitoring consumables.</x:v>
      </x:c>
      <x:c r="U173" s="2" t="str">
        <x:v>Mineral fertilisers: seed, inoculants, filters, drip lines, nozzles, tool parts, sampling containers, sensor batteries, veterinary supplies and protective equipment.</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https://www.ipcc.ch/report/ar6/wg3/chapter/chapter-7/; https://openknowledge.fao.org/server/api/core/bitstreams/b21f2087-f398-4718-8461-b92afc82e617/content</x:v>
      </x:c>
      <x:c r="Z173" s="2" t="str">
        <x:v>Technology-specific analytical synthesis. The CTCN hierarchy is retained; classifications and component dependencies require validation against the selected design, site and supplier documentation before investment or policy use.</x:v>
      </x:c>
      <x:c r="AA173" s="2" t="str">
        <x:v>Physical deployment of Mineral fertilisers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3" s="2" t="str">
        <x:v>For Mineral fertilisers,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3" s="2" t="str">
        <x:v>Construction and operation use seed or planting stock, organic matter, fertilisers, soil amendments, water, fencing or structural materials, veterinary inputs and monitoring consumables. For Mineral fertilisers, specifications must include durability, compatibility, recycled content and recoverability.</x:v>
      </x:c>
      <x:c r="AD173" s="2" t="str">
        <x:v>Maintenance of Mineral fertilisers depends on seed, inoculants, filters, drip lines, nozzles, tool parts, sampling containers, sensor batteries, veterinary supplies and protective equipment; critical spares are selected from failure-mode, lead-time and safety analysis for its installed configuration.</x:v>
      </x:c>
      <x:c r="AE173" s="2" t="str">
        <x:v>The software stack for Mineral fertilisers requires databases, secure communications, version-controlled models, computing, backup and interfaces with field or operational systems.</x:v>
      </x:c>
      <x:c r="AF173" s="2" t="str">
        <x:v>For Mineral fertilisers, software-related energy is electricity for sensing, computing, storage, communication and cooling; it is normally secondary but must be included for data-intensive or continuous services.</x:v>
      </x:c>
      <x:c r="AG173" s="2" t="str">
        <x:v>The non-physical inputs are calibrated data, metadata, algorithms, boundary conditions, emission or hazard factors, manuals and validation records specific to Mineral fertilisers.</x:v>
      </x:c>
      <x:c r="AH173" s="2" t="str">
        <x:v>Software continuity for Mineral fertilisers requires licences where applicable, updates, cybersecurity patches, backups, calibration files, model validation and technical support.</x:v>
      </x:c>
      <x:c r="AI173" s="2" t="str">
        <x:v>Orgware depends on the institutions, laboratories, training providers, regulators, operators and community interfaces needed to govern Mineral fertilisers.</x:v>
      </x:c>
      <x:c r="AJ173" s="2" t="str">
        <x:v>The orgware supporting Mineral fertilisers has mainly indirect energy use from offices, meetings, training and information systems; travel and field supervision may be material at dispersed sites.</x:v>
      </x:c>
      <x:c r="AK173" s="2" t="str">
        <x:v>Its organisational inputs are permits, budgets, trained staff, competence records, contracts, procedures, safeguards, monitoring evidence and stakeholder agreements tailored to Mineral fertilisers.</x:v>
      </x:c>
      <x:c r="AL173" s="2" t="str">
        <x:v>Sustained implementation of Mineral fertilisers requires procurement and service contracts, audit protocols, training material, reporting templates, insurance or guarantees and periodic independent review.</x:v>
      </x:c>
      <x:c r="AM173" s="2" t="str">
        <x:v>Phosphate rock; Potash</x:v>
      </x:c>
      <x:c r="AN173" s="2" t="str">
        <x:v>China; Morocco; United States; Canada; Russia; Belarus</x:v>
      </x:c>
      <x:c r="AO173" s="2" t="str">
        <x:v>China; Morocco; United States; Canada; Russia; Belarus</x:v>
      </x:c>
      <x:c r="AP173" s="2" t="str">
        <x:v>Mineral fertilisers: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3" s="2" t="str">
        <x:v>2024–2025</x:v>
      </x:c>
      <x:c r="AR173" s="2" t="str">
        <x:v>https://pubs.usgs.gov/periodicals/mcs2026/mcs2026.pdf</x:v>
      </x:c>
    </x:row>
    <x:row r="174" ht="240" customHeight="1">
      <x:c r="A174" s="2" t="str">
        <x:v>MIT-0167</x:v>
      </x:c>
      <x:c r="B174" s="2" t="str">
        <x:v>Mitigation</x:v>
      </x:c>
      <x:c r="C174" s="2" t="str">
        <x:v>Agriculture</x:v>
      </x:c>
      <x:c r="D174" s="2" t="str">
        <x:v>Cropland</x:v>
      </x:c>
      <x:c r="E174" s="2" t="str">
        <x:v>Irrigation</x:v>
      </x:c>
      <x:c r="F174" s="2" t="str">
        <x:v>Irrigation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Irrigation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4" s="2" t="str">
        <x:v>Mixed: adaptable design, site-specific implementation</x:v>
      </x:c>
      <x:c r="H174" s="2" t="str">
        <x:v>Irrigation is adaptable in capacity and configuration but site-specific in final engineering. Its principle remains the same, but resource quality, climate, scale, interfaces and safety constraints must be recalculated for each deployment.</x:v>
      </x:c>
      <x:c r="I174" s="2" t="str">
        <x:v>Primarily hard, with a soft component</x:v>
      </x:c>
      <x:c r="J174" s="2" t="str">
        <x:v>Irrigation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4" s="2" t="str">
        <x:v>Operation</x:v>
      </x:c>
      <x:c r="L174" s="2" t="str">
        <x:v>Irrigation is embodied mainly as an operating practice. The deliverable is accepted only when measurable service, quality, safety and climate-performance criteria are met under real conditions.</x:v>
      </x:c>
      <x:c r="M174" s="2" t="str">
        <x:v>Yes, subject to life-cycle safeguards</x:v>
      </x:c>
      <x:c r="N174" s="2" t="str">
        <x:v>Irrigation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4" s="2" t="str">
        <x:v>Irrigation: field or forest implements, planting and irrigation equipment, storage or livestock facilities, sampling tools, sensors and protective structures as required.</x:v>
      </x:c>
      <x:c r="P174" s="2" t="str">
        <x:v>Irrigation: soil–crop–livestock knowledge, nutrient and water budgets, emission factors, carbon accounting, climate services, monitoring protocols and adaptive management.</x:v>
      </x:c>
      <x:c r="Q174" s="2" t="str">
        <x:v>Irrigation: land tenure, extension, producer organisations, veterinary or phytosanitary services, incentives, safeguards, certification and monitoring arrangements.</x:v>
      </x:c>
      <x:c r="R174" s="2" t="str">
        <x:v>Irrigation: nurseries or seed banks, field access, water and storage systems, laboratories, extension centres, monitoring plots and processing or market facilities.</x:v>
      </x:c>
      <x:c r="S174" s="2" t="str">
        <x:v>Irrigation: human and mechanical work, electricity or fuel for machinery, pumping, cooling and processing; biological energy and solar radiation dominate field processes.</x:v>
      </x:c>
      <x:c r="T174" s="2" t="str">
        <x:v>Irrigation: seed or planting stock, organic matter, fertilisers, soil amendments, water, fencing or structural materials, veterinary inputs and monitoring consumables.</x:v>
      </x:c>
      <x:c r="U174" s="2" t="str">
        <x:v>Irrigation: seed, inoculants, filters, drip lines, nozzles, tool parts, sampling containers, sensor batteries, veterinary supplies and protective equipment.</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https://www.ipcc.ch/report/ar6/wg3/chapter/chapter-7/; https://openknowledge.fao.org/server/api/core/bitstreams/b21f2087-f398-4718-8461-b92afc82e617/content</x:v>
      </x:c>
      <x:c r="Z174" s="2" t="str">
        <x:v>Technology-specific analytical synthesis. The CTCN hierarchy is retained; classifications and component dependencies require validation against the selected design, site and supplier documentation before investment or policy use.</x:v>
      </x:c>
      <x:c r="AA174" s="2" t="str">
        <x:v>Physical deployment of Irrigation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4" s="2" t="str">
        <x:v>For Irrigation,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4" s="2" t="str">
        <x:v>Construction and operation use seed or planting stock, organic matter, fertilisers, soil amendments, water, fencing or structural materials, veterinary inputs and monitoring consumables. For Irrigation, specifications must include durability, compatibility, recycled content and recoverability.</x:v>
      </x:c>
      <x:c r="AD174" s="2" t="str">
        <x:v>Maintenance of Irrigation depends on seed, inoculants, filters, drip lines, nozzles, tool parts, sampling containers, sensor batteries, veterinary supplies and protective equipment; critical spares are selected from failure-mode, lead-time and safety analysis for its installed configuration.</x:v>
      </x:c>
      <x:c r="AE174" s="2" t="str">
        <x:v>The software stack for Irrigation requires databases, secure communications, version-controlled models, computing, backup and interfaces with field or operational systems.</x:v>
      </x:c>
      <x:c r="AF174" s="2" t="str">
        <x:v>For Irrigation, software-related energy is electricity for sensing, computing, storage, communication and cooling; it is normally secondary but must be included for data-intensive or continuous services.</x:v>
      </x:c>
      <x:c r="AG174" s="2" t="str">
        <x:v>The non-physical inputs are calibrated data, metadata, algorithms, boundary conditions, emission or hazard factors, manuals and validation records specific to Irrigation.</x:v>
      </x:c>
      <x:c r="AH174" s="2" t="str">
        <x:v>Software continuity for Irrigation requires licences where applicable, updates, cybersecurity patches, backups, calibration files, model validation and technical support.</x:v>
      </x:c>
      <x:c r="AI174" s="2" t="str">
        <x:v>Orgware depends on the institutions, laboratories, training providers, regulators, operators and community interfaces needed to govern Irrigation.</x:v>
      </x:c>
      <x:c r="AJ174" s="2" t="str">
        <x:v>The orgware supporting Irrigation has mainly indirect energy use from offices, meetings, training and information systems; travel and field supervision may be material at dispersed sites.</x:v>
      </x:c>
      <x:c r="AK174" s="2" t="str">
        <x:v>Its organisational inputs are permits, budgets, trained staff, competence records, contracts, procedures, safeguards, monitoring evidence and stakeholder agreements tailored to Irrigation.</x:v>
      </x:c>
      <x:c r="AL174" s="2" t="str">
        <x:v>Sustained implementation of Irrigation requires procurement and service contracts, audit protocols, training material, reporting templates, insurance or guarantees and periodic independent review.</x:v>
      </x:c>
      <x:c r="AM174" s="2" t="str">
        <x:v>Phosphate rock; Potash</x:v>
      </x:c>
      <x:c r="AN174" s="2" t="str">
        <x:v>China; Morocco; United States; Canada; Russia; Belarus</x:v>
      </x:c>
      <x:c r="AO174" s="2" t="str">
        <x:v>China; Morocco; United States; Canada; Russia; Belarus</x:v>
      </x:c>
      <x:c r="AP174" s="2" t="str">
        <x:v>Irrigation: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4" s="2" t="str">
        <x:v>2024–2025</x:v>
      </x:c>
      <x:c r="AR174" s="2" t="str">
        <x:v>https://pubs.usgs.gov/periodicals/mcs2026/mcs2026.pdf</x:v>
      </x:c>
    </x:row>
    <x:row r="175" ht="240" customHeight="1">
      <x:c r="A175" s="2" t="str">
        <x:v>MIT-0168</x:v>
      </x:c>
      <x:c r="B175" s="2" t="str">
        <x:v>Mitigation</x:v>
      </x:c>
      <x:c r="C175" s="2" t="str">
        <x:v>Agriculture</x:v>
      </x:c>
      <x:c r="D175" s="2" t="str">
        <x:v>Cropland</x:v>
      </x:c>
      <x:c r="E175" s="2" t="str">
        <x:v>Rice cultivation</x:v>
      </x:c>
      <x:c r="F175" s="2" t="str">
        <x:v>Rice cultivation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Water and residue management alter anaerobic conditions in paddy soils; practices such as alternate wetting and drying can suppress methanogenesis while safeguarding yield and N₂O control.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5" s="2" t="str">
        <x:v>Mixed: adaptable design, site-specific implementation</x:v>
      </x:c>
      <x:c r="H175" s="2" t="str">
        <x:v>Rice cultivation is adaptable in capacity and configuration but site-specific in final engineering. Its principle remains the same, but resource quality, climate, scale, interfaces and safety constraints must be recalculated for each deployment.</x:v>
      </x:c>
      <x:c r="I175" s="2" t="str">
        <x:v>Primarily hard, with a soft component</x:v>
      </x:c>
      <x:c r="J175" s="2" t="str">
        <x:v>Rice cultivation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5" s="2" t="str">
        <x:v>Operation</x:v>
      </x:c>
      <x:c r="L175" s="2" t="str">
        <x:v>Rice cultivation is embodied mainly as an operating practice. The deliverable is accepted only when measurable service, quality, safety and climate-performance criteria are met under real conditions.</x:v>
      </x:c>
      <x:c r="M175" s="2" t="str">
        <x:v>Yes, subject to life-cycle safeguards</x:v>
      </x:c>
      <x:c r="N175" s="2" t="str">
        <x:v>Rice cultivation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5" s="2" t="str">
        <x:v>Rice cultivation: field or forest implements, planting and irrigation equipment, storage or livestock facilities, sampling tools, sensors and protective structures as required.</x:v>
      </x:c>
      <x:c r="P175" s="2" t="str">
        <x:v>Rice cultivation: soil–crop–livestock knowledge, nutrient and water budgets, emission factors, carbon accounting, climate services, monitoring protocols and adaptive management.</x:v>
      </x:c>
      <x:c r="Q175" s="2" t="str">
        <x:v>Rice cultivation: land tenure, extension, producer organisations, veterinary or phytosanitary services, incentives, safeguards, certification and monitoring arrangements.</x:v>
      </x:c>
      <x:c r="R175" s="2" t="str">
        <x:v>Rice cultivation: nurseries or seed banks, field access, water and storage systems, laboratories, extension centres, monitoring plots and processing or market facilities.</x:v>
      </x:c>
      <x:c r="S175" s="2" t="str">
        <x:v>Rice cultivation: human and mechanical work, electricity or fuel for machinery, pumping, cooling and processing; biological energy and solar radiation dominate field processes.</x:v>
      </x:c>
      <x:c r="T175" s="2" t="str">
        <x:v>Rice cultivation: seed or planting stock, organic matter, fertilisers, soil amendments, water, fencing or structural materials, veterinary inputs and monitoring consumables.</x:v>
      </x:c>
      <x:c r="U175" s="2" t="str">
        <x:v>Rice cultivation: seed, inoculants, filters, drip lines, nozzles, tool parts, sampling containers, sensor batteries, veterinary supplies and protective equipment.</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https://www.ipcc.ch/report/ar6/wg3/chapter/chapter-7/; https://openknowledge.fao.org/server/api/core/bitstreams/b21f2087-f398-4718-8461-b92afc82e617/content</x:v>
      </x:c>
      <x:c r="Z175" s="2" t="str">
        <x:v>Technology-specific analytical synthesis. The CTCN hierarchy is retained; classifications and component dependencies require validation against the selected design, site and supplier documentation before investment or policy use.</x:v>
      </x:c>
      <x:c r="AA175" s="2" t="str">
        <x:v>Physical deployment of Rice cultivation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5" s="2" t="str">
        <x:v>For Rice cultivation,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5" s="2" t="str">
        <x:v>Construction and operation use seed or planting stock, organic matter, fertilisers, soil amendments, water, fencing or structural materials, veterinary inputs and monitoring consumables. For Rice cultivation, specifications must include durability, compatibility, recycled content and recoverability.</x:v>
      </x:c>
      <x:c r="AD175" s="2" t="str">
        <x:v>Maintenance of Rice cultivation depends on seed, inoculants, filters, drip lines, nozzles, tool parts, sampling containers, sensor batteries, veterinary supplies and protective equipment; critical spares are selected from failure-mode, lead-time and safety analysis for its installed configuration.</x:v>
      </x:c>
      <x:c r="AE175" s="2" t="str">
        <x:v>The software stack for Rice cultivation requires databases, secure communications, version-controlled models, computing, backup and interfaces with field or operational systems.</x:v>
      </x:c>
      <x:c r="AF175" s="2" t="str">
        <x:v>For Rice cultivation, software-related energy is electricity for sensing, computing, storage, communication and cooling; it is normally secondary but must be included for data-intensive or continuous services.</x:v>
      </x:c>
      <x:c r="AG175" s="2" t="str">
        <x:v>The non-physical inputs are calibrated data, metadata, algorithms, boundary conditions, emission or hazard factors, manuals and validation records specific to Rice cultivation.</x:v>
      </x:c>
      <x:c r="AH175" s="2" t="str">
        <x:v>Software continuity for Rice cultivation requires licences where applicable, updates, cybersecurity patches, backups, calibration files, model validation and technical support.</x:v>
      </x:c>
      <x:c r="AI175" s="2" t="str">
        <x:v>Orgware depends on the institutions, laboratories, training providers, regulators, operators and community interfaces needed to govern Rice cultivation.</x:v>
      </x:c>
      <x:c r="AJ175" s="2" t="str">
        <x:v>The orgware supporting Rice cultivation has mainly indirect energy use from offices, meetings, training and information systems; travel and field supervision may be material at dispersed sites.</x:v>
      </x:c>
      <x:c r="AK175" s="2" t="str">
        <x:v>Its organisational inputs are permits, budgets, trained staff, competence records, contracts, procedures, safeguards, monitoring evidence and stakeholder agreements tailored to Rice cultivation.</x:v>
      </x:c>
      <x:c r="AL175" s="2" t="str">
        <x:v>Sustained implementation of Rice cultivation requires procurement and service contracts, audit protocols, training material, reporting templates, insurance or guarantees and periodic independent review.</x:v>
      </x:c>
      <x:c r="AM175" s="2" t="str">
        <x:v>Phosphate rock; Potash</x:v>
      </x:c>
      <x:c r="AN175" s="2" t="str">
        <x:v>China; Morocco; United States; Canada; Russia; Belarus</x:v>
      </x:c>
      <x:c r="AO175" s="2" t="str">
        <x:v>China; Morocco; United States; Canada; Russia; Belarus</x:v>
      </x:c>
      <x:c r="AP175" s="2" t="str">
        <x:v>Rice cultivation: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5" s="2" t="str">
        <x:v>2024–2025</x:v>
      </x:c>
      <x:c r="AR175" s="2" t="str">
        <x:v>https://pubs.usgs.gov/periodicals/mcs2026/mcs2026.pdf</x:v>
      </x:c>
    </x:row>
    <x:row r="176" ht="240" customHeight="1">
      <x:c r="A176" s="2" t="str">
        <x:v>MIT-0169</x:v>
      </x:c>
      <x:c r="B176" s="2" t="str">
        <x:v>Mitigation</x:v>
      </x:c>
      <x:c r="C176" s="2" t="str">
        <x:v>Agriculture</x:v>
      </x:c>
      <x:c r="D176" s="2" t="str">
        <x:v>Cropland</x:v>
      </x:c>
      <x:c r="E176" s="2" t="str">
        <x:v>CH4 reduction</x:v>
      </x:c>
      <x:c r="F176" s="2" t="str">
        <x:v>CH4 reduction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CH4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6" s="2" t="str">
        <x:v>Mixed: adaptable design, site-specific implementation</x:v>
      </x:c>
      <x:c r="H176" s="2" t="str">
        <x:v>CH4 reduction is adaptable in capacity and configuration but site-specific in final engineering. Its principle remains the same, but resource quality, climate, scale, interfaces and safety constraints must be recalculated for each deployment.</x:v>
      </x:c>
      <x:c r="I176" s="2" t="str">
        <x:v>Primarily hard, with a soft component</x:v>
      </x:c>
      <x:c r="J176" s="2" t="str">
        <x:v>CH4 reduction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6" s="2" t="str">
        <x:v>Operation</x:v>
      </x:c>
      <x:c r="L176" s="2" t="str">
        <x:v>CH4 reduction is embodied mainly as an operating practice. The deliverable is accepted only when measurable service, quality, safety and climate-performance criteria are met under real conditions.</x:v>
      </x:c>
      <x:c r="M176" s="2" t="str">
        <x:v>Yes, subject to life-cycle safeguards</x:v>
      </x:c>
      <x:c r="N176" s="2" t="str">
        <x:v>CH4 reduction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6" s="2" t="str">
        <x:v>CH4 reduction: field or forest implements, planting and irrigation equipment, storage or livestock facilities, sampling tools, sensors and protective structures as required.</x:v>
      </x:c>
      <x:c r="P176" s="2" t="str">
        <x:v>CH4 reduction: soil–crop–livestock knowledge, nutrient and water budgets, emission factors, carbon accounting, climate services, monitoring protocols and adaptive management.</x:v>
      </x:c>
      <x:c r="Q176" s="2" t="str">
        <x:v>CH4 reduction: land tenure, extension, producer organisations, veterinary or phytosanitary services, incentives, safeguards, certification and monitoring arrangements.</x:v>
      </x:c>
      <x:c r="R176" s="2" t="str">
        <x:v>CH4 reduction: nurseries or seed banks, field access, water and storage systems, laboratories, extension centres, monitoring plots and processing or market facilities.</x:v>
      </x:c>
      <x:c r="S176" s="2" t="str">
        <x:v>CH4 reduction: human and mechanical work, electricity or fuel for machinery, pumping, cooling and processing; biological energy and solar radiation dominate field processes.</x:v>
      </x:c>
      <x:c r="T176" s="2" t="str">
        <x:v>CH4 reduction: seed or planting stock, organic matter, fertilisers, soil amendments, water, fencing or structural materials, veterinary inputs and monitoring consumables.</x:v>
      </x:c>
      <x:c r="U176" s="2" t="str">
        <x:v>CH4 reduction: seed, inoculants, filters, drip lines, nozzles, tool parts, sampling containers, sensor batteries, veterinary supplies and protective equipment.</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https://www.ipcc.ch/report/ar6/wg3/chapter/chapter-7/; https://openknowledge.fao.org/server/api/core/bitstreams/b21f2087-f398-4718-8461-b92afc82e617/content</x:v>
      </x:c>
      <x:c r="Z176" s="2" t="str">
        <x:v>Technology-specific analytical synthesis. The CTCN hierarchy is retained; classifications and component dependencies require validation against the selected design, site and supplier documentation before investment or policy use.</x:v>
      </x:c>
      <x:c r="AA176" s="2" t="str">
        <x:v>Physical deployment of CH4 reduction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6" s="2" t="str">
        <x:v>For CH4 reduction,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6" s="2" t="str">
        <x:v>Construction and operation use seed or planting stock, organic matter, fertilisers, soil amendments, water, fencing or structural materials, veterinary inputs and monitoring consumables. For CH4 reduction, specifications must include durability, compatibility, recycled content and recoverability.</x:v>
      </x:c>
      <x:c r="AD176" s="2" t="str">
        <x:v>Maintenance of CH4 reduction depends on seed, inoculants, filters, drip lines, nozzles, tool parts, sampling containers, sensor batteries, veterinary supplies and protective equipment; critical spares are selected from failure-mode, lead-time and safety analysis for its installed configuration.</x:v>
      </x:c>
      <x:c r="AE176" s="2" t="str">
        <x:v>The software stack for CH4 reduction requires databases, secure communications, version-controlled models, computing, backup and interfaces with field or operational systems.</x:v>
      </x:c>
      <x:c r="AF176" s="2" t="str">
        <x:v>For CH4 reduction, software-related energy is electricity for sensing, computing, storage, communication and cooling; it is normally secondary but must be included for data-intensive or continuous services.</x:v>
      </x:c>
      <x:c r="AG176" s="2" t="str">
        <x:v>The non-physical inputs are calibrated data, metadata, algorithms, boundary conditions, emission or hazard factors, manuals and validation records specific to CH4 reduction.</x:v>
      </x:c>
      <x:c r="AH176" s="2" t="str">
        <x:v>Software continuity for CH4 reduction requires licences where applicable, updates, cybersecurity patches, backups, calibration files, model validation and technical support.</x:v>
      </x:c>
      <x:c r="AI176" s="2" t="str">
        <x:v>Orgware depends on the institutions, laboratories, training providers, regulators, operators and community interfaces needed to govern CH4 reduction.</x:v>
      </x:c>
      <x:c r="AJ176" s="2" t="str">
        <x:v>The orgware supporting CH4 reduction has mainly indirect energy use from offices, meetings, training and information systems; travel and field supervision may be material at dispersed sites.</x:v>
      </x:c>
      <x:c r="AK176" s="2" t="str">
        <x:v>Its organisational inputs are permits, budgets, trained staff, competence records, contracts, procedures, safeguards, monitoring evidence and stakeholder agreements tailored to CH4 reduction.</x:v>
      </x:c>
      <x:c r="AL176" s="2" t="str">
        <x:v>Sustained implementation of CH4 reduction requires procurement and service contracts, audit protocols, training material, reporting templates, insurance or guarantees and periodic independent review.</x:v>
      </x:c>
      <x:c r="AM176" s="2" t="str">
        <x:v>Phosphate rock; Potash</x:v>
      </x:c>
      <x:c r="AN176" s="2" t="str">
        <x:v>China; Morocco; United States; Canada; Russia; Belarus</x:v>
      </x:c>
      <x:c r="AO176" s="2" t="str">
        <x:v>China; Morocco; United States; Canada; Russia; Belarus</x:v>
      </x:c>
      <x:c r="AP176" s="2" t="str">
        <x:v>CH4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6" s="2" t="str">
        <x:v>2024–2025</x:v>
      </x:c>
      <x:c r="AR176" s="2" t="str">
        <x:v>https://pubs.usgs.gov/periodicals/mcs2026/mcs2026.pdf</x:v>
      </x:c>
    </x:row>
    <x:row r="177" ht="240" customHeight="1">
      <x:c r="A177" s="2" t="str">
        <x:v>MIT-0170</x:v>
      </x:c>
      <x:c r="B177" s="2" t="str">
        <x:v>Mitigation</x:v>
      </x:c>
      <x:c r="C177" s="2" t="str">
        <x:v>Agriculture</x:v>
      </x:c>
      <x:c r="D177" s="2" t="str">
        <x:v>Cropland</x:v>
      </x:c>
      <x:c r="E177" s="2" t="str">
        <x:v>Soil management</x:v>
      </x:c>
      <x:c r="F177" s="2" t="str">
        <x:v>Soil management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Soil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7" s="2" t="str">
        <x:v>Flexible</x:v>
      </x:c>
      <x:c r="H177" s="2" t="str">
        <x:v>Soil management is transferable through configurable methods, rules and operating parameters. Its principle remains the same, but resource quality, climate, scale, interfaces and safety constraints must be recalculated for each deployment.</x:v>
      </x:c>
      <x:c r="I177" s="2" t="str">
        <x:v>Primarily soft, with physical support</x:v>
      </x:c>
      <x:c r="J177" s="2" t="str">
        <x:v>Soil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7" s="2" t="str">
        <x:v>Operation</x:v>
      </x:c>
      <x:c r="L177" s="2" t="str">
        <x:v>Soil management is embodied mainly as an operating practice. The deliverable is accepted only when measurable service, quality, safety and climate-performance criteria are met under real conditions.</x:v>
      </x:c>
      <x:c r="M177" s="2" t="str">
        <x:v>Yes, subject to life-cycle safeguards</x:v>
      </x:c>
      <x:c r="N177" s="2" t="str">
        <x:v>Soil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7" s="2" t="str">
        <x:v>Soil management: field or forest implements, planting and irrigation equipment, storage or livestock facilities, sampling tools, sensors and protective structures as required.</x:v>
      </x:c>
      <x:c r="P177" s="2" t="str">
        <x:v>Soil management: soil–crop–livestock knowledge, nutrient and water budgets, emission factors, carbon accounting, climate services, monitoring protocols and adaptive management.</x:v>
      </x:c>
      <x:c r="Q177" s="2" t="str">
        <x:v>Soil management: land tenure, extension, producer organisations, veterinary or phytosanitary services, incentives, safeguards, certification and monitoring arrangements.</x:v>
      </x:c>
      <x:c r="R177" s="2" t="str">
        <x:v>Soil management: nurseries or seed banks, field access, water and storage systems, laboratories, extension centres, monitoring plots and processing or market facilities.</x:v>
      </x:c>
      <x:c r="S177" s="2" t="str">
        <x:v>Soil management: human and mechanical work, electricity or fuel for machinery, pumping, cooling and processing; biological energy and solar radiation dominate field processes.</x:v>
      </x:c>
      <x:c r="T177" s="2" t="str">
        <x:v>Soil management: seed or planting stock, organic matter, fertilisers, soil amendments, water, fencing or structural materials, veterinary inputs and monitoring consumables.</x:v>
      </x:c>
      <x:c r="U177" s="2" t="str">
        <x:v>Soil management: seed, inoculants, filters, drip lines, nozzles, tool parts, sampling containers, sensor batteries, veterinary supplies and protective equipment.</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https://www.ipcc.ch/report/ar6/wg3/chapter/chapter-7/; https://openknowledge.fao.org/server/api/core/bitstreams/b21f2087-f398-4718-8461-b92afc82e617/content</x:v>
      </x:c>
      <x:c r="Z177" s="2" t="str">
        <x:v>Technology-specific analytical synthesis. The CTCN hierarchy is retained; classifications and component dependencies require validation against the selected design, site and supplier documentation before investment or policy use.</x:v>
      </x:c>
      <x:c r="AA177" s="2" t="str">
        <x:v>Physical deployment of Soil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7" s="2" t="str">
        <x:v>For Soil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7" s="2" t="str">
        <x:v>Construction and operation use seed or planting stock, organic matter, fertilisers, soil amendments, water, fencing or structural materials, veterinary inputs and monitoring consumables. For Soil management, specifications must include durability, compatibility, recycled content and recoverability.</x:v>
      </x:c>
      <x:c r="AD177" s="2" t="str">
        <x:v>Maintenance of Soil management depends on seed, inoculants, filters, drip lines, nozzles, tool parts, sampling containers, sensor batteries, veterinary supplies and protective equipment; critical spares are selected from failure-mode, lead-time and safety analysis for its installed configuration.</x:v>
      </x:c>
      <x:c r="AE177" s="2" t="str">
        <x:v>The software stack for Soil management requires databases, secure communications, version-controlled models, computing, backup and interfaces with field or operational systems.</x:v>
      </x:c>
      <x:c r="AF177" s="2" t="str">
        <x:v>For Soil management, software-related energy is electricity for sensing, computing, storage, communication and cooling; it is normally secondary but must be included for data-intensive or continuous services.</x:v>
      </x:c>
      <x:c r="AG177" s="2" t="str">
        <x:v>The non-physical inputs are calibrated data, metadata, algorithms, boundary conditions, emission or hazard factors, manuals and validation records specific to Soil management.</x:v>
      </x:c>
      <x:c r="AH177" s="2" t="str">
        <x:v>Software continuity for Soil management requires licences where applicable, updates, cybersecurity patches, backups, calibration files, model validation and technical support.</x:v>
      </x:c>
      <x:c r="AI177" s="2" t="str">
        <x:v>Orgware depends on the institutions, laboratories, training providers, regulators, operators and community interfaces needed to govern Soil management.</x:v>
      </x:c>
      <x:c r="AJ177" s="2" t="str">
        <x:v>The orgware supporting Soil management has mainly indirect energy use from offices, meetings, training and information systems; travel and field supervision may be material at dispersed sites.</x:v>
      </x:c>
      <x:c r="AK177" s="2" t="str">
        <x:v>Its organisational inputs are permits, budgets, trained staff, competence records, contracts, procedures, safeguards, monitoring evidence and stakeholder agreements tailored to Soil management.</x:v>
      </x:c>
      <x:c r="AL177" s="2" t="str">
        <x:v>Sustained implementation of Soil management requires procurement and service contracts, audit protocols, training material, reporting templates, insurance or guarantees and periodic independent review.</x:v>
      </x:c>
      <x:c r="AM177" s="2" t="str">
        <x:v>Phosphate rock; Potash</x:v>
      </x:c>
      <x:c r="AN177" s="2" t="str">
        <x:v>China; Morocco; United States; Canada; Russia; Belarus</x:v>
      </x:c>
      <x:c r="AO177" s="2" t="str">
        <x:v>China; Morocco; United States; Canada; Russia; Belarus</x:v>
      </x:c>
      <x:c r="AP177" s="2" t="str">
        <x:v>Soil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7" s="2" t="str">
        <x:v>2024–2025</x:v>
      </x:c>
      <x:c r="AR177" s="2" t="str">
        <x:v>https://pubs.usgs.gov/periodicals/mcs2026/mcs2026.pdf</x:v>
      </x:c>
    </x:row>
    <x:row r="178" ht="240" customHeight="1">
      <x:c r="A178" s="2" t="str">
        <x:v>MIT-0171</x:v>
      </x:c>
      <x:c r="B178" s="2" t="str">
        <x:v>Mitigation</x:v>
      </x:c>
      <x:c r="C178" s="2" t="str">
        <x:v>Agriculture</x:v>
      </x:c>
      <x:c r="D178" s="2" t="str">
        <x:v>Cropland</x:v>
      </x:c>
      <x:c r="E178" s="2" t="str">
        <x:v>Restoration of organic soils</x:v>
      </x:c>
      <x:c r="F178" s="2" t="str">
        <x:v>Restoration of organic soils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Restoration of organic soils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8" s="2" t="str">
        <x:v>Mixed: adaptable design, site-specific implementation</x:v>
      </x:c>
      <x:c r="H178" s="2" t="str">
        <x:v>Restoration of organic soils is adaptable in capacity and configuration but site-specific in final engineering. Its principle remains the same, but resource quality, climate, scale, interfaces and safety constraints must be recalculated for each deployment.</x:v>
      </x:c>
      <x:c r="I178" s="2" t="str">
        <x:v>Primarily hard, with a soft component</x:v>
      </x:c>
      <x:c r="J178" s="2" t="str">
        <x:v>Restoration of organic soils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8" s="2" t="str">
        <x:v>Operation</x:v>
      </x:c>
      <x:c r="L178" s="2" t="str">
        <x:v>Restoration of organic soils is embodied mainly as an operating practice. The deliverable is accepted only when measurable service, quality, safety and climate-performance criteria are met under real conditions.</x:v>
      </x:c>
      <x:c r="M178" s="2" t="str">
        <x:v>Yes, subject to life-cycle safeguards</x:v>
      </x:c>
      <x:c r="N178" s="2" t="str">
        <x:v>Restoration of organic soils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8" s="2" t="str">
        <x:v>Restoration of organic soils: field or forest implements, planting and irrigation equipment, storage or livestock facilities, sampling tools, sensors and protective structures as required.</x:v>
      </x:c>
      <x:c r="P178" s="2" t="str">
        <x:v>Restoration of organic soils: soil–crop–livestock knowledge, nutrient and water budgets, emission factors, carbon accounting, climate services, monitoring protocols and adaptive management.</x:v>
      </x:c>
      <x:c r="Q178" s="2" t="str">
        <x:v>Restoration of organic soils: land tenure, extension, producer organisations, veterinary or phytosanitary services, incentives, safeguards, certification and monitoring arrangements.</x:v>
      </x:c>
      <x:c r="R178" s="2" t="str">
        <x:v>Restoration of organic soils: nurseries or seed banks, field access, water and storage systems, laboratories, extension centres, monitoring plots and processing or market facilities.</x:v>
      </x:c>
      <x:c r="S178" s="2" t="str">
        <x:v>Restoration of organic soils: human and mechanical work, electricity or fuel for machinery, pumping, cooling and processing; biological energy and solar radiation dominate field processes.</x:v>
      </x:c>
      <x:c r="T178" s="2" t="str">
        <x:v>Restoration of organic soils: seed or planting stock, organic matter, fertilisers, soil amendments, water, fencing or structural materials, veterinary inputs and monitoring consumables.</x:v>
      </x:c>
      <x:c r="U178" s="2" t="str">
        <x:v>Restoration of organic soils: seed, inoculants, filters, drip lines, nozzles, tool parts, sampling containers, sensor batteries, veterinary supplies and protective equipment.</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https://www.ipcc.ch/report/ar6/wg3/chapter/chapter-7/; https://openknowledge.fao.org/server/api/core/bitstreams/b21f2087-f398-4718-8461-b92afc82e617/content</x:v>
      </x:c>
      <x:c r="Z178" s="2" t="str">
        <x:v>Technology-specific analytical synthesis. The CTCN hierarchy is retained; classifications and component dependencies require validation against the selected design, site and supplier documentation before investment or policy use.</x:v>
      </x:c>
      <x:c r="AA178" s="2" t="str">
        <x:v>Physical deployment of Restoration of organic soils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8" s="2" t="str">
        <x:v>For Restoration of organic soils,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8" s="2" t="str">
        <x:v>Construction and operation use seed or planting stock, organic matter, fertilisers, soil amendments, water, fencing or structural materials, veterinary inputs and monitoring consumables. For Restoration of organic soils, specifications must include durability, compatibility, recycled content and recoverability.</x:v>
      </x:c>
      <x:c r="AD178" s="2" t="str">
        <x:v>Maintenance of Restoration of organic soils depends on seed, inoculants, filters, drip lines, nozzles, tool parts, sampling containers, sensor batteries, veterinary supplies and protective equipment; critical spares are selected from failure-mode, lead-time and safety analysis for its installed configuration.</x:v>
      </x:c>
      <x:c r="AE178" s="2" t="str">
        <x:v>The software stack for Restoration of organic soils requires databases, secure communications, version-controlled models, computing, backup and interfaces with field or operational systems.</x:v>
      </x:c>
      <x:c r="AF178" s="2" t="str">
        <x:v>For Restoration of organic soils, software-related energy is electricity for sensing, computing, storage, communication and cooling; it is normally secondary but must be included for data-intensive or continuous services.</x:v>
      </x:c>
      <x:c r="AG178" s="2" t="str">
        <x:v>The non-physical inputs are calibrated data, metadata, algorithms, boundary conditions, emission or hazard factors, manuals and validation records specific to Restoration of organic soils.</x:v>
      </x:c>
      <x:c r="AH178" s="2" t="str">
        <x:v>Software continuity for Restoration of organic soils requires licences where applicable, updates, cybersecurity patches, backups, calibration files, model validation and technical support.</x:v>
      </x:c>
      <x:c r="AI178" s="2" t="str">
        <x:v>Orgware depends on the institutions, laboratories, training providers, regulators, operators and community interfaces needed to govern Restoration of organic soils.</x:v>
      </x:c>
      <x:c r="AJ178" s="2" t="str">
        <x:v>The orgware supporting Restoration of organic soils has mainly indirect energy use from offices, meetings, training and information systems; travel and field supervision may be material at dispersed sites.</x:v>
      </x:c>
      <x:c r="AK178" s="2" t="str">
        <x:v>Its organisational inputs are permits, budgets, trained staff, competence records, contracts, procedures, safeguards, monitoring evidence and stakeholder agreements tailored to Restoration of organic soils.</x:v>
      </x:c>
      <x:c r="AL178" s="2" t="str">
        <x:v>Sustained implementation of Restoration of organic soils requires procurement and service contracts, audit protocols, training material, reporting templates, insurance or guarantees and periodic independent review.</x:v>
      </x:c>
      <x:c r="AM178" s="2" t="str">
        <x:v>Phosphate rock; Potash</x:v>
      </x:c>
      <x:c r="AN178" s="2" t="str">
        <x:v>China; Morocco; United States; Canada; Russia; Belarus</x:v>
      </x:c>
      <x:c r="AO178" s="2" t="str">
        <x:v>China; Morocco; United States; Canada; Russia; Belarus</x:v>
      </x:c>
      <x:c r="AP178" s="2" t="str">
        <x:v>Restoration of organic soils: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8" s="2" t="str">
        <x:v>2024–2025</x:v>
      </x:c>
      <x:c r="AR178" s="2" t="str">
        <x:v>https://pubs.usgs.gov/periodicals/mcs2026/mcs2026.pdf</x:v>
      </x:c>
    </x:row>
    <x:row r="179" ht="240" customHeight="1">
      <x:c r="A179" s="2" t="str">
        <x:v>MIT-0172</x:v>
      </x:c>
      <x:c r="B179" s="2" t="str">
        <x:v>Mitigation</x:v>
      </x:c>
      <x:c r="C179" s="2" t="str">
        <x:v>Agriculture</x:v>
      </x:c>
      <x:c r="D179" s="2" t="str">
        <x:v>Cropland</x:v>
      </x:c>
      <x:c r="E179" s="2" t="str">
        <x:v>Restoration of degraded lands</x:v>
      </x:c>
      <x:c r="F179" s="2" t="str">
        <x:v>Restoration of degraded lands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Restoration of degraded lands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9" s="2" t="str">
        <x:v>Mixed: adaptable design, site-specific implementation</x:v>
      </x:c>
      <x:c r="H179" s="2" t="str">
        <x:v>Restoration of degraded lands is adaptable in capacity and configuration but site-specific in final engineering. Its principle remains the same, but resource quality, climate, scale, interfaces and safety constraints must be recalculated for each deployment.</x:v>
      </x:c>
      <x:c r="I179" s="2" t="str">
        <x:v>Primarily hard, with a soft component</x:v>
      </x:c>
      <x:c r="J179" s="2" t="str">
        <x:v>Restoration of degraded lands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9" s="2" t="str">
        <x:v>Operation</x:v>
      </x:c>
      <x:c r="L179" s="2" t="str">
        <x:v>Restoration of degraded lands is embodied mainly as an operating practice. The deliverable is accepted only when measurable service, quality, safety and climate-performance criteria are met under real conditions.</x:v>
      </x:c>
      <x:c r="M179" s="2" t="str">
        <x:v>Yes, subject to life-cycle safeguards</x:v>
      </x:c>
      <x:c r="N179" s="2" t="str">
        <x:v>Restoration of degraded lands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9" s="2" t="str">
        <x:v>Restoration of degraded lands: field or forest implements, planting and irrigation equipment, storage or livestock facilities, sampling tools, sensors and protective structures as required.</x:v>
      </x:c>
      <x:c r="P179" s="2" t="str">
        <x:v>Restoration of degraded lands: soil–crop–livestock knowledge, nutrient and water budgets, emission factors, carbon accounting, climate services, monitoring protocols and adaptive management.</x:v>
      </x:c>
      <x:c r="Q179" s="2" t="str">
        <x:v>Restoration of degraded lands: land tenure, extension, producer organisations, veterinary or phytosanitary services, incentives, safeguards, certification and monitoring arrangements.</x:v>
      </x:c>
      <x:c r="R179" s="2" t="str">
        <x:v>Restoration of degraded lands: nurseries or seed banks, field access, water and storage systems, laboratories, extension centres, monitoring plots and processing or market facilities.</x:v>
      </x:c>
      <x:c r="S179" s="2" t="str">
        <x:v>Restoration of degraded lands: human and mechanical work, electricity or fuel for machinery, pumping, cooling and processing; biological energy and solar radiation dominate field processes.</x:v>
      </x:c>
      <x:c r="T179" s="2" t="str">
        <x:v>Restoration of degraded lands: seed or planting stock, organic matter, fertilisers, soil amendments, water, fencing or structural materials, veterinary inputs and monitoring consumables.</x:v>
      </x:c>
      <x:c r="U179" s="2" t="str">
        <x:v>Restoration of degraded lands: seed, inoculants, filters, drip lines, nozzles, tool parts, sampling containers, sensor batteries, veterinary supplies and protective equipment.</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https://www.ipcc.ch/report/ar6/wg3/chapter/chapter-7/; https://openknowledge.fao.org/server/api/core/bitstreams/b21f2087-f398-4718-8461-b92afc82e617/content</x:v>
      </x:c>
      <x:c r="Z179" s="2" t="str">
        <x:v>Technology-specific analytical synthesis. The CTCN hierarchy is retained; classifications and component dependencies require validation against the selected design, site and supplier documentation before investment or policy use.</x:v>
      </x:c>
      <x:c r="AA179" s="2" t="str">
        <x:v>Physical deployment of Restoration of degraded lands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9" s="2" t="str">
        <x:v>For Restoration of degraded lands,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9" s="2" t="str">
        <x:v>Construction and operation use seed or planting stock, organic matter, fertilisers, soil amendments, water, fencing or structural materials, veterinary inputs and monitoring consumables. For Restoration of degraded lands, specifications must include durability, compatibility, recycled content and recoverability.</x:v>
      </x:c>
      <x:c r="AD179" s="2" t="str">
        <x:v>Maintenance of Restoration of degraded lands depends on seed, inoculants, filters, drip lines, nozzles, tool parts, sampling containers, sensor batteries, veterinary supplies and protective equipment; critical spares are selected from failure-mode, lead-time and safety analysis for its installed configuration.</x:v>
      </x:c>
      <x:c r="AE179" s="2" t="str">
        <x:v>The software stack for Restoration of degraded lands requires databases, secure communications, version-controlled models, computing, backup and interfaces with field or operational systems.</x:v>
      </x:c>
      <x:c r="AF179" s="2" t="str">
        <x:v>For Restoration of degraded lands, software-related energy is electricity for sensing, computing, storage, communication and cooling; it is normally secondary but must be included for data-intensive or continuous services.</x:v>
      </x:c>
      <x:c r="AG179" s="2" t="str">
        <x:v>The non-physical inputs are calibrated data, metadata, algorithms, boundary conditions, emission or hazard factors, manuals and validation records specific to Restoration of degraded lands.</x:v>
      </x:c>
      <x:c r="AH179" s="2" t="str">
        <x:v>Software continuity for Restoration of degraded lands requires licences where applicable, updates, cybersecurity patches, backups, calibration files, model validation and technical support.</x:v>
      </x:c>
      <x:c r="AI179" s="2" t="str">
        <x:v>Orgware depends on the institutions, laboratories, training providers, regulators, operators and community interfaces needed to govern Restoration of degraded lands.</x:v>
      </x:c>
      <x:c r="AJ179" s="2" t="str">
        <x:v>The orgware supporting Restoration of degraded lands has mainly indirect energy use from offices, meetings, training and information systems; travel and field supervision may be material at dispersed sites.</x:v>
      </x:c>
      <x:c r="AK179" s="2" t="str">
        <x:v>Its organisational inputs are permits, budgets, trained staff, competence records, contracts, procedures, safeguards, monitoring evidence and stakeholder agreements tailored to Restoration of degraded lands.</x:v>
      </x:c>
      <x:c r="AL179" s="2" t="str">
        <x:v>Sustained implementation of Restoration of degraded lands requires procurement and service contracts, audit protocols, training material, reporting templates, insurance or guarantees and periodic independent review.</x:v>
      </x:c>
      <x:c r="AM179" s="2" t="str">
        <x:v>Phosphate rock; Potash</x:v>
      </x:c>
      <x:c r="AN179" s="2" t="str">
        <x:v>China; Morocco; United States; Canada; Russia; Belarus</x:v>
      </x:c>
      <x:c r="AO179" s="2" t="str">
        <x:v>China; Morocco; United States; Canada; Russia; Belarus</x:v>
      </x:c>
      <x:c r="AP179" s="2" t="str">
        <x:v>Restoration of degraded lands: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9" s="2" t="str">
        <x:v>2024–2025</x:v>
      </x:c>
      <x:c r="AR179" s="2" t="str">
        <x:v>https://pubs.usgs.gov/periodicals/mcs2026/mcs2026.pdf</x:v>
      </x:c>
    </x:row>
    <x:row r="180" ht="240" customHeight="1">
      <x:c r="A180" s="2" t="str">
        <x:v>MIT-0173</x:v>
      </x:c>
      <x:c r="B180" s="2" t="str">
        <x:v>Mitigation</x:v>
      </x:c>
      <x:c r="C180" s="2" t="str">
        <x:v>Agriculture</x:v>
      </x:c>
      <x:c r="D180" s="2" t="str">
        <x:v>Cropland</x:v>
      </x:c>
      <x:c r="E180" s="2" t="str">
        <x:v>Organic agriculture</x:v>
      </x:c>
      <x:c r="F180" s="2" t="str">
        <x:v>Organic agriculture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Organic agriculture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0" s="2" t="str">
        <x:v>Mixed: adaptable design, site-specific implementation</x:v>
      </x:c>
      <x:c r="H180" s="2" t="str">
        <x:v>Organic agriculture is adaptable in capacity and configuration but site-specific in final engineering. Its principle remains the same, but resource quality, climate, scale, interfaces and safety constraints must be recalculated for each deployment.</x:v>
      </x:c>
      <x:c r="I180" s="2" t="str">
        <x:v>Primarily hard, with a soft component</x:v>
      </x:c>
      <x:c r="J180" s="2" t="str">
        <x:v>Organic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0" s="2" t="str">
        <x:v>Operation</x:v>
      </x:c>
      <x:c r="L180" s="2" t="str">
        <x:v>Organic agriculture is embodied mainly as an operating practice. The deliverable is accepted only when measurable service, quality, safety and climate-performance criteria are met under real conditions.</x:v>
      </x:c>
      <x:c r="M180" s="2" t="str">
        <x:v>Yes, subject to life-cycle safeguards</x:v>
      </x:c>
      <x:c r="N180" s="2" t="str">
        <x:v>Organic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0" s="2" t="str">
        <x:v>Organic agriculture: field or forest implements, planting and irrigation equipment, storage or livestock facilities, sampling tools, sensors and protective structures as required.</x:v>
      </x:c>
      <x:c r="P180" s="2" t="str">
        <x:v>Organic agriculture: soil–crop–livestock knowledge, nutrient and water budgets, emission factors, carbon accounting, climate services, monitoring protocols and adaptive management.</x:v>
      </x:c>
      <x:c r="Q180" s="2" t="str">
        <x:v>Organic agriculture: land tenure, extension, producer organisations, veterinary or phytosanitary services, incentives, safeguards, certification and monitoring arrangements.</x:v>
      </x:c>
      <x:c r="R180" s="2" t="str">
        <x:v>Organic agriculture: nurseries or seed banks, field access, water and storage systems, laboratories, extension centres, monitoring plots and processing or market facilities.</x:v>
      </x:c>
      <x:c r="S180" s="2" t="str">
        <x:v>Organic agriculture: human and mechanical work, electricity or fuel for machinery, pumping, cooling and processing; biological energy and solar radiation dominate field processes.</x:v>
      </x:c>
      <x:c r="T180" s="2" t="str">
        <x:v>Organic agriculture: seed or planting stock, organic matter, fertilisers, soil amendments, water, fencing or structural materials, veterinary inputs and monitoring consumables.</x:v>
      </x:c>
      <x:c r="U180" s="2" t="str">
        <x:v>Organic agriculture: seed, inoculants, filters, drip lines, nozzles, tool parts, sampling containers, sensor batteries, veterinary supplies and protective equipment.</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https://www.ipcc.ch/report/ar6/wg3/chapter/chapter-7/; https://openknowledge.fao.org/server/api/core/bitstreams/b21f2087-f398-4718-8461-b92afc82e617/content</x:v>
      </x:c>
      <x:c r="Z180" s="2" t="str">
        <x:v>Technology-specific analytical synthesis. The CTCN hierarchy is retained; classifications and component dependencies require validation against the selected design, site and supplier documentation before investment or policy use.</x:v>
      </x:c>
      <x:c r="AA180" s="2" t="str">
        <x:v>Physical deployment of Organic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0" s="2" t="str">
        <x:v>For Organic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0" s="2" t="str">
        <x:v>Construction and operation use seed or planting stock, organic matter, fertilisers, soil amendments, water, fencing or structural materials, veterinary inputs and monitoring consumables. For Organic agriculture, specifications must include durability, compatibility, recycled content and recoverability.</x:v>
      </x:c>
      <x:c r="AD180" s="2" t="str">
        <x:v>Maintenance of Organic agriculture depends on seed, inoculants, filters, drip lines, nozzles, tool parts, sampling containers, sensor batteries, veterinary supplies and protective equipment; critical spares are selected from failure-mode, lead-time and safety analysis for its installed configuration.</x:v>
      </x:c>
      <x:c r="AE180" s="2" t="str">
        <x:v>The software stack for Organic agriculture requires databases, secure communications, version-controlled models, computing, backup and interfaces with field or operational systems.</x:v>
      </x:c>
      <x:c r="AF180" s="2" t="str">
        <x:v>For Organic agriculture, software-related energy is electricity for sensing, computing, storage, communication and cooling; it is normally secondary but must be included for data-intensive or continuous services.</x:v>
      </x:c>
      <x:c r="AG180" s="2" t="str">
        <x:v>The non-physical inputs are calibrated data, metadata, algorithms, boundary conditions, emission or hazard factors, manuals and validation records specific to Organic agriculture.</x:v>
      </x:c>
      <x:c r="AH180" s="2" t="str">
        <x:v>Software continuity for Organic agriculture requires licences where applicable, updates, cybersecurity patches, backups, calibration files, model validation and technical support.</x:v>
      </x:c>
      <x:c r="AI180" s="2" t="str">
        <x:v>Orgware depends on the institutions, laboratories, training providers, regulators, operators and community interfaces needed to govern Organic agriculture.</x:v>
      </x:c>
      <x:c r="AJ180" s="2" t="str">
        <x:v>The orgware supporting Organic agriculture has mainly indirect energy use from offices, meetings, training and information systems; travel and field supervision may be material at dispersed sites.</x:v>
      </x:c>
      <x:c r="AK180" s="2" t="str">
        <x:v>Its organisational inputs are permits, budgets, trained staff, competence records, contracts, procedures, safeguards, monitoring evidence and stakeholder agreements tailored to Organic agriculture.</x:v>
      </x:c>
      <x:c r="AL180" s="2" t="str">
        <x:v>Sustained implementation of Organic agriculture requires procurement and service contracts, audit protocols, training material, reporting templates, insurance or guarantees and periodic independent review.</x:v>
      </x:c>
      <x:c r="AM180" s="2" t="str">
        <x:v>Phosphate rock; Potash</x:v>
      </x:c>
      <x:c r="AN180" s="2" t="str">
        <x:v>China; Morocco; United States; Canada; Russia; Belarus</x:v>
      </x:c>
      <x:c r="AO180" s="2" t="str">
        <x:v>China; Morocco; United States; Canada; Russia; Belarus</x:v>
      </x:c>
      <x:c r="AP180" s="2" t="str">
        <x:v>Organic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0" s="2" t="str">
        <x:v>2024–2025</x:v>
      </x:c>
      <x:c r="AR180" s="2" t="str">
        <x:v>https://pubs.usgs.gov/periodicals/mcs2026/mcs2026.pdf</x:v>
      </x:c>
    </x:row>
    <x:row r="181" ht="240" customHeight="1">
      <x:c r="A181" s="2" t="str">
        <x:v>MIT-0174</x:v>
      </x:c>
      <x:c r="B181" s="2" t="str">
        <x:v>Mitigation</x:v>
      </x:c>
      <x:c r="C181" s="2" t="str">
        <x:v>Agriculture</x:v>
      </x:c>
      <x:c r="D181" s="2" t="str">
        <x:v>Cropland</x:v>
      </x:c>
      <x:c r="E181" s="2" t="str">
        <x:v>Reduction of energy use in traction</x:v>
      </x:c>
      <x:c r="F181" s="2" t="str">
        <x:v>Reduction of energy use in traction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Reduction of energy use in traction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1" s="2" t="str">
        <x:v>Mixed: adaptable design, site-specific implementation</x:v>
      </x:c>
      <x:c r="H181" s="2" t="str">
        <x:v>Reduction of energy use in traction is adaptable in capacity and configuration but site-specific in final engineering. Its principle remains the same, but resource quality, climate, scale, interfaces and safety constraints must be recalculated for each deployment.</x:v>
      </x:c>
      <x:c r="I181" s="2" t="str">
        <x:v>Primarily hard, with a soft component</x:v>
      </x:c>
      <x:c r="J181" s="2" t="str">
        <x:v>Reduction of energy use in traction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1" s="2" t="str">
        <x:v>Operation</x:v>
      </x:c>
      <x:c r="L181" s="2" t="str">
        <x:v>Reduction of energy use in traction is embodied mainly as an operating practice. The deliverable is accepted only when measurable service, quality, safety and climate-performance criteria are met under real conditions.</x:v>
      </x:c>
      <x:c r="M181" s="2" t="str">
        <x:v>Yes, subject to life-cycle safeguards</x:v>
      </x:c>
      <x:c r="N181" s="2" t="str">
        <x:v>Reduction of energy use in traction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1" s="2" t="str">
        <x:v>Reduction of energy use in traction: field or forest implements, planting and irrigation equipment, storage or livestock facilities, sampling tools, sensors and protective structures as required.</x:v>
      </x:c>
      <x:c r="P181" s="2" t="str">
        <x:v>Reduction of energy use in traction: soil–crop–livestock knowledge, nutrient and water budgets, emission factors, carbon accounting, climate services, monitoring protocols and adaptive management.</x:v>
      </x:c>
      <x:c r="Q181" s="2" t="str">
        <x:v>Reduction of energy use in traction: land tenure, extension, producer organisations, veterinary or phytosanitary services, incentives, safeguards, certification and monitoring arrangements.</x:v>
      </x:c>
      <x:c r="R181" s="2" t="str">
        <x:v>Reduction of energy use in traction: nurseries or seed banks, field access, water and storage systems, laboratories, extension centres, monitoring plots and processing or market facilities.</x:v>
      </x:c>
      <x:c r="S181" s="2" t="str">
        <x:v>Reduction of energy use in traction: human and mechanical work, electricity or fuel for machinery, pumping, cooling and processing; biological energy and solar radiation dominate field processes.</x:v>
      </x:c>
      <x:c r="T181" s="2" t="str">
        <x:v>Reduction of energy use in traction: seed or planting stock, organic matter, fertilisers, soil amendments, water, fencing or structural materials, veterinary inputs and monitoring consumables.</x:v>
      </x:c>
      <x:c r="U181" s="2" t="str">
        <x:v>Reduction of energy use in traction: seed, inoculants, filters, drip lines, nozzles, tool parts, sampling containers, sensor batteries, veterinary supplies and protective equipment.</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https://www.ipcc.ch/report/ar6/wg3/chapter/chapter-7/; https://openknowledge.fao.org/server/api/core/bitstreams/b21f2087-f398-4718-8461-b92afc82e617/content</x:v>
      </x:c>
      <x:c r="Z181" s="2" t="str">
        <x:v>Technology-specific analytical synthesis. The CTCN hierarchy is retained; classifications and component dependencies require validation against the selected design, site and supplier documentation before investment or policy use.</x:v>
      </x:c>
      <x:c r="AA181" s="2" t="str">
        <x:v>Physical deployment of Reduction of energy use in traction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1" s="2" t="str">
        <x:v>For Reduction of energy use in traction,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1" s="2" t="str">
        <x:v>Construction and operation use seed or planting stock, organic matter, fertilisers, soil amendments, water, fencing or structural materials, veterinary inputs and monitoring consumables. For Reduction of energy use in traction, specifications must include durability, compatibility, recycled content and recoverability.</x:v>
      </x:c>
      <x:c r="AD181" s="2" t="str">
        <x:v>Maintenance of Reduction of energy use in traction depends on seed, inoculants, filters, drip lines, nozzles, tool parts, sampling containers, sensor batteries, veterinary supplies and protective equipment; critical spares are selected from failure-mode, lead-time and safety analysis for its installed configuration.</x:v>
      </x:c>
      <x:c r="AE181" s="2" t="str">
        <x:v>The software stack for Reduction of energy use in traction requires databases, secure communications, version-controlled models, computing, backup and interfaces with field or operational systems.</x:v>
      </x:c>
      <x:c r="AF181" s="2" t="str">
        <x:v>For Reduction of energy use in traction, software-related energy is electricity for sensing, computing, storage, communication and cooling; it is normally secondary but must be included for data-intensive or continuous services.</x:v>
      </x:c>
      <x:c r="AG181" s="2" t="str">
        <x:v>The non-physical inputs are calibrated data, metadata, algorithms, boundary conditions, emission or hazard factors, manuals and validation records specific to Reduction of energy use in traction.</x:v>
      </x:c>
      <x:c r="AH181" s="2" t="str">
        <x:v>Software continuity for Reduction of energy use in traction requires licences where applicable, updates, cybersecurity patches, backups, calibration files, model validation and technical support.</x:v>
      </x:c>
      <x:c r="AI181" s="2" t="str">
        <x:v>Orgware depends on the institutions, laboratories, training providers, regulators, operators and community interfaces needed to govern Reduction of energy use in traction.</x:v>
      </x:c>
      <x:c r="AJ181" s="2" t="str">
        <x:v>The orgware supporting Reduction of energy use in traction has mainly indirect energy use from offices, meetings, training and information systems; travel and field supervision may be material at dispersed sites.</x:v>
      </x:c>
      <x:c r="AK181" s="2" t="str">
        <x:v>Its organisational inputs are permits, budgets, trained staff, competence records, contracts, procedures, safeguards, monitoring evidence and stakeholder agreements tailored to Reduction of energy use in traction.</x:v>
      </x:c>
      <x:c r="AL181" s="2" t="str">
        <x:v>Sustained implementation of Reduction of energy use in traction requires procurement and service contracts, audit protocols, training material, reporting templates, insurance or guarantees and periodic independent review.</x:v>
      </x:c>
      <x:c r="AM181" s="2" t="str">
        <x:v>Phosphate rock; Potash</x:v>
      </x:c>
      <x:c r="AN181" s="2" t="str">
        <x:v>China; Morocco; United States; Canada; Russia; Belarus</x:v>
      </x:c>
      <x:c r="AO181" s="2" t="str">
        <x:v>China; Morocco; United States; Canada; Russia; Belarus</x:v>
      </x:c>
      <x:c r="AP181" s="2" t="str">
        <x:v>Reduction of energy use in traction: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1" s="2" t="str">
        <x:v>2024–2025</x:v>
      </x:c>
      <x:c r="AR181" s="2" t="str">
        <x:v>https://pubs.usgs.gov/periodicals/mcs2026/mcs2026.pdf</x:v>
      </x:c>
    </x:row>
    <x:row r="182" ht="240" customHeight="1">
      <x:c r="A182" s="2" t="str">
        <x:v>MIT-0175</x:v>
      </x:c>
      <x:c r="B182" s="2" t="str">
        <x:v>Mitigation</x:v>
      </x:c>
      <x:c r="C182" s="2" t="str">
        <x:v>Agriculture</x:v>
      </x:c>
      <x:c r="D182" s="2" t="str">
        <x:v>Cropland</x:v>
      </x:c>
      <x:c r="E182" s="2" t="str">
        <x:v>Field burning of agricultural residues</x:v>
      </x:c>
      <x:c r="F182" s="2" t="str">
        <x:v>Field burning of agricultural residues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Field burning of agricultural residues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2" s="2" t="str">
        <x:v>Mixed: adaptable design, site-specific implementation</x:v>
      </x:c>
      <x:c r="H182" s="2" t="str">
        <x:v>Field burning of agricultural residues is adaptable in capacity and configuration but site-specific in final engineering. Its principle remains the same, but resource quality, climate, scale, interfaces and safety constraints must be recalculated for each deployment.</x:v>
      </x:c>
      <x:c r="I182" s="2" t="str">
        <x:v>Primarily hard, with a soft component</x:v>
      </x:c>
      <x:c r="J182" s="2" t="str">
        <x:v>Field burning of agricultural residues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2" s="2" t="str">
        <x:v>Operation</x:v>
      </x:c>
      <x:c r="L182" s="2" t="str">
        <x:v>Field burning of agricultural residues is embodied mainly as an operating practice. The deliverable is accepted only when measurable service, quality, safety and climate-performance criteria are met under real conditions.</x:v>
      </x:c>
      <x:c r="M182" s="2" t="str">
        <x:v>Conditional on performance and life cycle</x:v>
      </x:c>
      <x:c r="N182" s="2" t="str">
        <x:v>Field burning of agricultural residues is classified as conditional.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2" s="2" t="str">
        <x:v>Field burning of agricultural residues: field or forest implements, planting and irrigation equipment, storage or livestock facilities, sampling tools, sensors and protective structures as required.</x:v>
      </x:c>
      <x:c r="P182" s="2" t="str">
        <x:v>Field burning of agricultural residues: soil–crop–livestock knowledge, nutrient and water budgets, emission factors, carbon accounting, climate services, monitoring protocols and adaptive management.</x:v>
      </x:c>
      <x:c r="Q182" s="2" t="str">
        <x:v>Field burning of agricultural residues: land tenure, extension, producer organisations, veterinary or phytosanitary services, incentives, safeguards, certification and monitoring arrangements.</x:v>
      </x:c>
      <x:c r="R182" s="2" t="str">
        <x:v>Field burning of agricultural residues: nurseries or seed banks, field access, water and storage systems, laboratories, extension centres, monitoring plots and processing or market facilities.</x:v>
      </x:c>
      <x:c r="S182" s="2" t="str">
        <x:v>Field burning of agricultural residues: human and mechanical work, electricity or fuel for machinery, pumping, cooling and processing; biological energy and solar radiation dominate field processes.</x:v>
      </x:c>
      <x:c r="T182" s="2" t="str">
        <x:v>Field burning of agricultural residues: seed or planting stock, organic matter, fertilisers, soil amendments, water, fencing or structural materials, veterinary inputs and monitoring consumables.</x:v>
      </x:c>
      <x:c r="U182" s="2" t="str">
        <x:v>Field burning of agricultural residues: seed, inoculants, filters, drip lines, nozzles, tool parts, sampling containers, sensor batteries, veterinary supplies and protective equipment.</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https://www.ipcc.ch/report/ar6/wg3/chapter/chapter-7/; https://openknowledge.fao.org/server/api/core/bitstreams/b21f2087-f398-4718-8461-b92afc82e617/content</x:v>
      </x:c>
      <x:c r="Z182" s="2" t="str">
        <x:v>Technology-specific analytical synthesis. The CTCN hierarchy is retained; classifications and component dependencies require validation against the selected design, site and supplier documentation before investment or policy use.</x:v>
      </x:c>
      <x:c r="AA182" s="2" t="str">
        <x:v>Physical deployment of Field burning of agricultural residues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2" s="2" t="str">
        <x:v>For Field burning of agricultural residues,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2" s="2" t="str">
        <x:v>Construction and operation use seed or planting stock, organic matter, fertilisers, soil amendments, water, fencing or structural materials, veterinary inputs and monitoring consumables. For Field burning of agricultural residues, specifications must include durability, compatibility, recycled content and recoverability.</x:v>
      </x:c>
      <x:c r="AD182" s="2" t="str">
        <x:v>Maintenance of Field burning of agricultural residues depends on seed, inoculants, filters, drip lines, nozzles, tool parts, sampling containers, sensor batteries, veterinary supplies and protective equipment; critical spares are selected from failure-mode, lead-time and safety analysis for its installed configuration.</x:v>
      </x:c>
      <x:c r="AE182" s="2" t="str">
        <x:v>The software stack for Field burning of agricultural residues requires databases, secure communications, version-controlled models, computing, backup and interfaces with field or operational systems.</x:v>
      </x:c>
      <x:c r="AF182" s="2" t="str">
        <x:v>For Field burning of agricultural residues, software-related energy is electricity for sensing, computing, storage, communication and cooling; it is normally secondary but must be included for data-intensive or continuous services.</x:v>
      </x:c>
      <x:c r="AG182" s="2" t="str">
        <x:v>The non-physical inputs are calibrated data, metadata, algorithms, boundary conditions, emission or hazard factors, manuals and validation records specific to Field burning of agricultural residues.</x:v>
      </x:c>
      <x:c r="AH182" s="2" t="str">
        <x:v>Software continuity for Field burning of agricultural residues requires licences where applicable, updates, cybersecurity patches, backups, calibration files, model validation and technical support.</x:v>
      </x:c>
      <x:c r="AI182" s="2" t="str">
        <x:v>Orgware depends on the institutions, laboratories, training providers, regulators, operators and community interfaces needed to govern Field burning of agricultural residues.</x:v>
      </x:c>
      <x:c r="AJ182" s="2" t="str">
        <x:v>The orgware supporting Field burning of agricultural residues has mainly indirect energy use from offices, meetings, training and information systems; travel and field supervision may be material at dispersed sites.</x:v>
      </x:c>
      <x:c r="AK182" s="2" t="str">
        <x:v>Its organisational inputs are permits, budgets, trained staff, competence records, contracts, procedures, safeguards, monitoring evidence and stakeholder agreements tailored to Field burning of agricultural residues.</x:v>
      </x:c>
      <x:c r="AL182" s="2" t="str">
        <x:v>Sustained implementation of Field burning of agricultural residues requires procurement and service contracts, audit protocols, training material, reporting templates, insurance or guarantees and periodic independent review.</x:v>
      </x:c>
      <x:c r="AM182" s="2" t="str">
        <x:v>Phosphate rock; Potash</x:v>
      </x:c>
      <x:c r="AN182" s="2" t="str">
        <x:v>China; Morocco; United States; Canada; Russia; Belarus</x:v>
      </x:c>
      <x:c r="AO182" s="2" t="str">
        <x:v>China; Morocco; United States; Canada; Russia; Belarus</x:v>
      </x:c>
      <x:c r="AP182" s="2" t="str">
        <x:v>Field burning of agricultural residues: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2" s="2" t="str">
        <x:v>2024–2025</x:v>
      </x:c>
      <x:c r="AR182" s="2" t="str">
        <x:v>https://pubs.usgs.gov/periodicals/mcs2026/mcs2026.pdf</x:v>
      </x:c>
    </x:row>
    <x:row r="183" ht="240" customHeight="1">
      <x:c r="A183" s="2" t="str">
        <x:v>MIT-0176</x:v>
      </x:c>
      <x:c r="B183" s="2" t="str">
        <x:v>Mitigation</x:v>
      </x:c>
      <x:c r="C183" s="2" t="str">
        <x:v>Agriculture</x:v>
      </x:c>
      <x:c r="D183" s="2" t="str">
        <x:v>Cropland</x:v>
      </x:c>
      <x:c r="E183" s="2" t="str">
        <x:v>Precision agriculture</x:v>
      </x:c>
      <x:c r="F183" s="2" t="str">
        <x:v>Precision agriculture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Georeferenced sensing and variable-rate control apply water, seed, fertiliser or crop protection only where and when required, reducing over-application and improving input-use efficiency.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3" s="2" t="str">
        <x:v>Mixed: adaptable design, site-specific implementation</x:v>
      </x:c>
      <x:c r="H183" s="2" t="str">
        <x:v>Precision agriculture is adaptable in capacity and configuration but site-specific in final engineering. Its principle remains the same, but resource quality, climate, scale, interfaces and safety constraints must be recalculated for each deployment.</x:v>
      </x:c>
      <x:c r="I183" s="2" t="str">
        <x:v>Primarily hard, with a soft component</x:v>
      </x:c>
      <x:c r="J183" s="2" t="str">
        <x:v>Precision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3" s="2" t="str">
        <x:v>Operation</x:v>
      </x:c>
      <x:c r="L183" s="2" t="str">
        <x:v>Precision agriculture is embodied mainly as an operating practice. The deliverable is accepted only when measurable service, quality, safety and climate-performance criteria are met under real conditions.</x:v>
      </x:c>
      <x:c r="M183" s="2" t="str">
        <x:v>Yes, subject to life-cycle safeguards</x:v>
      </x:c>
      <x:c r="N183" s="2" t="str">
        <x:v>Precision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3" s="2" t="str">
        <x:v>Precision agriculture: field or forest implements, planting and irrigation equipment, storage or livestock facilities, sampling tools, sensors and protective structures as required.</x:v>
      </x:c>
      <x:c r="P183" s="2" t="str">
        <x:v>Precision agriculture: soil–crop–livestock knowledge, nutrient and water budgets, emission factors, carbon accounting, climate services, monitoring protocols and adaptive management.</x:v>
      </x:c>
      <x:c r="Q183" s="2" t="str">
        <x:v>Precision agriculture: land tenure, extension, producer organisations, veterinary or phytosanitary services, incentives, safeguards, certification and monitoring arrangements.</x:v>
      </x:c>
      <x:c r="R183" s="2" t="str">
        <x:v>Precision agriculture: nurseries or seed banks, field access, water and storage systems, laboratories, extension centres, monitoring plots and processing or market facilities.</x:v>
      </x:c>
      <x:c r="S183" s="2" t="str">
        <x:v>Precision agriculture: human and mechanical work, electricity or fuel for machinery, pumping, cooling and processing; biological energy and solar radiation dominate field processes.</x:v>
      </x:c>
      <x:c r="T183" s="2" t="str">
        <x:v>Precision agriculture: seed or planting stock, organic matter, fertilisers, soil amendments, water, fencing or structural materials, veterinary inputs and monitoring consumables.</x:v>
      </x:c>
      <x:c r="U183" s="2" t="str">
        <x:v>Precision agriculture: seed, inoculants, filters, drip lines, nozzles, tool parts, sampling containers, sensor batteries, veterinary supplies and protective equipment.</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https://www.ipcc.ch/report/ar6/wg3/chapter/chapter-7/; https://openknowledge.fao.org/server/api/core/bitstreams/b21f2087-f398-4718-8461-b92afc82e617/content</x:v>
      </x:c>
      <x:c r="Z183" s="2" t="str">
        <x:v>Technology-specific analytical synthesis. The CTCN hierarchy is retained; classifications and component dependencies require validation against the selected design, site and supplier documentation before investment or policy use.</x:v>
      </x:c>
      <x:c r="AA183" s="2" t="str">
        <x:v>Physical deployment of Precision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3" s="2" t="str">
        <x:v>For Precision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3" s="2" t="str">
        <x:v>Construction and operation use seed or planting stock, organic matter, fertilisers, soil amendments, water, fencing or structural materials, veterinary inputs and monitoring consumables. For Precision agriculture, specifications must include durability, compatibility, recycled content and recoverability.</x:v>
      </x:c>
      <x:c r="AD183" s="2" t="str">
        <x:v>Maintenance of Precision agriculture depends on seed, inoculants, filters, drip lines, nozzles, tool parts, sampling containers, sensor batteries, veterinary supplies and protective equipment; critical spares are selected from failure-mode, lead-time and safety analysis for its installed configuration.</x:v>
      </x:c>
      <x:c r="AE183" s="2" t="str">
        <x:v>The software stack for Precision agriculture requires databases, secure communications, version-controlled models, computing, backup and interfaces with field or operational systems.</x:v>
      </x:c>
      <x:c r="AF183" s="2" t="str">
        <x:v>For Precision agriculture, software-related energy is electricity for sensing, computing, storage, communication and cooling; it is normally secondary but must be included for data-intensive or continuous services.</x:v>
      </x:c>
      <x:c r="AG183" s="2" t="str">
        <x:v>The non-physical inputs are calibrated data, metadata, algorithms, boundary conditions, emission or hazard factors, manuals and validation records specific to Precision agriculture.</x:v>
      </x:c>
      <x:c r="AH183" s="2" t="str">
        <x:v>Software continuity for Precision agriculture requires licences where applicable, updates, cybersecurity patches, backups, calibration files, model validation and technical support.</x:v>
      </x:c>
      <x:c r="AI183" s="2" t="str">
        <x:v>Orgware depends on the institutions, laboratories, training providers, regulators, operators and community interfaces needed to govern Precision agriculture.</x:v>
      </x:c>
      <x:c r="AJ183" s="2" t="str">
        <x:v>The orgware supporting Precision agriculture has mainly indirect energy use from offices, meetings, training and information systems; travel and field supervision may be material at dispersed sites.</x:v>
      </x:c>
      <x:c r="AK183" s="2" t="str">
        <x:v>Its organisational inputs are permits, budgets, trained staff, competence records, contracts, procedures, safeguards, monitoring evidence and stakeholder agreements tailored to Precision agriculture.</x:v>
      </x:c>
      <x:c r="AL183" s="2" t="str">
        <x:v>Sustained implementation of Precision agriculture requires procurement and service contracts, audit protocols, training material, reporting templates, insurance or guarantees and periodic independent review.</x:v>
      </x:c>
      <x:c r="AM183" s="2" t="str">
        <x:v>Phosphate rock; Potash</x:v>
      </x:c>
      <x:c r="AN183" s="2" t="str">
        <x:v>China; Morocco; United States; Canada; Russia; Belarus</x:v>
      </x:c>
      <x:c r="AO183" s="2" t="str">
        <x:v>China; Morocco; United States; Canada; Russia; Belarus</x:v>
      </x:c>
      <x:c r="AP183" s="2" t="str">
        <x:v>Precision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3" s="2" t="str">
        <x:v>2024–2025</x:v>
      </x:c>
      <x:c r="AR183" s="2" t="str">
        <x:v>https://pubs.usgs.gov/periodicals/mcs2026/mcs2026.pdf</x:v>
      </x:c>
    </x:row>
    <x:row r="184" ht="240" customHeight="1">
      <x:c r="A184" s="2" t="str">
        <x:v>MIT-0177</x:v>
      </x:c>
      <x:c r="B184" s="2" t="str">
        <x:v>Mitigation</x:v>
      </x:c>
      <x:c r="C184" s="2" t="str">
        <x:v>Agriculture</x:v>
      </x:c>
      <x:c r="D184" s="2" t="str">
        <x:v>Cropland</x:v>
      </x:c>
      <x:c r="E184" s="2" t="str">
        <x:v>Conservation tillage</x:v>
      </x:c>
      <x:c r="F184" s="2" t="str">
        <x:v>Conservation tillage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It limits soil disturbance and retains crop residues, reducing oxidation and erosion while improving infiltration and, under suitable conditions, soil-carbon retention.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4" s="2" t="str">
        <x:v>Mixed: adaptable design, site-specific implementation</x:v>
      </x:c>
      <x:c r="H184" s="2" t="str">
        <x:v>Conservation tillage is adaptable in capacity and configuration but site-specific in final engineering. Its principle remains the same, but resource quality, climate, scale, interfaces and safety constraints must be recalculated for each deployment.</x:v>
      </x:c>
      <x:c r="I184" s="2" t="str">
        <x:v>Primarily hard, with a soft component</x:v>
      </x:c>
      <x:c r="J184" s="2" t="str">
        <x:v>Conservation tillage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4" s="2" t="str">
        <x:v>Operation</x:v>
      </x:c>
      <x:c r="L184" s="2" t="str">
        <x:v>Conservation tillage is embodied mainly as an operating practice. The deliverable is accepted only when measurable service, quality, safety and climate-performance criteria are met under real conditions.</x:v>
      </x:c>
      <x:c r="M184" s="2" t="str">
        <x:v>Yes, subject to life-cycle safeguards</x:v>
      </x:c>
      <x:c r="N184" s="2" t="str">
        <x:v>Conservation tillage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4" s="2" t="str">
        <x:v>Conservation tillage: field or forest implements, planting and irrigation equipment, storage or livestock facilities, sampling tools, sensors and protective structures as required.</x:v>
      </x:c>
      <x:c r="P184" s="2" t="str">
        <x:v>Conservation tillage: soil–crop–livestock knowledge, nutrient and water budgets, emission factors, carbon accounting, climate services, monitoring protocols and adaptive management.</x:v>
      </x:c>
      <x:c r="Q184" s="2" t="str">
        <x:v>Conservation tillage: land tenure, extension, producer organisations, veterinary or phytosanitary services, incentives, safeguards, certification and monitoring arrangements.</x:v>
      </x:c>
      <x:c r="R184" s="2" t="str">
        <x:v>Conservation tillage: nurseries or seed banks, field access, water and storage systems, laboratories, extension centres, monitoring plots and processing or market facilities.</x:v>
      </x:c>
      <x:c r="S184" s="2" t="str">
        <x:v>Conservation tillage: human and mechanical work, electricity or fuel for machinery, pumping, cooling and processing; biological energy and solar radiation dominate field processes.</x:v>
      </x:c>
      <x:c r="T184" s="2" t="str">
        <x:v>Conservation tillage: seed or planting stock, organic matter, fertilisers, soil amendments, water, fencing or structural materials, veterinary inputs and monitoring consumables.</x:v>
      </x:c>
      <x:c r="U184" s="2" t="str">
        <x:v>Conservation tillage: seed, inoculants, filters, drip lines, nozzles, tool parts, sampling containers, sensor batteries, veterinary supplies and protective equipment.</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https://www.ipcc.ch/report/ar6/wg3/chapter/chapter-7/; https://openknowledge.fao.org/server/api/core/bitstreams/b21f2087-f398-4718-8461-b92afc82e617/content</x:v>
      </x:c>
      <x:c r="Z184" s="2" t="str">
        <x:v>Technology-specific analytical synthesis. The CTCN hierarchy is retained; classifications and component dependencies require validation against the selected design, site and supplier documentation before investment or policy use.</x:v>
      </x:c>
      <x:c r="AA184" s="2" t="str">
        <x:v>Physical deployment of Conservation tillage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4" s="2" t="str">
        <x:v>For Conservation tillage,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4" s="2" t="str">
        <x:v>Construction and operation use seed or planting stock, organic matter, fertilisers, soil amendments, water, fencing or structural materials, veterinary inputs and monitoring consumables. For Conservation tillage, specifications must include durability, compatibility, recycled content and recoverability.</x:v>
      </x:c>
      <x:c r="AD184" s="2" t="str">
        <x:v>Maintenance of Conservation tillage depends on seed, inoculants, filters, drip lines, nozzles, tool parts, sampling containers, sensor batteries, veterinary supplies and protective equipment; critical spares are selected from failure-mode, lead-time and safety analysis for its installed configuration.</x:v>
      </x:c>
      <x:c r="AE184" s="2" t="str">
        <x:v>The software stack for Conservation tillage requires databases, secure communications, version-controlled models, computing, backup and interfaces with field or operational systems.</x:v>
      </x:c>
      <x:c r="AF184" s="2" t="str">
        <x:v>For Conservation tillage, software-related energy is electricity for sensing, computing, storage, communication and cooling; it is normally secondary but must be included for data-intensive or continuous services.</x:v>
      </x:c>
      <x:c r="AG184" s="2" t="str">
        <x:v>The non-physical inputs are calibrated data, metadata, algorithms, boundary conditions, emission or hazard factors, manuals and validation records specific to Conservation tillage.</x:v>
      </x:c>
      <x:c r="AH184" s="2" t="str">
        <x:v>Software continuity for Conservation tillage requires licences where applicable, updates, cybersecurity patches, backups, calibration files, model validation and technical support.</x:v>
      </x:c>
      <x:c r="AI184" s="2" t="str">
        <x:v>Orgware depends on the institutions, laboratories, training providers, regulators, operators and community interfaces needed to govern Conservation tillage.</x:v>
      </x:c>
      <x:c r="AJ184" s="2" t="str">
        <x:v>The orgware supporting Conservation tillage has mainly indirect energy use from offices, meetings, training and information systems; travel and field supervision may be material at dispersed sites.</x:v>
      </x:c>
      <x:c r="AK184" s="2" t="str">
        <x:v>Its organisational inputs are permits, budgets, trained staff, competence records, contracts, procedures, safeguards, monitoring evidence and stakeholder agreements tailored to Conservation tillage.</x:v>
      </x:c>
      <x:c r="AL184" s="2" t="str">
        <x:v>Sustained implementation of Conservation tillage requires procurement and service contracts, audit protocols, training material, reporting templates, insurance or guarantees and periodic independent review.</x:v>
      </x:c>
      <x:c r="AM184" s="2" t="str">
        <x:v>Phosphate rock; Potash</x:v>
      </x:c>
      <x:c r="AN184" s="2" t="str">
        <x:v>China; Morocco; United States; Canada; Russia; Belarus</x:v>
      </x:c>
      <x:c r="AO184" s="2" t="str">
        <x:v>China; Morocco; United States; Canada; Russia; Belarus</x:v>
      </x:c>
      <x:c r="AP184" s="2" t="str">
        <x:v>Conservation tillage: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4" s="2" t="str">
        <x:v>2024–2025</x:v>
      </x:c>
      <x:c r="AR184" s="2" t="str">
        <x:v>https://pubs.usgs.gov/periodicals/mcs2026/mcs2026.pdf</x:v>
      </x:c>
    </x:row>
    <x:row r="185" ht="240" customHeight="1">
      <x:c r="A185" s="2" t="str">
        <x:v>MIT-0178</x:v>
      </x:c>
      <x:c r="B185" s="2" t="str">
        <x:v>Mitigation</x:v>
      </x:c>
      <x:c r="C185" s="2" t="str">
        <x:v>Agriculture</x:v>
      </x:c>
      <x:c r="D185" s="2" t="str">
        <x:v>Cropland</x:v>
      </x:c>
      <x:c r="E185" s="2" t="str">
        <x:v>Peat carbon management</x:v>
      </x:c>
      <x:c r="F185" s="2" t="str">
        <x:v>Peat carbon management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Peat carbon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5" s="2" t="str">
        <x:v>Flexible</x:v>
      </x:c>
      <x:c r="H185" s="2" t="str">
        <x:v>Peat carbon management is transferable through configurable methods, rules and operating parameters. Its principle remains the same, but resource quality, climate, scale, interfaces and safety constraints must be recalculated for each deployment.</x:v>
      </x:c>
      <x:c r="I185" s="2" t="str">
        <x:v>Primarily soft, with physical support</x:v>
      </x:c>
      <x:c r="J185" s="2" t="str">
        <x:v>Peat carbon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5" s="2" t="str">
        <x:v>Operation</x:v>
      </x:c>
      <x:c r="L185" s="2" t="str">
        <x:v>Peat carbon management is embodied mainly as an operating practice. The deliverable is accepted only when measurable service, quality, safety and climate-performance criteria are met under real conditions.</x:v>
      </x:c>
      <x:c r="M185" s="2" t="str">
        <x:v>Yes, subject to life-cycle safeguards</x:v>
      </x:c>
      <x:c r="N185" s="2" t="str">
        <x:v>Peat carbon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5" s="2" t="str">
        <x:v>Peat carbon management: field or forest implements, planting and irrigation equipment, storage or livestock facilities, sampling tools, sensors and protective structures as required.</x:v>
      </x:c>
      <x:c r="P185" s="2" t="str">
        <x:v>Peat carbon management: soil–crop–livestock knowledge, nutrient and water budgets, emission factors, carbon accounting, climate services, monitoring protocols and adaptive management.</x:v>
      </x:c>
      <x:c r="Q185" s="2" t="str">
        <x:v>Peat carbon management: land tenure, extension, producer organisations, veterinary or phytosanitary services, incentives, safeguards, certification and monitoring arrangements.</x:v>
      </x:c>
      <x:c r="R185" s="2" t="str">
        <x:v>Peat carbon management: nurseries or seed banks, field access, water and storage systems, laboratories, extension centres, monitoring plots and processing or market facilities.</x:v>
      </x:c>
      <x:c r="S185" s="2" t="str">
        <x:v>Peat carbon management: human and mechanical work, electricity or fuel for machinery, pumping, cooling and processing; biological energy and solar radiation dominate field processes.</x:v>
      </x:c>
      <x:c r="T185" s="2" t="str">
        <x:v>Peat carbon management: seed or planting stock, organic matter, fertilisers, soil amendments, water, fencing or structural materials, veterinary inputs and monitoring consumables.</x:v>
      </x:c>
      <x:c r="U185" s="2" t="str">
        <x:v>Peat carbon management: seed, inoculants, filters, drip lines, nozzles, tool parts, sampling containers, sensor batteries, veterinary supplies and protective equipment.</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https://www.ipcc.ch/report/ar6/wg3/chapter/chapter-7/; https://openknowledge.fao.org/server/api/core/bitstreams/b21f2087-f398-4718-8461-b92afc82e617/content</x:v>
      </x:c>
      <x:c r="Z185" s="2" t="str">
        <x:v>Technology-specific analytical synthesis. The CTCN hierarchy is retained; classifications and component dependencies require validation against the selected design, site and supplier documentation before investment or policy use.</x:v>
      </x:c>
      <x:c r="AA185" s="2" t="str">
        <x:v>Physical deployment of Peat carbon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5" s="2" t="str">
        <x:v>For Peat carbon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5" s="2" t="str">
        <x:v>Construction and operation use seed or planting stock, organic matter, fertilisers, soil amendments, water, fencing or structural materials, veterinary inputs and monitoring consumables. For Peat carbon management, specifications must include durability, compatibility, recycled content and recoverability.</x:v>
      </x:c>
      <x:c r="AD185" s="2" t="str">
        <x:v>Maintenance of Peat carbon management depends on seed, inoculants, filters, drip lines, nozzles, tool parts, sampling containers, sensor batteries, veterinary supplies and protective equipment; critical spares are selected from failure-mode, lead-time and safety analysis for its installed configuration.</x:v>
      </x:c>
      <x:c r="AE185" s="2" t="str">
        <x:v>The software stack for Peat carbon management requires databases, secure communications, version-controlled models, computing, backup and interfaces with field or operational systems.</x:v>
      </x:c>
      <x:c r="AF185" s="2" t="str">
        <x:v>For Peat carbon management, software-related energy is electricity for sensing, computing, storage, communication and cooling; it is normally secondary but must be included for data-intensive or continuous services.</x:v>
      </x:c>
      <x:c r="AG185" s="2" t="str">
        <x:v>The non-physical inputs are calibrated data, metadata, algorithms, boundary conditions, emission or hazard factors, manuals and validation records specific to Peat carbon management.</x:v>
      </x:c>
      <x:c r="AH185" s="2" t="str">
        <x:v>Software continuity for Peat carbon management requires licences where applicable, updates, cybersecurity patches, backups, calibration files, model validation and technical support.</x:v>
      </x:c>
      <x:c r="AI185" s="2" t="str">
        <x:v>Orgware depends on the institutions, laboratories, training providers, regulators, operators and community interfaces needed to govern Peat carbon management.</x:v>
      </x:c>
      <x:c r="AJ185" s="2" t="str">
        <x:v>The orgware supporting Peat carbon management has mainly indirect energy use from offices, meetings, training and information systems; travel and field supervision may be material at dispersed sites.</x:v>
      </x:c>
      <x:c r="AK185" s="2" t="str">
        <x:v>Its organisational inputs are permits, budgets, trained staff, competence records, contracts, procedures, safeguards, monitoring evidence and stakeholder agreements tailored to Peat carbon management.</x:v>
      </x:c>
      <x:c r="AL185" s="2" t="str">
        <x:v>Sustained implementation of Peat carbon management requires procurement and service contracts, audit protocols, training material, reporting templates, insurance or guarantees and periodic independent review.</x:v>
      </x:c>
      <x:c r="AM185" s="2" t="str">
        <x:v>Phosphate rock; Potash</x:v>
      </x:c>
      <x:c r="AN185" s="2" t="str">
        <x:v>China; Morocco; United States; Canada; Russia; Belarus</x:v>
      </x:c>
      <x:c r="AO185" s="2" t="str">
        <x:v>China; Morocco; United States; Canada; Russia; Belarus</x:v>
      </x:c>
      <x:c r="AP185" s="2" t="str">
        <x:v>Peat carbon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5" s="2" t="str">
        <x:v>2024–2025</x:v>
      </x:c>
      <x:c r="AR185" s="2" t="str">
        <x:v>https://pubs.usgs.gov/periodicals/mcs2026/mcs2026.pdf</x:v>
      </x:c>
    </x:row>
    <x:row r="186" ht="240" customHeight="1">
      <x:c r="A186" s="2" t="str">
        <x:v>MIT-0179</x:v>
      </x:c>
      <x:c r="B186" s="2" t="str">
        <x:v>Mitigation</x:v>
      </x:c>
      <x:c r="C186" s="2" t="str">
        <x:v>Agriculture</x:v>
      </x:c>
      <x:c r="D186" s="2" t="str">
        <x:v>Cropland</x:v>
      </x:c>
      <x:c r="E186" s="2" t="str">
        <x:v>Biochar</x:v>
      </x:c>
      <x:c r="F186" s="2" t="str">
        <x:v>Biochar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Biomass is heated under limited oxygen to form a carbon-rich, relatively stable solid that can amend soil; net benefit depends on feedstock, pyrolysis conditions, avoided decay and permanence.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6" s="2" t="str">
        <x:v>Mixed: adaptable design, site-specific implementation</x:v>
      </x:c>
      <x:c r="H186" s="2" t="str">
        <x:v>Biochar is adaptable in capacity and configuration but site-specific in final engineering. Its principle remains the same, but resource quality, climate, scale, interfaces and safety constraints must be recalculated for each deployment.</x:v>
      </x:c>
      <x:c r="I186" s="2" t="str">
        <x:v>Primarily hard, with a soft component</x:v>
      </x:c>
      <x:c r="J186" s="2" t="str">
        <x:v>Biochar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6" s="2" t="str">
        <x:v>Product and equipment; complementary operation</x:v>
      </x:c>
      <x:c r="L186" s="2" t="str">
        <x:v>Biochar is embodied mainly as a product/equipment package. The deliverable is accepted only when measurable service, quality, safety and climate-performance criteria are met under real conditions.</x:v>
      </x:c>
      <x:c r="M186" s="2" t="str">
        <x:v>Yes, subject to life-cycle safeguards</x:v>
      </x:c>
      <x:c r="N186" s="2" t="str">
        <x:v>Biochar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6" s="2" t="str">
        <x:v>Biochar: field or forest implements, planting and irrigation equipment, storage or livestock facilities, sampling tools, sensors and protective structures as required.</x:v>
      </x:c>
      <x:c r="P186" s="2" t="str">
        <x:v>Biochar: soil–crop–livestock knowledge, nutrient and water budgets, emission factors, carbon accounting, climate services, monitoring protocols and adaptive management.</x:v>
      </x:c>
      <x:c r="Q186" s="2" t="str">
        <x:v>Biochar: land tenure, extension, producer organisations, veterinary or phytosanitary services, incentives, safeguards, certification and monitoring arrangements.</x:v>
      </x:c>
      <x:c r="R186" s="2" t="str">
        <x:v>Biochar: nurseries or seed banks, field access, water and storage systems, laboratories, extension centres, monitoring plots and processing or market facilities.</x:v>
      </x:c>
      <x:c r="S186" s="2" t="str">
        <x:v>Biochar: human and mechanical work, electricity or fuel for machinery, pumping, cooling and processing; biological energy and solar radiation dominate field processes.</x:v>
      </x:c>
      <x:c r="T186" s="2" t="str">
        <x:v>Biochar: seed or planting stock, organic matter, fertilisers, soil amendments, water, fencing or structural materials, veterinary inputs and monitoring consumables.</x:v>
      </x:c>
      <x:c r="U186" s="2" t="str">
        <x:v>Biochar: seed, inoculants, filters, drip lines, nozzles, tool parts, sampling containers, sensor batteries, veterinary supplies and protective equipment.</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https://www.ipcc.ch/report/ar6/wg3/chapter/chapter-7/; https://openknowledge.fao.org/server/api/core/bitstreams/b21f2087-f398-4718-8461-b92afc82e617/content</x:v>
      </x:c>
      <x:c r="Z186" s="2" t="str">
        <x:v>Technology-specific analytical synthesis. The CTCN hierarchy is retained; classifications and component dependencies require validation against the selected design, site and supplier documentation before investment or policy use.</x:v>
      </x:c>
      <x:c r="AA186" s="2" t="str">
        <x:v>Physical deployment of Biochar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6" s="2" t="str">
        <x:v>For Biochar,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6" s="2" t="str">
        <x:v>Construction and operation use seed or planting stock, organic matter, fertilisers, soil amendments, water, fencing or structural materials, veterinary inputs and monitoring consumables. For Biochar, specifications must include durability, compatibility, recycled content and recoverability.</x:v>
      </x:c>
      <x:c r="AD186" s="2" t="str">
        <x:v>Maintenance of Biochar depends on seed, inoculants, filters, drip lines, nozzles, tool parts, sampling containers, sensor batteries, veterinary supplies and protective equipment; critical spares are selected from failure-mode, lead-time and safety analysis for its installed configuration.</x:v>
      </x:c>
      <x:c r="AE186" s="2" t="str">
        <x:v>The software stack for Biochar requires databases, secure communications, version-controlled models, computing, backup and interfaces with field or operational systems.</x:v>
      </x:c>
      <x:c r="AF186" s="2" t="str">
        <x:v>For Biochar, software-related energy is electricity for sensing, computing, storage, communication and cooling; it is normally secondary but must be included for data-intensive or continuous services.</x:v>
      </x:c>
      <x:c r="AG186" s="2" t="str">
        <x:v>The non-physical inputs are calibrated data, metadata, algorithms, boundary conditions, emission or hazard factors, manuals and validation records specific to Biochar.</x:v>
      </x:c>
      <x:c r="AH186" s="2" t="str">
        <x:v>Software continuity for Biochar requires licences where applicable, updates, cybersecurity patches, backups, calibration files, model validation and technical support.</x:v>
      </x:c>
      <x:c r="AI186" s="2" t="str">
        <x:v>Orgware depends on the institutions, laboratories, training providers, regulators, operators and community interfaces needed to govern Biochar.</x:v>
      </x:c>
      <x:c r="AJ186" s="2" t="str">
        <x:v>The orgware supporting Biochar has mainly indirect energy use from offices, meetings, training and information systems; travel and field supervision may be material at dispersed sites.</x:v>
      </x:c>
      <x:c r="AK186" s="2" t="str">
        <x:v>Its organisational inputs are permits, budgets, trained staff, competence records, contracts, procedures, safeguards, monitoring evidence and stakeholder agreements tailored to Biochar.</x:v>
      </x:c>
      <x:c r="AL186" s="2" t="str">
        <x:v>Sustained implementation of Biochar requires procurement and service contracts, audit protocols, training material, reporting templates, insurance or guarantees and periodic independent review.</x:v>
      </x:c>
      <x:c r="AM186" s="2" t="str">
        <x:v>Phosphate rock; Potash</x:v>
      </x:c>
      <x:c r="AN186" s="2" t="str">
        <x:v>China; Morocco; United States; Canada; Russia; Belarus</x:v>
      </x:c>
      <x:c r="AO186" s="2" t="str">
        <x:v>China; Morocco; United States; Canada; Russia; Belarus</x:v>
      </x:c>
      <x:c r="AP186" s="2" t="str">
        <x:v>Biochar: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6" s="2" t="str">
        <x:v>2024–2025</x:v>
      </x:c>
      <x:c r="AR186" s="2" t="str">
        <x:v>https://pubs.usgs.gov/periodicals/mcs2026/mcs2026.pdf</x:v>
      </x:c>
    </x:row>
    <x:row r="187" ht="240" customHeight="1">
      <x:c r="A187" s="2" t="str">
        <x:v>MIT-0180</x:v>
      </x:c>
      <x:c r="B187" s="2" t="str">
        <x:v>Mitigation</x:v>
      </x:c>
      <x:c r="C187" s="2" t="str">
        <x:v>Agriculture</x:v>
      </x:c>
      <x:c r="D187" s="2" t="str">
        <x:v>Cropland</x:v>
      </x:c>
      <x:c r="E187" s="2" t="str">
        <x:v>Landscape multifunctionality</x:v>
      </x:c>
      <x:c r="F187" s="2" t="str">
        <x:v>Landscape multifunctionality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Landscape multifunctionality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7" s="2" t="str">
        <x:v>Mixed: adaptable design, site-specific implementation</x:v>
      </x:c>
      <x:c r="H187" s="2" t="str">
        <x:v>Landscape multifunctionality is adaptable in capacity and configuration but site-specific in final engineering. Its principle remains the same, but resource quality, climate, scale, interfaces and safety constraints must be recalculated for each deployment.</x:v>
      </x:c>
      <x:c r="I187" s="2" t="str">
        <x:v>Primarily hard, with a soft component</x:v>
      </x:c>
      <x:c r="J187" s="2" t="str">
        <x:v>Landscape multifunctionality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7" s="2" t="str">
        <x:v>Operation</x:v>
      </x:c>
      <x:c r="L187" s="2" t="str">
        <x:v>Landscape multifunctionality is embodied mainly as an operating practice. The deliverable is accepted only when measurable service, quality, safety and climate-performance criteria are met under real conditions.</x:v>
      </x:c>
      <x:c r="M187" s="2" t="str">
        <x:v>Yes, subject to life-cycle safeguards</x:v>
      </x:c>
      <x:c r="N187" s="2" t="str">
        <x:v>Landscape multifunctionality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7" s="2" t="str">
        <x:v>Landscape multifunctionality: field or forest implements, planting and irrigation equipment, storage or livestock facilities, sampling tools, sensors and protective structures as required.</x:v>
      </x:c>
      <x:c r="P187" s="2" t="str">
        <x:v>Landscape multifunctionality: soil–crop–livestock knowledge, nutrient and water budgets, emission factors, carbon accounting, climate services, monitoring protocols and adaptive management.</x:v>
      </x:c>
      <x:c r="Q187" s="2" t="str">
        <x:v>Landscape multifunctionality: land tenure, extension, producer organisations, veterinary or phytosanitary services, incentives, safeguards, certification and monitoring arrangements.</x:v>
      </x:c>
      <x:c r="R187" s="2" t="str">
        <x:v>Landscape multifunctionality: nurseries or seed banks, field access, water and storage systems, laboratories, extension centres, monitoring plots and processing or market facilities.</x:v>
      </x:c>
      <x:c r="S187" s="2" t="str">
        <x:v>Landscape multifunctionality: human and mechanical work, electricity or fuel for machinery, pumping, cooling and processing; biological energy and solar radiation dominate field processes.</x:v>
      </x:c>
      <x:c r="T187" s="2" t="str">
        <x:v>Landscape multifunctionality: seed or planting stock, organic matter, fertilisers, soil amendments, water, fencing or structural materials, veterinary inputs and monitoring consumables.</x:v>
      </x:c>
      <x:c r="U187" s="2" t="str">
        <x:v>Landscape multifunctionality: seed, inoculants, filters, drip lines, nozzles, tool parts, sampling containers, sensor batteries, veterinary supplies and protective equipment.</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https://www.ipcc.ch/report/ar6/wg3/chapter/chapter-7/; https://openknowledge.fao.org/server/api/core/bitstreams/b21f2087-f398-4718-8461-b92afc82e617/content</x:v>
      </x:c>
      <x:c r="Z187" s="2" t="str">
        <x:v>Technology-specific analytical synthesis. The CTCN hierarchy is retained; classifications and component dependencies require validation against the selected design, site and supplier documentation before investment or policy use.</x:v>
      </x:c>
      <x:c r="AA187" s="2" t="str">
        <x:v>Physical deployment of Landscape multifunctionality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7" s="2" t="str">
        <x:v>For Landscape multifunctionality,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7" s="2" t="str">
        <x:v>Construction and operation use seed or planting stock, organic matter, fertilisers, soil amendments, water, fencing or structural materials, veterinary inputs and monitoring consumables. For Landscape multifunctionality, specifications must include durability, compatibility, recycled content and recoverability.</x:v>
      </x:c>
      <x:c r="AD187" s="2" t="str">
        <x:v>Maintenance of Landscape multifunctionality depends on seed, inoculants, filters, drip lines, nozzles, tool parts, sampling containers, sensor batteries, veterinary supplies and protective equipment; critical spares are selected from failure-mode, lead-time and safety analysis for its installed configuration.</x:v>
      </x:c>
      <x:c r="AE187" s="2" t="str">
        <x:v>The software stack for Landscape multifunctionality requires databases, secure communications, version-controlled models, computing, backup and interfaces with field or operational systems.</x:v>
      </x:c>
      <x:c r="AF187" s="2" t="str">
        <x:v>For Landscape multifunctionality, software-related energy is electricity for sensing, computing, storage, communication and cooling; it is normally secondary but must be included for data-intensive or continuous services.</x:v>
      </x:c>
      <x:c r="AG187" s="2" t="str">
        <x:v>The non-physical inputs are calibrated data, metadata, algorithms, boundary conditions, emission or hazard factors, manuals and validation records specific to Landscape multifunctionality.</x:v>
      </x:c>
      <x:c r="AH187" s="2" t="str">
        <x:v>Software continuity for Landscape multifunctionality requires licences where applicable, updates, cybersecurity patches, backups, calibration files, model validation and technical support.</x:v>
      </x:c>
      <x:c r="AI187" s="2" t="str">
        <x:v>Orgware depends on the institutions, laboratories, training providers, regulators, operators and community interfaces needed to govern Landscape multifunctionality.</x:v>
      </x:c>
      <x:c r="AJ187" s="2" t="str">
        <x:v>The orgware supporting Landscape multifunctionality has mainly indirect energy use from offices, meetings, training and information systems; travel and field supervision may be material at dispersed sites.</x:v>
      </x:c>
      <x:c r="AK187" s="2" t="str">
        <x:v>Its organisational inputs are permits, budgets, trained staff, competence records, contracts, procedures, safeguards, monitoring evidence and stakeholder agreements tailored to Landscape multifunctionality.</x:v>
      </x:c>
      <x:c r="AL187" s="2" t="str">
        <x:v>Sustained implementation of Landscape multifunctionality requires procurement and service contracts, audit protocols, training material, reporting templates, insurance or guarantees and periodic independent review.</x:v>
      </x:c>
      <x:c r="AM187" s="2" t="str">
        <x:v>Phosphate rock; Potash</x:v>
      </x:c>
      <x:c r="AN187" s="2" t="str">
        <x:v>China; Morocco; United States; Canada; Russia; Belarus</x:v>
      </x:c>
      <x:c r="AO187" s="2" t="str">
        <x:v>China; Morocco; United States; Canada; Russia; Belarus</x:v>
      </x:c>
      <x:c r="AP187" s="2" t="str">
        <x:v>Landscape multifunctionality: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7" s="2" t="str">
        <x:v>2024–2025</x:v>
      </x:c>
      <x:c r="AR187" s="2" t="str">
        <x:v>https://pubs.usgs.gov/periodicals/mcs2026/mcs2026.pdf</x:v>
      </x:c>
    </x:row>
    <x:row r="188" ht="240" customHeight="1">
      <x:c r="A188" s="2" t="str">
        <x:v>MIT-0181</x:v>
      </x:c>
      <x:c r="B188" s="2" t="str">
        <x:v>Mitigation</x:v>
      </x:c>
      <x:c r="C188" s="2" t="str">
        <x:v>Agriculture</x:v>
      </x:c>
      <x:c r="D188" s="2" t="str">
        <x:v>Cropland</x:v>
      </x:c>
      <x:c r="E188" s="2" t="str">
        <x:v>Cover crop technology</x:v>
      </x:c>
      <x:c r="F188" s="2" t="str">
        <x:v>Cover crop technology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Cover crop technology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8" s="2" t="str">
        <x:v>Mixed: adaptable design, site-specific implementation</x:v>
      </x:c>
      <x:c r="H188" s="2" t="str">
        <x:v>Cover crop technology is adaptable in capacity and configuration but site-specific in final engineering. Its principle remains the same, but resource quality, climate, scale, interfaces and safety constraints must be recalculated for each deployment.</x:v>
      </x:c>
      <x:c r="I188" s="2" t="str">
        <x:v>Primarily hard, with a soft component</x:v>
      </x:c>
      <x:c r="J188" s="2" t="str">
        <x:v>Cover crop technology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8" s="2" t="str">
        <x:v>Operation</x:v>
      </x:c>
      <x:c r="L188" s="2" t="str">
        <x:v>Cover crop technology is embodied mainly as an operating practice. The deliverable is accepted only when measurable service, quality, safety and climate-performance criteria are met under real conditions.</x:v>
      </x:c>
      <x:c r="M188" s="2" t="str">
        <x:v>Yes, subject to life-cycle safeguards</x:v>
      </x:c>
      <x:c r="N188" s="2" t="str">
        <x:v>Cover crop technology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8" s="2" t="str">
        <x:v>Cover crop technology: field or forest implements, planting and irrigation equipment, storage or livestock facilities, sampling tools, sensors and protective structures as required.</x:v>
      </x:c>
      <x:c r="P188" s="2" t="str">
        <x:v>Cover crop technology: soil–crop–livestock knowledge, nutrient and water budgets, emission factors, carbon accounting, climate services, monitoring protocols and adaptive management.</x:v>
      </x:c>
      <x:c r="Q188" s="2" t="str">
        <x:v>Cover crop technology: land tenure, extension, producer organisations, veterinary or phytosanitary services, incentives, safeguards, certification and monitoring arrangements.</x:v>
      </x:c>
      <x:c r="R188" s="2" t="str">
        <x:v>Cover crop technology: nurseries or seed banks, field access, water and storage systems, laboratories, extension centres, monitoring plots and processing or market facilities.</x:v>
      </x:c>
      <x:c r="S188" s="2" t="str">
        <x:v>Cover crop technology: human and mechanical work, electricity or fuel for machinery, pumping, cooling and processing; biological energy and solar radiation dominate field processes.</x:v>
      </x:c>
      <x:c r="T188" s="2" t="str">
        <x:v>Cover crop technology: seed or planting stock, organic matter, fertilisers, soil amendments, water, fencing or structural materials, veterinary inputs and monitoring consumables.</x:v>
      </x:c>
      <x:c r="U188" s="2" t="str">
        <x:v>Cover crop technology: seed, inoculants, filters, drip lines, nozzles, tool parts, sampling containers, sensor batteries, veterinary supplies and protective equipment.</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https://www.ipcc.ch/report/ar6/wg3/chapter/chapter-7/; https://openknowledge.fao.org/server/api/core/bitstreams/b21f2087-f398-4718-8461-b92afc82e617/content</x:v>
      </x:c>
      <x:c r="Z188" s="2" t="str">
        <x:v>Technology-specific analytical synthesis. The CTCN hierarchy is retained; classifications and component dependencies require validation against the selected design, site and supplier documentation before investment or policy use.</x:v>
      </x:c>
      <x:c r="AA188" s="2" t="str">
        <x:v>Physical deployment of Cover crop technology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8" s="2" t="str">
        <x:v>For Cover crop technology,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8" s="2" t="str">
        <x:v>Construction and operation use seed or planting stock, organic matter, fertilisers, soil amendments, water, fencing or structural materials, veterinary inputs and monitoring consumables. For Cover crop technology, specifications must include durability, compatibility, recycled content and recoverability.</x:v>
      </x:c>
      <x:c r="AD188" s="2" t="str">
        <x:v>Maintenance of Cover crop technology depends on seed, inoculants, filters, drip lines, nozzles, tool parts, sampling containers, sensor batteries, veterinary supplies and protective equipment; critical spares are selected from failure-mode, lead-time and safety analysis for its installed configuration.</x:v>
      </x:c>
      <x:c r="AE188" s="2" t="str">
        <x:v>The software stack for Cover crop technology requires databases, secure communications, version-controlled models, computing, backup and interfaces with field or operational systems.</x:v>
      </x:c>
      <x:c r="AF188" s="2" t="str">
        <x:v>For Cover crop technology, software-related energy is electricity for sensing, computing, storage, communication and cooling; it is normally secondary but must be included for data-intensive or continuous services.</x:v>
      </x:c>
      <x:c r="AG188" s="2" t="str">
        <x:v>The non-physical inputs are calibrated data, metadata, algorithms, boundary conditions, emission or hazard factors, manuals and validation records specific to Cover crop technology.</x:v>
      </x:c>
      <x:c r="AH188" s="2" t="str">
        <x:v>Software continuity for Cover crop technology requires licences where applicable, updates, cybersecurity patches, backups, calibration files, model validation and technical support.</x:v>
      </x:c>
      <x:c r="AI188" s="2" t="str">
        <x:v>Orgware depends on the institutions, laboratories, training providers, regulators, operators and community interfaces needed to govern Cover crop technology.</x:v>
      </x:c>
      <x:c r="AJ188" s="2" t="str">
        <x:v>The orgware supporting Cover crop technology has mainly indirect energy use from offices, meetings, training and information systems; travel and field supervision may be material at dispersed sites.</x:v>
      </x:c>
      <x:c r="AK188" s="2" t="str">
        <x:v>Its organisational inputs are permits, budgets, trained staff, competence records, contracts, procedures, safeguards, monitoring evidence and stakeholder agreements tailored to Cover crop technology.</x:v>
      </x:c>
      <x:c r="AL188" s="2" t="str">
        <x:v>Sustained implementation of Cover crop technology requires procurement and service contracts, audit protocols, training material, reporting templates, insurance or guarantees and periodic independent review.</x:v>
      </x:c>
      <x:c r="AM188" s="2" t="str">
        <x:v>Phosphate rock; Potash</x:v>
      </x:c>
      <x:c r="AN188" s="2" t="str">
        <x:v>China; Morocco; United States; Canada; Russia; Belarus</x:v>
      </x:c>
      <x:c r="AO188" s="2" t="str">
        <x:v>China; Morocco; United States; Canada; Russia; Belarus</x:v>
      </x:c>
      <x:c r="AP188" s="2" t="str">
        <x:v>Cover crop technology: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8" s="2" t="str">
        <x:v>2024–2025</x:v>
      </x:c>
      <x:c r="AR188" s="2" t="str">
        <x:v>https://pubs.usgs.gov/periodicals/mcs2026/mcs2026.pdf</x:v>
      </x:c>
    </x:row>
    <x:row r="189" ht="240" customHeight="1">
      <x:c r="A189" s="2" t="str">
        <x:v>MIT-0182</x:v>
      </x:c>
      <x:c r="B189" s="2" t="str">
        <x:v>Mitigation</x:v>
      </x:c>
      <x:c r="C189" s="2" t="str">
        <x:v>Agriculture</x:v>
      </x:c>
      <x:c r="D189" s="2" t="str">
        <x:v>Cropland</x:v>
      </x:c>
      <x:c r="E189" s="2" t="str">
        <x:v>Manure coverage</x:v>
      </x:c>
      <x:c r="F189" s="2" t="str">
        <x:v>Manure coverage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9" s="2" t="str">
        <x:v>Mixed: adaptable design, site-specific implementation</x:v>
      </x:c>
      <x:c r="H189" s="2" t="str">
        <x:v>Manure coverage is adaptable in capacity and configuration but site-specific in final engineering. Its principle remains the same, but resource quality, climate, scale, interfaces and safety constraints must be recalculated for each deployment.</x:v>
      </x:c>
      <x:c r="I189" s="2" t="str">
        <x:v>Primarily hard, with a soft component</x:v>
      </x:c>
      <x:c r="J189" s="2" t="str">
        <x:v>Manure coverage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9" s="2" t="str">
        <x:v>Operation</x:v>
      </x:c>
      <x:c r="L189" s="2" t="str">
        <x:v>Manure coverage is embodied mainly as an operating practice. The deliverable is accepted only when measurable service, quality, safety and climate-performance criteria are met under real conditions.</x:v>
      </x:c>
      <x:c r="M189" s="2" t="str">
        <x:v>Yes, subject to life-cycle safeguards</x:v>
      </x:c>
      <x:c r="N189" s="2" t="str">
        <x:v>Manure coverage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9" s="2" t="str">
        <x:v>Manure coverage: field or forest implements, planting and irrigation equipment, storage or livestock facilities, sampling tools, sensors and protective structures as required.</x:v>
      </x:c>
      <x:c r="P189" s="2" t="str">
        <x:v>Manure coverage: soil–crop–livestock knowledge, nutrient and water budgets, emission factors, carbon accounting, climate services, monitoring protocols and adaptive management.</x:v>
      </x:c>
      <x:c r="Q189" s="2" t="str">
        <x:v>Manure coverage: land tenure, extension, producer organisations, veterinary or phytosanitary services, incentives, safeguards, certification and monitoring arrangements.</x:v>
      </x:c>
      <x:c r="R189" s="2" t="str">
        <x:v>Manure coverage: nurseries or seed banks, field access, water and storage systems, laboratories, extension centres, monitoring plots and processing or market facilities.</x:v>
      </x:c>
      <x:c r="S189" s="2" t="str">
        <x:v>Manure coverage: human and mechanical work, electricity or fuel for machinery, pumping, cooling and processing; biological energy and solar radiation dominate field processes.</x:v>
      </x:c>
      <x:c r="T189" s="2" t="str">
        <x:v>Manure coverage: seed or planting stock, organic matter, fertilisers, soil amendments, water, fencing or structural materials, veterinary inputs and monitoring consumables.</x:v>
      </x:c>
      <x:c r="U189" s="2" t="str">
        <x:v>Manure coverage: seed, inoculants, filters, drip lines, nozzles, tool parts, sampling containers, sensor batteries, veterinary supplies and protective equipment.</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https://www.ipcc.ch/report/ar6/wg3/chapter/chapter-7/; https://openknowledge.fao.org/server/api/core/bitstreams/b21f2087-f398-4718-8461-b92afc82e617/content</x:v>
      </x:c>
      <x:c r="Z189" s="2" t="str">
        <x:v>Technology-specific analytical synthesis. The CTCN hierarchy is retained; classifications and component dependencies require validation against the selected design, site and supplier documentation before investment or policy use.</x:v>
      </x:c>
      <x:c r="AA189" s="2" t="str">
        <x:v>Physical deployment of Manure coverage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9" s="2" t="str">
        <x:v>For Manure coverage,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9" s="2" t="str">
        <x:v>Construction and operation use seed or planting stock, organic matter, fertilisers, soil amendments, water, fencing or structural materials, veterinary inputs and monitoring consumables. For Manure coverage, specifications must include durability, compatibility, recycled content and recoverability.</x:v>
      </x:c>
      <x:c r="AD189" s="2" t="str">
        <x:v>Maintenance of Manure coverage depends on seed, inoculants, filters, drip lines, nozzles, tool parts, sampling containers, sensor batteries, veterinary supplies and protective equipment; critical spares are selected from failure-mode, lead-time and safety analysis for its installed configuration.</x:v>
      </x:c>
      <x:c r="AE189" s="2" t="str">
        <x:v>The software stack for Manure coverage requires databases, secure communications, version-controlled models, computing, backup and interfaces with field or operational systems.</x:v>
      </x:c>
      <x:c r="AF189" s="2" t="str">
        <x:v>For Manure coverage, software-related energy is electricity for sensing, computing, storage, communication and cooling; it is normally secondary but must be included for data-intensive or continuous services.</x:v>
      </x:c>
      <x:c r="AG189" s="2" t="str">
        <x:v>The non-physical inputs are calibrated data, metadata, algorithms, boundary conditions, emission or hazard factors, manuals and validation records specific to Manure coverage.</x:v>
      </x:c>
      <x:c r="AH189" s="2" t="str">
        <x:v>Software continuity for Manure coverage requires licences where applicable, updates, cybersecurity patches, backups, calibration files, model validation and technical support.</x:v>
      </x:c>
      <x:c r="AI189" s="2" t="str">
        <x:v>Orgware depends on the institutions, laboratories, training providers, regulators, operators and community interfaces needed to govern Manure coverage.</x:v>
      </x:c>
      <x:c r="AJ189" s="2" t="str">
        <x:v>The orgware supporting Manure coverage has mainly indirect energy use from offices, meetings, training and information systems; travel and field supervision may be material at dispersed sites.</x:v>
      </x:c>
      <x:c r="AK189" s="2" t="str">
        <x:v>Its organisational inputs are permits, budgets, trained staff, competence records, contracts, procedures, safeguards, monitoring evidence and stakeholder agreements tailored to Manure coverage.</x:v>
      </x:c>
      <x:c r="AL189" s="2" t="str">
        <x:v>Sustained implementation of Manure coverage requires procurement and service contracts, audit protocols, training material, reporting templates, insurance or guarantees and periodic independent review.</x:v>
      </x:c>
      <x:c r="AM189" s="2" t="str">
        <x:v>Phosphate rock; Potash</x:v>
      </x:c>
      <x:c r="AN189" s="2" t="str">
        <x:v>China; Morocco; United States; Canada; Russia; Belarus</x:v>
      </x:c>
      <x:c r="AO189" s="2" t="str">
        <x:v>China; Morocco; United States; Canada; Russia; Belarus</x:v>
      </x:c>
      <x:c r="AP189" s="2" t="str">
        <x:v>Manure coverage: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9" s="2" t="str">
        <x:v>2024–2025</x:v>
      </x:c>
      <x:c r="AR189" s="2" t="str">
        <x:v>https://pubs.usgs.gov/periodicals/mcs2026/mcs2026.pdf</x:v>
      </x:c>
    </x:row>
    <x:row r="190" ht="240" customHeight="1">
      <x:c r="A190" s="2" t="str">
        <x:v>MIT-0183</x:v>
      </x:c>
      <x:c r="B190" s="2" t="str">
        <x:v>Mitigation</x:v>
      </x:c>
      <x:c r="C190" s="2" t="str">
        <x:v>Agriculture</x:v>
      </x:c>
      <x:c r="D190" s="2" t="str">
        <x:v>Cropland</x:v>
      </x:c>
      <x:c r="E190" s="2" t="str">
        <x:v>Crop drying</x:v>
      </x:c>
      <x:c r="F190" s="2" t="str">
        <x:v>Crop drying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Crop drying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0" s="2" t="str">
        <x:v>Mixed: adaptable design, site-specific implementation</x:v>
      </x:c>
      <x:c r="H190" s="2" t="str">
        <x:v>Crop drying is adaptable in capacity and configuration but site-specific in final engineering. Its principle remains the same, but resource quality, climate, scale, interfaces and safety constraints must be recalculated for each deployment.</x:v>
      </x:c>
      <x:c r="I190" s="2" t="str">
        <x:v>Primarily hard, with a soft component</x:v>
      </x:c>
      <x:c r="J190" s="2" t="str">
        <x:v>Crop drying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0" s="2" t="str">
        <x:v>Operation</x:v>
      </x:c>
      <x:c r="L190" s="2" t="str">
        <x:v>Crop drying is embodied mainly as an operating practice. The deliverable is accepted only when measurable service, quality, safety and climate-performance criteria are met under real conditions.</x:v>
      </x:c>
      <x:c r="M190" s="2" t="str">
        <x:v>Yes, subject to life-cycle safeguards</x:v>
      </x:c>
      <x:c r="N190" s="2" t="str">
        <x:v>Crop drying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0" s="2" t="str">
        <x:v>Crop drying: field or forest implements, planting and irrigation equipment, storage or livestock facilities, sampling tools, sensors and protective structures as required.</x:v>
      </x:c>
      <x:c r="P190" s="2" t="str">
        <x:v>Crop drying: soil–crop–livestock knowledge, nutrient and water budgets, emission factors, carbon accounting, climate services, monitoring protocols and adaptive management.</x:v>
      </x:c>
      <x:c r="Q190" s="2" t="str">
        <x:v>Crop drying: land tenure, extension, producer organisations, veterinary or phytosanitary services, incentives, safeguards, certification and monitoring arrangements.</x:v>
      </x:c>
      <x:c r="R190" s="2" t="str">
        <x:v>Crop drying: nurseries or seed banks, field access, water and storage systems, laboratories, extension centres, monitoring plots and processing or market facilities.</x:v>
      </x:c>
      <x:c r="S190" s="2" t="str">
        <x:v>Crop drying: human and mechanical work, electricity or fuel for machinery, pumping, cooling and processing; biological energy and solar radiation dominate field processes.</x:v>
      </x:c>
      <x:c r="T190" s="2" t="str">
        <x:v>Crop drying: seed or planting stock, organic matter, fertilisers, soil amendments, water, fencing or structural materials, veterinary inputs and monitoring consumables.</x:v>
      </x:c>
      <x:c r="U190" s="2" t="str">
        <x:v>Crop drying: seed, inoculants, filters, drip lines, nozzles, tool parts, sampling containers, sensor batteries, veterinary supplies and protective equipment.</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https://www.ipcc.ch/report/ar6/wg3/chapter/chapter-7/; https://openknowledge.fao.org/server/api/core/bitstreams/b21f2087-f398-4718-8461-b92afc82e617/content</x:v>
      </x:c>
      <x:c r="Z190" s="2" t="str">
        <x:v>Technology-specific analytical synthesis. The CTCN hierarchy is retained; classifications and component dependencies require validation against the selected design, site and supplier documentation before investment or policy use.</x:v>
      </x:c>
      <x:c r="AA190" s="2" t="str">
        <x:v>Physical deployment of Crop drying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0" s="2" t="str">
        <x:v>For Crop drying,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0" s="2" t="str">
        <x:v>Construction and operation use seed or planting stock, organic matter, fertilisers, soil amendments, water, fencing or structural materials, veterinary inputs and monitoring consumables. For Crop drying, specifications must include durability, compatibility, recycled content and recoverability.</x:v>
      </x:c>
      <x:c r="AD190" s="2" t="str">
        <x:v>Maintenance of Crop drying depends on seed, inoculants, filters, drip lines, nozzles, tool parts, sampling containers, sensor batteries, veterinary supplies and protective equipment; critical spares are selected from failure-mode, lead-time and safety analysis for its installed configuration.</x:v>
      </x:c>
      <x:c r="AE190" s="2" t="str">
        <x:v>The software stack for Crop drying requires databases, secure communications, version-controlled models, computing, backup and interfaces with field or operational systems.</x:v>
      </x:c>
      <x:c r="AF190" s="2" t="str">
        <x:v>For Crop drying, software-related energy is electricity for sensing, computing, storage, communication and cooling; it is normally secondary but must be included for data-intensive or continuous services.</x:v>
      </x:c>
      <x:c r="AG190" s="2" t="str">
        <x:v>The non-physical inputs are calibrated data, metadata, algorithms, boundary conditions, emission or hazard factors, manuals and validation records specific to Crop drying.</x:v>
      </x:c>
      <x:c r="AH190" s="2" t="str">
        <x:v>Software continuity for Crop drying requires licences where applicable, updates, cybersecurity patches, backups, calibration files, model validation and technical support.</x:v>
      </x:c>
      <x:c r="AI190" s="2" t="str">
        <x:v>Orgware depends on the institutions, laboratories, training providers, regulators, operators and community interfaces needed to govern Crop drying.</x:v>
      </x:c>
      <x:c r="AJ190" s="2" t="str">
        <x:v>The orgware supporting Crop drying has mainly indirect energy use from offices, meetings, training and information systems; travel and field supervision may be material at dispersed sites.</x:v>
      </x:c>
      <x:c r="AK190" s="2" t="str">
        <x:v>Its organisational inputs are permits, budgets, trained staff, competence records, contracts, procedures, safeguards, monitoring evidence and stakeholder agreements tailored to Crop drying.</x:v>
      </x:c>
      <x:c r="AL190" s="2" t="str">
        <x:v>Sustained implementation of Crop drying requires procurement and service contracts, audit protocols, training material, reporting templates, insurance or guarantees and periodic independent review.</x:v>
      </x:c>
      <x:c r="AM190" s="2" t="str">
        <x:v>Phosphate rock; Potash</x:v>
      </x:c>
      <x:c r="AN190" s="2" t="str">
        <x:v>China; Morocco; United States; Canada; Russia; Belarus</x:v>
      </x:c>
      <x:c r="AO190" s="2" t="str">
        <x:v>China; Morocco; United States; Canada; Russia; Belarus</x:v>
      </x:c>
      <x:c r="AP190" s="2" t="str">
        <x:v>Crop drying: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0" s="2" t="str">
        <x:v>2024–2025</x:v>
      </x:c>
      <x:c r="AR190" s="2" t="str">
        <x:v>https://pubs.usgs.gov/periodicals/mcs2026/mcs2026.pdf</x:v>
      </x:c>
    </x:row>
    <x:row r="191" ht="240" customHeight="1">
      <x:c r="A191" s="2" t="str">
        <x:v>MIT-0184</x:v>
      </x:c>
      <x:c r="B191" s="2" t="str">
        <x:v>Mitigation</x:v>
      </x:c>
      <x:c r="C191" s="2" t="str">
        <x:v>Agriculture</x:v>
      </x:c>
      <x:c r="D191" s="2" t="str">
        <x:v>Wetland management</x:v>
      </x:c>
      <x:c r="E191" s="2" t="str">
        <x:v>Wetland management</x:v>
      </x:c>
      <x:c r="F191" s="2" t="str">
        <x:v>Wetland management is a mitigation technology in the Agriculture sector and the Wetland management technology group. It is defined as a combined hardware–software–orgware system that changes vegetation, soil, nutrient, water, crop or livestock management to protect carbon stocks, increase resilience and productivity, and reduce CO₂, CH₄ or N₂O emissions. Wetland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1" s="2" t="str">
        <x:v>Flexible</x:v>
      </x:c>
      <x:c r="H191" s="2" t="str">
        <x:v>Wetland management is transferable through configurable methods, rules and operating parameters. Its principle remains the same, but resource quality, climate, scale, interfaces and safety constraints must be recalculated for each deployment.</x:v>
      </x:c>
      <x:c r="I191" s="2" t="str">
        <x:v>Primarily soft, with physical support</x:v>
      </x:c>
      <x:c r="J191" s="2" t="str">
        <x:v>Wetland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1" s="2" t="str">
        <x:v>Operation</x:v>
      </x:c>
      <x:c r="L191" s="2" t="str">
        <x:v>Wetland management is embodied mainly as an operating practice. The deliverable is accepted only when measurable service, quality, safety and climate-performance criteria are met under real conditions.</x:v>
      </x:c>
      <x:c r="M191" s="2" t="str">
        <x:v>Yes, subject to life-cycle safeguards</x:v>
      </x:c>
      <x:c r="N191" s="2" t="str">
        <x:v>Wetland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1" s="2" t="str">
        <x:v>Wetland management: field or forest implements, planting and irrigation equipment, storage or livestock facilities, sampling tools, sensors and protective structures as required.</x:v>
      </x:c>
      <x:c r="P191" s="2" t="str">
        <x:v>Wetland management: soil–crop–livestock knowledge, nutrient and water budgets, emission factors, carbon accounting, climate services, monitoring protocols and adaptive management.</x:v>
      </x:c>
      <x:c r="Q191" s="2" t="str">
        <x:v>Wetland management: land tenure, extension, producer organisations, veterinary or phytosanitary services, incentives, safeguards, certification and monitoring arrangements.</x:v>
      </x:c>
      <x:c r="R191" s="2" t="str">
        <x:v>Wetland management: nurseries or seed banks, field access, water and storage systems, laboratories, extension centres, monitoring plots and processing or market facilities.</x:v>
      </x:c>
      <x:c r="S191" s="2" t="str">
        <x:v>Wetland management: human and mechanical work, electricity or fuel for machinery, pumping, cooling and processing; biological energy and solar radiation dominate field processes.</x:v>
      </x:c>
      <x:c r="T191" s="2" t="str">
        <x:v>Wetland management: seed or planting stock, organic matter, fertilisers, soil amendments, water, fencing or structural materials, veterinary inputs and monitoring consumables.</x:v>
      </x:c>
      <x:c r="U191" s="2" t="str">
        <x:v>Wetland management: seed, inoculants, filters, drip lines, nozzles, tool parts, sampling containers, sensor batteries, veterinary supplies and protective equipment.</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https://www.ipcc.ch/report/ar6/wg3/chapter/chapter-7/; https://openknowledge.fao.org/server/api/core/bitstreams/b21f2087-f398-4718-8461-b92afc82e617/content</x:v>
      </x:c>
      <x:c r="Z191" s="2" t="str">
        <x:v>Technology-specific analytical synthesis. The CTCN hierarchy is retained; classifications and component dependencies require validation against the selected design, site and supplier documentation before investment or policy use.</x:v>
      </x:c>
      <x:c r="AA191" s="2" t="str">
        <x:v>Physical deployment of Wetland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1" s="2" t="str">
        <x:v>For Wetland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1" s="2" t="str">
        <x:v>Construction and operation use seed or planting stock, organic matter, fertilisers, soil amendments, water, fencing or structural materials, veterinary inputs and monitoring consumables. For Wetland management, specifications must include durability, compatibility, recycled content and recoverability.</x:v>
      </x:c>
      <x:c r="AD191" s="2" t="str">
        <x:v>Maintenance of Wetland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191" s="2" t="str">
        <x:v>The software stack for Wetland management requires databases, secure communications, version-controlled models, computing, backup and interfaces with field or operational systems.</x:v>
      </x:c>
      <x:c r="AF191" s="2" t="str">
        <x:v>For Wetland management, software-related energy is electricity for sensing, computing, storage, communication and cooling; it is normally secondary but must be included for data-intensive or continuous services.</x:v>
      </x:c>
      <x:c r="AG191" s="2" t="str">
        <x:v>The non-physical inputs are calibrated data, metadata, algorithms, boundary conditions, emission or hazard factors, manuals and validation records specific to Wetland management.</x:v>
      </x:c>
      <x:c r="AH191" s="2" t="str">
        <x:v>Software continuity for Wetland management requires licences where applicable, updates, cybersecurity patches, backups, calibration files, model validation and technical support.</x:v>
      </x:c>
      <x:c r="AI191" s="2" t="str">
        <x:v>Orgware depends on the institutions, laboratories, training providers, regulators, operators and community interfaces needed to govern Wetland management.</x:v>
      </x:c>
      <x:c r="AJ191" s="2" t="str">
        <x:v>The orgware supporting Wetland management has mainly indirect energy use from offices, meetings, training and information systems; travel and field supervision may be material at dispersed sites.</x:v>
      </x:c>
      <x:c r="AK191" s="2" t="str">
        <x:v>Its organisational inputs are permits, budgets, trained staff, competence records, contracts, procedures, safeguards, monitoring evidence and stakeholder agreements tailored to Wetland management.</x:v>
      </x:c>
      <x:c r="AL191" s="2" t="str">
        <x:v>Sustained implementation of Wetland management requires procurement and service contracts, audit protocols, training material, reporting templates, insurance or guarantees and periodic independent review.</x:v>
      </x:c>
      <x:c r="AM191" s="2" t="str">
        <x:v>No critical or strategic raw material is identifiable at taxonomy level; site-specific bulk materials may still be required.</x:v>
      </x:c>
      <x:c r="AN191" s="2" t="str"/>
      <x:c r="AO191" s="2" t="str"/>
      <x:c r="AP191" s="2" t="str">
        <x:v>Wetland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1" s="2" t="str">
        <x:v>2024–2025</x:v>
      </x:c>
      <x:c r="AR191" s="2" t="str">
        <x:v>https://pubs.usgs.gov/periodicals/mcs2026/mcs2026.pdf</x:v>
      </x:c>
    </x:row>
    <x:row r="192" ht="240" customHeight="1">
      <x:c r="A192" s="2" t="str">
        <x:v>MIT-0185</x:v>
      </x:c>
      <x:c r="B192" s="2" t="str">
        <x:v>Mitigation</x:v>
      </x:c>
      <x:c r="C192" s="2" t="str">
        <x:v>Agriculture</x:v>
      </x:c>
      <x:c r="D192" s="2" t="str">
        <x:v>Soil carbon measurement</x:v>
      </x:c>
      <x:c r="E192" s="2" t="str">
        <x:v>Soil carbon measurement</x:v>
      </x:c>
      <x:c r="F192" s="2" t="str">
        <x:v>Soil carbon measurement is a mitigation technology in the Agriculture sector and the Soil carbon measurement technology group. It is defined as a combined hardware–software–orgware system that changes vegetation, soil, nutrient, water, crop or livestock management to protect carbon stocks, increase resilience and productivity, and reduce CO₂, CH₄ or N₂O emissions. Soil carbon measurement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2" s="2" t="str">
        <x:v>Mixed: adaptable design, site-specific implementation</x:v>
      </x:c>
      <x:c r="H192" s="2" t="str">
        <x:v>Soil carbon measurement is adaptable in capacity and configuration but site-specific in final engineering. Its principle remains the same, but resource quality, climate, scale, interfaces and safety constraints must be recalculated for each deployment.</x:v>
      </x:c>
      <x:c r="I192" s="2" t="str">
        <x:v>Primarily hard, with a soft component</x:v>
      </x:c>
      <x:c r="J192" s="2" t="str">
        <x:v>Soil carbon measurement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2" s="2" t="str">
        <x:v>Operation</x:v>
      </x:c>
      <x:c r="L192" s="2" t="str">
        <x:v>Soil carbon measurement is embodied mainly as an operating practice. The deliverable is accepted only when measurable service, quality, safety and climate-performance criteria are met under real conditions.</x:v>
      </x:c>
      <x:c r="M192" s="2" t="str">
        <x:v>Yes, subject to life-cycle safeguards</x:v>
      </x:c>
      <x:c r="N192" s="2" t="str">
        <x:v>Soil carbon measurement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2" s="2" t="str">
        <x:v>Soil carbon measurement: field or forest implements, planting and irrigation equipment, storage or livestock facilities, sampling tools, sensors and protective structures as required.</x:v>
      </x:c>
      <x:c r="P192" s="2" t="str">
        <x:v>Soil carbon measurement: soil–crop–livestock knowledge, nutrient and water budgets, emission factors, carbon accounting, climate services, monitoring protocols and adaptive management.</x:v>
      </x:c>
      <x:c r="Q192" s="2" t="str">
        <x:v>Soil carbon measurement: land tenure, extension, producer organisations, veterinary or phytosanitary services, incentives, safeguards, certification and monitoring arrangements.</x:v>
      </x:c>
      <x:c r="R192" s="2" t="str">
        <x:v>Soil carbon measurement: nurseries or seed banks, field access, water and storage systems, laboratories, extension centres, monitoring plots and processing or market facilities.</x:v>
      </x:c>
      <x:c r="S192" s="2" t="str">
        <x:v>Soil carbon measurement: human and mechanical work, electricity or fuel for machinery, pumping, cooling and processing; biological energy and solar radiation dominate field processes.</x:v>
      </x:c>
      <x:c r="T192" s="2" t="str">
        <x:v>Soil carbon measurement: seed or planting stock, organic matter, fertilisers, soil amendments, water, fencing or structural materials, veterinary inputs and monitoring consumables.</x:v>
      </x:c>
      <x:c r="U192" s="2" t="str">
        <x:v>Soil carbon measurement: seed, inoculants, filters, drip lines, nozzles, tool parts, sampling containers, sensor batteries, veterinary supplies and protective equipment.</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https://www.ipcc.ch/report/ar6/wg3/chapter/chapter-7/; https://openknowledge.fao.org/server/api/core/bitstreams/b21f2087-f398-4718-8461-b92afc82e617/content</x:v>
      </x:c>
      <x:c r="Z192" s="2" t="str">
        <x:v>Technology-specific analytical synthesis. The CTCN hierarchy is retained; classifications and component dependencies require validation against the selected design, site and supplier documentation before investment or policy use.</x:v>
      </x:c>
      <x:c r="AA192" s="2" t="str">
        <x:v>Physical deployment of Soil carbon measurement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2" s="2" t="str">
        <x:v>For Soil carbon measurement,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2" s="2" t="str">
        <x:v>Construction and operation use seed or planting stock, organic matter, fertilisers, soil amendments, water, fencing or structural materials, veterinary inputs and monitoring consumables. For Soil carbon measurement, specifications must include durability, compatibility, recycled content and recoverability.</x:v>
      </x:c>
      <x:c r="AD192" s="2" t="str">
        <x:v>Maintenance of Soil carbon measurement depends on seed, inoculants, filters, drip lines, nozzles, tool parts, sampling containers, sensor batteries, veterinary supplies and protective equipment; critical spares are selected from failure-mode, lead-time and safety analysis for its installed configuration.</x:v>
      </x:c>
      <x:c r="AE192" s="2" t="str">
        <x:v>The software stack for Soil carbon measurement requires databases, secure communications, version-controlled models, computing, backup and interfaces with field or operational systems.</x:v>
      </x:c>
      <x:c r="AF192" s="2" t="str">
        <x:v>For Soil carbon measurement, software-related energy is electricity for sensing, computing, storage, communication and cooling; it is normally secondary but must be included for data-intensive or continuous services.</x:v>
      </x:c>
      <x:c r="AG192" s="2" t="str">
        <x:v>The non-physical inputs are calibrated data, metadata, algorithms, boundary conditions, emission or hazard factors, manuals and validation records specific to Soil carbon measurement.</x:v>
      </x:c>
      <x:c r="AH192" s="2" t="str">
        <x:v>Software continuity for Soil carbon measurement requires licences where applicable, updates, cybersecurity patches, backups, calibration files, model validation and technical support.</x:v>
      </x:c>
      <x:c r="AI192" s="2" t="str">
        <x:v>Orgware depends on the institutions, laboratories, training providers, regulators, operators and community interfaces needed to govern Soil carbon measurement.</x:v>
      </x:c>
      <x:c r="AJ192" s="2" t="str">
        <x:v>The orgware supporting Soil carbon measurement has mainly indirect energy use from offices, meetings, training and information systems; travel and field supervision may be material at dispersed sites.</x:v>
      </x:c>
      <x:c r="AK192" s="2" t="str">
        <x:v>Its organisational inputs are permits, budgets, trained staff, competence records, contracts, procedures, safeguards, monitoring evidence and stakeholder agreements tailored to Soil carbon measurement.</x:v>
      </x:c>
      <x:c r="AL192" s="2" t="str">
        <x:v>Sustained implementation of Soil carbon measurement requires procurement and service contracts, audit protocols, training material, reporting templates, insurance or guarantees and periodic independent review.</x:v>
      </x:c>
      <x:c r="AM192" s="2" t="str">
        <x:v>Phosphate rock; Potash</x:v>
      </x:c>
      <x:c r="AN192" s="2" t="str">
        <x:v>China; Morocco; United States; Canada; Russia; Belarus</x:v>
      </x:c>
      <x:c r="AO192" s="2" t="str">
        <x:v>China; Morocco; United States; Canada; Russia; Belarus</x:v>
      </x:c>
      <x:c r="AP192" s="2" t="str">
        <x:v>Soil carbon measurement: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2" s="2" t="str">
        <x:v>2024–2025</x:v>
      </x:c>
      <x:c r="AR192" s="2" t="str">
        <x:v>https://pubs.usgs.gov/periodicals/mcs2026/mcs2026.pdf</x:v>
      </x:c>
    </x:row>
    <x:row r="193" ht="240" customHeight="1">
      <x:c r="A193" s="2" t="str">
        <x:v>MIT-0186</x:v>
      </x:c>
      <x:c r="B193" s="2" t="str">
        <x:v>Mitigation</x:v>
      </x:c>
      <x:c r="C193" s="2" t="str">
        <x:v>Agriculture</x:v>
      </x:c>
      <x:c r="D193" s="2" t="str">
        <x:v>Carbon stock measurement, monitoring and verification</x:v>
      </x:c>
      <x:c r="E193" s="2" t="str">
        <x:v>Carbon stock measurement, monitoring and verification</x:v>
      </x:c>
      <x:c r="F193" s="2" t="str">
        <x:v>Carbon stock measurement, monitoring and verification is a mitigation technology in the Agriculture sector and the Carbon stock measurement, monitoring and verification technology group. It is defined as a combined hardware–software–orgware system that changes vegetation, soil, nutrient, water, crop or livestock management to protect carbon stocks, increase resilience and productivity, and reduce CO₂, CH₄ or N₂O emissions. Carbon stock measurement, monitoring and verification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3" s="2" t="str">
        <x:v>Mixed: adaptable design, site-specific implementation</x:v>
      </x:c>
      <x:c r="H193" s="2" t="str">
        <x:v>Carbon stock measurement, monitoring and verification is adaptable in capacity and configuration but site-specific in final engineering. Its principle remains the same, but resource quality, climate, scale, interfaces and safety constraints must be recalculated for each deployment.</x:v>
      </x:c>
      <x:c r="I193" s="2" t="str">
        <x:v>Hard and soft</x:v>
      </x:c>
      <x:c r="J193" s="2" t="str">
        <x:v>Carbon stock measurement, monitoring and verification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3" s="2" t="str">
        <x:v>Operation and information service</x:v>
      </x:c>
      <x:c r="L193" s="2" t="str">
        <x:v>Carbon stock measurement, monitoring and verification is embodied mainly as an information and decision service. The deliverable is accepted only when measurable service, quality, safety and climate-performance criteria are met under real conditions.</x:v>
      </x:c>
      <x:c r="M193" s="2" t="str">
        <x:v>Yes, subject to life-cycle safeguards</x:v>
      </x:c>
      <x:c r="N193" s="2" t="str">
        <x:v>Carbon stock measurement, monitoring and verification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3" s="2" t="str">
        <x:v>Carbon stock measurement, monitoring and verification: field or forest implements, planting and irrigation equipment, storage or livestock facilities, sampling tools, sensors and protective structures as required.</x:v>
      </x:c>
      <x:c r="P193" s="2" t="str">
        <x:v>Carbon stock measurement, monitoring and verification: soil–crop–livestock knowledge, nutrient and water budgets, emission factors, carbon accounting, climate services, monitoring protocols and adaptive management.</x:v>
      </x:c>
      <x:c r="Q193" s="2" t="str">
        <x:v>Carbon stock measurement, monitoring and verification: land tenure, extension, producer organisations, veterinary or phytosanitary services, incentives, safeguards, certification and monitoring arrangements.</x:v>
      </x:c>
      <x:c r="R193" s="2" t="str">
        <x:v>Carbon stock measurement, monitoring and verification: nurseries or seed banks, field access, water and storage systems, laboratories, extension centres, monitoring plots and processing or market facilities.</x:v>
      </x:c>
      <x:c r="S193" s="2" t="str">
        <x:v>Carbon stock measurement, monitoring and verification: human and mechanical work, electricity or fuel for machinery, pumping, cooling and processing; biological energy and solar radiation dominate field processes.</x:v>
      </x:c>
      <x:c r="T193" s="2" t="str">
        <x:v>Carbon stock measurement, monitoring and verification: seed or planting stock, organic matter, fertilisers, soil amendments, water, fencing or structural materials, veterinary inputs and monitoring consumables.</x:v>
      </x:c>
      <x:c r="U193" s="2" t="str">
        <x:v>Carbon stock measurement, monitoring and verification: seed, inoculants, filters, drip lines, nozzles, tool parts, sampling containers, sensor batteries, veterinary supplies and protective equipment.</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https://www.ipcc.ch/report/ar6/wg3/chapter/chapter-7/; https://openknowledge.fao.org/server/api/core/bitstreams/b21f2087-f398-4718-8461-b92afc82e617/content</x:v>
      </x:c>
      <x:c r="Z193" s="2" t="str">
        <x:v>Technology-specific analytical synthesis. The CTCN hierarchy is retained; classifications and component dependencies require validation against the selected design, site and supplier documentation before investment or policy use.</x:v>
      </x:c>
      <x:c r="AA193" s="2" t="str">
        <x:v>Physical deployment of Carbon stock measurement, monitoring and verification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3" s="2" t="str">
        <x:v>For Carbon stock measurement, monitoring and verification,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3" s="2" t="str">
        <x:v>Construction and operation use seed or planting stock, organic matter, fertilisers, soil amendments, water, fencing or structural materials, veterinary inputs and monitoring consumables. For Carbon stock measurement, monitoring and verification, specifications must include durability, compatibility, recycled content and recoverability.</x:v>
      </x:c>
      <x:c r="AD193" s="2" t="str">
        <x:v>Maintenance of Carbon stock measurement, monitoring and verification depends on seed, inoculants, filters, drip lines, nozzles, tool parts, sampling containers, sensor batteries, veterinary supplies and protective equipment; critical spares are selected from failure-mode, lead-time and safety analysis for its installed configuration.</x:v>
      </x:c>
      <x:c r="AE193" s="2" t="str">
        <x:v>The software stack for Carbon stock measurement, monitoring and verification requires databases, secure communications, version-controlled models, computing, backup and interfaces with field or operational systems.</x:v>
      </x:c>
      <x:c r="AF193" s="2" t="str">
        <x:v>For Carbon stock measurement, monitoring and verification, software-related energy is electricity for sensing, computing, storage, communication and cooling; it is normally secondary but must be included for data-intensive or continuous services.</x:v>
      </x:c>
      <x:c r="AG193" s="2" t="str">
        <x:v>The non-physical inputs are calibrated data, metadata, algorithms, boundary conditions, emission or hazard factors, manuals and validation records specific to Carbon stock measurement, monitoring and verification.</x:v>
      </x:c>
      <x:c r="AH193" s="2" t="str">
        <x:v>Software continuity for Carbon stock measurement, monitoring and verification requires licences where applicable, updates, cybersecurity patches, backups, calibration files, model validation and technical support.</x:v>
      </x:c>
      <x:c r="AI193" s="2" t="str">
        <x:v>Orgware depends on the institutions, laboratories, training providers, regulators, operators and community interfaces needed to govern Carbon stock measurement, monitoring and verification.</x:v>
      </x:c>
      <x:c r="AJ193" s="2" t="str">
        <x:v>The orgware supporting Carbon stock measurement, monitoring and verification has mainly indirect energy use from offices, meetings, training and information systems; travel and field supervision may be material at dispersed sites.</x:v>
      </x:c>
      <x:c r="AK193" s="2" t="str">
        <x:v>Its organisational inputs are permits, budgets, trained staff, competence records, contracts, procedures, safeguards, monitoring evidence and stakeholder agreements tailored to Carbon stock measurement, monitoring and verification.</x:v>
      </x:c>
      <x:c r="AL193" s="2" t="str">
        <x:v>Sustained implementation of Carbon stock measurement, monitoring and verification requires procurement and service contracts, audit protocols, training material, reporting templates, insurance or guarantees and periodic independent review.</x:v>
      </x:c>
      <x:c r="AM193" s="2" t="str">
        <x:v>Copper; Tin</x:v>
      </x:c>
      <x:c r="AN193" s="2" t="str">
        <x:v>Chile; Democratic Republic of the Congo; Peru; China; Indonesia; Myanmar</x:v>
      </x:c>
      <x:c r="AO193" s="2" t="str">
        <x:v>China; Chile; Democratic Republic of the Congo; Indonesia; Malaysia</x:v>
      </x:c>
      <x:c r="AP193" s="2" t="str">
        <x:v>Carbon stock measurement, monitoring and verification: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3" s="2" t="str">
        <x:v>2024–2025</x:v>
      </x:c>
      <x:c r="AR193" s="2" t="str">
        <x:v>https://pubs.usgs.gov/periodicals/mcs2026/mcs2026.pdf</x:v>
      </x:c>
    </x:row>
    <x:row r="194" ht="240" customHeight="1">
      <x:c r="A194" s="2" t="str">
        <x:v>MIT-0187</x:v>
      </x:c>
      <x:c r="B194" s="2" t="str">
        <x:v>Mitigation</x:v>
      </x:c>
      <x:c r="C194" s="2" t="str">
        <x:v>Agriculture</x:v>
      </x:c>
      <x:c r="D194" s="2" t="str">
        <x:v>Improvement of Agri-food processes</x:v>
      </x:c>
      <x:c r="E194" s="2" t="str">
        <x:v>Improvement of Agri-food processes</x:v>
      </x:c>
      <x:c r="F194" s="2" t="str">
        <x:v>Improvement of Agri-food processes is a mitigation technology in the Agriculture sector and the Improvement of Agri-food processes technology group. It is defined as a combined hardware–software–orgware system that changes vegetation, soil, nutrient, water, crop or livestock management to protect carbon stocks, increase resilience and productivity, and reduce CO₂, CH₄ or N₂O emissions. Improvement of Agri-food processes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4" s="2" t="str">
        <x:v>Mixed: adaptable design, site-specific implementation</x:v>
      </x:c>
      <x:c r="H194" s="2" t="str">
        <x:v>Improvement of Agri-food processes is adaptable in capacity and configuration but site-specific in final engineering. Its principle remains the same, but resource quality, climate, scale, interfaces and safety constraints must be recalculated for each deployment.</x:v>
      </x:c>
      <x:c r="I194" s="2" t="str">
        <x:v>Primarily hard, with a soft component</x:v>
      </x:c>
      <x:c r="J194" s="2" t="str">
        <x:v>Improvement of Agri-food processes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4" s="2" t="str">
        <x:v>Operation</x:v>
      </x:c>
      <x:c r="L194" s="2" t="str">
        <x:v>Improvement of Agri-food processes is embodied mainly as an operating practice. The deliverable is accepted only when measurable service, quality, safety and climate-performance criteria are met under real conditions.</x:v>
      </x:c>
      <x:c r="M194" s="2" t="str">
        <x:v>Yes, subject to life-cycle safeguards</x:v>
      </x:c>
      <x:c r="N194" s="2" t="str">
        <x:v>Improvement of Agri-food processes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4" s="2" t="str">
        <x:v>Improvement of Agri-food processes: field or forest implements, planting and irrigation equipment, storage or livestock facilities, sampling tools, sensors and protective structures as required.</x:v>
      </x:c>
      <x:c r="P194" s="2" t="str">
        <x:v>Improvement of Agri-food processes: soil–crop–livestock knowledge, nutrient and water budgets, emission factors, carbon accounting, climate services, monitoring protocols and adaptive management.</x:v>
      </x:c>
      <x:c r="Q194" s="2" t="str">
        <x:v>Improvement of Agri-food processes: land tenure, extension, producer organisations, veterinary or phytosanitary services, incentives, safeguards, certification and monitoring arrangements.</x:v>
      </x:c>
      <x:c r="R194" s="2" t="str">
        <x:v>Improvement of Agri-food processes: nurseries or seed banks, field access, water and storage systems, laboratories, extension centres, monitoring plots and processing or market facilities.</x:v>
      </x:c>
      <x:c r="S194" s="2" t="str">
        <x:v>Improvement of Agri-food processes: human and mechanical work, electricity or fuel for machinery, pumping, cooling and processing; biological energy and solar radiation dominate field processes.</x:v>
      </x:c>
      <x:c r="T194" s="2" t="str">
        <x:v>Improvement of Agri-food processes: seed or planting stock, organic matter, fertilisers, soil amendments, water, fencing or structural materials, veterinary inputs and monitoring consumables.</x:v>
      </x:c>
      <x:c r="U194" s="2" t="str">
        <x:v>Improvement of Agri-food processes: seed, inoculants, filters, drip lines, nozzles, tool parts, sampling containers, sensor batteries, veterinary supplies and protective equipment.</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https://www.ipcc.ch/report/ar6/wg3/chapter/chapter-7/; https://openknowledge.fao.org/server/api/core/bitstreams/b21f2087-f398-4718-8461-b92afc82e617/content</x:v>
      </x:c>
      <x:c r="Z194" s="2" t="str">
        <x:v>Technology-specific analytical synthesis. The CTCN hierarchy is retained; classifications and component dependencies require validation against the selected design, site and supplier documentation before investment or policy use.</x:v>
      </x:c>
      <x:c r="AA194" s="2" t="str">
        <x:v>Physical deployment of Improvement of Agri-food processes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4" s="2" t="str">
        <x:v>For Improvement of Agri-food processes,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4" s="2" t="str">
        <x:v>Construction and operation use seed or planting stock, organic matter, fertilisers, soil amendments, water, fencing or structural materials, veterinary inputs and monitoring consumables. For Improvement of Agri-food processes, specifications must include durability, compatibility, recycled content and recoverability.</x:v>
      </x:c>
      <x:c r="AD194" s="2" t="str">
        <x:v>Maintenance of Improvement of Agri-food processes depends on seed, inoculants, filters, drip lines, nozzles, tool parts, sampling containers, sensor batteries, veterinary supplies and protective equipment; critical spares are selected from failure-mode, lead-time and safety analysis for its installed configuration.</x:v>
      </x:c>
      <x:c r="AE194" s="2" t="str">
        <x:v>The software stack for Improvement of Agri-food processes requires databases, secure communications, version-controlled models, computing, backup and interfaces with field or operational systems.</x:v>
      </x:c>
      <x:c r="AF194" s="2" t="str">
        <x:v>For Improvement of Agri-food processes, software-related energy is electricity for sensing, computing, storage, communication and cooling; it is normally secondary but must be included for data-intensive or continuous services.</x:v>
      </x:c>
      <x:c r="AG194" s="2" t="str">
        <x:v>The non-physical inputs are calibrated data, metadata, algorithms, boundary conditions, emission or hazard factors, manuals and validation records specific to Improvement of Agri-food processes.</x:v>
      </x:c>
      <x:c r="AH194" s="2" t="str">
        <x:v>Software continuity for Improvement of Agri-food processes requires licences where applicable, updates, cybersecurity patches, backups, calibration files, model validation and technical support.</x:v>
      </x:c>
      <x:c r="AI194" s="2" t="str">
        <x:v>Orgware depends on the institutions, laboratories, training providers, regulators, operators and community interfaces needed to govern Improvement of Agri-food processes.</x:v>
      </x:c>
      <x:c r="AJ194" s="2" t="str">
        <x:v>The orgware supporting Improvement of Agri-food processes has mainly indirect energy use from offices, meetings, training and information systems; travel and field supervision may be material at dispersed sites.</x:v>
      </x:c>
      <x:c r="AK194" s="2" t="str">
        <x:v>Its organisational inputs are permits, budgets, trained staff, competence records, contracts, procedures, safeguards, monitoring evidence and stakeholder agreements tailored to Improvement of Agri-food processes.</x:v>
      </x:c>
      <x:c r="AL194" s="2" t="str">
        <x:v>Sustained implementation of Improvement of Agri-food processes requires procurement and service contracts, audit protocols, training material, reporting templates, insurance or guarantees and periodic independent review.</x:v>
      </x:c>
      <x:c r="AM194" s="2" t="str">
        <x:v>No critical or strategic raw material is identifiable at taxonomy level; site-specific bulk materials may still be required.</x:v>
      </x:c>
      <x:c r="AN194" s="2" t="str"/>
      <x:c r="AO194" s="2" t="str"/>
      <x:c r="AP194" s="2" t="str">
        <x:v>Improvement of Agri-food processes: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4" s="2" t="str">
        <x:v>2024–2025</x:v>
      </x:c>
      <x:c r="AR194" s="2" t="str">
        <x:v>https://pubs.usgs.gov/periodicals/mcs2026/mcs2026.pdf</x:v>
      </x:c>
    </x:row>
    <x:row r="195" ht="240" customHeight="1">
      <x:c r="A195" s="2" t="str">
        <x:v>MIT-0188</x:v>
      </x:c>
      <x:c r="B195" s="2" t="str">
        <x:v>Mitigation</x:v>
      </x:c>
      <x:c r="C195" s="2" t="str">
        <x:v>Agriculture</x:v>
      </x:c>
      <x:c r="D195" s="2" t="str">
        <x:v>Livestock management</x:v>
      </x:c>
      <x:c r="E195" s="2" t="str">
        <x:v>Manure management</x:v>
      </x:c>
      <x:c r="F195" s="2" t="str">
        <x:v>Manure management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5" s="2" t="str">
        <x:v>Flexible</x:v>
      </x:c>
      <x:c r="H195" s="2" t="str">
        <x:v>Manure management is transferable through configurable methods, rules and operating parameters. Its principle remains the same, but resource quality, climate, scale, interfaces and safety constraints must be recalculated for each deployment.</x:v>
      </x:c>
      <x:c r="I195" s="2" t="str">
        <x:v>Primarily soft, with physical support</x:v>
      </x:c>
      <x:c r="J195" s="2" t="str">
        <x:v>Manure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5" s="2" t="str">
        <x:v>Operation</x:v>
      </x:c>
      <x:c r="L195" s="2" t="str">
        <x:v>Manure management is embodied mainly as an operating practice. The deliverable is accepted only when measurable service, quality, safety and climate-performance criteria are met under real conditions.</x:v>
      </x:c>
      <x:c r="M195" s="2" t="str">
        <x:v>Yes, subject to life-cycle safeguards</x:v>
      </x:c>
      <x:c r="N195" s="2" t="str">
        <x:v>Manure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5" s="2" t="str">
        <x:v>Manure management: field or forest implements, planting and irrigation equipment, storage or livestock facilities, sampling tools, sensors and protective structures as required.</x:v>
      </x:c>
      <x:c r="P195" s="2" t="str">
        <x:v>Manure management: soil–crop–livestock knowledge, nutrient and water budgets, emission factors, carbon accounting, climate services, monitoring protocols and adaptive management.</x:v>
      </x:c>
      <x:c r="Q195" s="2" t="str">
        <x:v>Manure management: land tenure, extension, producer organisations, veterinary or phytosanitary services, incentives, safeguards, certification and monitoring arrangements.</x:v>
      </x:c>
      <x:c r="R195" s="2" t="str">
        <x:v>Manure management: nurseries or seed banks, field access, water and storage systems, laboratories, extension centres, monitoring plots and processing or market facilities.</x:v>
      </x:c>
      <x:c r="S195" s="2" t="str">
        <x:v>Manure management: human and mechanical work, electricity or fuel for machinery, pumping, cooling and processing; biological energy and solar radiation dominate field processes.</x:v>
      </x:c>
      <x:c r="T195" s="2" t="str">
        <x:v>Manure management: seed or planting stock, organic matter, fertilisers, soil amendments, water, fencing or structural materials, veterinary inputs and monitoring consumables.</x:v>
      </x:c>
      <x:c r="U195" s="2" t="str">
        <x:v>Manure management: seed, inoculants, filters, drip lines, nozzles, tool parts, sampling containers, sensor batteries, veterinary supplies and protective equipment.</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https://www.ipcc.ch/report/ar6/wg3/chapter/chapter-7/; https://openknowledge.fao.org/server/api/core/bitstreams/b21f2087-f398-4718-8461-b92afc82e617/content</x:v>
      </x:c>
      <x:c r="Z195" s="2" t="str">
        <x:v>Technology-specific analytical synthesis. The CTCN hierarchy is retained; classifications and component dependencies require validation against the selected design, site and supplier documentation before investment or policy use.</x:v>
      </x:c>
      <x:c r="AA195" s="2" t="str">
        <x:v>Physical deployment of Manure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5" s="2" t="str">
        <x:v>For Manure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5" s="2" t="str">
        <x:v>Construction and operation use seed or planting stock, organic matter, fertilisers, soil amendments, water, fencing or structural materials, veterinary inputs and monitoring consumables. For Manure management, specifications must include durability, compatibility, recycled content and recoverability.</x:v>
      </x:c>
      <x:c r="AD195" s="2" t="str">
        <x:v>Maintenance of Manure management depends on seed, inoculants, filters, drip lines, nozzles, tool parts, sampling containers, sensor batteries, veterinary supplies and protective equipment; critical spares are selected from failure-mode, lead-time and safety analysis for its installed configuration.</x:v>
      </x:c>
      <x:c r="AE195" s="2" t="str">
        <x:v>The software stack for Manure management requires databases, secure communications, version-controlled models, computing, backup and interfaces with field or operational systems.</x:v>
      </x:c>
      <x:c r="AF195" s="2" t="str">
        <x:v>For Manure management, software-related energy is electricity for sensing, computing, storage, communication and cooling; it is normally secondary but must be included for data-intensive or continuous services.</x:v>
      </x:c>
      <x:c r="AG195" s="2" t="str">
        <x:v>The non-physical inputs are calibrated data, metadata, algorithms, boundary conditions, emission or hazard factors, manuals and validation records specific to Manure management.</x:v>
      </x:c>
      <x:c r="AH195" s="2" t="str">
        <x:v>Software continuity for Manure management requires licences where applicable, updates, cybersecurity patches, backups, calibration files, model validation and technical support.</x:v>
      </x:c>
      <x:c r="AI195" s="2" t="str">
        <x:v>Orgware depends on the institutions, laboratories, training providers, regulators, operators and community interfaces needed to govern Manure management.</x:v>
      </x:c>
      <x:c r="AJ195" s="2" t="str">
        <x:v>The orgware supporting Manure management has mainly indirect energy use from offices, meetings, training and information systems; travel and field supervision may be material at dispersed sites.</x:v>
      </x:c>
      <x:c r="AK195" s="2" t="str">
        <x:v>Its organisational inputs are permits, budgets, trained staff, competence records, contracts, procedures, safeguards, monitoring evidence and stakeholder agreements tailored to Manure management.</x:v>
      </x:c>
      <x:c r="AL195" s="2" t="str">
        <x:v>Sustained implementation of Manure management requires procurement and service contracts, audit protocols, training material, reporting templates, insurance or guarantees and periodic independent review.</x:v>
      </x:c>
      <x:c r="AM195" s="2" t="str">
        <x:v>No critical or strategic raw material is identifiable at taxonomy level; site-specific bulk materials may still be required.</x:v>
      </x:c>
      <x:c r="AN195" s="2" t="str"/>
      <x:c r="AO195" s="2" t="str"/>
      <x:c r="AP195" s="2" t="str">
        <x:v>Manure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5" s="2" t="str">
        <x:v>2024–2025</x:v>
      </x:c>
      <x:c r="AR195" s="2" t="str">
        <x:v>https://pubs.usgs.gov/periodicals/mcs2026/mcs2026.pdf; https://www.iea.org/reports/global-critical-minerals-outlook-2025</x:v>
      </x:c>
    </x:row>
    <x:row r="196" ht="240" customHeight="1">
      <x:c r="A196" s="2" t="str">
        <x:v>MIT-0189</x:v>
      </x:c>
      <x:c r="B196" s="2" t="str">
        <x:v>Mitigation</x:v>
      </x:c>
      <x:c r="C196" s="2" t="str">
        <x:v>Agriculture</x:v>
      </x:c>
      <x:c r="D196" s="2" t="str">
        <x:v>Livestock management</x:v>
      </x:c>
      <x:c r="E196" s="2" t="str">
        <x:v>Selective breeding via controlled mating</x:v>
      </x:c>
      <x:c r="F196" s="2" t="str">
        <x:v>Selective breeding via controlled mating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Selective breeding via controlled mating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6" s="2" t="str">
        <x:v>Flexible</x:v>
      </x:c>
      <x:c r="H196" s="2" t="str">
        <x:v>Selective breeding via controlled mating is transferable through configurable methods, rules and operating parameters. Its principle remains the same, but resource quality, climate, scale, interfaces and safety constraints must be recalculated for each deployment.</x:v>
      </x:c>
      <x:c r="I196" s="2" t="str">
        <x:v>Primarily soft, with physical support</x:v>
      </x:c>
      <x:c r="J196" s="2" t="str">
        <x:v>Selective breeding via controlled mating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6" s="2" t="str">
        <x:v>Operation</x:v>
      </x:c>
      <x:c r="L196" s="2" t="str">
        <x:v>Selective breeding via controlled mating is embodied mainly as an operating practice. The deliverable is accepted only when measurable service, quality, safety and climate-performance criteria are met under real conditions.</x:v>
      </x:c>
      <x:c r="M196" s="2" t="str">
        <x:v>Yes, subject to life-cycle safeguards</x:v>
      </x:c>
      <x:c r="N196" s="2" t="str">
        <x:v>Selective breeding via controlled mating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6" s="2" t="str">
        <x:v>Selective breeding via controlled mating: field or forest implements, planting and irrigation equipment, storage or livestock facilities, sampling tools, sensors and protective structures as required.</x:v>
      </x:c>
      <x:c r="P196" s="2" t="str">
        <x:v>Selective breeding via controlled mating: soil–crop–livestock knowledge, nutrient and water budgets, emission factors, carbon accounting, climate services, monitoring protocols and adaptive management.</x:v>
      </x:c>
      <x:c r="Q196" s="2" t="str">
        <x:v>Selective breeding via controlled mating: land tenure, extension, producer organisations, veterinary or phytosanitary services, incentives, safeguards, certification and monitoring arrangements.</x:v>
      </x:c>
      <x:c r="R196" s="2" t="str">
        <x:v>Selective breeding via controlled mating: nurseries or seed banks, field access, water and storage systems, laboratories, extension centres, monitoring plots and processing or market facilities.</x:v>
      </x:c>
      <x:c r="S196" s="2" t="str">
        <x:v>Selective breeding via controlled mating: human and mechanical work, electricity or fuel for machinery, pumping, cooling and processing; biological energy and solar radiation dominate field processes.</x:v>
      </x:c>
      <x:c r="T196" s="2" t="str">
        <x:v>Selective breeding via controlled mating: seed or planting stock, organic matter, fertilisers, soil amendments, water, fencing or structural materials, veterinary inputs and monitoring consumables.</x:v>
      </x:c>
      <x:c r="U196" s="2" t="str">
        <x:v>Selective breeding via controlled mating: seed, inoculants, filters, drip lines, nozzles, tool parts, sampling containers, sensor batteries, veterinary supplies and protective equipment.</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https://www.ipcc.ch/report/ar6/wg3/chapter/chapter-7/; https://openknowledge.fao.org/server/api/core/bitstreams/b21f2087-f398-4718-8461-b92afc82e617/content</x:v>
      </x:c>
      <x:c r="Z196" s="2" t="str">
        <x:v>Technology-specific analytical synthesis. The CTCN hierarchy is retained; classifications and component dependencies require validation against the selected design, site and supplier documentation before investment or policy use.</x:v>
      </x:c>
      <x:c r="AA196" s="2" t="str">
        <x:v>Physical deployment of Selective breeding via controlled mating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6" s="2" t="str">
        <x:v>For Selective breeding via controlled mating,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6" s="2" t="str">
        <x:v>Construction and operation use seed or planting stock, organic matter, fertilisers, soil amendments, water, fencing or structural materials, veterinary inputs and monitoring consumables. For Selective breeding via controlled mating, specifications must include durability, compatibility, recycled content and recoverability.</x:v>
      </x:c>
      <x:c r="AD196" s="2" t="str">
        <x:v>Maintenance of Selective breeding via controlled mating depends on seed, inoculants, filters, drip lines, nozzles, tool parts, sampling containers, sensor batteries, veterinary supplies and protective equipment; critical spares are selected from failure-mode, lead-time and safety analysis for its installed configuration.</x:v>
      </x:c>
      <x:c r="AE196" s="2" t="str">
        <x:v>The software stack for Selective breeding via controlled mating requires databases, secure communications, version-controlled models, computing, backup and interfaces with field or operational systems.</x:v>
      </x:c>
      <x:c r="AF196" s="2" t="str">
        <x:v>For Selective breeding via controlled mating, software-related energy is electricity for sensing, computing, storage, communication and cooling; it is normally secondary but must be included for data-intensive or continuous services.</x:v>
      </x:c>
      <x:c r="AG196" s="2" t="str">
        <x:v>The non-physical inputs are calibrated data, metadata, algorithms, boundary conditions, emission or hazard factors, manuals and validation records specific to Selective breeding via controlled mating.</x:v>
      </x:c>
      <x:c r="AH196" s="2" t="str">
        <x:v>Software continuity for Selective breeding via controlled mating requires licences where applicable, updates, cybersecurity patches, backups, calibration files, model validation and technical support.</x:v>
      </x:c>
      <x:c r="AI196" s="2" t="str">
        <x:v>Orgware depends on the institutions, laboratories, training providers, regulators, operators and community interfaces needed to govern Selective breeding via controlled mating.</x:v>
      </x:c>
      <x:c r="AJ196" s="2" t="str">
        <x:v>The orgware supporting Selective breeding via controlled mating has mainly indirect energy use from offices, meetings, training and information systems; travel and field supervision may be material at dispersed sites.</x:v>
      </x:c>
      <x:c r="AK196" s="2" t="str">
        <x:v>Its organisational inputs are permits, budgets, trained staff, competence records, contracts, procedures, safeguards, monitoring evidence and stakeholder agreements tailored to Selective breeding via controlled mating.</x:v>
      </x:c>
      <x:c r="AL196" s="2" t="str">
        <x:v>Sustained implementation of Selective breeding via controlled mating requires procurement and service contracts, audit protocols, training material, reporting templates, insurance or guarantees and periodic independent review.</x:v>
      </x:c>
      <x:c r="AM196" s="2" t="str">
        <x:v>Copper; Tin</x:v>
      </x:c>
      <x:c r="AN196" s="2" t="str">
        <x:v>Chile; Democratic Republic of the Congo; Peru; China; Indonesia; Myanmar</x:v>
      </x:c>
      <x:c r="AO196" s="2" t="str">
        <x:v>China; Chile; Democratic Republic of the Congo; Indonesia; Malaysia</x:v>
      </x:c>
      <x:c r="AP196" s="2" t="str">
        <x:v>Selective breeding via controlled mating: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6" s="2" t="str">
        <x:v>2024–2025</x:v>
      </x:c>
      <x:c r="AR196" s="2" t="str">
        <x:v>https://pubs.usgs.gov/periodicals/mcs2026/mcs2026.pdf</x:v>
      </x:c>
    </x:row>
    <x:row r="197" ht="240" customHeight="1">
      <x:c r="A197" s="2" t="str">
        <x:v>MIT-0190</x:v>
      </x:c>
      <x:c r="B197" s="2" t="str">
        <x:v>Mitigation</x:v>
      </x:c>
      <x:c r="C197" s="2" t="str">
        <x:v>Agriculture</x:v>
      </x:c>
      <x:c r="D197" s="2" t="str">
        <x:v>Livestock management</x:v>
      </x:c>
      <x:c r="E197" s="2" t="str">
        <x:v>Methane emission mitigation of ruminants</x:v>
      </x:c>
      <x:c r="F197" s="2" t="str">
        <x:v>Methane emission mitigation of ruminants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7" s="2" t="str">
        <x:v>Flexible</x:v>
      </x:c>
      <x:c r="H197" s="2" t="str">
        <x:v>Methane emission mitigation of ruminants is transferable through configurable methods, rules and operating parameters. Its principle remains the same, but resource quality, climate, scale, interfaces and safety constraints must be recalculated for each deployment.</x:v>
      </x:c>
      <x:c r="I197" s="2" t="str">
        <x:v>Primarily soft, with physical support</x:v>
      </x:c>
      <x:c r="J197" s="2" t="str">
        <x:v>Methane emission mitigation of ruminants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7" s="2" t="str">
        <x:v>Operation</x:v>
      </x:c>
      <x:c r="L197" s="2" t="str">
        <x:v>Methane emission mitigation of ruminants is embodied mainly as an operating practice. The deliverable is accepted only when measurable service, quality, safety and climate-performance criteria are met under real conditions.</x:v>
      </x:c>
      <x:c r="M197" s="2" t="str">
        <x:v>Yes, subject to life-cycle safeguards</x:v>
      </x:c>
      <x:c r="N197" s="2" t="str">
        <x:v>Methane emission mitigation of ruminants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7" s="2" t="str">
        <x:v>Methane emission mitigation of ruminants: field or forest implements, planting and irrigation equipment, storage or livestock facilities, sampling tools, sensors and protective structures as required.</x:v>
      </x:c>
      <x:c r="P197" s="2" t="str">
        <x:v>Methane emission mitigation of ruminants: soil–crop–livestock knowledge, nutrient and water budgets, emission factors, carbon accounting, climate services, monitoring protocols and adaptive management.</x:v>
      </x:c>
      <x:c r="Q197" s="2" t="str">
        <x:v>Methane emission mitigation of ruminants: land tenure, extension, producer organisations, veterinary or phytosanitary services, incentives, safeguards, certification and monitoring arrangements.</x:v>
      </x:c>
      <x:c r="R197" s="2" t="str">
        <x:v>Methane emission mitigation of ruminants: nurseries or seed banks, field access, water and storage systems, laboratories, extension centres, monitoring plots and processing or market facilities.</x:v>
      </x:c>
      <x:c r="S197" s="2" t="str">
        <x:v>Methane emission mitigation of ruminants: human and mechanical work, electricity or fuel for machinery, pumping, cooling and processing; biological energy and solar radiation dominate field processes.</x:v>
      </x:c>
      <x:c r="T197" s="2" t="str">
        <x:v>Methane emission mitigation of ruminants: seed or planting stock, organic matter, fertilisers, soil amendments, water, fencing or structural materials, veterinary inputs and monitoring consumables.</x:v>
      </x:c>
      <x:c r="U197" s="2" t="str">
        <x:v>Methane emission mitigation of ruminants: seed, inoculants, filters, drip lines, nozzles, tool parts, sampling containers, sensor batteries, veterinary supplies and protective equipment.</x:v>
      </x:c>
      <x:c r="V197" s="2" t="str">
        <x:v>https://www.ctc-n.org/sites/default/files/resources/ctcn_taxonomy_0.pdf</x:v>
      </x:c>
      <x:c r="W197" s="2" t="str">
        <x:v>https://institutoagricoladepueblobello.edu.co/colegiapp/archivostemas/GUIA%209.%5B25%5D.pdf</x:v>
      </x:c>
      <x:c r="X197" s="2" t="str">
        <x:v>https://iiasa.ac.at/what-is-technology</x:v>
      </x:c>
      <x:c r="Y197" s="2" t="str">
        <x:v>https://www.ipcc.ch/report/ar6/wg3/chapter/chapter-7/; https://openknowledge.fao.org/server/api/core/bitstreams/b21f2087-f398-4718-8461-b92afc82e617/content</x:v>
      </x:c>
      <x:c r="Z197" s="2" t="str">
        <x:v>Technology-specific analytical synthesis. The CTCN hierarchy is retained; classifications and component dependencies require validation against the selected design, site and supplier documentation before investment or policy use.</x:v>
      </x:c>
      <x:c r="AA197" s="2" t="str">
        <x:v>Physical deployment of Methane emission mitigation of ruminants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7" s="2" t="str">
        <x:v>For Methane emission mitigation of ruminants,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7" s="2" t="str">
        <x:v>Construction and operation use seed or planting stock, organic matter, fertilisers, soil amendments, water, fencing or structural materials, veterinary inputs and monitoring consumables. For Methane emission mitigation of ruminants, specifications must include durability, compatibility, recycled content and recoverability.</x:v>
      </x:c>
      <x:c r="AD197" s="2" t="str">
        <x:v>Maintenance of Methane emission mitigation of ruminants depends on seed, inoculants, filters, drip lines, nozzles, tool parts, sampling containers, sensor batteries, veterinary supplies and protective equipment; critical spares are selected from failure-mode, lead-time and safety analysis for its installed configuration.</x:v>
      </x:c>
      <x:c r="AE197" s="2" t="str">
        <x:v>The software stack for Methane emission mitigation of ruminants requires databases, secure communications, version-controlled models, computing, backup and interfaces with field or operational systems.</x:v>
      </x:c>
      <x:c r="AF197" s="2" t="str">
        <x:v>For Methane emission mitigation of ruminants, software-related energy is electricity for sensing, computing, storage, communication and cooling; it is normally secondary but must be included for data-intensive or continuous services.</x:v>
      </x:c>
      <x:c r="AG197" s="2" t="str">
        <x:v>The non-physical inputs are calibrated data, metadata, algorithms, boundary conditions, emission or hazard factors, manuals and validation records specific to Methane emission mitigation of ruminants.</x:v>
      </x:c>
      <x:c r="AH197" s="2" t="str">
        <x:v>Software continuity for Methane emission mitigation of ruminants requires licences where applicable, updates, cybersecurity patches, backups, calibration files, model validation and technical support.</x:v>
      </x:c>
      <x:c r="AI197" s="2" t="str">
        <x:v>Orgware depends on the institutions, laboratories, training providers, regulators, operators and community interfaces needed to govern Methane emission mitigation of ruminants.</x:v>
      </x:c>
      <x:c r="AJ197" s="2" t="str">
        <x:v>The orgware supporting Methane emission mitigation of ruminants has mainly indirect energy use from offices, meetings, training and information systems; travel and field supervision may be material at dispersed sites.</x:v>
      </x:c>
      <x:c r="AK197" s="2" t="str">
        <x:v>Its organisational inputs are permits, budgets, trained staff, competence records, contracts, procedures, safeguards, monitoring evidence and stakeholder agreements tailored to Methane emission mitigation of ruminants.</x:v>
      </x:c>
      <x:c r="AL197" s="2" t="str">
        <x:v>Sustained implementation of Methane emission mitigation of ruminants requires procurement and service contracts, audit protocols, training material, reporting templates, insurance or guarantees and periodic independent review.</x:v>
      </x:c>
      <x:c r="AM197" s="2" t="str">
        <x:v>No critical or strategic raw material is identifiable at taxonomy level; site-specific bulk materials may still be required.</x:v>
      </x:c>
      <x:c r="AN197" s="2" t="str"/>
      <x:c r="AO197" s="2" t="str"/>
      <x:c r="AP197" s="2" t="str">
        <x:v>Methane emission mitigation of ruminants: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7" s="2" t="str">
        <x:v>2024–2025</x:v>
      </x:c>
      <x:c r="AR197" s="2" t="str">
        <x:v>https://pubs.usgs.gov/periodicals/mcs2026/mcs2026.pdf</x:v>
      </x:c>
    </x:row>
    <x:row r="198" ht="240" customHeight="1">
      <x:c r="A198" s="2" t="str">
        <x:v>MIT-0191</x:v>
      </x:c>
      <x:c r="B198" s="2" t="str">
        <x:v>Mitigation</x:v>
      </x:c>
      <x:c r="C198" s="2" t="str">
        <x:v>Agriculture</x:v>
      </x:c>
      <x:c r="D198" s="2" t="str">
        <x:v>Livestock management</x:v>
      </x:c>
      <x:c r="E198" s="2" t="str">
        <x:v>Straw ammoniation and silage</x:v>
      </x:c>
      <x:c r="F198" s="2" t="str">
        <x:v>Straw ammoniation and silage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Straw ammoniation and silage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8" s="2" t="str">
        <x:v>Flexible</x:v>
      </x:c>
      <x:c r="H198" s="2" t="str">
        <x:v>Straw ammoniation and silage is transferable through configurable methods, rules and operating parameters. Its principle remains the same, but resource quality, climate, scale, interfaces and safety constraints must be recalculated for each deployment.</x:v>
      </x:c>
      <x:c r="I198" s="2" t="str">
        <x:v>Primarily soft, with physical support</x:v>
      </x:c>
      <x:c r="J198" s="2" t="str">
        <x:v>Straw ammoniation and silage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8" s="2" t="str">
        <x:v>Operation</x:v>
      </x:c>
      <x:c r="L198" s="2" t="str">
        <x:v>Straw ammoniation and silage is embodied mainly as an operating practice. The deliverable is accepted only when measurable service, quality, safety and climate-performance criteria are met under real conditions.</x:v>
      </x:c>
      <x:c r="M198" s="2" t="str">
        <x:v>Yes, subject to life-cycle safeguards</x:v>
      </x:c>
      <x:c r="N198" s="2" t="str">
        <x:v>Straw ammoniation and silage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8" s="2" t="str">
        <x:v>Straw ammoniation and silage: field or forest implements, planting and irrigation equipment, storage or livestock facilities, sampling tools, sensors and protective structures as required.</x:v>
      </x:c>
      <x:c r="P198" s="2" t="str">
        <x:v>Straw ammoniation and silage: soil–crop–livestock knowledge, nutrient and water budgets, emission factors, carbon accounting, climate services, monitoring protocols and adaptive management.</x:v>
      </x:c>
      <x:c r="Q198" s="2" t="str">
        <x:v>Straw ammoniation and silage: land tenure, extension, producer organisations, veterinary or phytosanitary services, incentives, safeguards, certification and monitoring arrangements.</x:v>
      </x:c>
      <x:c r="R198" s="2" t="str">
        <x:v>Straw ammoniation and silage: nurseries or seed banks, field access, water and storage systems, laboratories, extension centres, monitoring plots and processing or market facilities.</x:v>
      </x:c>
      <x:c r="S198" s="2" t="str">
        <x:v>Straw ammoniation and silage: human and mechanical work, electricity or fuel for machinery, pumping, cooling and processing; biological energy and solar radiation dominate field processes.</x:v>
      </x:c>
      <x:c r="T198" s="2" t="str">
        <x:v>Straw ammoniation and silage: seed or planting stock, organic matter, fertilisers, soil amendments, water, fencing or structural materials, veterinary inputs and monitoring consumables.</x:v>
      </x:c>
      <x:c r="U198" s="2" t="str">
        <x:v>Straw ammoniation and silage: seed, inoculants, filters, drip lines, nozzles, tool parts, sampling containers, sensor batteries, veterinary supplies and protective equipment.</x:v>
      </x:c>
      <x:c r="V198" s="2" t="str">
        <x:v>https://www.ctc-n.org/sites/default/files/resources/ctcn_taxonomy_0.pdf</x:v>
      </x:c>
      <x:c r="W198" s="2" t="str">
        <x:v>https://institutoagricoladepueblobello.edu.co/colegiapp/archivostemas/GUIA%209.%5B25%5D.pdf</x:v>
      </x:c>
      <x:c r="X198" s="2" t="str">
        <x:v>https://iiasa.ac.at/what-is-technology</x:v>
      </x:c>
      <x:c r="Y198" s="2" t="str">
        <x:v>https://www.ipcc.ch/report/ar6/wg3/chapter/chapter-7/; https://openknowledge.fao.org/server/api/core/bitstreams/b21f2087-f398-4718-8461-b92afc82e617/content</x:v>
      </x:c>
      <x:c r="Z198" s="2" t="str">
        <x:v>Technology-specific analytical synthesis. The CTCN hierarchy is retained; classifications and component dependencies require validation against the selected design, site and supplier documentation before investment or policy use.</x:v>
      </x:c>
      <x:c r="AA198" s="2" t="str">
        <x:v>Physical deployment of Straw ammoniation and silage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8" s="2" t="str">
        <x:v>For Straw ammoniation and silage,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8" s="2" t="str">
        <x:v>Construction and operation use seed or planting stock, organic matter, fertilisers, soil amendments, water, fencing or structural materials, veterinary inputs and monitoring consumables. For Straw ammoniation and silage, specifications must include durability, compatibility, recycled content and recoverability.</x:v>
      </x:c>
      <x:c r="AD198" s="2" t="str">
        <x:v>Maintenance of Straw ammoniation and silage depends on seed, inoculants, filters, drip lines, nozzles, tool parts, sampling containers, sensor batteries, veterinary supplies and protective equipment; critical spares are selected from failure-mode, lead-time and safety analysis for its installed configuration.</x:v>
      </x:c>
      <x:c r="AE198" s="2" t="str">
        <x:v>The software stack for Straw ammoniation and silage requires databases, secure communications, version-controlled models, computing, backup and interfaces with field or operational systems.</x:v>
      </x:c>
      <x:c r="AF198" s="2" t="str">
        <x:v>For Straw ammoniation and silage, software-related energy is electricity for sensing, computing, storage, communication and cooling; it is normally secondary but must be included for data-intensive or continuous services.</x:v>
      </x:c>
      <x:c r="AG198" s="2" t="str">
        <x:v>The non-physical inputs are calibrated data, metadata, algorithms, boundary conditions, emission or hazard factors, manuals and validation records specific to Straw ammoniation and silage.</x:v>
      </x:c>
      <x:c r="AH198" s="2" t="str">
        <x:v>Software continuity for Straw ammoniation and silage requires licences where applicable, updates, cybersecurity patches, backups, calibration files, model validation and technical support.</x:v>
      </x:c>
      <x:c r="AI198" s="2" t="str">
        <x:v>Orgware depends on the institutions, laboratories, training providers, regulators, operators and community interfaces needed to govern Straw ammoniation and silage.</x:v>
      </x:c>
      <x:c r="AJ198" s="2" t="str">
        <x:v>The orgware supporting Straw ammoniation and silage has mainly indirect energy use from offices, meetings, training and information systems; travel and field supervision may be material at dispersed sites.</x:v>
      </x:c>
      <x:c r="AK198" s="2" t="str">
        <x:v>Its organisational inputs are permits, budgets, trained staff, competence records, contracts, procedures, safeguards, monitoring evidence and stakeholder agreements tailored to Straw ammoniation and silage.</x:v>
      </x:c>
      <x:c r="AL198" s="2" t="str">
        <x:v>Sustained implementation of Straw ammoniation and silage requires procurement and service contracts, audit protocols, training material, reporting templates, insurance or guarantees and periodic independent review.</x:v>
      </x:c>
      <x:c r="AM198" s="2" t="str">
        <x:v>Platinum-group metals</x:v>
      </x:c>
      <x:c r="AN198" s="2" t="str">
        <x:v>South Africa; Russia; Zimbabwe</x:v>
      </x:c>
      <x:c r="AO198" s="2" t="str">
        <x:v>South Africa; Russia; Germany</x:v>
      </x:c>
      <x:c r="AP198" s="2" t="str">
        <x:v>Straw ammoniation and silage: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8" s="2" t="str">
        <x:v>2024–2025</x:v>
      </x:c>
      <x:c r="AR198" s="2" t="str">
        <x:v>https://pubs.usgs.gov/periodicals/mcs2026/mcs2026.pdf</x:v>
      </x:c>
    </x:row>
    <x:row r="199" ht="240" customHeight="1">
      <x:c r="A199" s="2" t="str">
        <x:v>MIT-0192</x:v>
      </x:c>
      <x:c r="B199" s="2" t="str">
        <x:v>Mitigation</x:v>
      </x:c>
      <x:c r="C199" s="2" t="str">
        <x:v>Agriculture</x:v>
      </x:c>
      <x:c r="D199" s="2" t="str">
        <x:v>Livestock management</x:v>
      </x:c>
      <x:c r="E199" s="2" t="str">
        <x:v>Temperature regulation for livestock</x:v>
      </x:c>
      <x:c r="F199" s="2" t="str">
        <x:v>Temperature regulation for livestock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Temperature regulation for livestock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9" s="2" t="str">
        <x:v>Flexible</x:v>
      </x:c>
      <x:c r="H199" s="2" t="str">
        <x:v>Temperature regulation for livestock is transferable through configurable methods, rules and operating parameters. Its principle remains the same, but resource quality, climate, scale, interfaces and safety constraints must be recalculated for each deployment.</x:v>
      </x:c>
      <x:c r="I199" s="2" t="str">
        <x:v>Primarily soft, with physical support</x:v>
      </x:c>
      <x:c r="J199" s="2" t="str">
        <x:v>Temperature regulation for livestock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9" s="2" t="str">
        <x:v>Operation</x:v>
      </x:c>
      <x:c r="L199" s="2" t="str">
        <x:v>Temperature regulation for livestock is embodied mainly as an operating practice. The deliverable is accepted only when measurable service, quality, safety and climate-performance criteria are met under real conditions.</x:v>
      </x:c>
      <x:c r="M199" s="2" t="str">
        <x:v>Yes, subject to life-cycle safeguards</x:v>
      </x:c>
      <x:c r="N199" s="2" t="str">
        <x:v>Temperature regulation for livestock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9" s="2" t="str">
        <x:v>Temperature regulation for livestock: field or forest implements, planting and irrigation equipment, storage or livestock facilities, sampling tools, sensors and protective structures as required.</x:v>
      </x:c>
      <x:c r="P199" s="2" t="str">
        <x:v>Temperature regulation for livestock: soil–crop–livestock knowledge, nutrient and water budgets, emission factors, carbon accounting, climate services, monitoring protocols and adaptive management.</x:v>
      </x:c>
      <x:c r="Q199" s="2" t="str">
        <x:v>Temperature regulation for livestock: land tenure, extension, producer organisations, veterinary or phytosanitary services, incentives, safeguards, certification and monitoring arrangements.</x:v>
      </x:c>
      <x:c r="R199" s="2" t="str">
        <x:v>Temperature regulation for livestock: nurseries or seed banks, field access, water and storage systems, laboratories, extension centres, monitoring plots and processing or market facilities.</x:v>
      </x:c>
      <x:c r="S199" s="2" t="str">
        <x:v>Temperature regulation for livestock: human and mechanical work, electricity or fuel for machinery, pumping, cooling and processing; biological energy and solar radiation dominate field processes.</x:v>
      </x:c>
      <x:c r="T199" s="2" t="str">
        <x:v>Temperature regulation for livestock: seed or planting stock, organic matter, fertilisers, soil amendments, water, fencing or structural materials, veterinary inputs and monitoring consumables.</x:v>
      </x:c>
      <x:c r="U199" s="2" t="str">
        <x:v>Temperature regulation for livestock: seed, inoculants, filters, drip lines, nozzles, tool parts, sampling containers, sensor batteries, veterinary supplies and protective equipment.</x:v>
      </x:c>
      <x:c r="V199" s="2" t="str">
        <x:v>https://www.ctc-n.org/sites/default/files/resources/ctcn_taxonomy_0.pdf</x:v>
      </x:c>
      <x:c r="W199" s="2" t="str">
        <x:v>https://institutoagricoladepueblobello.edu.co/colegiapp/archivostemas/GUIA%209.%5B25%5D.pdf</x:v>
      </x:c>
      <x:c r="X199" s="2" t="str">
        <x:v>https://iiasa.ac.at/what-is-technology</x:v>
      </x:c>
      <x:c r="Y199" s="2" t="str">
        <x:v>https://www.ipcc.ch/report/ar6/wg3/chapter/chapter-7/; https://openknowledge.fao.org/server/api/core/bitstreams/b21f2087-f398-4718-8461-b92afc82e617/content</x:v>
      </x:c>
      <x:c r="Z199" s="2" t="str">
        <x:v>Technology-specific analytical synthesis. The CTCN hierarchy is retained; classifications and component dependencies require validation against the selected design, site and supplier documentation before investment or policy use.</x:v>
      </x:c>
      <x:c r="AA199" s="2" t="str">
        <x:v>Physical deployment of Temperature regulation for livestock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9" s="2" t="str">
        <x:v>For Temperature regulation for livestock,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9" s="2" t="str">
        <x:v>Construction and operation use seed or planting stock, organic matter, fertilisers, soil amendments, water, fencing or structural materials, veterinary inputs and monitoring consumables. For Temperature regulation for livestock, specifications must include durability, compatibility, recycled content and recoverability.</x:v>
      </x:c>
      <x:c r="AD199" s="2" t="str">
        <x:v>Maintenance of Temperature regulation for livestock depends on seed, inoculants, filters, drip lines, nozzles, tool parts, sampling containers, sensor batteries, veterinary supplies and protective equipment; critical spares are selected from failure-mode, lead-time and safety analysis for its installed configuration.</x:v>
      </x:c>
      <x:c r="AE199" s="2" t="str">
        <x:v>The software stack for Temperature regulation for livestock requires databases, secure communications, version-controlled models, computing, backup and interfaces with field or operational systems.</x:v>
      </x:c>
      <x:c r="AF199" s="2" t="str">
        <x:v>For Temperature regulation for livestock, software-related energy is electricity for sensing, computing, storage, communication and cooling; it is normally secondary but must be included for data-intensive or continuous services.</x:v>
      </x:c>
      <x:c r="AG199" s="2" t="str">
        <x:v>The non-physical inputs are calibrated data, metadata, algorithms, boundary conditions, emission or hazard factors, manuals and validation records specific to Temperature regulation for livestock.</x:v>
      </x:c>
      <x:c r="AH199" s="2" t="str">
        <x:v>Software continuity for Temperature regulation for livestock requires licences where applicable, updates, cybersecurity patches, backups, calibration files, model validation and technical support.</x:v>
      </x:c>
      <x:c r="AI199" s="2" t="str">
        <x:v>Orgware depends on the institutions, laboratories, training providers, regulators, operators and community interfaces needed to govern Temperature regulation for livestock.</x:v>
      </x:c>
      <x:c r="AJ199" s="2" t="str">
        <x:v>The orgware supporting Temperature regulation for livestock has mainly indirect energy use from offices, meetings, training and information systems; travel and field supervision may be material at dispersed sites.</x:v>
      </x:c>
      <x:c r="AK199" s="2" t="str">
        <x:v>Its organisational inputs are permits, budgets, trained staff, competence records, contracts, procedures, safeguards, monitoring evidence and stakeholder agreements tailored to Temperature regulation for livestock.</x:v>
      </x:c>
      <x:c r="AL199" s="2" t="str">
        <x:v>Sustained implementation of Temperature regulation for livestock requires procurement and service contracts, audit protocols, training material, reporting templates, insurance or guarantees and periodic independent review.</x:v>
      </x:c>
      <x:c r="AM199" s="2" t="str">
        <x:v>No critical or strategic raw material is identifiable at taxonomy level; site-specific bulk materials may still be required.</x:v>
      </x:c>
      <x:c r="AN199" s="2" t="str"/>
      <x:c r="AO199" s="2" t="str"/>
      <x:c r="AP199" s="2" t="str">
        <x:v>Temperature regulation for livestock: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9" s="2" t="str">
        <x:v>2024–2025</x:v>
      </x:c>
      <x:c r="AR199" s="2" t="str">
        <x:v>https://pubs.usgs.gov/periodicals/mcs2026/mcs2026.pdf</x:v>
      </x:c>
    </x:row>
    <x:row r="200" ht="240" customHeight="1">
      <x:c r="A200" s="2" t="str">
        <x:v>MIT-0193</x:v>
      </x:c>
      <x:c r="B200" s="2" t="str">
        <x:v>Mitigation</x:v>
      </x:c>
      <x:c r="C200" s="2" t="str">
        <x:v>Agriculture</x:v>
      </x:c>
      <x:c r="D200" s="2" t="str">
        <x:v>Livestock management</x:v>
      </x:c>
      <x:c r="E200" s="2" t="str">
        <x:v>Enteric fermentation</x:v>
      </x:c>
      <x:c r="F200" s="2" t="str">
        <x:v>Enteric fermentation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0" s="2" t="str">
        <x:v>Flexible</x:v>
      </x:c>
      <x:c r="H200" s="2" t="str">
        <x:v>Enteric fermentation is transferable through configurable methods, rules and operating parameters. Its principle remains the same, but resource quality, climate, scale, interfaces and safety constraints must be recalculated for each deployment.</x:v>
      </x:c>
      <x:c r="I200" s="2" t="str">
        <x:v>Primarily soft, with physical support</x:v>
      </x:c>
      <x:c r="J200" s="2" t="str">
        <x:v>Enteric fermentation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0" s="2" t="str">
        <x:v>Operation</x:v>
      </x:c>
      <x:c r="L200" s="2" t="str">
        <x:v>Enteric fermentation is embodied mainly as an operating practice. The deliverable is accepted only when measurable service, quality, safety and climate-performance criteria are met under real conditions.</x:v>
      </x:c>
      <x:c r="M200" s="2" t="str">
        <x:v>Yes, subject to life-cycle safeguards</x:v>
      </x:c>
      <x:c r="N200" s="2" t="str">
        <x:v>Enteric fermentation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0" s="2" t="str">
        <x:v>Enteric fermentation: field or forest implements, planting and irrigation equipment, storage or livestock facilities, sampling tools, sensors and protective structures as required.</x:v>
      </x:c>
      <x:c r="P200" s="2" t="str">
        <x:v>Enteric fermentation: soil–crop–livestock knowledge, nutrient and water budgets, emission factors, carbon accounting, climate services, monitoring protocols and adaptive management.</x:v>
      </x:c>
      <x:c r="Q200" s="2" t="str">
        <x:v>Enteric fermentation: land tenure, extension, producer organisations, veterinary or phytosanitary services, incentives, safeguards, certification and monitoring arrangements.</x:v>
      </x:c>
      <x:c r="R200" s="2" t="str">
        <x:v>Enteric fermentation: nurseries or seed banks, field access, water and storage systems, laboratories, extension centres, monitoring plots and processing or market facilities.</x:v>
      </x:c>
      <x:c r="S200" s="2" t="str">
        <x:v>Enteric fermentation: human and mechanical work, electricity or fuel for machinery, pumping, cooling and processing; biological energy and solar radiation dominate field processes.</x:v>
      </x:c>
      <x:c r="T200" s="2" t="str">
        <x:v>Enteric fermentation: seed or planting stock, organic matter, fertilisers, soil amendments, water, fencing or structural materials, veterinary inputs and monitoring consumables.</x:v>
      </x:c>
      <x:c r="U200" s="2" t="str">
        <x:v>Enteric fermentation: seed, inoculants, filters, drip lines, nozzles, tool parts, sampling containers, sensor batteries, veterinary supplies and protective equipment.</x:v>
      </x:c>
      <x:c r="V200" s="2" t="str">
        <x:v>https://www.ctc-n.org/sites/default/files/resources/ctcn_taxonomy_0.pdf</x:v>
      </x:c>
      <x:c r="W200" s="2" t="str">
        <x:v>https://institutoagricoladepueblobello.edu.co/colegiapp/archivostemas/GUIA%209.%5B25%5D.pdf</x:v>
      </x:c>
      <x:c r="X200" s="2" t="str">
        <x:v>https://iiasa.ac.at/what-is-technology</x:v>
      </x:c>
      <x:c r="Y200" s="2" t="str">
        <x:v>https://www.ipcc.ch/report/ar6/wg3/chapter/chapter-7/; https://openknowledge.fao.org/server/api/core/bitstreams/b21f2087-f398-4718-8461-b92afc82e617/content</x:v>
      </x:c>
      <x:c r="Z200" s="2" t="str">
        <x:v>Technology-specific analytical synthesis. The CTCN hierarchy is retained; classifications and component dependencies require validation against the selected design, site and supplier documentation before investment or policy use.</x:v>
      </x:c>
      <x:c r="AA200" s="2" t="str">
        <x:v>Physical deployment of Enteric fermentation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0" s="2" t="str">
        <x:v>For Enteric fermentation,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0" s="2" t="str">
        <x:v>Construction and operation use seed or planting stock, organic matter, fertilisers, soil amendments, water, fencing or structural materials, veterinary inputs and monitoring consumables. For Enteric fermentation, specifications must include durability, compatibility, recycled content and recoverability.</x:v>
      </x:c>
      <x:c r="AD200" s="2" t="str">
        <x:v>Maintenance of Enteric fermentation depends on seed, inoculants, filters, drip lines, nozzles, tool parts, sampling containers, sensor batteries, veterinary supplies and protective equipment; critical spares are selected from failure-mode, lead-time and safety analysis for its installed configuration.</x:v>
      </x:c>
      <x:c r="AE200" s="2" t="str">
        <x:v>The software stack for Enteric fermentation requires databases, secure communications, version-controlled models, computing, backup and interfaces with field or operational systems.</x:v>
      </x:c>
      <x:c r="AF200" s="2" t="str">
        <x:v>For Enteric fermentation, software-related energy is electricity for sensing, computing, storage, communication and cooling; it is normally secondary but must be included for data-intensive or continuous services.</x:v>
      </x:c>
      <x:c r="AG200" s="2" t="str">
        <x:v>The non-physical inputs are calibrated data, metadata, algorithms, boundary conditions, emission or hazard factors, manuals and validation records specific to Enteric fermentation.</x:v>
      </x:c>
      <x:c r="AH200" s="2" t="str">
        <x:v>Software continuity for Enteric fermentation requires licences where applicable, updates, cybersecurity patches, backups, calibration files, model validation and technical support.</x:v>
      </x:c>
      <x:c r="AI200" s="2" t="str">
        <x:v>Orgware depends on the institutions, laboratories, training providers, regulators, operators and community interfaces needed to govern Enteric fermentation.</x:v>
      </x:c>
      <x:c r="AJ200" s="2" t="str">
        <x:v>The orgware supporting Enteric fermentation has mainly indirect energy use from offices, meetings, training and information systems; travel and field supervision may be material at dispersed sites.</x:v>
      </x:c>
      <x:c r="AK200" s="2" t="str">
        <x:v>Its organisational inputs are permits, budgets, trained staff, competence records, contracts, procedures, safeguards, monitoring evidence and stakeholder agreements tailored to Enteric fermentation.</x:v>
      </x:c>
      <x:c r="AL200" s="2" t="str">
        <x:v>Sustained implementation of Enteric fermentation requires procurement and service contracts, audit protocols, training material, reporting templates, insurance or guarantees and periodic independent review.</x:v>
      </x:c>
      <x:c r="AM200" s="2" t="str">
        <x:v>No critical or strategic raw material is identifiable at taxonomy level; site-specific bulk materials may still be required.</x:v>
      </x:c>
      <x:c r="AN200" s="2" t="str"/>
      <x:c r="AO200" s="2" t="str"/>
      <x:c r="AP200" s="2" t="str">
        <x:v>Enteric fermentation: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0" s="2" t="str">
        <x:v>2024–2025</x:v>
      </x:c>
      <x:c r="AR200" s="2" t="str">
        <x:v>https://pubs.usgs.gov/periodicals/mcs2026/mcs2026.pdf</x:v>
      </x:c>
    </x:row>
    <x:row r="201" ht="240" customHeight="1">
      <x:c r="A201" s="2" t="str">
        <x:v>MIT-0194</x:v>
      </x:c>
      <x:c r="B201" s="2" t="str">
        <x:v>Mitigation</x:v>
      </x:c>
      <x:c r="C201" s="2" t="str">
        <x:v>Agriculture</x:v>
      </x:c>
      <x:c r="D201" s="2" t="str">
        <x:v>Livestock management</x:v>
      </x:c>
      <x:c r="E201" s="2" t="str">
        <x:v>Livestock disease management</x:v>
      </x:c>
      <x:c r="F201" s="2" t="str">
        <x:v>Livestock disease management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Livestock disease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1" s="2" t="str">
        <x:v>Flexible</x:v>
      </x:c>
      <x:c r="H201" s="2" t="str">
        <x:v>Livestock disease management is transferable through configurable methods, rules and operating parameters. Its principle remains the same, but resource quality, climate, scale, interfaces and safety constraints must be recalculated for each deployment.</x:v>
      </x:c>
      <x:c r="I201" s="2" t="str">
        <x:v>Primarily soft, with physical support</x:v>
      </x:c>
      <x:c r="J201" s="2" t="str">
        <x:v>Livestock disease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1" s="2" t="str">
        <x:v>Operation</x:v>
      </x:c>
      <x:c r="L201" s="2" t="str">
        <x:v>Livestock disease management is embodied mainly as an operating practice. The deliverable is accepted only when measurable service, quality, safety and climate-performance criteria are met under real conditions.</x:v>
      </x:c>
      <x:c r="M201" s="2" t="str">
        <x:v>Yes, subject to life-cycle safeguards</x:v>
      </x:c>
      <x:c r="N201" s="2" t="str">
        <x:v>Livestock disease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1" s="2" t="str">
        <x:v>Livestock disease management: field or forest implements, planting and irrigation equipment, storage or livestock facilities, sampling tools, sensors and protective structures as required.</x:v>
      </x:c>
      <x:c r="P201" s="2" t="str">
        <x:v>Livestock disease management: soil–crop–livestock knowledge, nutrient and water budgets, emission factors, carbon accounting, climate services, monitoring protocols and adaptive management.</x:v>
      </x:c>
      <x:c r="Q201" s="2" t="str">
        <x:v>Livestock disease management: land tenure, extension, producer organisations, veterinary or phytosanitary services, incentives, safeguards, certification and monitoring arrangements.</x:v>
      </x:c>
      <x:c r="R201" s="2" t="str">
        <x:v>Livestock disease management: nurseries or seed banks, field access, water and storage systems, laboratories, extension centres, monitoring plots and processing or market facilities.</x:v>
      </x:c>
      <x:c r="S201" s="2" t="str">
        <x:v>Livestock disease management: human and mechanical work, electricity or fuel for machinery, pumping, cooling and processing; biological energy and solar radiation dominate field processes.</x:v>
      </x:c>
      <x:c r="T201" s="2" t="str">
        <x:v>Livestock disease management: seed or planting stock, organic matter, fertilisers, soil amendments, water, fencing or structural materials, veterinary inputs and monitoring consumables.</x:v>
      </x:c>
      <x:c r="U201" s="2" t="str">
        <x:v>Livestock disease management: seed, inoculants, filters, drip lines, nozzles, tool parts, sampling containers, sensor batteries, veterinary supplies and protective equipment.</x:v>
      </x:c>
      <x:c r="V201" s="2" t="str">
        <x:v>https://www.ctc-n.org/sites/default/files/resources/ctcn_taxonomy_0.pdf</x:v>
      </x:c>
      <x:c r="W201" s="2" t="str">
        <x:v>https://institutoagricoladepueblobello.edu.co/colegiapp/archivostemas/GUIA%209.%5B25%5D.pdf</x:v>
      </x:c>
      <x:c r="X201" s="2" t="str">
        <x:v>https://iiasa.ac.at/what-is-technology</x:v>
      </x:c>
      <x:c r="Y201" s="2" t="str">
        <x:v>https://www.ipcc.ch/report/ar6/wg3/chapter/chapter-7/; https://openknowledge.fao.org/server/api/core/bitstreams/b21f2087-f398-4718-8461-b92afc82e617/content</x:v>
      </x:c>
      <x:c r="Z201" s="2" t="str">
        <x:v>Technology-specific analytical synthesis. The CTCN hierarchy is retained; classifications and component dependencies require validation against the selected design, site and supplier documentation before investment or policy use.</x:v>
      </x:c>
      <x:c r="AA201" s="2" t="str">
        <x:v>Physical deployment of Livestock disease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1" s="2" t="str">
        <x:v>For Livestock disease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1" s="2" t="str">
        <x:v>Construction and operation use seed or planting stock, organic matter, fertilisers, soil amendments, water, fencing or structural materials, veterinary inputs and monitoring consumables. For Livestock disease management, specifications must include durability, compatibility, recycled content and recoverability.</x:v>
      </x:c>
      <x:c r="AD201" s="2" t="str">
        <x:v>Maintenance of Livestock disease management depends on seed, inoculants, filters, drip lines, nozzles, tool parts, sampling containers, sensor batteries, veterinary supplies and protective equipment; critical spares are selected from failure-mode, lead-time and safety analysis for its installed configuration.</x:v>
      </x:c>
      <x:c r="AE201" s="2" t="str">
        <x:v>The software stack for Livestock disease management requires databases, secure communications, version-controlled models, computing, backup and interfaces with field or operational systems.</x:v>
      </x:c>
      <x:c r="AF201" s="2" t="str">
        <x:v>For Livestock disease management, software-related energy is electricity for sensing, computing, storage, communication and cooling; it is normally secondary but must be included for data-intensive or continuous services.</x:v>
      </x:c>
      <x:c r="AG201" s="2" t="str">
        <x:v>The non-physical inputs are calibrated data, metadata, algorithms, boundary conditions, emission or hazard factors, manuals and validation records specific to Livestock disease management.</x:v>
      </x:c>
      <x:c r="AH201" s="2" t="str">
        <x:v>Software continuity for Livestock disease management requires licences where applicable, updates, cybersecurity patches, backups, calibration files, model validation and technical support.</x:v>
      </x:c>
      <x:c r="AI201" s="2" t="str">
        <x:v>Orgware depends on the institutions, laboratories, training providers, regulators, operators and community interfaces needed to govern Livestock disease management.</x:v>
      </x:c>
      <x:c r="AJ201" s="2" t="str">
        <x:v>The orgware supporting Livestock disease management has mainly indirect energy use from offices, meetings, training and information systems; travel and field supervision may be material at dispersed sites.</x:v>
      </x:c>
      <x:c r="AK201" s="2" t="str">
        <x:v>Its organisational inputs are permits, budgets, trained staff, competence records, contracts, procedures, safeguards, monitoring evidence and stakeholder agreements tailored to Livestock disease management.</x:v>
      </x:c>
      <x:c r="AL201" s="2" t="str">
        <x:v>Sustained implementation of Livestock disease management requires procurement and service contracts, audit protocols, training material, reporting templates, insurance or guarantees and periodic independent review.</x:v>
      </x:c>
      <x:c r="AM201" s="2" t="str">
        <x:v>No critical or strategic raw material is identifiable at taxonomy level; site-specific bulk materials may still be required.</x:v>
      </x:c>
      <x:c r="AN201" s="2" t="str"/>
      <x:c r="AO201" s="2" t="str"/>
      <x:c r="AP201" s="2" t="str">
        <x:v>Livestock disease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1" s="2" t="str">
        <x:v>2024–2025</x:v>
      </x:c>
      <x:c r="AR201" s="2" t="str">
        <x:v>https://pubs.usgs.gov/periodicals/mcs2026/mcs2026.pdf</x:v>
      </x:c>
    </x:row>
    <x:row r="202" ht="240" customHeight="1">
      <x:c r="A202" s="2" t="str">
        <x:v>MIT-0195</x:v>
      </x:c>
      <x:c r="B202" s="2" t="str">
        <x:v>Mitigation</x:v>
      </x:c>
      <x:c r="C202" s="2" t="str">
        <x:v>Agriculture</x:v>
      </x:c>
      <x:c r="D202" s="2" t="str">
        <x:v>Livestock management</x:v>
      </x:c>
      <x:c r="E202" s="2" t="str">
        <x:v>Grazing land management</x:v>
      </x:c>
      <x:c r="F202" s="2" t="str">
        <x:v>Grazing land management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Grazing 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2" s="2" t="str">
        <x:v>Flexible</x:v>
      </x:c>
      <x:c r="H202" s="2" t="str">
        <x:v>Grazing land management is transferable through configurable methods, rules and operating parameters. Its principle remains the same, but resource quality, climate, scale, interfaces and safety constraints must be recalculated for each deployment.</x:v>
      </x:c>
      <x:c r="I202" s="2" t="str">
        <x:v>Primarily soft, with physical support</x:v>
      </x:c>
      <x:c r="J202" s="2" t="str">
        <x:v>Grazing 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2" s="2" t="str">
        <x:v>Operation</x:v>
      </x:c>
      <x:c r="L202" s="2" t="str">
        <x:v>Grazing land management is embodied mainly as an operating practice. The deliverable is accepted only when measurable service, quality, safety and climate-performance criteria are met under real conditions.</x:v>
      </x:c>
      <x:c r="M202" s="2" t="str">
        <x:v>Yes, subject to life-cycle safeguards</x:v>
      </x:c>
      <x:c r="N202" s="2" t="str">
        <x:v>Grazing 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2" s="2" t="str">
        <x:v>Grazing land management: field or forest implements, planting and irrigation equipment, storage or livestock facilities, sampling tools, sensors and protective structures as required.</x:v>
      </x:c>
      <x:c r="P202" s="2" t="str">
        <x:v>Grazing land management: soil–crop–livestock knowledge, nutrient and water budgets, emission factors, carbon accounting, climate services, monitoring protocols and adaptive management.</x:v>
      </x:c>
      <x:c r="Q202" s="2" t="str">
        <x:v>Grazing land management: land tenure, extension, producer organisations, veterinary or phytosanitary services, incentives, safeguards, certification and monitoring arrangements.</x:v>
      </x:c>
      <x:c r="R202" s="2" t="str">
        <x:v>Grazing land management: nurseries or seed banks, field access, water and storage systems, laboratories, extension centres, monitoring plots and processing or market facilities.</x:v>
      </x:c>
      <x:c r="S202" s="2" t="str">
        <x:v>Grazing land management: human and mechanical work, electricity or fuel for machinery, pumping, cooling and processing; biological energy and solar radiation dominate field processes.</x:v>
      </x:c>
      <x:c r="T202" s="2" t="str">
        <x:v>Grazing land management: seed or planting stock, organic matter, fertilisers, soil amendments, water, fencing or structural materials, veterinary inputs and monitoring consumables.</x:v>
      </x:c>
      <x:c r="U202" s="2" t="str">
        <x:v>Grazing land management: seed, inoculants, filters, drip lines, nozzles, tool parts, sampling containers, sensor batteries, veterinary supplies and protective equipment.</x:v>
      </x:c>
      <x:c r="V202" s="2" t="str">
        <x:v>https://www.ctc-n.org/sites/default/files/resources/ctcn_taxonomy_0.pdf</x:v>
      </x:c>
      <x:c r="W202" s="2" t="str">
        <x:v>https://institutoagricoladepueblobello.edu.co/colegiapp/archivostemas/GUIA%209.%5B25%5D.pdf</x:v>
      </x:c>
      <x:c r="X202" s="2" t="str">
        <x:v>https://iiasa.ac.at/what-is-technology</x:v>
      </x:c>
      <x:c r="Y202" s="2" t="str">
        <x:v>https://www.ipcc.ch/report/ar6/wg3/chapter/chapter-7/; https://openknowledge.fao.org/server/api/core/bitstreams/b21f2087-f398-4718-8461-b92afc82e617/content</x:v>
      </x:c>
      <x:c r="Z202" s="2" t="str">
        <x:v>Technology-specific analytical synthesis. The CTCN hierarchy is retained; classifications and component dependencies require validation against the selected design, site and supplier documentation before investment or policy use.</x:v>
      </x:c>
      <x:c r="AA202" s="2" t="str">
        <x:v>Physical deployment of Grazing 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2" s="2" t="str">
        <x:v>For Grazing 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2" s="2" t="str">
        <x:v>Construction and operation use seed or planting stock, organic matter, fertilisers, soil amendments, water, fencing or structural materials, veterinary inputs and monitoring consumables. For Grazing land management, specifications must include durability, compatibility, recycled content and recoverability.</x:v>
      </x:c>
      <x:c r="AD202" s="2" t="str">
        <x:v>Maintenance of Grazing 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202" s="2" t="str">
        <x:v>The software stack for Grazing land management requires databases, secure communications, version-controlled models, computing, backup and interfaces with field or operational systems.</x:v>
      </x:c>
      <x:c r="AF202" s="2" t="str">
        <x:v>For Grazing land management, software-related energy is electricity for sensing, computing, storage, communication and cooling; it is normally secondary but must be included for data-intensive or continuous services.</x:v>
      </x:c>
      <x:c r="AG202" s="2" t="str">
        <x:v>The non-physical inputs are calibrated data, metadata, algorithms, boundary conditions, emission or hazard factors, manuals and validation records specific to Grazing land management.</x:v>
      </x:c>
      <x:c r="AH202" s="2" t="str">
        <x:v>Software continuity for Grazing land management requires licences where applicable, updates, cybersecurity patches, backups, calibration files, model validation and technical support.</x:v>
      </x:c>
      <x:c r="AI202" s="2" t="str">
        <x:v>Orgware depends on the institutions, laboratories, training providers, regulators, operators and community interfaces needed to govern Grazing land management.</x:v>
      </x:c>
      <x:c r="AJ202" s="2" t="str">
        <x:v>The orgware supporting Grazing land management has mainly indirect energy use from offices, meetings, training and information systems; travel and field supervision may be material at dispersed sites.</x:v>
      </x:c>
      <x:c r="AK202" s="2" t="str">
        <x:v>Its organisational inputs are permits, budgets, trained staff, competence records, contracts, procedures, safeguards, monitoring evidence and stakeholder agreements tailored to Grazing land management.</x:v>
      </x:c>
      <x:c r="AL202" s="2" t="str">
        <x:v>Sustained implementation of Grazing land management requires procurement and service contracts, audit protocols, training material, reporting templates, insurance or guarantees and periodic independent review.</x:v>
      </x:c>
      <x:c r="AM202" s="2" t="str">
        <x:v>No critical or strategic raw material is identifiable at taxonomy level; site-specific bulk materials may still be required.</x:v>
      </x:c>
      <x:c r="AN202" s="2" t="str"/>
      <x:c r="AO202" s="2" t="str"/>
      <x:c r="AP202" s="2" t="str">
        <x:v>Grazing 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2" s="2" t="str">
        <x:v>2024–2025</x:v>
      </x:c>
      <x:c r="AR202" s="2" t="str">
        <x:v>https://pubs.usgs.gov/periodicals/mcs2026/mcs2026.pdf</x:v>
      </x:c>
    </x:row>
    <x:row r="203" ht="240" customHeight="1">
      <x:c r="A203" s="2" t="str">
        <x:v>MIT-0196</x:v>
      </x:c>
      <x:c r="B203" s="2" t="str">
        <x:v>Mitigation</x:v>
      </x:c>
      <x:c r="C203" s="2" t="str">
        <x:v>Agriculture</x:v>
      </x:c>
      <x:c r="D203" s="2" t="str">
        <x:v>Livestock management</x:v>
      </x:c>
      <x:c r="E203" s="2" t="str">
        <x:v>Fodder banks</x:v>
      </x:c>
      <x:c r="F203" s="2" t="str">
        <x:v>Fodder banks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Fodder banks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3" s="2" t="str">
        <x:v>Flexible</x:v>
      </x:c>
      <x:c r="H203" s="2" t="str">
        <x:v>Fodder banks is transferable through configurable methods, rules and operating parameters. Its principle remains the same, but resource quality, climate, scale, interfaces and safety constraints must be recalculated for each deployment.</x:v>
      </x:c>
      <x:c r="I203" s="2" t="str">
        <x:v>Primarily soft, with physical support</x:v>
      </x:c>
      <x:c r="J203" s="2" t="str">
        <x:v>Fodder banks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3" s="2" t="str">
        <x:v>Operation</x:v>
      </x:c>
      <x:c r="L203" s="2" t="str">
        <x:v>Fodder banks is embodied mainly as an operating practice. The deliverable is accepted only when measurable service, quality, safety and climate-performance criteria are met under real conditions.</x:v>
      </x:c>
      <x:c r="M203" s="2" t="str">
        <x:v>Yes, subject to life-cycle safeguards</x:v>
      </x:c>
      <x:c r="N203" s="2" t="str">
        <x:v>Fodder banks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3" s="2" t="str">
        <x:v>Fodder banks: field or forest implements, planting and irrigation equipment, storage or livestock facilities, sampling tools, sensors and protective structures as required.</x:v>
      </x:c>
      <x:c r="P203" s="2" t="str">
        <x:v>Fodder banks: soil–crop–livestock knowledge, nutrient and water budgets, emission factors, carbon accounting, climate services, monitoring protocols and adaptive management.</x:v>
      </x:c>
      <x:c r="Q203" s="2" t="str">
        <x:v>Fodder banks: land tenure, extension, producer organisations, veterinary or phytosanitary services, incentives, safeguards, certification and monitoring arrangements.</x:v>
      </x:c>
      <x:c r="R203" s="2" t="str">
        <x:v>Fodder banks: nurseries or seed banks, field access, water and storage systems, laboratories, extension centres, monitoring plots and processing or market facilities.</x:v>
      </x:c>
      <x:c r="S203" s="2" t="str">
        <x:v>Fodder banks: human and mechanical work, electricity or fuel for machinery, pumping, cooling and processing; biological energy and solar radiation dominate field processes.</x:v>
      </x:c>
      <x:c r="T203" s="2" t="str">
        <x:v>Fodder banks: seed or planting stock, organic matter, fertilisers, soil amendments, water, fencing or structural materials, veterinary inputs and monitoring consumables.</x:v>
      </x:c>
      <x:c r="U203" s="2" t="str">
        <x:v>Fodder banks: seed, inoculants, filters, drip lines, nozzles, tool parts, sampling containers, sensor batteries, veterinary supplies and protective equipment.</x:v>
      </x:c>
      <x:c r="V203" s="2" t="str">
        <x:v>https://www.ctc-n.org/sites/default/files/resources/ctcn_taxonomy_0.pdf</x:v>
      </x:c>
      <x:c r="W203" s="2" t="str">
        <x:v>https://institutoagricoladepueblobello.edu.co/colegiapp/archivostemas/GUIA%209.%5B25%5D.pdf</x:v>
      </x:c>
      <x:c r="X203" s="2" t="str">
        <x:v>https://iiasa.ac.at/what-is-technology</x:v>
      </x:c>
      <x:c r="Y203" s="2" t="str">
        <x:v>https://www.ipcc.ch/report/ar6/wg3/chapter/chapter-7/; https://openknowledge.fao.org/server/api/core/bitstreams/b21f2087-f398-4718-8461-b92afc82e617/content</x:v>
      </x:c>
      <x:c r="Z203" s="2" t="str">
        <x:v>Technology-specific analytical synthesis. The CTCN hierarchy is retained; classifications and component dependencies require validation against the selected design, site and supplier documentation before investment or policy use.</x:v>
      </x:c>
      <x:c r="AA203" s="2" t="str">
        <x:v>Physical deployment of Fodder banks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3" s="2" t="str">
        <x:v>For Fodder banks,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3" s="2" t="str">
        <x:v>Construction and operation use seed or planting stock, organic matter, fertilisers, soil amendments, water, fencing or structural materials, veterinary inputs and monitoring consumables. For Fodder banks, specifications must include durability, compatibility, recycled content and recoverability.</x:v>
      </x:c>
      <x:c r="AD203" s="2" t="str">
        <x:v>Maintenance of Fodder banks depends on seed, inoculants, filters, drip lines, nozzles, tool parts, sampling containers, sensor batteries, veterinary supplies and protective equipment; critical spares are selected from failure-mode, lead-time and safety analysis for its installed configuration.</x:v>
      </x:c>
      <x:c r="AE203" s="2" t="str">
        <x:v>The software stack for Fodder banks requires databases, secure communications, version-controlled models, computing, backup and interfaces with field or operational systems.</x:v>
      </x:c>
      <x:c r="AF203" s="2" t="str">
        <x:v>For Fodder banks, software-related energy is electricity for sensing, computing, storage, communication and cooling; it is normally secondary but must be included for data-intensive or continuous services.</x:v>
      </x:c>
      <x:c r="AG203" s="2" t="str">
        <x:v>The non-physical inputs are calibrated data, metadata, algorithms, boundary conditions, emission or hazard factors, manuals and validation records specific to Fodder banks.</x:v>
      </x:c>
      <x:c r="AH203" s="2" t="str">
        <x:v>Software continuity for Fodder banks requires licences where applicable, updates, cybersecurity patches, backups, calibration files, model validation and technical support.</x:v>
      </x:c>
      <x:c r="AI203" s="2" t="str">
        <x:v>Orgware depends on the institutions, laboratories, training providers, regulators, operators and community interfaces needed to govern Fodder banks.</x:v>
      </x:c>
      <x:c r="AJ203" s="2" t="str">
        <x:v>The orgware supporting Fodder banks has mainly indirect energy use from offices, meetings, training and information systems; travel and field supervision may be material at dispersed sites.</x:v>
      </x:c>
      <x:c r="AK203" s="2" t="str">
        <x:v>Its organisational inputs are permits, budgets, trained staff, competence records, contracts, procedures, safeguards, monitoring evidence and stakeholder agreements tailored to Fodder banks.</x:v>
      </x:c>
      <x:c r="AL203" s="2" t="str">
        <x:v>Sustained implementation of Fodder banks requires procurement and service contracts, audit protocols, training material, reporting templates, insurance or guarantees and periodic independent review.</x:v>
      </x:c>
      <x:c r="AM203" s="2" t="str">
        <x:v>Phosphate rock; Potash</x:v>
      </x:c>
      <x:c r="AN203" s="2" t="str">
        <x:v>China; Morocco; United States; Canada; Russia; Belarus</x:v>
      </x:c>
      <x:c r="AO203" s="2" t="str">
        <x:v>China; Morocco; United States; Canada; Russia; Belarus</x:v>
      </x:c>
      <x:c r="AP203" s="2" t="str">
        <x:v>Fodder banks: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3" s="2" t="str">
        <x:v>2024–2025</x:v>
      </x:c>
      <x:c r="AR203" s="2" t="str">
        <x:v>https://pubs.usgs.gov/periodicals/mcs2026/mcs2026.pdf</x:v>
      </x:c>
    </x:row>
    <x:row r="204" ht="240" customHeight="1">
      <x:c r="A204" s="2" t="str">
        <x:v>MIT-0197</x:v>
      </x:c>
      <x:c r="B204" s="2" t="str">
        <x:v>Mitigation</x:v>
      </x:c>
      <x:c r="C204" s="2" t="str">
        <x:v>Agriculture</x:v>
      </x:c>
      <x:c r="D204" s="2" t="str">
        <x:v>Livestock management</x:v>
      </x:c>
      <x:c r="E204" s="2" t="str">
        <x:v>Climate tolerant livestock</x:v>
      </x:c>
      <x:c r="F204" s="2" t="str">
        <x:v>Climate tolerant livestock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Climate tolerant livestock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4" s="2" t="str">
        <x:v>Flexible</x:v>
      </x:c>
      <x:c r="H204" s="2" t="str">
        <x:v>Climate tolerant livestock is transferable through configurable methods, rules and operating parameters. Its principle remains the same, but resource quality, climate, scale, interfaces and safety constraints must be recalculated for each deployment.</x:v>
      </x:c>
      <x:c r="I204" s="2" t="str">
        <x:v>Primarily soft, with physical support</x:v>
      </x:c>
      <x:c r="J204" s="2" t="str">
        <x:v>Climate tolerant livestock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4" s="2" t="str">
        <x:v>Operation</x:v>
      </x:c>
      <x:c r="L204" s="2" t="str">
        <x:v>Climate tolerant livestock is embodied mainly as an operating practice. The deliverable is accepted only when measurable service, quality, safety and climate-performance criteria are met under real conditions.</x:v>
      </x:c>
      <x:c r="M204" s="2" t="str">
        <x:v>Yes, subject to life-cycle safeguards</x:v>
      </x:c>
      <x:c r="N204" s="2" t="str">
        <x:v>Climate tolerant livestock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4" s="2" t="str">
        <x:v>Climate tolerant livestock: field or forest implements, planting and irrigation equipment, storage or livestock facilities, sampling tools, sensors and protective structures as required.</x:v>
      </x:c>
      <x:c r="P204" s="2" t="str">
        <x:v>Climate tolerant livestock: soil–crop–livestock knowledge, nutrient and water budgets, emission factors, carbon accounting, climate services, monitoring protocols and adaptive management.</x:v>
      </x:c>
      <x:c r="Q204" s="2" t="str">
        <x:v>Climate tolerant livestock: land tenure, extension, producer organisations, veterinary or phytosanitary services, incentives, safeguards, certification and monitoring arrangements.</x:v>
      </x:c>
      <x:c r="R204" s="2" t="str">
        <x:v>Climate tolerant livestock: nurseries or seed banks, field access, water and storage systems, laboratories, extension centres, monitoring plots and processing or market facilities.</x:v>
      </x:c>
      <x:c r="S204" s="2" t="str">
        <x:v>Climate tolerant livestock: human and mechanical work, electricity or fuel for machinery, pumping, cooling and processing; biological energy and solar radiation dominate field processes.</x:v>
      </x:c>
      <x:c r="T204" s="2" t="str">
        <x:v>Climate tolerant livestock: seed or planting stock, organic matter, fertilisers, soil amendments, water, fencing or structural materials, veterinary inputs and monitoring consumables.</x:v>
      </x:c>
      <x:c r="U204" s="2" t="str">
        <x:v>Climate tolerant livestock: seed, inoculants, filters, drip lines, nozzles, tool parts, sampling containers, sensor batteries, veterinary supplies and protective equipment.</x:v>
      </x:c>
      <x:c r="V204" s="2" t="str">
        <x:v>https://www.ctc-n.org/sites/default/files/resources/ctcn_taxonomy_0.pdf</x:v>
      </x:c>
      <x:c r="W204" s="2" t="str">
        <x:v>https://institutoagricoladepueblobello.edu.co/colegiapp/archivostemas/GUIA%209.%5B25%5D.pdf</x:v>
      </x:c>
      <x:c r="X204" s="2" t="str">
        <x:v>https://iiasa.ac.at/what-is-technology</x:v>
      </x:c>
      <x:c r="Y204" s="2" t="str">
        <x:v>https://www.ipcc.ch/report/ar6/wg3/chapter/chapter-7/; https://openknowledge.fao.org/server/api/core/bitstreams/b21f2087-f398-4718-8461-b92afc82e617/content</x:v>
      </x:c>
      <x:c r="Z204" s="2" t="str">
        <x:v>Technology-specific analytical synthesis. The CTCN hierarchy is retained; classifications and component dependencies require validation against the selected design, site and supplier documentation before investment or policy use.</x:v>
      </x:c>
      <x:c r="AA204" s="2" t="str">
        <x:v>Physical deployment of Climate tolerant livestock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4" s="2" t="str">
        <x:v>For Climate tolerant livestock,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4" s="2" t="str">
        <x:v>Construction and operation use seed or planting stock, organic matter, fertilisers, soil amendments, water, fencing or structural materials, veterinary inputs and monitoring consumables. For Climate tolerant livestock, specifications must include durability, compatibility, recycled content and recoverability.</x:v>
      </x:c>
      <x:c r="AD204" s="2" t="str">
        <x:v>Maintenance of Climate tolerant livestock depends on seed, inoculants, filters, drip lines, nozzles, tool parts, sampling containers, sensor batteries, veterinary supplies and protective equipment; critical spares are selected from failure-mode, lead-time and safety analysis for its installed configuration.</x:v>
      </x:c>
      <x:c r="AE204" s="2" t="str">
        <x:v>The software stack for Climate tolerant livestock requires databases, secure communications, version-controlled models, computing, backup and interfaces with field or operational systems.</x:v>
      </x:c>
      <x:c r="AF204" s="2" t="str">
        <x:v>For Climate tolerant livestock, software-related energy is electricity for sensing, computing, storage, communication and cooling; it is normally secondary but must be included for data-intensive or continuous services.</x:v>
      </x:c>
      <x:c r="AG204" s="2" t="str">
        <x:v>The non-physical inputs are calibrated data, metadata, algorithms, boundary conditions, emission or hazard factors, manuals and validation records specific to Climate tolerant livestock.</x:v>
      </x:c>
      <x:c r="AH204" s="2" t="str">
        <x:v>Software continuity for Climate tolerant livestock requires licences where applicable, updates, cybersecurity patches, backups, calibration files, model validation and technical support.</x:v>
      </x:c>
      <x:c r="AI204" s="2" t="str">
        <x:v>Orgware depends on the institutions, laboratories, training providers, regulators, operators and community interfaces needed to govern Climate tolerant livestock.</x:v>
      </x:c>
      <x:c r="AJ204" s="2" t="str">
        <x:v>The orgware supporting Climate tolerant livestock has mainly indirect energy use from offices, meetings, training and information systems; travel and field supervision may be material at dispersed sites.</x:v>
      </x:c>
      <x:c r="AK204" s="2" t="str">
        <x:v>Its organisational inputs are permits, budgets, trained staff, competence records, contracts, procedures, safeguards, monitoring evidence and stakeholder agreements tailored to Climate tolerant livestock.</x:v>
      </x:c>
      <x:c r="AL204" s="2" t="str">
        <x:v>Sustained implementation of Climate tolerant livestock requires procurement and service contracts, audit protocols, training material, reporting templates, insurance or guarantees and periodic independent review.</x:v>
      </x:c>
      <x:c r="AM204" s="2" t="str">
        <x:v>No critical or strategic raw material is identifiable at taxonomy level; site-specific bulk materials may still be required.</x:v>
      </x:c>
      <x:c r="AN204" s="2" t="str"/>
      <x:c r="AO204" s="2" t="str"/>
      <x:c r="AP204" s="2" t="str">
        <x:v>Climate tolerant livestock: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4" s="2" t="str">
        <x:v>2024–2025</x:v>
      </x:c>
      <x:c r="AR204" s="2" t="str">
        <x:v>https://pubs.usgs.gov/periodicals/mcs2026/mcs2026.pdf</x:v>
      </x:c>
    </x:row>
    <x:row r="205" ht="240" customHeight="1">
      <x:c r="A205" s="2" t="str">
        <x:v>MIT-0198</x:v>
      </x:c>
      <x:c r="B205" s="2" t="str">
        <x:v>Mitigation</x:v>
      </x:c>
      <x:c r="C205" s="2" t="str">
        <x:v>Agriculture</x:v>
      </x:c>
      <x:c r="D205" s="2" t="str">
        <x:v>Livestock management</x:v>
      </x:c>
      <x:c r="E205" s="2" t="str">
        <x:v>Domestic manure</x:v>
      </x:c>
      <x:c r="F205" s="2" t="str">
        <x:v>Domestic manure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5" s="2" t="str">
        <x:v>Flexible</x:v>
      </x:c>
      <x:c r="H205" s="2" t="str">
        <x:v>Domestic manure is transferable through configurable methods, rules and operating parameters. Its principle remains the same, but resource quality, climate, scale, interfaces and safety constraints must be recalculated for each deployment.</x:v>
      </x:c>
      <x:c r="I205" s="2" t="str">
        <x:v>Primarily soft, with physical support</x:v>
      </x:c>
      <x:c r="J205" s="2" t="str">
        <x:v>Domestic manure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5" s="2" t="str">
        <x:v>Operation</x:v>
      </x:c>
      <x:c r="L205" s="2" t="str">
        <x:v>Domestic manure is embodied mainly as an operating practice. The deliverable is accepted only when measurable service, quality, safety and climate-performance criteria are met under real conditions.</x:v>
      </x:c>
      <x:c r="M205" s="2" t="str">
        <x:v>Yes, subject to life-cycle safeguards</x:v>
      </x:c>
      <x:c r="N205" s="2" t="str">
        <x:v>Domestic manure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5" s="2" t="str">
        <x:v>Domestic manure: field or forest implements, planting and irrigation equipment, storage or livestock facilities, sampling tools, sensors and protective structures as required.</x:v>
      </x:c>
      <x:c r="P205" s="2" t="str">
        <x:v>Domestic manure: soil–crop–livestock knowledge, nutrient and water budgets, emission factors, carbon accounting, climate services, monitoring protocols and adaptive management.</x:v>
      </x:c>
      <x:c r="Q205" s="2" t="str">
        <x:v>Domestic manure: land tenure, extension, producer organisations, veterinary or phytosanitary services, incentives, safeguards, certification and monitoring arrangements.</x:v>
      </x:c>
      <x:c r="R205" s="2" t="str">
        <x:v>Domestic manure: nurseries or seed banks, field access, water and storage systems, laboratories, extension centres, monitoring plots and processing or market facilities.</x:v>
      </x:c>
      <x:c r="S205" s="2" t="str">
        <x:v>Domestic manure: human and mechanical work, electricity or fuel for machinery, pumping, cooling and processing; biological energy and solar radiation dominate field processes.</x:v>
      </x:c>
      <x:c r="T205" s="2" t="str">
        <x:v>Domestic manure: seed or planting stock, organic matter, fertilisers, soil amendments, water, fencing or structural materials, veterinary inputs and monitoring consumables.</x:v>
      </x:c>
      <x:c r="U205" s="2" t="str">
        <x:v>Domestic manure: seed, inoculants, filters, drip lines, nozzles, tool parts, sampling containers, sensor batteries, veterinary supplies and protective equipment.</x:v>
      </x:c>
      <x:c r="V205" s="2" t="str">
        <x:v>https://www.ctc-n.org/sites/default/files/resources/ctcn_taxonomy_0.pdf</x:v>
      </x:c>
      <x:c r="W205" s="2" t="str">
        <x:v>https://institutoagricoladepueblobello.edu.co/colegiapp/archivostemas/GUIA%209.%5B25%5D.pdf</x:v>
      </x:c>
      <x:c r="X205" s="2" t="str">
        <x:v>https://iiasa.ac.at/what-is-technology</x:v>
      </x:c>
      <x:c r="Y205" s="2" t="str">
        <x:v>https://www.ipcc.ch/report/ar6/wg3/chapter/chapter-7/; https://openknowledge.fao.org/server/api/core/bitstreams/b21f2087-f398-4718-8461-b92afc82e617/content</x:v>
      </x:c>
      <x:c r="Z205" s="2" t="str">
        <x:v>Technology-specific analytical synthesis. The CTCN hierarchy is retained; classifications and component dependencies require validation against the selected design, site and supplier documentation before investment or policy use.</x:v>
      </x:c>
      <x:c r="AA205" s="2" t="str">
        <x:v>Physical deployment of Domestic manure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5" s="2" t="str">
        <x:v>For Domestic manure,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5" s="2" t="str">
        <x:v>Construction and operation use seed or planting stock, organic matter, fertilisers, soil amendments, water, fencing or structural materials, veterinary inputs and monitoring consumables. For Domestic manure, specifications must include durability, compatibility, recycled content and recoverability.</x:v>
      </x:c>
      <x:c r="AD205" s="2" t="str">
        <x:v>Maintenance of Domestic manure depends on seed, inoculants, filters, drip lines, nozzles, tool parts, sampling containers, sensor batteries, veterinary supplies and protective equipment; critical spares are selected from failure-mode, lead-time and safety analysis for its installed configuration.</x:v>
      </x:c>
      <x:c r="AE205" s="2" t="str">
        <x:v>The software stack for Domestic manure requires databases, secure communications, version-controlled models, computing, backup and interfaces with field or operational systems.</x:v>
      </x:c>
      <x:c r="AF205" s="2" t="str">
        <x:v>For Domestic manure, software-related energy is electricity for sensing, computing, storage, communication and cooling; it is normally secondary but must be included for data-intensive or continuous services.</x:v>
      </x:c>
      <x:c r="AG205" s="2" t="str">
        <x:v>The non-physical inputs are calibrated data, metadata, algorithms, boundary conditions, emission or hazard factors, manuals and validation records specific to Domestic manure.</x:v>
      </x:c>
      <x:c r="AH205" s="2" t="str">
        <x:v>Software continuity for Domestic manure requires licences where applicable, updates, cybersecurity patches, backups, calibration files, model validation and technical support.</x:v>
      </x:c>
      <x:c r="AI205" s="2" t="str">
        <x:v>Orgware depends on the institutions, laboratories, training providers, regulators, operators and community interfaces needed to govern Domestic manure.</x:v>
      </x:c>
      <x:c r="AJ205" s="2" t="str">
        <x:v>The orgware supporting Domestic manure has mainly indirect energy use from offices, meetings, training and information systems; travel and field supervision may be material at dispersed sites.</x:v>
      </x:c>
      <x:c r="AK205" s="2" t="str">
        <x:v>Its organisational inputs are permits, budgets, trained staff, competence records, contracts, procedures, safeguards, monitoring evidence and stakeholder agreements tailored to Domestic manure.</x:v>
      </x:c>
      <x:c r="AL205" s="2" t="str">
        <x:v>Sustained implementation of Domestic manure requires procurement and service contracts, audit protocols, training material, reporting templates, insurance or guarantees and periodic independent review.</x:v>
      </x:c>
      <x:c r="AM205" s="2" t="str">
        <x:v>No critical or strategic raw material is identifiable at taxonomy level; site-specific bulk materials may still be required.</x:v>
      </x:c>
      <x:c r="AN205" s="2" t="str"/>
      <x:c r="AO205" s="2" t="str"/>
      <x:c r="AP205" s="2" t="str">
        <x:v>Domestic manure: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5" s="2" t="str">
        <x:v>2024–2025</x:v>
      </x:c>
      <x:c r="AR205" s="2" t="str">
        <x:v>https://pubs.usgs.gov/periodicals/mcs2026/mcs2026.pdf</x:v>
      </x:c>
    </x:row>
    <x:row r="206" ht="240" customHeight="1">
      <x:c r="A206" s="2" t="str">
        <x:v>MIT-0199</x:v>
      </x:c>
      <x:c r="B206" s="2" t="str">
        <x:v>Mitigation</x:v>
      </x:c>
      <x:c r="C206" s="2" t="str">
        <x:v>Agriculture</x:v>
      </x:c>
      <x:c r="D206" s="2" t="str">
        <x:v>Livestock management</x:v>
      </x:c>
      <x:c r="E206" s="2" t="str">
        <x:v>Pasture management</x:v>
      </x:c>
      <x:c r="F206" s="2" t="str">
        <x:v>Pasture management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Pasture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6" s="2" t="str">
        <x:v>Flexible</x:v>
      </x:c>
      <x:c r="H206" s="2" t="str">
        <x:v>Pasture management is transferable through configurable methods, rules and operating parameters. Its principle remains the same, but resource quality, climate, scale, interfaces and safety constraints must be recalculated for each deployment.</x:v>
      </x:c>
      <x:c r="I206" s="2" t="str">
        <x:v>Primarily soft, with physical support</x:v>
      </x:c>
      <x:c r="J206" s="2" t="str">
        <x:v>Pasture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6" s="2" t="str">
        <x:v>Operation</x:v>
      </x:c>
      <x:c r="L206" s="2" t="str">
        <x:v>Pasture management is embodied mainly as an operating practice. The deliverable is accepted only when measurable service, quality, safety and climate-performance criteria are met under real conditions.</x:v>
      </x:c>
      <x:c r="M206" s="2" t="str">
        <x:v>Yes, subject to life-cycle safeguards</x:v>
      </x:c>
      <x:c r="N206" s="2" t="str">
        <x:v>Pasture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6" s="2" t="str">
        <x:v>Pasture management: field or forest implements, planting and irrigation equipment, storage or livestock facilities, sampling tools, sensors and protective structures as required.</x:v>
      </x:c>
      <x:c r="P206" s="2" t="str">
        <x:v>Pasture management: soil–crop–livestock knowledge, nutrient and water budgets, emission factors, carbon accounting, climate services, monitoring protocols and adaptive management.</x:v>
      </x:c>
      <x:c r="Q206" s="2" t="str">
        <x:v>Pasture management: land tenure, extension, producer organisations, veterinary or phytosanitary services, incentives, safeguards, certification and monitoring arrangements.</x:v>
      </x:c>
      <x:c r="R206" s="2" t="str">
        <x:v>Pasture management: nurseries or seed banks, field access, water and storage systems, laboratories, extension centres, monitoring plots and processing or market facilities.</x:v>
      </x:c>
      <x:c r="S206" s="2" t="str">
        <x:v>Pasture management: human and mechanical work, electricity or fuel for machinery, pumping, cooling and processing; biological energy and solar radiation dominate field processes.</x:v>
      </x:c>
      <x:c r="T206" s="2" t="str">
        <x:v>Pasture management: seed or planting stock, organic matter, fertilisers, soil amendments, water, fencing or structural materials, veterinary inputs and monitoring consumables.</x:v>
      </x:c>
      <x:c r="U206" s="2" t="str">
        <x:v>Pasture management: seed, inoculants, filters, drip lines, nozzles, tool parts, sampling containers, sensor batteries, veterinary supplies and protective equipment.</x:v>
      </x:c>
      <x:c r="V206" s="2" t="str">
        <x:v>https://www.ctc-n.org/sites/default/files/resources/ctcn_taxonomy_0.pdf</x:v>
      </x:c>
      <x:c r="W206" s="2" t="str">
        <x:v>https://institutoagricoladepueblobello.edu.co/colegiapp/archivostemas/GUIA%209.%5B25%5D.pdf</x:v>
      </x:c>
      <x:c r="X206" s="2" t="str">
        <x:v>https://iiasa.ac.at/what-is-technology</x:v>
      </x:c>
      <x:c r="Y206" s="2" t="str">
        <x:v>https://www.ipcc.ch/report/ar6/wg3/chapter/chapter-7/; https://openknowledge.fao.org/server/api/core/bitstreams/b21f2087-f398-4718-8461-b92afc82e617/content</x:v>
      </x:c>
      <x:c r="Z206" s="2" t="str">
        <x:v>Technology-specific analytical synthesis. The CTCN hierarchy is retained; classifications and component dependencies require validation against the selected design, site and supplier documentation before investment or policy use.</x:v>
      </x:c>
      <x:c r="AA206" s="2" t="str">
        <x:v>Physical deployment of Pasture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6" s="2" t="str">
        <x:v>For Pasture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6" s="2" t="str">
        <x:v>Construction and operation use seed or planting stock, organic matter, fertilisers, soil amendments, water, fencing or structural materials, veterinary inputs and monitoring consumables. For Pasture management, specifications must include durability, compatibility, recycled content and recoverability.</x:v>
      </x:c>
      <x:c r="AD206" s="2" t="str">
        <x:v>Maintenance of Pasture management depends on seed, inoculants, filters, drip lines, nozzles, tool parts, sampling containers, sensor batteries, veterinary supplies and protective equipment; critical spares are selected from failure-mode, lead-time and safety analysis for its installed configuration.</x:v>
      </x:c>
      <x:c r="AE206" s="2" t="str">
        <x:v>The software stack for Pasture management requires databases, secure communications, version-controlled models, computing, backup and interfaces with field or operational systems.</x:v>
      </x:c>
      <x:c r="AF206" s="2" t="str">
        <x:v>For Pasture management, software-related energy is electricity for sensing, computing, storage, communication and cooling; it is normally secondary but must be included for data-intensive or continuous services.</x:v>
      </x:c>
      <x:c r="AG206" s="2" t="str">
        <x:v>The non-physical inputs are calibrated data, metadata, algorithms, boundary conditions, emission or hazard factors, manuals and validation records specific to Pasture management.</x:v>
      </x:c>
      <x:c r="AH206" s="2" t="str">
        <x:v>Software continuity for Pasture management requires licences where applicable, updates, cybersecurity patches, backups, calibration files, model validation and technical support.</x:v>
      </x:c>
      <x:c r="AI206" s="2" t="str">
        <x:v>Orgware depends on the institutions, laboratories, training providers, regulators, operators and community interfaces needed to govern Pasture management.</x:v>
      </x:c>
      <x:c r="AJ206" s="2" t="str">
        <x:v>The orgware supporting Pasture management has mainly indirect energy use from offices, meetings, training and information systems; travel and field supervision may be material at dispersed sites.</x:v>
      </x:c>
      <x:c r="AK206" s="2" t="str">
        <x:v>Its organisational inputs are permits, budgets, trained staff, competence records, contracts, procedures, safeguards, monitoring evidence and stakeholder agreements tailored to Pasture management.</x:v>
      </x:c>
      <x:c r="AL206" s="2" t="str">
        <x:v>Sustained implementation of Pasture management requires procurement and service contracts, audit protocols, training material, reporting templates, insurance or guarantees and periodic independent review.</x:v>
      </x:c>
      <x:c r="AM206" s="2" t="str">
        <x:v>Phosphate rock; Potash</x:v>
      </x:c>
      <x:c r="AN206" s="2" t="str">
        <x:v>China; Morocco; United States; Canada; Russia; Belarus</x:v>
      </x:c>
      <x:c r="AO206" s="2" t="str">
        <x:v>China; Morocco; United States; Canada; Russia; Belarus</x:v>
      </x:c>
      <x:c r="AP206" s="2" t="str">
        <x:v>Pasture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6" s="2" t="str">
        <x:v>2024–2025</x:v>
      </x:c>
      <x:c r="AR206" s="2" t="str">
        <x:v>https://pubs.usgs.gov/periodicals/mcs2026/mcs2026.pdf</x:v>
      </x:c>
    </x:row>
    <x:row r="207" ht="240" customHeight="1">
      <x:c r="A207" s="2" t="str">
        <x:v>MIT-0200</x:v>
      </x:c>
      <x:c r="B207" s="2" t="str">
        <x:v>Mitigation</x:v>
      </x:c>
      <x:c r="C207" s="2" t="str">
        <x:v>Agriculture</x:v>
      </x:c>
      <x:c r="D207" s="2" t="str">
        <x:v>Livestock management</x:v>
      </x:c>
      <x:c r="E207" s="2" t="str">
        <x:v>Livestock feed optimisation</x:v>
      </x:c>
      <x:c r="F207" s="2" t="str">
        <x:v>Livestock feed optimisation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7" s="2" t="str">
        <x:v>Flexible</x:v>
      </x:c>
      <x:c r="H207" s="2" t="str">
        <x:v>Livestock feed optimisation is transferable through configurable methods, rules and operating parameters. Its principle remains the same, but resource quality, climate, scale, interfaces and safety constraints must be recalculated for each deployment.</x:v>
      </x:c>
      <x:c r="I207" s="2" t="str">
        <x:v>Primarily soft, with physical support</x:v>
      </x:c>
      <x:c r="J207" s="2" t="str">
        <x:v>Livestock feed optimisation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7" s="2" t="str">
        <x:v>Operation</x:v>
      </x:c>
      <x:c r="L207" s="2" t="str">
        <x:v>Livestock feed optimisation is embodied mainly as an operating practice. The deliverable is accepted only when measurable service, quality, safety and climate-performance criteria are met under real conditions.</x:v>
      </x:c>
      <x:c r="M207" s="2" t="str">
        <x:v>Yes, subject to life-cycle safeguards</x:v>
      </x:c>
      <x:c r="N207" s="2" t="str">
        <x:v>Livestock feed optimisation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7" s="2" t="str">
        <x:v>Livestock feed optimisation: field or forest implements, planting and irrigation equipment, storage or livestock facilities, sampling tools, sensors and protective structures as required.</x:v>
      </x:c>
      <x:c r="P207" s="2" t="str">
        <x:v>Livestock feed optimisation: soil–crop–livestock knowledge, nutrient and water budgets, emission factors, carbon accounting, climate services, monitoring protocols and adaptive management.</x:v>
      </x:c>
      <x:c r="Q207" s="2" t="str">
        <x:v>Livestock feed optimisation: land tenure, extension, producer organisations, veterinary or phytosanitary services, incentives, safeguards, certification and monitoring arrangements.</x:v>
      </x:c>
      <x:c r="R207" s="2" t="str">
        <x:v>Livestock feed optimisation: nurseries or seed banks, field access, water and storage systems, laboratories, extension centres, monitoring plots and processing or market facilities.</x:v>
      </x:c>
      <x:c r="S207" s="2" t="str">
        <x:v>Livestock feed optimisation: human and mechanical work, electricity or fuel for machinery, pumping, cooling and processing; biological energy and solar radiation dominate field processes.</x:v>
      </x:c>
      <x:c r="T207" s="2" t="str">
        <x:v>Livestock feed optimisation: seed or planting stock, organic matter, fertilisers, soil amendments, water, fencing or structural materials, veterinary inputs and monitoring consumables.</x:v>
      </x:c>
      <x:c r="U207" s="2" t="str">
        <x:v>Livestock feed optimisation: seed, inoculants, filters, drip lines, nozzles, tool parts, sampling containers, sensor batteries, veterinary supplies and protective equipment.</x:v>
      </x:c>
      <x:c r="V207" s="2" t="str">
        <x:v>https://www.ctc-n.org/sites/default/files/resources/ctcn_taxonomy_0.pdf</x:v>
      </x:c>
      <x:c r="W207" s="2" t="str">
        <x:v>https://institutoagricoladepueblobello.edu.co/colegiapp/archivostemas/GUIA%209.%5B25%5D.pdf</x:v>
      </x:c>
      <x:c r="X207" s="2" t="str">
        <x:v>https://iiasa.ac.at/what-is-technology</x:v>
      </x:c>
      <x:c r="Y207" s="2" t="str">
        <x:v>https://www.ipcc.ch/report/ar6/wg3/chapter/chapter-7/; https://openknowledge.fao.org/server/api/core/bitstreams/b21f2087-f398-4718-8461-b92afc82e617/content</x:v>
      </x:c>
      <x:c r="Z207" s="2" t="str">
        <x:v>Technology-specific analytical synthesis. The CTCN hierarchy is retained; classifications and component dependencies require validation against the selected design, site and supplier documentation before investment or policy use.</x:v>
      </x:c>
      <x:c r="AA207" s="2" t="str">
        <x:v>Physical deployment of Livestock feed optimisation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7" s="2" t="str">
        <x:v>For Livestock feed optimisation,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7" s="2" t="str">
        <x:v>Construction and operation use seed or planting stock, organic matter, fertilisers, soil amendments, water, fencing or structural materials, veterinary inputs and monitoring consumables. For Livestock feed optimisation, specifications must include durability, compatibility, recycled content and recoverability.</x:v>
      </x:c>
      <x:c r="AD207" s="2" t="str">
        <x:v>Maintenance of Livestock feed optimisation depends on seed, inoculants, filters, drip lines, nozzles, tool parts, sampling containers, sensor batteries, veterinary supplies and protective equipment; critical spares are selected from failure-mode, lead-time and safety analysis for its installed configuration.</x:v>
      </x:c>
      <x:c r="AE207" s="2" t="str">
        <x:v>The software stack for Livestock feed optimisation requires databases, secure communications, version-controlled models, computing, backup and interfaces with field or operational systems.</x:v>
      </x:c>
      <x:c r="AF207" s="2" t="str">
        <x:v>For Livestock feed optimisation, software-related energy is electricity for sensing, computing, storage, communication and cooling; it is normally secondary but must be included for data-intensive or continuous services.</x:v>
      </x:c>
      <x:c r="AG207" s="2" t="str">
        <x:v>The non-physical inputs are calibrated data, metadata, algorithms, boundary conditions, emission or hazard factors, manuals and validation records specific to Livestock feed optimisation.</x:v>
      </x:c>
      <x:c r="AH207" s="2" t="str">
        <x:v>Software continuity for Livestock feed optimisation requires licences where applicable, updates, cybersecurity patches, backups, calibration files, model validation and technical support.</x:v>
      </x:c>
      <x:c r="AI207" s="2" t="str">
        <x:v>Orgware depends on the institutions, laboratories, training providers, regulators, operators and community interfaces needed to govern Livestock feed optimisation.</x:v>
      </x:c>
      <x:c r="AJ207" s="2" t="str">
        <x:v>The orgware supporting Livestock feed optimisation has mainly indirect energy use from offices, meetings, training and information systems; travel and field supervision may be material at dispersed sites.</x:v>
      </x:c>
      <x:c r="AK207" s="2" t="str">
        <x:v>Its organisational inputs are permits, budgets, trained staff, competence records, contracts, procedures, safeguards, monitoring evidence and stakeholder agreements tailored to Livestock feed optimisation.</x:v>
      </x:c>
      <x:c r="AL207" s="2" t="str">
        <x:v>Sustained implementation of Livestock feed optimisation requires procurement and service contracts, audit protocols, training material, reporting templates, insurance or guarantees and periodic independent review.</x:v>
      </x:c>
      <x:c r="AM207" s="2" t="str">
        <x:v>No critical or strategic raw material is identifiable at taxonomy level; site-specific bulk materials may still be required.</x:v>
      </x:c>
      <x:c r="AN207" s="2" t="str"/>
      <x:c r="AO207" s="2" t="str"/>
      <x:c r="AP207" s="2" t="str">
        <x:v>Livestock feed optimisation: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7" s="2" t="str">
        <x:v>2024–2025</x:v>
      </x:c>
      <x:c r="AR207" s="2" t="str">
        <x:v>https://pubs.usgs.gov/periodicals/mcs2026/mcs2026.pdf</x:v>
      </x:c>
    </x:row>
    <x:row r="208" ht="240" customHeight="1">
      <x:c r="A208" s="2" t="str">
        <x:v>MIT-0201</x:v>
      </x:c>
      <x:c r="B208" s="2" t="str">
        <x:v>Mitigation</x:v>
      </x:c>
      <x:c r="C208" s="2" t="str">
        <x:v>Agriculture</x:v>
      </x:c>
      <x:c r="D208" s="2" t="str">
        <x:v>Biomass carbon measurement and monitoring</x:v>
      </x:c>
      <x:c r="E208" s="2" t="str">
        <x:v>Biomass carbon measurement and monitoring</x:v>
      </x:c>
      <x:c r="F208" s="2" t="str">
        <x:v>Biomass carbon measurement and monitoring is a mitigation technology in the Agriculture sector and the Biomass carbon measurement and monitoring technology group. It is defined as a combined hardware–software–orgware system that controls biological or thermochemical conversion of biomass, residues, solid waste or wastewater to avoid methane, recover materials and energy, or stabilise organic matter. Biomass carbon measurement and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208" s="2" t="str">
        <x:v>Mixed: adaptable design, site-specific implementation</x:v>
      </x:c>
      <x:c r="H208" s="2" t="str">
        <x:v>Biomass carbon measurement and monitoring is adaptable in capacity and configuration but site-specific in final engineering. Its principle remains the same, but resource quality, climate, scale, interfaces and safety constraints must be recalculated for each deployment.</x:v>
      </x:c>
      <x:c r="I208" s="2" t="str">
        <x:v>Hard and soft</x:v>
      </x:c>
      <x:c r="J208" s="2" t="str">
        <x:v>Biomass carbon measurement and monitoring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208" s="2" t="str">
        <x:v>Operation and information service</x:v>
      </x:c>
      <x:c r="L208" s="2" t="str">
        <x:v>Biomass carbon measurement and monitoring is embodied mainly as an information and decision service. The deliverable is accepted only when measurable service, quality, safety and climate-performance criteria are met under real conditions.</x:v>
      </x:c>
      <x:c r="M208" s="2" t="str">
        <x:v>Yes, subject to life-cycle safeguards</x:v>
      </x:c>
      <x:c r="N208" s="2" t="str">
        <x:v>Biomass carbon measurement and monitoring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208" s="2" t="str">
        <x:v>Biomass carbon measurement and monitoring: collection and sorting equipment, reactors or digesters, aeration, gas handling, thermal conversion, pollution control and product conditioning.</x:v>
      </x:c>
      <x:c r="P208" s="2" t="str">
        <x:v>Biomass carbon measurement and monitoring: feedstock characterisation, mass balances, biological or thermal process control, methane accounting, quality assurance and logistics optimisation.</x:v>
      </x:c>
      <x:c r="Q208" s="2" t="str">
        <x:v>Biomass carbon measurement and monitoring: waste hierarchy, source separation, collection contracts, emission permits, digestate or product standards, occupational safety and informal-sector inclusion.</x:v>
      </x:c>
      <x:c r="R208" s="2" t="str">
        <x:v>Biomass carbon measurement and monitoring: collection network, transfer and treatment sites, weighbridge, drainage, electricity or heat connection, gas line and residue disposal.</x:v>
      </x:c>
      <x:c r="S208" s="2" t="str">
        <x:v>Biomass carbon measurement and monitoring: electricity, process heat or auxiliary fuel; recovered biogas, syngas, heat or electricity may offset external energy.</x:v>
      </x:c>
      <x:c r="T208" s="2" t="str">
        <x:v>Biomass carbon measurement and monitoring: steel, concrete, polymers, filters, catalysts or sorbents, biological inoculum and treatment chemicals according to the process.</x:v>
      </x:c>
      <x:c r="U208" s="2" t="str">
        <x:v>Biomass carbon measurement and monitoring: pumps, screens, blowers, mixers, seals, burners, analysers, filter media, reagents and personal protective equipment.</x:v>
      </x:c>
      <x:c r="V208" s="2" t="str">
        <x:v>https://www.ctc-n.org/sites/default/files/resources/ctcn_taxonomy_0.pdf</x:v>
      </x:c>
      <x:c r="W208" s="2" t="str">
        <x:v>https://institutoagricoladepueblobello.edu.co/colegiapp/archivostemas/GUIA%209.%5B25%5D.pdf</x:v>
      </x:c>
      <x:c r="X208" s="2" t="str">
        <x:v>https://iiasa.ac.at/what-is-technology</x:v>
      </x:c>
      <x:c r="Y208" s="2" t="str">
        <x:v>https://www.ipcc.ch/report/ar6/wg3/chapter/chapter-7/; https://www.unep.org/resources/report/global-waste-management-outlook-2024</x:v>
      </x:c>
      <x:c r="Z208" s="2" t="str">
        <x:v>Technology-specific analytical synthesis. The CTCN hierarchy is retained; classifications and component dependencies require validation against the selected design, site and supplier documentation before investment or policy use.</x:v>
      </x:c>
      <x:c r="AA208" s="2" t="str">
        <x:v>Physical deployment of Biomass carbon measurement and monitoring requires collection network, transfer and treatment sites, weighbridge, drainage, electricity or heat connection, gas line and residue disposal; interfaces, foundations, access and environmental protection are sized to the specific resource and design load.</x:v>
      </x:c>
      <x:c r="AB208" s="2" t="str">
        <x:v>For Biomass carbon measurement and monitoring, the hardware energy balance comprises electricity, process heat or auxiliary fuel; recovered biogas, syngas, heat or electricity may offset external energy; metering must separate useful output, conversion losses and auxiliaries for the selected design.</x:v>
      </x:c>
      <x:c r="AC208" s="2" t="str">
        <x:v>Construction and operation use steel, concrete, polymers, filters, catalysts or sorbents, biological inoculum and treatment chemicals according to the process. For Biomass carbon measurement and monitoring, specifications must include durability, compatibility, recycled content and recoverability.</x:v>
      </x:c>
      <x:c r="AD208" s="2" t="str">
        <x:v>Maintenance of Biomass carbon measurement and monitoring depends on pumps, screens, blowers, mixers, seals, burners, analysers, filter media, reagents and personal protective equipment; critical spares are selected from failure-mode, lead-time and safety analysis for its installed configuration.</x:v>
      </x:c>
      <x:c r="AE208" s="2" t="str">
        <x:v>The software stack for Biomass carbon measurement and monitoring requires databases, secure communications, version-controlled models, computing, backup and interfaces with field or operational systems.</x:v>
      </x:c>
      <x:c r="AF208" s="2" t="str">
        <x:v>For Biomass carbon measurement and monitoring, software-related energy is electricity for sensing, computing, storage, communication and cooling; it is normally secondary but must be included for data-intensive or continuous services.</x:v>
      </x:c>
      <x:c r="AG208" s="2" t="str">
        <x:v>The non-physical inputs are calibrated data, metadata, algorithms, boundary conditions, emission or hazard factors, manuals and validation records specific to Biomass carbon measurement and monitoring.</x:v>
      </x:c>
      <x:c r="AH208" s="2" t="str">
        <x:v>Software continuity for Biomass carbon measurement and monitoring requires licences where applicable, updates, cybersecurity patches, backups, calibration files, model validation and technical support.</x:v>
      </x:c>
      <x:c r="AI208" s="2" t="str">
        <x:v>Orgware depends on the institutions, laboratories, training providers, regulators, operators and community interfaces needed to govern Biomass carbon measurement and monitoring.</x:v>
      </x:c>
      <x:c r="AJ208" s="2" t="str">
        <x:v>The orgware supporting Biomass carbon measurement and monitoring has mainly indirect energy use from offices, meetings, training and information systems; travel and field supervision may be material at dispersed sites.</x:v>
      </x:c>
      <x:c r="AK208" s="2" t="str">
        <x:v>Its organisational inputs are permits, budgets, trained staff, competence records, contracts, procedures, safeguards, monitoring evidence and stakeholder agreements tailored to Biomass carbon measurement and monitoring.</x:v>
      </x:c>
      <x:c r="AL208" s="2" t="str">
        <x:v>Sustained implementation of Biomass carbon measurement and monitoring requires procurement and service contracts, audit protocols, training material, reporting templates, insurance or guarantees and periodic independent review.</x:v>
      </x:c>
      <x:c r="AM208" s="2" t="str">
        <x:v>Iron ore / steel inputs; Copper; Tin</x:v>
      </x:c>
      <x:c r="AN208" s="2" t="str">
        <x:v>Australia; Brazil; China; Chile; Democratic Republic of the Congo; Peru; Indonesia; Myanmar</x:v>
      </x:c>
      <x:c r="AO208" s="2" t="str">
        <x:v>China; India; Japan; Chile; Democratic Republic of the Congo; Indonesia; Malaysia</x:v>
      </x:c>
      <x:c r="AP208" s="2" t="str">
        <x:v>Biomass carbon measurement and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8" s="2" t="str">
        <x:v>2024–2025</x:v>
      </x:c>
      <x:c r="AR208" s="2" t="str">
        <x:v>https://pubs.usgs.gov/periodicals/mcs2026/mcs2026.pdf</x:v>
      </x:c>
    </x:row>
    <x:row r="209" ht="240" customHeight="1">
      <x:c r="A209" s="2" t="str">
        <x:v>MIT-0202</x:v>
      </x:c>
      <x:c r="B209" s="2" t="str">
        <x:v>Mitigation</x:v>
      </x:c>
      <x:c r="C209" s="2" t="str">
        <x:v>Industry</x:v>
      </x:c>
      <x:c r="D209" s="2" t="str">
        <x:v>Mining &amp; production</x:v>
      </x:c>
      <x:c r="E209" s="2" t="str">
        <x:v>Non-ferrous metals</x:v>
      </x:c>
      <x:c r="F209" s="2" t="str">
        <x:v>Non-ferrous metals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Non-ferrous metals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09" s="2" t="str">
        <x:v>Mixed: adaptable design, site-specific implementation</x:v>
      </x:c>
      <x:c r="H209" s="2" t="str">
        <x:v>Non-ferrous metals is adaptable in capacity and configuration but site-specific in final engineering. Its principle remains the same, but resource quality, climate, scale, interfaces and safety constraints must be recalculated for each deployment.</x:v>
      </x:c>
      <x:c r="I209" s="2" t="str">
        <x:v>Primarily hard, with a soft component</x:v>
      </x:c>
      <x:c r="J209" s="2" t="str">
        <x:v>Non-ferrous metals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09" s="2" t="str">
        <x:v>Equipment and operation</x:v>
      </x:c>
      <x:c r="L209" s="2" t="str">
        <x:v>Non-ferrous metals is embodied mainly as an equipment-and-operation system. The deliverable is accepted only when measurable service, quality, safety and climate-performance criteria are met under real conditions.</x:v>
      </x:c>
      <x:c r="M209" s="2" t="str">
        <x:v>Yes, subject to life-cycle safeguards</x:v>
      </x:c>
      <x:c r="N209" s="2" t="str">
        <x:v>Non-ferrous metals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09" s="2" t="str">
        <x:v>Non-ferrous metals: process reactors or furnaces, heat exchangers, motors and drives, compressors, burners, controls, pollution abatement, material handling and measurement equipment.</x:v>
      </x:c>
      <x:c r="P209" s="2" t="str">
        <x:v>Non-ferrous metals: process simulation, pinch and heat-integration analysis, advanced control, production scheduling, quality control, energy management and life-cycle assessment.</x:v>
      </x:c>
      <x:c r="Q209" s="2" t="str">
        <x:v>Non-ferrous metals: industrial permits, product standards, operating procedures, maintenance and competence systems, procurement, energy management and industrial-symbiosis agreements.</x:v>
      </x:c>
      <x:c r="R209" s="2" t="str">
        <x:v>Non-ferrous metals: industrial site, utilities, fuel and electricity supply, material storage, process buildings, laboratories, waste handling and logistics.</x:v>
      </x:c>
      <x:c r="S209" s="2" t="str">
        <x:v>Non-ferrous metals: electricity, steam, process heat, cooling and fuels; useful-energy efficiency, heat recovery and carbon intensity of supply determine savings.</x:v>
      </x:c>
      <x:c r="T209" s="2" t="str">
        <x:v>Non-ferrous metals: process feedstocks, steel and refractory materials, catalysts, solvents, lubricants, insulation, piping, sensors and technology-specific alloying elements.</x:v>
      </x:c>
      <x:c r="U209" s="2" t="str">
        <x:v>Non-ferrous metals: refractory linings, bearings, seals, valves, filters, burners, electrodes, sensors, control modules, lubricants and calibrated instruments.</x:v>
      </x:c>
      <x:c r="V209" s="2" t="str">
        <x:v>https://www.ctc-n.org/sites/default/files/resources/ctcn_taxonomy_0.pdf</x:v>
      </x:c>
      <x:c r="W209" s="2" t="str">
        <x:v>https://institutoagricoladepueblobello.edu.co/colegiapp/archivostemas/GUIA%209.%5B25%5D.pdf</x:v>
      </x:c>
      <x:c r="X209" s="2" t="str">
        <x:v>https://iiasa.ac.at/what-is-technology</x:v>
      </x:c>
      <x:c r="Y209" s="2" t="str">
        <x:v>https://www.ipcc.ch/report/ar6/wg3/chapter/chapter-11/</x:v>
      </x:c>
      <x:c r="Z209" s="2" t="str">
        <x:v>Technology-specific analytical synthesis. The CTCN hierarchy is retained; classifications and component dependencies require validation against the selected design, site and supplier documentation before investment or policy use.</x:v>
      </x:c>
      <x:c r="AA209" s="2" t="str">
        <x:v>Physical deployment of Non-ferrous metals requires industrial site, utilities, fuel and electricity supply, material storage, process buildings, laboratories, waste handling and logistics; interfaces, foundations, access and environmental protection are sized to the specific resource and design load.</x:v>
      </x:c>
      <x:c r="AB209" s="2" t="str">
        <x:v>For Non-ferrous metals,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09" s="2" t="str">
        <x:v>Construction and operation use process feedstocks, steel and refractory materials, catalysts, solvents, lubricants, insulation, piping, sensors and technology-specific alloying elements. For Non-ferrous metals, specifications must include durability, compatibility, recycled content and recoverability.</x:v>
      </x:c>
      <x:c r="AD209" s="2" t="str">
        <x:v>Maintenance of Non-ferrous metals depends on refractory linings, bearings, seals, valves, filters, burners, electrodes, sensors, control modules, lubricants and calibrated instruments; critical spares are selected from failure-mode, lead-time and safety analysis for its installed configuration.</x:v>
      </x:c>
      <x:c r="AE209" s="2" t="str">
        <x:v>The software stack for Non-ferrous metals requires databases, secure communications, version-controlled models, computing, backup and interfaces with field or operational systems.</x:v>
      </x:c>
      <x:c r="AF209" s="2" t="str">
        <x:v>For Non-ferrous metals, software-related energy is electricity for sensing, computing, storage, communication and cooling; it is normally secondary but must be included for data-intensive or continuous services.</x:v>
      </x:c>
      <x:c r="AG209" s="2" t="str">
        <x:v>The non-physical inputs are calibrated data, metadata, algorithms, boundary conditions, emission or hazard factors, manuals and validation records specific to Non-ferrous metals.</x:v>
      </x:c>
      <x:c r="AH209" s="2" t="str">
        <x:v>Software continuity for Non-ferrous metals requires licences where applicable, updates, cybersecurity patches, backups, calibration files, model validation and technical support.</x:v>
      </x:c>
      <x:c r="AI209" s="2" t="str">
        <x:v>Orgware depends on the institutions, laboratories, training providers, regulators, operators and community interfaces needed to govern Non-ferrous metals.</x:v>
      </x:c>
      <x:c r="AJ209" s="2" t="str">
        <x:v>The orgware supporting Non-ferrous metals has mainly indirect energy use from offices, meetings, training and information systems; travel and field supervision may be material at dispersed sites.</x:v>
      </x:c>
      <x:c r="AK209" s="2" t="str">
        <x:v>Its organisational inputs are permits, budgets, trained staff, competence records, contracts, procedures, safeguards, monitoring evidence and stakeholder agreements tailored to Non-ferrous metals.</x:v>
      </x:c>
      <x:c r="AL209" s="2" t="str">
        <x:v>Sustained implementation of Non-ferrous metals requires procurement and service contracts, audit protocols, training material, reporting templates, insurance or guarantees and periodic independent review.</x:v>
      </x:c>
      <x:c r="AM209" s="2" t="str">
        <x:v>Iron ore / steel inputs</x:v>
      </x:c>
      <x:c r="AN209" s="2" t="str">
        <x:v>Australia; Brazil; China</x:v>
      </x:c>
      <x:c r="AO209" s="2" t="str">
        <x:v>China; India; Japan</x:v>
      </x:c>
      <x:c r="AP209" s="2" t="str">
        <x:v>Non-ferrous metals: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9" s="2" t="str">
        <x:v>2024–2025</x:v>
      </x:c>
      <x:c r="AR209" s="2" t="str">
        <x:v>https://pubs.usgs.gov/periodicals/mcs2026/mcs2026.pdf</x:v>
      </x:c>
    </x:row>
    <x:row r="210" ht="240" customHeight="1">
      <x:c r="A210" s="2" t="str">
        <x:v>MIT-0203</x:v>
      </x:c>
      <x:c r="B210" s="2" t="str">
        <x:v>Mitigation</x:v>
      </x:c>
      <x:c r="C210" s="2" t="str">
        <x:v>Industry</x:v>
      </x:c>
      <x:c r="D210" s="2" t="str">
        <x:v>Mining &amp; production</x:v>
      </x:c>
      <x:c r="E210" s="2" t="str">
        <x:v>Reducing air and steam leaks</x:v>
      </x:c>
      <x:c r="F210" s="2" t="str">
        <x:v>Reducing air and steam leaks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It locates losses by measurement and inspection, quantifies leak rate and restores containment through repair, pressure management or component replacement.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0" s="2" t="str">
        <x:v>Mixed: adaptable design, site-specific implementation</x:v>
      </x:c>
      <x:c r="H210" s="2" t="str">
        <x:v>Reducing air and steam leaks is adaptable in capacity and configuration but site-specific in final engineering. Its principle remains the same, but resource quality, climate, scale, interfaces and safety constraints must be recalculated for each deployment.</x:v>
      </x:c>
      <x:c r="I210" s="2" t="str">
        <x:v>Primarily hard, with a soft component</x:v>
      </x:c>
      <x:c r="J210" s="2" t="str">
        <x:v>Reducing air and steam leaks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0" s="2" t="str">
        <x:v>Equipment and operation</x:v>
      </x:c>
      <x:c r="L210" s="2" t="str">
        <x:v>Reducing air and steam leaks is embodied mainly as an equipment-and-operation system. The deliverable is accepted only when measurable service, quality, safety and climate-performance criteria are met under real conditions.</x:v>
      </x:c>
      <x:c r="M210" s="2" t="str">
        <x:v>Yes, subject to life-cycle safeguards</x:v>
      </x:c>
      <x:c r="N210" s="2" t="str">
        <x:v>Reducing air and steam leaks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0" s="2" t="str">
        <x:v>Reducing air and steam leaks: process reactors or furnaces, heat exchangers, motors and drives, compressors, burners, controls, pollution abatement, material handling and measurement equipment.</x:v>
      </x:c>
      <x:c r="P210" s="2" t="str">
        <x:v>Reducing air and steam leaks: process simulation, pinch and heat-integration analysis, advanced control, production scheduling, quality control, energy management and life-cycle assessment.</x:v>
      </x:c>
      <x:c r="Q210" s="2" t="str">
        <x:v>Reducing air and steam leaks: industrial permits, product standards, operating procedures, maintenance and competence systems, procurement, energy management and industrial-symbiosis agreements.</x:v>
      </x:c>
      <x:c r="R210" s="2" t="str">
        <x:v>Reducing air and steam leaks: industrial site, utilities, fuel and electricity supply, material storage, process buildings, laboratories, waste handling and logistics.</x:v>
      </x:c>
      <x:c r="S210" s="2" t="str">
        <x:v>Reducing air and steam leaks: electricity, steam, process heat, cooling and fuels; useful-energy efficiency, heat recovery and carbon intensity of supply determine savings.</x:v>
      </x:c>
      <x:c r="T210" s="2" t="str">
        <x:v>Reducing air and steam leaks: process feedstocks, steel and refractory materials, catalysts, solvents, lubricants, insulation, piping, sensors and technology-specific alloying elements.</x:v>
      </x:c>
      <x:c r="U210" s="2" t="str">
        <x:v>Reducing air and steam leaks: refractory linings, bearings, seals, valves, filters, burners, electrodes, sensors, control modules, lubricants and calibrated instruments.</x:v>
      </x:c>
      <x:c r="V210" s="2" t="str">
        <x:v>https://www.ctc-n.org/sites/default/files/resources/ctcn_taxonomy_0.pdf</x:v>
      </x:c>
      <x:c r="W210" s="2" t="str">
        <x:v>https://institutoagricoladepueblobello.edu.co/colegiapp/archivostemas/GUIA%209.%5B25%5D.pdf</x:v>
      </x:c>
      <x:c r="X210" s="2" t="str">
        <x:v>https://iiasa.ac.at/what-is-technology</x:v>
      </x:c>
      <x:c r="Y210" s="2" t="str">
        <x:v>https://www.ipcc.ch/report/ar6/wg3/chapter/chapter-11/</x:v>
      </x:c>
      <x:c r="Z210" s="2" t="str">
        <x:v>Technology-specific analytical synthesis. The CTCN hierarchy is retained; classifications and component dependencies require validation against the selected design, site and supplier documentation before investment or policy use.</x:v>
      </x:c>
      <x:c r="AA210" s="2" t="str">
        <x:v>Physical deployment of Reducing air and steam leaks requires industrial site, utilities, fuel and electricity supply, material storage, process buildings, laboratories, waste handling and logistics; interfaces, foundations, access and environmental protection are sized to the specific resource and design load.</x:v>
      </x:c>
      <x:c r="AB210" s="2" t="str">
        <x:v>For Reducing air and steam leaks,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0" s="2" t="str">
        <x:v>Construction and operation use process feedstocks, steel and refractory materials, catalysts, solvents, lubricants, insulation, piping, sensors and technology-specific alloying elements. For Reducing air and steam leaks, specifications must include durability, compatibility, recycled content and recoverability.</x:v>
      </x:c>
      <x:c r="AD210" s="2" t="str">
        <x:v>Maintenance of Reducing air and steam leaks depends on refractory linings, bearings, seals, valves, filters, burners, electrodes, sensors, control modules, lubricants and calibrated instruments; critical spares are selected from failure-mode, lead-time and safety analysis for its installed configuration.</x:v>
      </x:c>
      <x:c r="AE210" s="2" t="str">
        <x:v>The software stack for Reducing air and steam leaks requires databases, secure communications, version-controlled models, computing, backup and interfaces with field or operational systems.</x:v>
      </x:c>
      <x:c r="AF210" s="2" t="str">
        <x:v>For Reducing air and steam leaks, software-related energy is electricity for sensing, computing, storage, communication and cooling; it is normally secondary but must be included for data-intensive or continuous services.</x:v>
      </x:c>
      <x:c r="AG210" s="2" t="str">
        <x:v>The non-physical inputs are calibrated data, metadata, algorithms, boundary conditions, emission or hazard factors, manuals and validation records specific to Reducing air and steam leaks.</x:v>
      </x:c>
      <x:c r="AH210" s="2" t="str">
        <x:v>Software continuity for Reducing air and steam leaks requires licences where applicable, updates, cybersecurity patches, backups, calibration files, model validation and technical support.</x:v>
      </x:c>
      <x:c r="AI210" s="2" t="str">
        <x:v>Orgware depends on the institutions, laboratories, training providers, regulators, operators and community interfaces needed to govern Reducing air and steam leaks.</x:v>
      </x:c>
      <x:c r="AJ210" s="2" t="str">
        <x:v>The orgware supporting Reducing air and steam leaks has mainly indirect energy use from offices, meetings, training and information systems; travel and field supervision may be material at dispersed sites.</x:v>
      </x:c>
      <x:c r="AK210" s="2" t="str">
        <x:v>Its organisational inputs are permits, budgets, trained staff, competence records, contracts, procedures, safeguards, monitoring evidence and stakeholder agreements tailored to Reducing air and steam leaks.</x:v>
      </x:c>
      <x:c r="AL210" s="2" t="str">
        <x:v>Sustained implementation of Reducing air and steam leaks requires procurement and service contracts, audit protocols, training material, reporting templates, insurance or guarantees and periodic independent review.</x:v>
      </x:c>
      <x:c r="AM210" s="2" t="str">
        <x:v>Iron ore / steel inputs</x:v>
      </x:c>
      <x:c r="AN210" s="2" t="str">
        <x:v>Australia; Brazil; China</x:v>
      </x:c>
      <x:c r="AO210" s="2" t="str">
        <x:v>China; India; Japan</x:v>
      </x:c>
      <x:c r="AP210" s="2" t="str">
        <x:v>Reducing air and steam leaks: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0" s="2" t="str">
        <x:v>2024–2025</x:v>
      </x:c>
      <x:c r="AR210" s="2" t="str">
        <x:v>https://pubs.usgs.gov/periodicals/mcs2026/mcs2026.pdf</x:v>
      </x:c>
    </x:row>
    <x:row r="211" ht="240" customHeight="1">
      <x:c r="A211" s="2" t="str">
        <x:v>MIT-0204</x:v>
      </x:c>
      <x:c r="B211" s="2" t="str">
        <x:v>Mitigation</x:v>
      </x:c>
      <x:c r="C211" s="2" t="str">
        <x:v>Industry</x:v>
      </x:c>
      <x:c r="D211" s="2" t="str">
        <x:v>Mining &amp; production</x:v>
      </x:c>
      <x:c r="E211" s="2" t="str">
        <x:v>Blast furnace slag granulation</x:v>
      </x:c>
      <x:c r="F211" s="2" t="str">
        <x:v>Blast furnace slag granulation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Blast furnace slag granulation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1" s="2" t="str">
        <x:v>Mixed: adaptable design, site-specific implementation</x:v>
      </x:c>
      <x:c r="H211" s="2" t="str">
        <x:v>Blast furnace slag granulation is adaptable in capacity and configuration but site-specific in final engineering. Its principle remains the same, but resource quality, climate, scale, interfaces and safety constraints must be recalculated for each deployment.</x:v>
      </x:c>
      <x:c r="I211" s="2" t="str">
        <x:v>Primarily hard, with a soft component</x:v>
      </x:c>
      <x:c r="J211" s="2" t="str">
        <x:v>Blast furnace slag granulation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1" s="2" t="str">
        <x:v>Equipment and operation</x:v>
      </x:c>
      <x:c r="L211" s="2" t="str">
        <x:v>Blast furnace slag granulation is embodied mainly as an equipment-and-operation system. The deliverable is accepted only when measurable service, quality, safety and climate-performance criteria are met under real conditions.</x:v>
      </x:c>
      <x:c r="M211" s="2" t="str">
        <x:v>Yes, subject to life-cycle safeguards</x:v>
      </x:c>
      <x:c r="N211" s="2" t="str">
        <x:v>Blast furnace slag granulation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1" s="2" t="str">
        <x:v>Blast furnace slag granulation: process reactors or furnaces, heat exchangers, motors and drives, compressors, burners, controls, pollution abatement, material handling and measurement equipment.</x:v>
      </x:c>
      <x:c r="P211" s="2" t="str">
        <x:v>Blast furnace slag granulation: process simulation, pinch and heat-integration analysis, advanced control, production scheduling, quality control, energy management and life-cycle assessment.</x:v>
      </x:c>
      <x:c r="Q211" s="2" t="str">
        <x:v>Blast furnace slag granulation: industrial permits, product standards, operating procedures, maintenance and competence systems, procurement, energy management and industrial-symbiosis agreements.</x:v>
      </x:c>
      <x:c r="R211" s="2" t="str">
        <x:v>Blast furnace slag granulation: industrial site, utilities, fuel and electricity supply, material storage, process buildings, laboratories, waste handling and logistics.</x:v>
      </x:c>
      <x:c r="S211" s="2" t="str">
        <x:v>Blast furnace slag granulation: electricity, steam, process heat, cooling and fuels; useful-energy efficiency, heat recovery and carbon intensity of supply determine savings.</x:v>
      </x:c>
      <x:c r="T211" s="2" t="str">
        <x:v>Blast furnace slag granulation: process feedstocks, steel and refractory materials, catalysts, solvents, lubricants, insulation, piping, sensors and technology-specific alloying elements.</x:v>
      </x:c>
      <x:c r="U211" s="2" t="str">
        <x:v>Blast furnace slag granulation: refractory linings, bearings, seals, valves, filters, burners, electrodes, sensors, control modules, lubricants and calibrated instruments.</x:v>
      </x:c>
      <x:c r="V211" s="2" t="str">
        <x:v>https://www.ctc-n.org/sites/default/files/resources/ctcn_taxonomy_0.pdf</x:v>
      </x:c>
      <x:c r="W211" s="2" t="str">
        <x:v>https://institutoagricoladepueblobello.edu.co/colegiapp/archivostemas/GUIA%209.%5B25%5D.pdf</x:v>
      </x:c>
      <x:c r="X211" s="2" t="str">
        <x:v>https://iiasa.ac.at/what-is-technology</x:v>
      </x:c>
      <x:c r="Y211" s="2" t="str">
        <x:v>https://www.ipcc.ch/report/ar6/wg3/chapter/chapter-11/</x:v>
      </x:c>
      <x:c r="Z211" s="2" t="str">
        <x:v>Technology-specific analytical synthesis. The CTCN hierarchy is retained; classifications and component dependencies require validation against the selected design, site and supplier documentation before investment or policy use.</x:v>
      </x:c>
      <x:c r="AA211" s="2" t="str">
        <x:v>Physical deployment of Blast furnace slag granulation requires industrial site, utilities, fuel and electricity supply, material storage, process buildings, laboratories, waste handling and logistics; interfaces, foundations, access and environmental protection are sized to the specific resource and design load.</x:v>
      </x:c>
      <x:c r="AB211" s="2" t="str">
        <x:v>For Blast furnace slag granulation,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1" s="2" t="str">
        <x:v>Construction and operation use process feedstocks, steel and refractory materials, catalysts, solvents, lubricants, insulation, piping, sensors and technology-specific alloying elements. For Blast furnace slag granulation, specifications must include durability, compatibility, recycled content and recoverability.</x:v>
      </x:c>
      <x:c r="AD211" s="2" t="str">
        <x:v>Maintenance of Blast furnace slag granulation depends on refractory linings, bearings, seals, valves, filters, burners, electrodes, sensors, control modules, lubricants and calibrated instruments; critical spares are selected from failure-mode, lead-time and safety analysis for its installed configuration.</x:v>
      </x:c>
      <x:c r="AE211" s="2" t="str">
        <x:v>The software stack for Blast furnace slag granulation requires databases, secure communications, version-controlled models, computing, backup and interfaces with field or operational systems.</x:v>
      </x:c>
      <x:c r="AF211" s="2" t="str">
        <x:v>For Blast furnace slag granulation, software-related energy is electricity for sensing, computing, storage, communication and cooling; it is normally secondary but must be included for data-intensive or continuous services.</x:v>
      </x:c>
      <x:c r="AG211" s="2" t="str">
        <x:v>The non-physical inputs are calibrated data, metadata, algorithms, boundary conditions, emission or hazard factors, manuals and validation records specific to Blast furnace slag granulation.</x:v>
      </x:c>
      <x:c r="AH211" s="2" t="str">
        <x:v>Software continuity for Blast furnace slag granulation requires licences where applicable, updates, cybersecurity patches, backups, calibration files, model validation and technical support.</x:v>
      </x:c>
      <x:c r="AI211" s="2" t="str">
        <x:v>Orgware depends on the institutions, laboratories, training providers, regulators, operators and community interfaces needed to govern Blast furnace slag granulation.</x:v>
      </x:c>
      <x:c r="AJ211" s="2" t="str">
        <x:v>The orgware supporting Blast furnace slag granulation has mainly indirect energy use from offices, meetings, training and information systems; travel and field supervision may be material at dispersed sites.</x:v>
      </x:c>
      <x:c r="AK211" s="2" t="str">
        <x:v>Its organisational inputs are permits, budgets, trained staff, competence records, contracts, procedures, safeguards, monitoring evidence and stakeholder agreements tailored to Blast furnace slag granulation.</x:v>
      </x:c>
      <x:c r="AL211" s="2" t="str">
        <x:v>Sustained implementation of Blast furnace slag granulation requires procurement and service contracts, audit protocols, training material, reporting templates, insurance or guarantees and periodic independent review.</x:v>
      </x:c>
      <x:c r="AM211" s="2" t="str">
        <x:v>Iron ore / steel inputs; Nickel; Chromium</x:v>
      </x:c>
      <x:c r="AN211" s="2" t="str">
        <x:v>Australia; Brazil; China; Indonesia; Philippines; Russia; South Africa; Kazakhstan; Turkey</x:v>
      </x:c>
      <x:c r="AO211" s="2" t="str">
        <x:v>China; India; Japan; Indonesia; South Africa; Kazakhstan</x:v>
      </x:c>
      <x:c r="AP211" s="2" t="str">
        <x:v>Blast furnace slag granulation: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1" s="2" t="str">
        <x:v>2024–2025</x:v>
      </x:c>
      <x:c r="AR211" s="2" t="str">
        <x:v>https://pubs.usgs.gov/periodicals/mcs2026/mcs2026.pdf; https://www.iea.org/reports/global-critical-minerals-outlook-2025</x:v>
      </x:c>
    </x:row>
    <x:row r="212" ht="240" customHeight="1">
      <x:c r="A212" s="2" t="str">
        <x:v>MIT-0205</x:v>
      </x:c>
      <x:c r="B212" s="2" t="str">
        <x:v>Mitigation</x:v>
      </x:c>
      <x:c r="C212" s="2" t="str">
        <x:v>Industry</x:v>
      </x:c>
      <x:c r="D212" s="2" t="str">
        <x:v>Mining &amp; production</x:v>
      </x:c>
      <x:c r="E212" s="2" t="str">
        <x:v>Direct casting for iron and steel sector</x:v>
      </x:c>
      <x:c r="F212" s="2" t="str">
        <x:v>Direct casting for iron and steel sector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Direct casting for iron and steel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2" s="2" t="str">
        <x:v>Mixed: adaptable design, site-specific implementation</x:v>
      </x:c>
      <x:c r="H212" s="2" t="str">
        <x:v>Direct casting for iron and steel sector is adaptable in capacity and configuration but site-specific in final engineering. Its principle remains the same, but resource quality, climate, scale, interfaces and safety constraints must be recalculated for each deployment.</x:v>
      </x:c>
      <x:c r="I212" s="2" t="str">
        <x:v>Primarily hard, with a soft component</x:v>
      </x:c>
      <x:c r="J212" s="2" t="str">
        <x:v>Direct casting for iron and steel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2" s="2" t="str">
        <x:v>Equipment and operation</x:v>
      </x:c>
      <x:c r="L212" s="2" t="str">
        <x:v>Direct casting for iron and steel sector is embodied mainly as an equipment-and-operation system. The deliverable is accepted only when measurable service, quality, safety and climate-performance criteria are met under real conditions.</x:v>
      </x:c>
      <x:c r="M212" s="2" t="str">
        <x:v>Yes, subject to life-cycle safeguards</x:v>
      </x:c>
      <x:c r="N212" s="2" t="str">
        <x:v>Direct casting for iron and steel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2" s="2" t="str">
        <x:v>Direct casting for iron and steel sector: process reactors or furnaces, heat exchangers, motors and drives, compressors, burners, controls, pollution abatement, material handling and measurement equipment.</x:v>
      </x:c>
      <x:c r="P212" s="2" t="str">
        <x:v>Direct casting for iron and steel sector: process simulation, pinch and heat-integration analysis, advanced control, production scheduling, quality control, energy management and life-cycle assessment.</x:v>
      </x:c>
      <x:c r="Q212" s="2" t="str">
        <x:v>Direct casting for iron and steel sector: industrial permits, product standards, operating procedures, maintenance and competence systems, procurement, energy management and industrial-symbiosis agreements.</x:v>
      </x:c>
      <x:c r="R212" s="2" t="str">
        <x:v>Direct casting for iron and steel sector: industrial site, utilities, fuel and electricity supply, material storage, process buildings, laboratories, waste handling and logistics.</x:v>
      </x:c>
      <x:c r="S212" s="2" t="str">
        <x:v>Direct casting for iron and steel sector: electricity, steam, process heat, cooling and fuels; useful-energy efficiency, heat recovery and carbon intensity of supply determine savings.</x:v>
      </x:c>
      <x:c r="T212" s="2" t="str">
        <x:v>Direct casting for iron and steel sector: process feedstocks, steel and refractory materials, catalysts, solvents, lubricants, insulation, piping, sensors and technology-specific alloying elements.</x:v>
      </x:c>
      <x:c r="U212" s="2" t="str">
        <x:v>Direct casting for iron and steel sector: refractory linings, bearings, seals, valves, filters, burners, electrodes, sensors, control modules, lubricants and calibrated instruments.</x:v>
      </x:c>
      <x:c r="V212" s="2" t="str">
        <x:v>https://www.ctc-n.org/sites/default/files/resources/ctcn_taxonomy_0.pdf</x:v>
      </x:c>
      <x:c r="W212" s="2" t="str">
        <x:v>https://institutoagricoladepueblobello.edu.co/colegiapp/archivostemas/GUIA%209.%5B25%5D.pdf</x:v>
      </x:c>
      <x:c r="X212" s="2" t="str">
        <x:v>https://iiasa.ac.at/what-is-technology</x:v>
      </x:c>
      <x:c r="Y212" s="2" t="str">
        <x:v>https://www.ipcc.ch/report/ar6/wg3/chapter/chapter-11/</x:v>
      </x:c>
      <x:c r="Z212" s="2" t="str">
        <x:v>Technology-specific analytical synthesis. The CTCN hierarchy is retained; classifications and component dependencies require validation against the selected design, site and supplier documentation before investment or policy use.</x:v>
      </x:c>
      <x:c r="AA212" s="2" t="str">
        <x:v>Physical deployment of Direct casting for iron and steel sector requires industrial site, utilities, fuel and electricity supply, material storage, process buildings, laboratories, waste handling and logistics; interfaces, foundations, access and environmental protection are sized to the specific resource and design load.</x:v>
      </x:c>
      <x:c r="AB212" s="2" t="str">
        <x:v>For Direct casting for iron and steel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2" s="2" t="str">
        <x:v>Construction and operation use process feedstocks, steel and refractory materials, catalysts, solvents, lubricants, insulation, piping, sensors and technology-specific alloying elements. For Direct casting for iron and steel sector, specifications must include durability, compatibility, recycled content and recoverability.</x:v>
      </x:c>
      <x:c r="AD212" s="2" t="str">
        <x:v>Maintenance of Direct casting for iron and steel sector depends on refractory linings, bearings, seals, valves, filters, burners, electrodes, sensors, control modules, lubricants and calibrated instruments; critical spares are selected from failure-mode, lead-time and safety analysis for its installed configuration.</x:v>
      </x:c>
      <x:c r="AE212" s="2" t="str">
        <x:v>The software stack for Direct casting for iron and steel sector requires databases, secure communications, version-controlled models, computing, backup and interfaces with field or operational systems.</x:v>
      </x:c>
      <x:c r="AF212" s="2" t="str">
        <x:v>For Direct casting for iron and steel sector, software-related energy is electricity for sensing, computing, storage, communication and cooling; it is normally secondary but must be included for data-intensive or continuous services.</x:v>
      </x:c>
      <x:c r="AG212" s="2" t="str">
        <x:v>The non-physical inputs are calibrated data, metadata, algorithms, boundary conditions, emission or hazard factors, manuals and validation records specific to Direct casting for iron and steel sector.</x:v>
      </x:c>
      <x:c r="AH212" s="2" t="str">
        <x:v>Software continuity for Direct casting for iron and steel sector requires licences where applicable, updates, cybersecurity patches, backups, calibration files, model validation and technical support.</x:v>
      </x:c>
      <x:c r="AI212" s="2" t="str">
        <x:v>Orgware depends on the institutions, laboratories, training providers, regulators, operators and community interfaces needed to govern Direct casting for iron and steel sector.</x:v>
      </x:c>
      <x:c r="AJ212" s="2" t="str">
        <x:v>The orgware supporting Direct casting for iron and steel sector has mainly indirect energy use from offices, meetings, training and information systems; travel and field supervision may be material at dispersed sites.</x:v>
      </x:c>
      <x:c r="AK212" s="2" t="str">
        <x:v>Its organisational inputs are permits, budgets, trained staff, competence records, contracts, procedures, safeguards, monitoring evidence and stakeholder agreements tailored to Direct casting for iron and steel sector.</x:v>
      </x:c>
      <x:c r="AL212" s="2" t="str">
        <x:v>Sustained implementation of Direct casting for iron and steel sector requires procurement and service contracts, audit protocols, training material, reporting templates, insurance or guarantees and periodic independent review.</x:v>
      </x:c>
      <x:c r="AM212" s="2" t="str">
        <x:v>Iron ore / steel inputs; Nickel; Chromium</x:v>
      </x:c>
      <x:c r="AN212" s="2" t="str">
        <x:v>Australia; Brazil; China; Indonesia; Philippines; Russia; South Africa; Kazakhstan; Turkey</x:v>
      </x:c>
      <x:c r="AO212" s="2" t="str">
        <x:v>China; India; Japan; Indonesia; South Africa; Kazakhstan</x:v>
      </x:c>
      <x:c r="AP212" s="2" t="str">
        <x:v>Direct casting for iron and steel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2" s="2" t="str">
        <x:v>2024–2025</x:v>
      </x:c>
      <x:c r="AR212" s="2" t="str">
        <x:v>https://pubs.usgs.gov/periodicals/mcs2026/mcs2026.pdf; https://www.iea.org/reports/global-critical-minerals-outlook-2025</x:v>
      </x:c>
    </x:row>
    <x:row r="213" ht="240" customHeight="1">
      <x:c r="A213" s="2" t="str">
        <x:v>MIT-0206</x:v>
      </x:c>
      <x:c r="B213" s="2" t="str">
        <x:v>Mitigation</x:v>
      </x:c>
      <x:c r="C213" s="2" t="str">
        <x:v>Industry</x:v>
      </x:c>
      <x:c r="D213" s="2" t="str">
        <x:v>Mining &amp; production</x:v>
      </x:c>
      <x:c r="E213" s="2" t="str">
        <x:v>Coke dry quenching for iron and steel sector</x:v>
      </x:c>
      <x:c r="F213" s="2" t="str">
        <x:v>Coke dry quenching for iron and steel sector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Coke dry quenching for iron and steel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3" s="2" t="str">
        <x:v>Mixed: adaptable design, site-specific implementation</x:v>
      </x:c>
      <x:c r="H213" s="2" t="str">
        <x:v>Coke dry quenching for iron and steel sector is adaptable in capacity and configuration but site-specific in final engineering. Its principle remains the same, but resource quality, climate, scale, interfaces and safety constraints must be recalculated for each deployment.</x:v>
      </x:c>
      <x:c r="I213" s="2" t="str">
        <x:v>Primarily hard, with a soft component</x:v>
      </x:c>
      <x:c r="J213" s="2" t="str">
        <x:v>Coke dry quenching for iron and steel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3" s="2" t="str">
        <x:v>Equipment and operation</x:v>
      </x:c>
      <x:c r="L213" s="2" t="str">
        <x:v>Coke dry quenching for iron and steel sector is embodied mainly as an equipment-and-operation system. The deliverable is accepted only when measurable service, quality, safety and climate-performance criteria are met under real conditions.</x:v>
      </x:c>
      <x:c r="M213" s="2" t="str">
        <x:v>Yes, subject to life-cycle safeguards</x:v>
      </x:c>
      <x:c r="N213" s="2" t="str">
        <x:v>Coke dry quenching for iron and steel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3" s="2" t="str">
        <x:v>Coke dry quenching for iron and steel sector: process reactors or furnaces, heat exchangers, motors and drives, compressors, burners, controls, pollution abatement, material handling and measurement equipment.</x:v>
      </x:c>
      <x:c r="P213" s="2" t="str">
        <x:v>Coke dry quenching for iron and steel sector: process simulation, pinch and heat-integration analysis, advanced control, production scheduling, quality control, energy management and life-cycle assessment.</x:v>
      </x:c>
      <x:c r="Q213" s="2" t="str">
        <x:v>Coke dry quenching for iron and steel sector: industrial permits, product standards, operating procedures, maintenance and competence systems, procurement, energy management and industrial-symbiosis agreements.</x:v>
      </x:c>
      <x:c r="R213" s="2" t="str">
        <x:v>Coke dry quenching for iron and steel sector: industrial site, utilities, fuel and electricity supply, material storage, process buildings, laboratories, waste handling and logistics.</x:v>
      </x:c>
      <x:c r="S213" s="2" t="str">
        <x:v>Coke dry quenching for iron and steel sector: electricity, steam, process heat, cooling and fuels; useful-energy efficiency, heat recovery and carbon intensity of supply determine savings.</x:v>
      </x:c>
      <x:c r="T213" s="2" t="str">
        <x:v>Coke dry quenching for iron and steel sector: process feedstocks, steel and refractory materials, catalysts, solvents, lubricants, insulation, piping, sensors and technology-specific alloying elements.</x:v>
      </x:c>
      <x:c r="U213" s="2" t="str">
        <x:v>Coke dry quenching for iron and steel sector: refractory linings, bearings, seals, valves, filters, burners, electrodes, sensors, control modules, lubricants and calibrated instruments.</x:v>
      </x:c>
      <x:c r="V213" s="2" t="str">
        <x:v>https://www.ctc-n.org/sites/default/files/resources/ctcn_taxonomy_0.pdf</x:v>
      </x:c>
      <x:c r="W213" s="2" t="str">
        <x:v>https://institutoagricoladepueblobello.edu.co/colegiapp/archivostemas/GUIA%209.%5B25%5D.pdf</x:v>
      </x:c>
      <x:c r="X213" s="2" t="str">
        <x:v>https://iiasa.ac.at/what-is-technology</x:v>
      </x:c>
      <x:c r="Y213" s="2" t="str">
        <x:v>https://www.ipcc.ch/report/ar6/wg3/chapter/chapter-11/</x:v>
      </x:c>
      <x:c r="Z213" s="2" t="str">
        <x:v>Technology-specific analytical synthesis. The CTCN hierarchy is retained; classifications and component dependencies require validation against the selected design, site and supplier documentation before investment or policy use.</x:v>
      </x:c>
      <x:c r="AA213" s="2" t="str">
        <x:v>Physical deployment of Coke dry quenching for iron and steel sector requires industrial site, utilities, fuel and electricity supply, material storage, process buildings, laboratories, waste handling and logistics; interfaces, foundations, access and environmental protection are sized to the specific resource and design load.</x:v>
      </x:c>
      <x:c r="AB213" s="2" t="str">
        <x:v>For Coke dry quenching for iron and steel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3" s="2" t="str">
        <x:v>Construction and operation use process feedstocks, steel and refractory materials, catalysts, solvents, lubricants, insulation, piping, sensors and technology-specific alloying elements. For Coke dry quenching for iron and steel sector, specifications must include durability, compatibility, recycled content and recoverability.</x:v>
      </x:c>
      <x:c r="AD213" s="2" t="str">
        <x:v>Maintenance of Coke dry quenching for iron and steel sector depends on refractory linings, bearings, seals, valves, filters, burners, electrodes, sensors, control modules, lubricants and calibrated instruments; critical spares are selected from failure-mode, lead-time and safety analysis for its installed configuration.</x:v>
      </x:c>
      <x:c r="AE213" s="2" t="str">
        <x:v>The software stack for Coke dry quenching for iron and steel sector requires databases, secure communications, version-controlled models, computing, backup and interfaces with field or operational systems.</x:v>
      </x:c>
      <x:c r="AF213" s="2" t="str">
        <x:v>For Coke dry quenching for iron and steel sector, software-related energy is electricity for sensing, computing, storage, communication and cooling; it is normally secondary but must be included for data-intensive or continuous services.</x:v>
      </x:c>
      <x:c r="AG213" s="2" t="str">
        <x:v>The non-physical inputs are calibrated data, metadata, algorithms, boundary conditions, emission or hazard factors, manuals and validation records specific to Coke dry quenching for iron and steel sector.</x:v>
      </x:c>
      <x:c r="AH213" s="2" t="str">
        <x:v>Software continuity for Coke dry quenching for iron and steel sector requires licences where applicable, updates, cybersecurity patches, backups, calibration files, model validation and technical support.</x:v>
      </x:c>
      <x:c r="AI213" s="2" t="str">
        <x:v>Orgware depends on the institutions, laboratories, training providers, regulators, operators and community interfaces needed to govern Coke dry quenching for iron and steel sector.</x:v>
      </x:c>
      <x:c r="AJ213" s="2" t="str">
        <x:v>The orgware supporting Coke dry quenching for iron and steel sector has mainly indirect energy use from offices, meetings, training and information systems; travel and field supervision may be material at dispersed sites.</x:v>
      </x:c>
      <x:c r="AK213" s="2" t="str">
        <x:v>Its organisational inputs are permits, budgets, trained staff, competence records, contracts, procedures, safeguards, monitoring evidence and stakeholder agreements tailored to Coke dry quenching for iron and steel sector.</x:v>
      </x:c>
      <x:c r="AL213" s="2" t="str">
        <x:v>Sustained implementation of Coke dry quenching for iron and steel sector requires procurement and service contracts, audit protocols, training material, reporting templates, insurance or guarantees and periodic independent review.</x:v>
      </x:c>
      <x:c r="AM213" s="2" t="str">
        <x:v>Iron ore / steel inputs; Nickel; Chromium</x:v>
      </x:c>
      <x:c r="AN213" s="2" t="str">
        <x:v>Australia; Brazil; China; Indonesia; Philippines; Russia; South Africa; Kazakhstan; Turkey</x:v>
      </x:c>
      <x:c r="AO213" s="2" t="str">
        <x:v>China; India; Japan; Indonesia; South Africa; Kazakhstan</x:v>
      </x:c>
      <x:c r="AP213" s="2" t="str">
        <x:v>Coke dry quenching for iron and steel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3" s="2" t="str">
        <x:v>2024–2025</x:v>
      </x:c>
      <x:c r="AR213" s="2" t="str">
        <x:v>https://pubs.usgs.gov/periodicals/mcs2026/mcs2026.pdf; https://www.iea.org/reports/global-critical-minerals-outlook-2025</x:v>
      </x:c>
    </x:row>
    <x:row r="214" ht="240" customHeight="1">
      <x:c r="A214" s="2" t="str">
        <x:v>MIT-0207</x:v>
      </x:c>
      <x:c r="B214" s="2" t="str">
        <x:v>Mitigation</x:v>
      </x:c>
      <x:c r="C214" s="2" t="str">
        <x:v>Industry</x:v>
      </x:c>
      <x:c r="D214" s="2" t="str">
        <x:v>Mining &amp; production</x:v>
      </x:c>
      <x:c r="E214" s="2" t="str">
        <x:v>Inert anode technology for aluminium smelters</x:v>
      </x:c>
      <x:c r="F214" s="2" t="str">
        <x:v>Inert anode technology for aluminium smelters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Inert anode technology for aluminium smelters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4" s="2" t="str">
        <x:v>Mixed: adaptable design, site-specific implementation</x:v>
      </x:c>
      <x:c r="H214" s="2" t="str">
        <x:v>Inert anode technology for aluminium smelters is adaptable in capacity and configuration but site-specific in final engineering. Its principle remains the same, but resource quality, climate, scale, interfaces and safety constraints must be recalculated for each deployment.</x:v>
      </x:c>
      <x:c r="I214" s="2" t="str">
        <x:v>Primarily hard, with a soft component</x:v>
      </x:c>
      <x:c r="J214" s="2" t="str">
        <x:v>Inert anode technology for aluminium smelters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4" s="2" t="str">
        <x:v>Equipment and operation</x:v>
      </x:c>
      <x:c r="L214" s="2" t="str">
        <x:v>Inert anode technology for aluminium smelters is embodied mainly as an equipment-and-operation system. The deliverable is accepted only when measurable service, quality, safety and climate-performance criteria are met under real conditions.</x:v>
      </x:c>
      <x:c r="M214" s="2" t="str">
        <x:v>Yes, subject to life-cycle safeguards</x:v>
      </x:c>
      <x:c r="N214" s="2" t="str">
        <x:v>Inert anode technology for aluminium smelters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4" s="2" t="str">
        <x:v>Inert anode technology for aluminium smelters: process reactors or furnaces, heat exchangers, motors and drives, compressors, burners, controls, pollution abatement, material handling and measurement equipment.</x:v>
      </x:c>
      <x:c r="P214" s="2" t="str">
        <x:v>Inert anode technology for aluminium smelters: process simulation, pinch and heat-integration analysis, advanced control, production scheduling, quality control, energy management and life-cycle assessment.</x:v>
      </x:c>
      <x:c r="Q214" s="2" t="str">
        <x:v>Inert anode technology for aluminium smelters: industrial permits, product standards, operating procedures, maintenance and competence systems, procurement, energy management and industrial-symbiosis agreements.</x:v>
      </x:c>
      <x:c r="R214" s="2" t="str">
        <x:v>Inert anode technology for aluminium smelters: industrial site, utilities, fuel and electricity supply, material storage, process buildings, laboratories, waste handling and logistics.</x:v>
      </x:c>
      <x:c r="S214" s="2" t="str">
        <x:v>Inert anode technology for aluminium smelters: electricity, steam, process heat, cooling and fuels; useful-energy efficiency, heat recovery and carbon intensity of supply determine savings.</x:v>
      </x:c>
      <x:c r="T214" s="2" t="str">
        <x:v>Inert anode technology for aluminium smelters: process feedstocks, steel and refractory materials, catalysts, solvents, lubricants, insulation, piping, sensors and technology-specific alloying elements.</x:v>
      </x:c>
      <x:c r="U214" s="2" t="str">
        <x:v>Inert anode technology for aluminium smelters: refractory linings, bearings, seals, valves, filters, burners, electrodes, sensors, control modules, lubricants and calibrated instruments.</x:v>
      </x:c>
      <x:c r="V214" s="2" t="str">
        <x:v>https://www.ctc-n.org/sites/default/files/resources/ctcn_taxonomy_0.pdf</x:v>
      </x:c>
      <x:c r="W214" s="2" t="str">
        <x:v>https://institutoagricoladepueblobello.edu.co/colegiapp/archivostemas/GUIA%209.%5B25%5D.pdf</x:v>
      </x:c>
      <x:c r="X214" s="2" t="str">
        <x:v>https://iiasa.ac.at/what-is-technology</x:v>
      </x:c>
      <x:c r="Y214" s="2" t="str">
        <x:v>https://www.ipcc.ch/report/ar6/wg3/chapter/chapter-11/</x:v>
      </x:c>
      <x:c r="Z214" s="2" t="str">
        <x:v>Technology-specific analytical synthesis. The CTCN hierarchy is retained; classifications and component dependencies require validation against the selected design, site and supplier documentation before investment or policy use.</x:v>
      </x:c>
      <x:c r="AA214" s="2" t="str">
        <x:v>Physical deployment of Inert anode technology for aluminium smelters requires industrial site, utilities, fuel and electricity supply, material storage, process buildings, laboratories, waste handling and logistics; interfaces, foundations, access and environmental protection are sized to the specific resource and design load.</x:v>
      </x:c>
      <x:c r="AB214" s="2" t="str">
        <x:v>For Inert anode technology for aluminium smelters,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4" s="2" t="str">
        <x:v>Construction and operation use process feedstocks, steel and refractory materials, catalysts, solvents, lubricants, insulation, piping, sensors and technology-specific alloying elements. For Inert anode technology for aluminium smelters, specifications must include durability, compatibility, recycled content and recoverability.</x:v>
      </x:c>
      <x:c r="AD214" s="2" t="str">
        <x:v>Maintenance of Inert anode technology for aluminium smelters depends on refractory linings, bearings, seals, valves, filters, burners, electrodes, sensors, control modules, lubricants and calibrated instruments; critical spares are selected from failure-mode, lead-time and safety analysis for its installed configuration.</x:v>
      </x:c>
      <x:c r="AE214" s="2" t="str">
        <x:v>The software stack for Inert anode technology for aluminium smelters requires databases, secure communications, version-controlled models, computing, backup and interfaces with field or operational systems.</x:v>
      </x:c>
      <x:c r="AF214" s="2" t="str">
        <x:v>For Inert anode technology for aluminium smelters, software-related energy is electricity for sensing, computing, storage, communication and cooling; it is normally secondary but must be included for data-intensive or continuous services.</x:v>
      </x:c>
      <x:c r="AG214" s="2" t="str">
        <x:v>The non-physical inputs are calibrated data, metadata, algorithms, boundary conditions, emission or hazard factors, manuals and validation records specific to Inert anode technology for aluminium smelters.</x:v>
      </x:c>
      <x:c r="AH214" s="2" t="str">
        <x:v>Software continuity for Inert anode technology for aluminium smelters requires licences where applicable, updates, cybersecurity patches, backups, calibration files, model validation and technical support.</x:v>
      </x:c>
      <x:c r="AI214" s="2" t="str">
        <x:v>Orgware depends on the institutions, laboratories, training providers, regulators, operators and community interfaces needed to govern Inert anode technology for aluminium smelters.</x:v>
      </x:c>
      <x:c r="AJ214" s="2" t="str">
        <x:v>The orgware supporting Inert anode technology for aluminium smelters has mainly indirect energy use from offices, meetings, training and information systems; travel and field supervision may be material at dispersed sites.</x:v>
      </x:c>
      <x:c r="AK214" s="2" t="str">
        <x:v>Its organisational inputs are permits, budgets, trained staff, competence records, contracts, procedures, safeguards, monitoring evidence and stakeholder agreements tailored to Inert anode technology for aluminium smelters.</x:v>
      </x:c>
      <x:c r="AL214" s="2" t="str">
        <x:v>Sustained implementation of Inert anode technology for aluminium smelters requires procurement and service contracts, audit protocols, training material, reporting templates, insurance or guarantees and periodic independent review.</x:v>
      </x:c>
      <x:c r="AM214" s="2" t="str">
        <x:v>Iron ore / steel inputs</x:v>
      </x:c>
      <x:c r="AN214" s="2" t="str">
        <x:v>Australia; Brazil; China</x:v>
      </x:c>
      <x:c r="AO214" s="2" t="str">
        <x:v>China; India; Japan</x:v>
      </x:c>
      <x:c r="AP214" s="2" t="str">
        <x:v>Inert anode technology for aluminium smelters: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4" s="2" t="str">
        <x:v>2024–2025</x:v>
      </x:c>
      <x:c r="AR214" s="2" t="str">
        <x:v>https://pubs.usgs.gov/periodicals/mcs2026/mcs2026.pdf</x:v>
      </x:c>
    </x:row>
    <x:row r="215" ht="240" customHeight="1">
      <x:c r="A215" s="2" t="str">
        <x:v>MIT-0208</x:v>
      </x:c>
      <x:c r="B215" s="2" t="str">
        <x:v>Mitigation</x:v>
      </x:c>
      <x:c r="C215" s="2" t="str">
        <x:v>Industry</x:v>
      </x:c>
      <x:c r="D215" s="2" t="str">
        <x:v>Mining &amp; production</x:v>
      </x:c>
      <x:c r="E215" s="2" t="str">
        <x:v>Iron &amp; steel processing</x:v>
      </x:c>
      <x:c r="F215" s="2" t="str">
        <x:v>Iron &amp; steel processing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Iron &amp; steel processing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5" s="2" t="str">
        <x:v>Mixed: adaptable design, site-specific implementation</x:v>
      </x:c>
      <x:c r="H215" s="2" t="str">
        <x:v>Iron &amp; steel processing is adaptable in capacity and configuration but site-specific in final engineering. Its principle remains the same, but resource quality, climate, scale, interfaces and safety constraints must be recalculated for each deployment.</x:v>
      </x:c>
      <x:c r="I215" s="2" t="str">
        <x:v>Primarily hard, with a soft component</x:v>
      </x:c>
      <x:c r="J215" s="2" t="str">
        <x:v>Iron &amp; steel processing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5" s="2" t="str">
        <x:v>Equipment and operation</x:v>
      </x:c>
      <x:c r="L215" s="2" t="str">
        <x:v>Iron &amp; steel processing is embodied mainly as an equipment-and-operation system. The deliverable is accepted only when measurable service, quality, safety and climate-performance criteria are met under real conditions.</x:v>
      </x:c>
      <x:c r="M215" s="2" t="str">
        <x:v>Yes, subject to life-cycle safeguards</x:v>
      </x:c>
      <x:c r="N215" s="2" t="str">
        <x:v>Iron &amp; steel processing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5" s="2" t="str">
        <x:v>Iron &amp; steel processing: process reactors or furnaces, heat exchangers, motors and drives, compressors, burners, controls, pollution abatement, material handling and measurement equipment.</x:v>
      </x:c>
      <x:c r="P215" s="2" t="str">
        <x:v>Iron &amp; steel processing: process simulation, pinch and heat-integration analysis, advanced control, production scheduling, quality control, energy management and life-cycle assessment.</x:v>
      </x:c>
      <x:c r="Q215" s="2" t="str">
        <x:v>Iron &amp; steel processing: industrial permits, product standards, operating procedures, maintenance and competence systems, procurement, energy management and industrial-symbiosis agreements.</x:v>
      </x:c>
      <x:c r="R215" s="2" t="str">
        <x:v>Iron &amp; steel processing: industrial site, utilities, fuel and electricity supply, material storage, process buildings, laboratories, waste handling and logistics.</x:v>
      </x:c>
      <x:c r="S215" s="2" t="str">
        <x:v>Iron &amp; steel processing: electricity, steam, process heat, cooling and fuels; useful-energy efficiency, heat recovery and carbon intensity of supply determine savings.</x:v>
      </x:c>
      <x:c r="T215" s="2" t="str">
        <x:v>Iron &amp; steel processing: process feedstocks, steel and refractory materials, catalysts, solvents, lubricants, insulation, piping, sensors and technology-specific alloying elements.</x:v>
      </x:c>
      <x:c r="U215" s="2" t="str">
        <x:v>Iron &amp; steel processing: refractory linings, bearings, seals, valves, filters, burners, electrodes, sensors, control modules, lubricants and calibrated instruments.</x:v>
      </x:c>
      <x:c r="V215" s="2" t="str">
        <x:v>https://www.ctc-n.org/sites/default/files/resources/ctcn_taxonomy_0.pdf</x:v>
      </x:c>
      <x:c r="W215" s="2" t="str">
        <x:v>https://institutoagricoladepueblobello.edu.co/colegiapp/archivostemas/GUIA%209.%5B25%5D.pdf</x:v>
      </x:c>
      <x:c r="X215" s="2" t="str">
        <x:v>https://iiasa.ac.at/what-is-technology</x:v>
      </x:c>
      <x:c r="Y215" s="2" t="str">
        <x:v>https://www.ipcc.ch/report/ar6/wg3/chapter/chapter-11/</x:v>
      </x:c>
      <x:c r="Z215" s="2" t="str">
        <x:v>Technology-specific analytical synthesis. The CTCN hierarchy is retained; classifications and component dependencies require validation against the selected design, site and supplier documentation before investment or policy use.</x:v>
      </x:c>
      <x:c r="AA215" s="2" t="str">
        <x:v>Physical deployment of Iron &amp; steel processing requires industrial site, utilities, fuel and electricity supply, material storage, process buildings, laboratories, waste handling and logistics; interfaces, foundations, access and environmental protection are sized to the specific resource and design load.</x:v>
      </x:c>
      <x:c r="AB215" s="2" t="str">
        <x:v>For Iron &amp; steel processing,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5" s="2" t="str">
        <x:v>Construction and operation use process feedstocks, steel and refractory materials, catalysts, solvents, lubricants, insulation, piping, sensors and technology-specific alloying elements. For Iron &amp; steel processing, specifications must include durability, compatibility, recycled content and recoverability.</x:v>
      </x:c>
      <x:c r="AD215" s="2" t="str">
        <x:v>Maintenance of Iron &amp; steel processing depends on refractory linings, bearings, seals, valves, filters, burners, electrodes, sensors, control modules, lubricants and calibrated instruments; critical spares are selected from failure-mode, lead-time and safety analysis for its installed configuration.</x:v>
      </x:c>
      <x:c r="AE215" s="2" t="str">
        <x:v>The software stack for Iron &amp; steel processing requires databases, secure communications, version-controlled models, computing, backup and interfaces with field or operational systems.</x:v>
      </x:c>
      <x:c r="AF215" s="2" t="str">
        <x:v>For Iron &amp; steel processing, software-related energy is electricity for sensing, computing, storage, communication and cooling; it is normally secondary but must be included for data-intensive or continuous services.</x:v>
      </x:c>
      <x:c r="AG215" s="2" t="str">
        <x:v>The non-physical inputs are calibrated data, metadata, algorithms, boundary conditions, emission or hazard factors, manuals and validation records specific to Iron &amp; steel processing.</x:v>
      </x:c>
      <x:c r="AH215" s="2" t="str">
        <x:v>Software continuity for Iron &amp; steel processing requires licences where applicable, updates, cybersecurity patches, backups, calibration files, model validation and technical support.</x:v>
      </x:c>
      <x:c r="AI215" s="2" t="str">
        <x:v>Orgware depends on the institutions, laboratories, training providers, regulators, operators and community interfaces needed to govern Iron &amp; steel processing.</x:v>
      </x:c>
      <x:c r="AJ215" s="2" t="str">
        <x:v>The orgware supporting Iron &amp; steel processing has mainly indirect energy use from offices, meetings, training and information systems; travel and field supervision may be material at dispersed sites.</x:v>
      </x:c>
      <x:c r="AK215" s="2" t="str">
        <x:v>Its organisational inputs are permits, budgets, trained staff, competence records, contracts, procedures, safeguards, monitoring evidence and stakeholder agreements tailored to Iron &amp; steel processing.</x:v>
      </x:c>
      <x:c r="AL215" s="2" t="str">
        <x:v>Sustained implementation of Iron &amp; steel processing requires procurement and service contracts, audit protocols, training material, reporting templates, insurance or guarantees and periodic independent review.</x:v>
      </x:c>
      <x:c r="AM215" s="2" t="str">
        <x:v>Iron ore / steel inputs; Nickel; Chromium</x:v>
      </x:c>
      <x:c r="AN215" s="2" t="str">
        <x:v>Australia; Brazil; China; Indonesia; Philippines; Russia; South Africa; Kazakhstan; Turkey</x:v>
      </x:c>
      <x:c r="AO215" s="2" t="str">
        <x:v>China; India; Japan; Indonesia; South Africa; Kazakhstan</x:v>
      </x:c>
      <x:c r="AP215" s="2" t="str">
        <x:v>Iron &amp; steel processing: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5" s="2" t="str">
        <x:v>2024–2025</x:v>
      </x:c>
      <x:c r="AR215" s="2" t="str">
        <x:v>https://pubs.usgs.gov/periodicals/mcs2026/mcs2026.pdf; https://www.iea.org/reports/global-critical-minerals-outlook-2025</x:v>
      </x:c>
    </x:row>
    <x:row r="216" ht="240" customHeight="1">
      <x:c r="A216" s="2" t="str">
        <x:v>MIT-0209</x:v>
      </x:c>
      <x:c r="B216" s="2" t="str">
        <x:v>Mitigation</x:v>
      </x:c>
      <x:c r="C216" s="2" t="str">
        <x:v>Industry</x:v>
      </x:c>
      <x:c r="D216" s="2" t="str">
        <x:v>Mining &amp; production</x:v>
      </x:c>
      <x:c r="E216" s="2" t="str">
        <x:v>Aluminium industry</x:v>
      </x:c>
      <x:c r="F216" s="2" t="str">
        <x:v>Aluminium industry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Aluminium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6" s="2" t="str">
        <x:v>Mixed: adaptable design, site-specific implementation</x:v>
      </x:c>
      <x:c r="H216" s="2" t="str">
        <x:v>Aluminium industry is adaptable in capacity and configuration but site-specific in final engineering. Its principle remains the same, but resource quality, climate, scale, interfaces and safety constraints must be recalculated for each deployment.</x:v>
      </x:c>
      <x:c r="I216" s="2" t="str">
        <x:v>Primarily hard, with a soft component</x:v>
      </x:c>
      <x:c r="J216" s="2" t="str">
        <x:v>Aluminium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6" s="2" t="str">
        <x:v>Equipment and operation</x:v>
      </x:c>
      <x:c r="L216" s="2" t="str">
        <x:v>Aluminium industry is embodied mainly as an equipment-and-operation system. The deliverable is accepted only when measurable service, quality, safety and climate-performance criteria are met under real conditions.</x:v>
      </x:c>
      <x:c r="M216" s="2" t="str">
        <x:v>Yes, subject to life-cycle safeguards</x:v>
      </x:c>
      <x:c r="N216" s="2" t="str">
        <x:v>Aluminium industry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6" s="2" t="str">
        <x:v>Aluminium industry: process reactors or furnaces, heat exchangers, motors and drives, compressors, burners, controls, pollution abatement, material handling and measurement equipment.</x:v>
      </x:c>
      <x:c r="P216" s="2" t="str">
        <x:v>Aluminium industry: process simulation, pinch and heat-integration analysis, advanced control, production scheduling, quality control, energy management and life-cycle assessment.</x:v>
      </x:c>
      <x:c r="Q216" s="2" t="str">
        <x:v>Aluminium industry: industrial permits, product standards, operating procedures, maintenance and competence systems, procurement, energy management and industrial-symbiosis agreements.</x:v>
      </x:c>
      <x:c r="R216" s="2" t="str">
        <x:v>Aluminium industry: industrial site, utilities, fuel and electricity supply, material storage, process buildings, laboratories, waste handling and logistics.</x:v>
      </x:c>
      <x:c r="S216" s="2" t="str">
        <x:v>Aluminium industry: electricity, steam, process heat, cooling and fuels; useful-energy efficiency, heat recovery and carbon intensity of supply determine savings.</x:v>
      </x:c>
      <x:c r="T216" s="2" t="str">
        <x:v>Aluminium industry: process feedstocks, steel and refractory materials, catalysts, solvents, lubricants, insulation, piping, sensors and technology-specific alloying elements.</x:v>
      </x:c>
      <x:c r="U216" s="2" t="str">
        <x:v>Aluminium industry: refractory linings, bearings, seals, valves, filters, burners, electrodes, sensors, control modules, lubricants and calibrated instruments.</x:v>
      </x:c>
      <x:c r="V216" s="2" t="str">
        <x:v>https://www.ctc-n.org/sites/default/files/resources/ctcn_taxonomy_0.pdf</x:v>
      </x:c>
      <x:c r="W216" s="2" t="str">
        <x:v>https://institutoagricoladepueblobello.edu.co/colegiapp/archivostemas/GUIA%209.%5B25%5D.pdf</x:v>
      </x:c>
      <x:c r="X216" s="2" t="str">
        <x:v>https://iiasa.ac.at/what-is-technology</x:v>
      </x:c>
      <x:c r="Y216" s="2" t="str">
        <x:v>https://www.ipcc.ch/report/ar6/wg3/chapter/chapter-11/</x:v>
      </x:c>
      <x:c r="Z216" s="2" t="str">
        <x:v>Technology-specific analytical synthesis. The CTCN hierarchy is retained; classifications and component dependencies require validation against the selected design, site and supplier documentation before investment or policy use.</x:v>
      </x:c>
      <x:c r="AA216" s="2" t="str">
        <x:v>Physical deployment of Aluminium industry requires industrial site, utilities, fuel and electricity supply, material storage, process buildings, laboratories, waste handling and logistics; interfaces, foundations, access and environmental protection are sized to the specific resource and design load.</x:v>
      </x:c>
      <x:c r="AB216" s="2" t="str">
        <x:v>For Aluminium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6" s="2" t="str">
        <x:v>Construction and operation use process feedstocks, steel and refractory materials, catalysts, solvents, lubricants, insulation, piping, sensors and technology-specific alloying elements. For Aluminium industry, specifications must include durability, compatibility, recycled content and recoverability.</x:v>
      </x:c>
      <x:c r="AD216" s="2" t="str">
        <x:v>Maintenance of Aluminium industry depends on refractory linings, bearings, seals, valves, filters, burners, electrodes, sensors, control modules, lubricants and calibrated instruments; critical spares are selected from failure-mode, lead-time and safety analysis for its installed configuration.</x:v>
      </x:c>
      <x:c r="AE216" s="2" t="str">
        <x:v>The software stack for Aluminium industry requires databases, secure communications, version-controlled models, computing, backup and interfaces with field or operational systems.</x:v>
      </x:c>
      <x:c r="AF216" s="2" t="str">
        <x:v>For Aluminium industry, software-related energy is electricity for sensing, computing, storage, communication and cooling; it is normally secondary but must be included for data-intensive or continuous services.</x:v>
      </x:c>
      <x:c r="AG216" s="2" t="str">
        <x:v>The non-physical inputs are calibrated data, metadata, algorithms, boundary conditions, emission or hazard factors, manuals and validation records specific to Aluminium industry.</x:v>
      </x:c>
      <x:c r="AH216" s="2" t="str">
        <x:v>Software continuity for Aluminium industry requires licences where applicable, updates, cybersecurity patches, backups, calibration files, model validation and technical support.</x:v>
      </x:c>
      <x:c r="AI216" s="2" t="str">
        <x:v>Orgware depends on the institutions, laboratories, training providers, regulators, operators and community interfaces needed to govern Aluminium industry.</x:v>
      </x:c>
      <x:c r="AJ216" s="2" t="str">
        <x:v>The orgware supporting Aluminium industry has mainly indirect energy use from offices, meetings, training and information systems; travel and field supervision may be material at dispersed sites.</x:v>
      </x:c>
      <x:c r="AK216" s="2" t="str">
        <x:v>Its organisational inputs are permits, budgets, trained staff, competence records, contracts, procedures, safeguards, monitoring evidence and stakeholder agreements tailored to Aluminium industry.</x:v>
      </x:c>
      <x:c r="AL216" s="2" t="str">
        <x:v>Sustained implementation of Aluminium industry requires procurement and service contracts, audit protocols, training material, reporting templates, insurance or guarantees and periodic independent review.</x:v>
      </x:c>
      <x:c r="AM216" s="2" t="str">
        <x:v>Iron ore / steel inputs</x:v>
      </x:c>
      <x:c r="AN216" s="2" t="str">
        <x:v>Australia; Brazil; China</x:v>
      </x:c>
      <x:c r="AO216" s="2" t="str">
        <x:v>China; India; Japan</x:v>
      </x:c>
      <x:c r="AP216" s="2" t="str">
        <x:v>Aluminium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6" s="2" t="str">
        <x:v>2024–2025</x:v>
      </x:c>
      <x:c r="AR216" s="2" t="str">
        <x:v>https://pubs.usgs.gov/periodicals/mcs2026/mcs2026.pdf</x:v>
      </x:c>
    </x:row>
    <x:row r="217" ht="240" customHeight="1">
      <x:c r="A217" s="2" t="str">
        <x:v>MIT-0210</x:v>
      </x:c>
      <x:c r="B217" s="2" t="str">
        <x:v>Mitigation</x:v>
      </x:c>
      <x:c r="C217" s="2" t="str">
        <x:v>Industry</x:v>
      </x:c>
      <x:c r="D217" s="2" t="str">
        <x:v>Mining &amp; production</x:v>
      </x:c>
      <x:c r="E217" s="2" t="str">
        <x:v>Scrap preheating for iron and steel</x:v>
      </x:c>
      <x:c r="F217" s="2" t="str">
        <x:v>Scrap preheating for iron and steel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Scrap preheating for iron and steel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7" s="2" t="str">
        <x:v>Mixed: adaptable design, site-specific implementation</x:v>
      </x:c>
      <x:c r="H217" s="2" t="str">
        <x:v>Scrap preheating for iron and steel is adaptable in capacity and configuration but site-specific in final engineering. Its principle remains the same, but resource quality, climate, scale, interfaces and safety constraints must be recalculated for each deployment.</x:v>
      </x:c>
      <x:c r="I217" s="2" t="str">
        <x:v>Primarily hard, with a soft component</x:v>
      </x:c>
      <x:c r="J217" s="2" t="str">
        <x:v>Scrap preheating for iron and steel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7" s="2" t="str">
        <x:v>Equipment and operation</x:v>
      </x:c>
      <x:c r="L217" s="2" t="str">
        <x:v>Scrap preheating for iron and steel is embodied mainly as an equipment-and-operation system. The deliverable is accepted only when measurable service, quality, safety and climate-performance criteria are met under real conditions.</x:v>
      </x:c>
      <x:c r="M217" s="2" t="str">
        <x:v>Yes, subject to life-cycle safeguards</x:v>
      </x:c>
      <x:c r="N217" s="2" t="str">
        <x:v>Scrap preheating for iron and steel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7" s="2" t="str">
        <x:v>Scrap preheating for iron and steel: process reactors or furnaces, heat exchangers, motors and drives, compressors, burners, controls, pollution abatement, material handling and measurement equipment.</x:v>
      </x:c>
      <x:c r="P217" s="2" t="str">
        <x:v>Scrap preheating for iron and steel: process simulation, pinch and heat-integration analysis, advanced control, production scheduling, quality control, energy management and life-cycle assessment.</x:v>
      </x:c>
      <x:c r="Q217" s="2" t="str">
        <x:v>Scrap preheating for iron and steel: industrial permits, product standards, operating procedures, maintenance and competence systems, procurement, energy management and industrial-symbiosis agreements.</x:v>
      </x:c>
      <x:c r="R217" s="2" t="str">
        <x:v>Scrap preheating for iron and steel: industrial site, utilities, fuel and electricity supply, material storage, process buildings, laboratories, waste handling and logistics.</x:v>
      </x:c>
      <x:c r="S217" s="2" t="str">
        <x:v>Scrap preheating for iron and steel: electricity, steam, process heat, cooling and fuels; useful-energy efficiency, heat recovery and carbon intensity of supply determine savings.</x:v>
      </x:c>
      <x:c r="T217" s="2" t="str">
        <x:v>Scrap preheating for iron and steel: process feedstocks, steel and refractory materials, catalysts, solvents, lubricants, insulation, piping, sensors and technology-specific alloying elements.</x:v>
      </x:c>
      <x:c r="U217" s="2" t="str">
        <x:v>Scrap preheating for iron and steel: refractory linings, bearings, seals, valves, filters, burners, electrodes, sensors, control modules, lubricants and calibrated instruments.</x:v>
      </x:c>
      <x:c r="V217" s="2" t="str">
        <x:v>https://www.ctc-n.org/sites/default/files/resources/ctcn_taxonomy_0.pdf</x:v>
      </x:c>
      <x:c r="W217" s="2" t="str">
        <x:v>https://institutoagricoladepueblobello.edu.co/colegiapp/archivostemas/GUIA%209.%5B25%5D.pdf</x:v>
      </x:c>
      <x:c r="X217" s="2" t="str">
        <x:v>https://iiasa.ac.at/what-is-technology</x:v>
      </x:c>
      <x:c r="Y217" s="2" t="str">
        <x:v>https://www.ipcc.ch/report/ar6/wg3/chapter/chapter-11/</x:v>
      </x:c>
      <x:c r="Z217" s="2" t="str">
        <x:v>Technology-specific analytical synthesis. The CTCN hierarchy is retained; classifications and component dependencies require validation against the selected design, site and supplier documentation before investment or policy use.</x:v>
      </x:c>
      <x:c r="AA217" s="2" t="str">
        <x:v>Physical deployment of Scrap preheating for iron and steel requires industrial site, utilities, fuel and electricity supply, material storage, process buildings, laboratories, waste handling and logistics; interfaces, foundations, access and environmental protection are sized to the specific resource and design load.</x:v>
      </x:c>
      <x:c r="AB217" s="2" t="str">
        <x:v>For Scrap preheating for iron and steel,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7" s="2" t="str">
        <x:v>Construction and operation use process feedstocks, steel and refractory materials, catalysts, solvents, lubricants, insulation, piping, sensors and technology-specific alloying elements. For Scrap preheating for iron and steel, specifications must include durability, compatibility, recycled content and recoverability.</x:v>
      </x:c>
      <x:c r="AD217" s="2" t="str">
        <x:v>Maintenance of Scrap preheating for iron and steel depends on refractory linings, bearings, seals, valves, filters, burners, electrodes, sensors, control modules, lubricants and calibrated instruments; critical spares are selected from failure-mode, lead-time and safety analysis for its installed configuration.</x:v>
      </x:c>
      <x:c r="AE217" s="2" t="str">
        <x:v>The software stack for Scrap preheating for iron and steel requires databases, secure communications, version-controlled models, computing, backup and interfaces with field or operational systems.</x:v>
      </x:c>
      <x:c r="AF217" s="2" t="str">
        <x:v>For Scrap preheating for iron and steel, software-related energy is electricity for sensing, computing, storage, communication and cooling; it is normally secondary but must be included for data-intensive or continuous services.</x:v>
      </x:c>
      <x:c r="AG217" s="2" t="str">
        <x:v>The non-physical inputs are calibrated data, metadata, algorithms, boundary conditions, emission or hazard factors, manuals and validation records specific to Scrap preheating for iron and steel.</x:v>
      </x:c>
      <x:c r="AH217" s="2" t="str">
        <x:v>Software continuity for Scrap preheating for iron and steel requires licences where applicable, updates, cybersecurity patches, backups, calibration files, model validation and technical support.</x:v>
      </x:c>
      <x:c r="AI217" s="2" t="str">
        <x:v>Orgware depends on the institutions, laboratories, training providers, regulators, operators and community interfaces needed to govern Scrap preheating for iron and steel.</x:v>
      </x:c>
      <x:c r="AJ217" s="2" t="str">
        <x:v>The orgware supporting Scrap preheating for iron and steel has mainly indirect energy use from offices, meetings, training and information systems; travel and field supervision may be material at dispersed sites.</x:v>
      </x:c>
      <x:c r="AK217" s="2" t="str">
        <x:v>Its organisational inputs are permits, budgets, trained staff, competence records, contracts, procedures, safeguards, monitoring evidence and stakeholder agreements tailored to Scrap preheating for iron and steel.</x:v>
      </x:c>
      <x:c r="AL217" s="2" t="str">
        <x:v>Sustained implementation of Scrap preheating for iron and steel requires procurement and service contracts, audit protocols, training material, reporting templates, insurance or guarantees and periodic independent review.</x:v>
      </x:c>
      <x:c r="AM217" s="2" t="str">
        <x:v>Iron ore / steel inputs; Nickel; Chromium</x:v>
      </x:c>
      <x:c r="AN217" s="2" t="str">
        <x:v>Australia; Brazil; China; Indonesia; Philippines; Russia; South Africa; Kazakhstan; Turkey</x:v>
      </x:c>
      <x:c r="AO217" s="2" t="str">
        <x:v>China; India; Japan; Indonesia; South Africa; Kazakhstan</x:v>
      </x:c>
      <x:c r="AP217" s="2" t="str">
        <x:v>Scrap preheating for iron and steel: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7" s="2" t="str">
        <x:v>2024–2025</x:v>
      </x:c>
      <x:c r="AR217" s="2" t="str">
        <x:v>https://pubs.usgs.gov/periodicals/mcs2026/mcs2026.pdf; https://www.iea.org/reports/global-critical-minerals-outlook-2025</x:v>
      </x:c>
    </x:row>
    <x:row r="218" ht="240" customHeight="1">
      <x:c r="A218" s="2" t="str">
        <x:v>MIT-0211</x:v>
      </x:c>
      <x:c r="B218" s="2" t="str">
        <x:v>Mitigation</x:v>
      </x:c>
      <x:c r="C218" s="2" t="str">
        <x:v>Industry</x:v>
      </x:c>
      <x:c r="D218" s="2" t="str">
        <x:v>Mining &amp; production</x:v>
      </x:c>
      <x:c r="E218" s="2" t="str">
        <x:v>Improved efficiency in mining and resource extraction</x:v>
      </x:c>
      <x:c r="F218" s="2" t="str">
        <x:v>Improved efficiency in mining and resource extraction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Improved efficiency in mining and resource extraction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8" s="2" t="str">
        <x:v>Mixed: adaptable design, site-specific implementation</x:v>
      </x:c>
      <x:c r="H218" s="2" t="str">
        <x:v>Improved efficiency in mining and resource extraction is adaptable in capacity and configuration but site-specific in final engineering. Its principle remains the same, but resource quality, climate, scale, interfaces and safety constraints must be recalculated for each deployment.</x:v>
      </x:c>
      <x:c r="I218" s="2" t="str">
        <x:v>Primarily hard, with a soft component</x:v>
      </x:c>
      <x:c r="J218" s="2" t="str">
        <x:v>Improved efficiency in mining and resource extraction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8" s="2" t="str">
        <x:v>Equipment and operation</x:v>
      </x:c>
      <x:c r="L218" s="2" t="str">
        <x:v>Improved efficiency in mining and resource extraction is embodied mainly as an equipment-and-operation system. The deliverable is accepted only when measurable service, quality, safety and climate-performance criteria are met under real conditions.</x:v>
      </x:c>
      <x:c r="M218" s="2" t="str">
        <x:v>Yes, subject to life-cycle safeguards</x:v>
      </x:c>
      <x:c r="N218" s="2" t="str">
        <x:v>Improved efficiency in mining and resource extraction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8" s="2" t="str">
        <x:v>Improved efficiency in mining and resource extraction: process reactors or furnaces, heat exchangers, motors and drives, compressors, burners, controls, pollution abatement, material handling and measurement equipment.</x:v>
      </x:c>
      <x:c r="P218" s="2" t="str">
        <x:v>Improved efficiency in mining and resource extraction: process simulation, pinch and heat-integration analysis, advanced control, production scheduling, quality control, energy management and life-cycle assessment.</x:v>
      </x:c>
      <x:c r="Q218" s="2" t="str">
        <x:v>Improved efficiency in mining and resource extraction: industrial permits, product standards, operating procedures, maintenance and competence systems, procurement, energy management and industrial-symbiosis agreements.</x:v>
      </x:c>
      <x:c r="R218" s="2" t="str">
        <x:v>Improved efficiency in mining and resource extraction: industrial site, utilities, fuel and electricity supply, material storage, process buildings, laboratories, waste handling and logistics.</x:v>
      </x:c>
      <x:c r="S218" s="2" t="str">
        <x:v>Improved efficiency in mining and resource extraction: electricity, steam, process heat, cooling and fuels; useful-energy efficiency, heat recovery and carbon intensity of supply determine savings.</x:v>
      </x:c>
      <x:c r="T218" s="2" t="str">
        <x:v>Improved efficiency in mining and resource extraction: process feedstocks, steel and refractory materials, catalysts, solvents, lubricants, insulation, piping, sensors and technology-specific alloying elements.</x:v>
      </x:c>
      <x:c r="U218" s="2" t="str">
        <x:v>Improved efficiency in mining and resource extraction: refractory linings, bearings, seals, valves, filters, burners, electrodes, sensors, control modules, lubricants and calibrated instruments.</x:v>
      </x:c>
      <x:c r="V218" s="2" t="str">
        <x:v>https://www.ctc-n.org/sites/default/files/resources/ctcn_taxonomy_0.pdf</x:v>
      </x:c>
      <x:c r="W218" s="2" t="str">
        <x:v>https://institutoagricoladepueblobello.edu.co/colegiapp/archivostemas/GUIA%209.%5B25%5D.pdf</x:v>
      </x:c>
      <x:c r="X218" s="2" t="str">
        <x:v>https://iiasa.ac.at/what-is-technology</x:v>
      </x:c>
      <x:c r="Y218" s="2" t="str">
        <x:v>https://www.ipcc.ch/report/ar6/wg3/chapter/chapter-11/</x:v>
      </x:c>
      <x:c r="Z218" s="2" t="str">
        <x:v>Technology-specific analytical synthesis. The CTCN hierarchy is retained; classifications and component dependencies require validation against the selected design, site and supplier documentation before investment or policy use.</x:v>
      </x:c>
      <x:c r="AA218" s="2" t="str">
        <x:v>Physical deployment of Improved efficiency in mining and resource extraction requires industrial site, utilities, fuel and electricity supply, material storage, process buildings, laboratories, waste handling and logistics; interfaces, foundations, access and environmental protection are sized to the specific resource and design load.</x:v>
      </x:c>
      <x:c r="AB218" s="2" t="str">
        <x:v>For Improved efficiency in mining and resource extraction,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8" s="2" t="str">
        <x:v>Construction and operation use process feedstocks, steel and refractory materials, catalysts, solvents, lubricants, insulation, piping, sensors and technology-specific alloying elements. For Improved efficiency in mining and resource extraction, specifications must include durability, compatibility, recycled content and recoverability.</x:v>
      </x:c>
      <x:c r="AD218" s="2" t="str">
        <x:v>Maintenance of Improved efficiency in mining and resource extraction depends on refractory linings, bearings, seals, valves, filters, burners, electrodes, sensors, control modules, lubricants and calibrated instruments; critical spares are selected from failure-mode, lead-time and safety analysis for its installed configuration.</x:v>
      </x:c>
      <x:c r="AE218" s="2" t="str">
        <x:v>The software stack for Improved efficiency in mining and resource extraction requires databases, secure communications, version-controlled models, computing, backup and interfaces with field or operational systems.</x:v>
      </x:c>
      <x:c r="AF218" s="2" t="str">
        <x:v>For Improved efficiency in mining and resource extraction, software-related energy is electricity for sensing, computing, storage, communication and cooling; it is normally secondary but must be included for data-intensive or continuous services.</x:v>
      </x:c>
      <x:c r="AG218" s="2" t="str">
        <x:v>The non-physical inputs are calibrated data, metadata, algorithms, boundary conditions, emission or hazard factors, manuals and validation records specific to Improved efficiency in mining and resource extraction.</x:v>
      </x:c>
      <x:c r="AH218" s="2" t="str">
        <x:v>Software continuity for Improved efficiency in mining and resource extraction requires licences where applicable, updates, cybersecurity patches, backups, calibration files, model validation and technical support.</x:v>
      </x:c>
      <x:c r="AI218" s="2" t="str">
        <x:v>Orgware depends on the institutions, laboratories, training providers, regulators, operators and community interfaces needed to govern Improved efficiency in mining and resource extraction.</x:v>
      </x:c>
      <x:c r="AJ218" s="2" t="str">
        <x:v>The orgware supporting Improved efficiency in mining and resource extraction has mainly indirect energy use from offices, meetings, training and information systems; travel and field supervision may be material at dispersed sites.</x:v>
      </x:c>
      <x:c r="AK218" s="2" t="str">
        <x:v>Its organisational inputs are permits, budgets, trained staff, competence records, contracts, procedures, safeguards, monitoring evidence and stakeholder agreements tailored to Improved efficiency in mining and resource extraction.</x:v>
      </x:c>
      <x:c r="AL218" s="2" t="str">
        <x:v>Sustained implementation of Improved efficiency in mining and resource extraction requires procurement and service contracts, audit protocols, training material, reporting templates, insurance or guarantees and periodic independent review.</x:v>
      </x:c>
      <x:c r="AM218" s="2" t="str">
        <x:v>Iron ore / steel inputs</x:v>
      </x:c>
      <x:c r="AN218" s="2" t="str">
        <x:v>Australia; Brazil; China</x:v>
      </x:c>
      <x:c r="AO218" s="2" t="str">
        <x:v>China; India; Japan</x:v>
      </x:c>
      <x:c r="AP218" s="2" t="str">
        <x:v>Improved efficiency in mining and resource extraction: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8" s="2" t="str">
        <x:v>2024–2025</x:v>
      </x:c>
      <x:c r="AR218" s="2" t="str">
        <x:v>https://pubs.usgs.gov/periodicals/mcs2026/mcs2026.pdf</x:v>
      </x:c>
    </x:row>
    <x:row r="219" ht="240" customHeight="1">
      <x:c r="A219" s="2" t="str">
        <x:v>MIT-0212</x:v>
      </x:c>
      <x:c r="B219" s="2" t="str">
        <x:v>Mitigation</x:v>
      </x:c>
      <x:c r="C219" s="2" t="str">
        <x:v>Industry</x:v>
      </x:c>
      <x:c r="D219" s="2" t="str">
        <x:v>Mining &amp; production</x:v>
      </x:c>
      <x:c r="E219" s="2" t="str">
        <x:v>Smelt reduction for iron and steel sector</x:v>
      </x:c>
      <x:c r="F219" s="2" t="str">
        <x:v>Smelt reduction for iron and steel sector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Smelt reduction for iron and steel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9" s="2" t="str">
        <x:v>Mixed: adaptable design, site-specific implementation</x:v>
      </x:c>
      <x:c r="H219" s="2" t="str">
        <x:v>Smelt reduction for iron and steel sector is adaptable in capacity and configuration but site-specific in final engineering. Its principle remains the same, but resource quality, climate, scale, interfaces and safety constraints must be recalculated for each deployment.</x:v>
      </x:c>
      <x:c r="I219" s="2" t="str">
        <x:v>Primarily hard, with a soft component</x:v>
      </x:c>
      <x:c r="J219" s="2" t="str">
        <x:v>Smelt reduction for iron and steel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9" s="2" t="str">
        <x:v>Equipment and operation</x:v>
      </x:c>
      <x:c r="L219" s="2" t="str">
        <x:v>Smelt reduction for iron and steel sector is embodied mainly as an equipment-and-operation system. The deliverable is accepted only when measurable service, quality, safety and climate-performance criteria are met under real conditions.</x:v>
      </x:c>
      <x:c r="M219" s="2" t="str">
        <x:v>Yes, subject to life-cycle safeguards</x:v>
      </x:c>
      <x:c r="N219" s="2" t="str">
        <x:v>Smelt reduction for iron and steel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9" s="2" t="str">
        <x:v>Smelt reduction for iron and steel sector: process reactors or furnaces, heat exchangers, motors and drives, compressors, burners, controls, pollution abatement, material handling and measurement equipment.</x:v>
      </x:c>
      <x:c r="P219" s="2" t="str">
        <x:v>Smelt reduction for iron and steel sector: process simulation, pinch and heat-integration analysis, advanced control, production scheduling, quality control, energy management and life-cycle assessment.</x:v>
      </x:c>
      <x:c r="Q219" s="2" t="str">
        <x:v>Smelt reduction for iron and steel sector: industrial permits, product standards, operating procedures, maintenance and competence systems, procurement, energy management and industrial-symbiosis agreements.</x:v>
      </x:c>
      <x:c r="R219" s="2" t="str">
        <x:v>Smelt reduction for iron and steel sector: industrial site, utilities, fuel and electricity supply, material storage, process buildings, laboratories, waste handling and logistics.</x:v>
      </x:c>
      <x:c r="S219" s="2" t="str">
        <x:v>Smelt reduction for iron and steel sector: electricity, steam, process heat, cooling and fuels; useful-energy efficiency, heat recovery and carbon intensity of supply determine savings.</x:v>
      </x:c>
      <x:c r="T219" s="2" t="str">
        <x:v>Smelt reduction for iron and steel sector: process feedstocks, steel and refractory materials, catalysts, solvents, lubricants, insulation, piping, sensors and technology-specific alloying elements.</x:v>
      </x:c>
      <x:c r="U219" s="2" t="str">
        <x:v>Smelt reduction for iron and steel sector: refractory linings, bearings, seals, valves, filters, burners, electrodes, sensors, control modules, lubricants and calibrated instruments.</x:v>
      </x:c>
      <x:c r="V219" s="2" t="str">
        <x:v>https://www.ctc-n.org/sites/default/files/resources/ctcn_taxonomy_0.pdf</x:v>
      </x:c>
      <x:c r="W219" s="2" t="str">
        <x:v>https://institutoagricoladepueblobello.edu.co/colegiapp/archivostemas/GUIA%209.%5B25%5D.pdf</x:v>
      </x:c>
      <x:c r="X219" s="2" t="str">
        <x:v>https://iiasa.ac.at/what-is-technology</x:v>
      </x:c>
      <x:c r="Y219" s="2" t="str">
        <x:v>https://www.ipcc.ch/report/ar6/wg3/chapter/chapter-11/</x:v>
      </x:c>
      <x:c r="Z219" s="2" t="str">
        <x:v>Technology-specific analytical synthesis. The CTCN hierarchy is retained; classifications and component dependencies require validation against the selected design, site and supplier documentation before investment or policy use.</x:v>
      </x:c>
      <x:c r="AA219" s="2" t="str">
        <x:v>Physical deployment of Smelt reduction for iron and steel sector requires industrial site, utilities, fuel and electricity supply, material storage, process buildings, laboratories, waste handling and logistics; interfaces, foundations, access and environmental protection are sized to the specific resource and design load.</x:v>
      </x:c>
      <x:c r="AB219" s="2" t="str">
        <x:v>For Smelt reduction for iron and steel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9" s="2" t="str">
        <x:v>Construction and operation use process feedstocks, steel and refractory materials, catalysts, solvents, lubricants, insulation, piping, sensors and technology-specific alloying elements. For Smelt reduction for iron and steel sector, specifications must include durability, compatibility, recycled content and recoverability.</x:v>
      </x:c>
      <x:c r="AD219" s="2" t="str">
        <x:v>Maintenance of Smelt reduction for iron and steel sector depends on refractory linings, bearings, seals, valves, filters, burners, electrodes, sensors, control modules, lubricants and calibrated instruments; critical spares are selected from failure-mode, lead-time and safety analysis for its installed configuration.</x:v>
      </x:c>
      <x:c r="AE219" s="2" t="str">
        <x:v>The software stack for Smelt reduction for iron and steel sector requires databases, secure communications, version-controlled models, computing, backup and interfaces with field or operational systems.</x:v>
      </x:c>
      <x:c r="AF219" s="2" t="str">
        <x:v>For Smelt reduction for iron and steel sector, software-related energy is electricity for sensing, computing, storage, communication and cooling; it is normally secondary but must be included for data-intensive or continuous services.</x:v>
      </x:c>
      <x:c r="AG219" s="2" t="str">
        <x:v>The non-physical inputs are calibrated data, metadata, algorithms, boundary conditions, emission or hazard factors, manuals and validation records specific to Smelt reduction for iron and steel sector.</x:v>
      </x:c>
      <x:c r="AH219" s="2" t="str">
        <x:v>Software continuity for Smelt reduction for iron and steel sector requires licences where applicable, updates, cybersecurity patches, backups, calibration files, model validation and technical support.</x:v>
      </x:c>
      <x:c r="AI219" s="2" t="str">
        <x:v>Orgware depends on the institutions, laboratories, training providers, regulators, operators and community interfaces needed to govern Smelt reduction for iron and steel sector.</x:v>
      </x:c>
      <x:c r="AJ219" s="2" t="str">
        <x:v>The orgware supporting Smelt reduction for iron and steel sector has mainly indirect energy use from offices, meetings, training and information systems; travel and field supervision may be material at dispersed sites.</x:v>
      </x:c>
      <x:c r="AK219" s="2" t="str">
        <x:v>Its organisational inputs are permits, budgets, trained staff, competence records, contracts, procedures, safeguards, monitoring evidence and stakeholder agreements tailored to Smelt reduction for iron and steel sector.</x:v>
      </x:c>
      <x:c r="AL219" s="2" t="str">
        <x:v>Sustained implementation of Smelt reduction for iron and steel sector requires procurement and service contracts, audit protocols, training material, reporting templates, insurance or guarantees and periodic independent review.</x:v>
      </x:c>
      <x:c r="AM219" s="2" t="str">
        <x:v>Iron ore / steel inputs; Nickel; Chromium</x:v>
      </x:c>
      <x:c r="AN219" s="2" t="str">
        <x:v>Australia; Brazil; China; Indonesia; Philippines; Russia; South Africa; Kazakhstan; Turkey</x:v>
      </x:c>
      <x:c r="AO219" s="2" t="str">
        <x:v>China; India; Japan; Indonesia; South Africa; Kazakhstan</x:v>
      </x:c>
      <x:c r="AP219" s="2" t="str">
        <x:v>Smelt reduction for iron and steel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9" s="2" t="str">
        <x:v>2024–2025</x:v>
      </x:c>
      <x:c r="AR219" s="2" t="str">
        <x:v>https://pubs.usgs.gov/periodicals/mcs2026/mcs2026.pdf; https://www.iea.org/reports/global-critical-minerals-outlook-2025</x:v>
      </x:c>
    </x:row>
    <x:row r="220" ht="240" customHeight="1">
      <x:c r="A220" s="2" t="str">
        <x:v>MIT-0213</x:v>
      </x:c>
      <x:c r="B220" s="2" t="str">
        <x:v>Mitigation</x:v>
      </x:c>
      <x:c r="C220" s="2" t="str">
        <x:v>Industry</x:v>
      </x:c>
      <x:c r="D220" s="2" t="str">
        <x:v>Mining &amp; production</x:v>
      </x:c>
      <x:c r="E220" s="2" t="str">
        <x:v>Advanced wet quenching for iron and steel sector</x:v>
      </x:c>
      <x:c r="F220" s="2" t="str">
        <x:v>Advanced wet quenching for iron and steel sector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Advanced wet quenching for iron and steel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0" s="2" t="str">
        <x:v>Mixed: adaptable design, site-specific implementation</x:v>
      </x:c>
      <x:c r="H220" s="2" t="str">
        <x:v>Advanced wet quenching for iron and steel sector is adaptable in capacity and configuration but site-specific in final engineering. Its principle remains the same, but resource quality, climate, scale, interfaces and safety constraints must be recalculated for each deployment.</x:v>
      </x:c>
      <x:c r="I220" s="2" t="str">
        <x:v>Primarily hard, with a soft component</x:v>
      </x:c>
      <x:c r="J220" s="2" t="str">
        <x:v>Advanced wet quenching for iron and steel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0" s="2" t="str">
        <x:v>Equipment and operation</x:v>
      </x:c>
      <x:c r="L220" s="2" t="str">
        <x:v>Advanced wet quenching for iron and steel sector is embodied mainly as an equipment-and-operation system. The deliverable is accepted only when measurable service, quality, safety and climate-performance criteria are met under real conditions.</x:v>
      </x:c>
      <x:c r="M220" s="2" t="str">
        <x:v>Yes, subject to life-cycle safeguards</x:v>
      </x:c>
      <x:c r="N220" s="2" t="str">
        <x:v>Advanced wet quenching for iron and steel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0" s="2" t="str">
        <x:v>Advanced wet quenching for iron and steel sector: process reactors or furnaces, heat exchangers, motors and drives, compressors, burners, controls, pollution abatement, material handling and measurement equipment.</x:v>
      </x:c>
      <x:c r="P220" s="2" t="str">
        <x:v>Advanced wet quenching for iron and steel sector: process simulation, pinch and heat-integration analysis, advanced control, production scheduling, quality control, energy management and life-cycle assessment.</x:v>
      </x:c>
      <x:c r="Q220" s="2" t="str">
        <x:v>Advanced wet quenching for iron and steel sector: industrial permits, product standards, operating procedures, maintenance and competence systems, procurement, energy management and industrial-symbiosis agreements.</x:v>
      </x:c>
      <x:c r="R220" s="2" t="str">
        <x:v>Advanced wet quenching for iron and steel sector: industrial site, utilities, fuel and electricity supply, material storage, process buildings, laboratories, waste handling and logistics.</x:v>
      </x:c>
      <x:c r="S220" s="2" t="str">
        <x:v>Advanced wet quenching for iron and steel sector: electricity, steam, process heat, cooling and fuels; useful-energy efficiency, heat recovery and carbon intensity of supply determine savings.</x:v>
      </x:c>
      <x:c r="T220" s="2" t="str">
        <x:v>Advanced wet quenching for iron and steel sector: process feedstocks, steel and refractory materials, catalysts, solvents, lubricants, insulation, piping, sensors and technology-specific alloying elements.</x:v>
      </x:c>
      <x:c r="U220" s="2" t="str">
        <x:v>Advanced wet quenching for iron and steel sector: refractory linings, bearings, seals, valves, filters, burners, electrodes, sensors, control modules, lubricants and calibrated instruments.</x:v>
      </x:c>
      <x:c r="V220" s="2" t="str">
        <x:v>https://www.ctc-n.org/sites/default/files/resources/ctcn_taxonomy_0.pdf</x:v>
      </x:c>
      <x:c r="W220" s="2" t="str">
        <x:v>https://institutoagricoladepueblobello.edu.co/colegiapp/archivostemas/GUIA%209.%5B25%5D.pdf</x:v>
      </x:c>
      <x:c r="X220" s="2" t="str">
        <x:v>https://iiasa.ac.at/what-is-technology</x:v>
      </x:c>
      <x:c r="Y220" s="2" t="str">
        <x:v>https://www.ipcc.ch/report/ar6/wg3/chapter/chapter-11/</x:v>
      </x:c>
      <x:c r="Z220" s="2" t="str">
        <x:v>Technology-specific analytical synthesis. The CTCN hierarchy is retained; classifications and component dependencies require validation against the selected design, site and supplier documentation before investment or policy use.</x:v>
      </x:c>
      <x:c r="AA220" s="2" t="str">
        <x:v>Physical deployment of Advanced wet quenching for iron and steel sector requires industrial site, utilities, fuel and electricity supply, material storage, process buildings, laboratories, waste handling and logistics; interfaces, foundations, access and environmental protection are sized to the specific resource and design load.</x:v>
      </x:c>
      <x:c r="AB220" s="2" t="str">
        <x:v>For Advanced wet quenching for iron and steel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0" s="2" t="str">
        <x:v>Construction and operation use process feedstocks, steel and refractory materials, catalysts, solvents, lubricants, insulation, piping, sensors and technology-specific alloying elements. For Advanced wet quenching for iron and steel sector, specifications must include durability, compatibility, recycled content and recoverability.</x:v>
      </x:c>
      <x:c r="AD220" s="2" t="str">
        <x:v>Maintenance of Advanced wet quenching for iron and steel sector depends on refractory linings, bearings, seals, valves, filters, burners, electrodes, sensors, control modules, lubricants and calibrated instruments; critical spares are selected from failure-mode, lead-time and safety analysis for its installed configuration.</x:v>
      </x:c>
      <x:c r="AE220" s="2" t="str">
        <x:v>The software stack for Advanced wet quenching for iron and steel sector requires databases, secure communications, version-controlled models, computing, backup and interfaces with field or operational systems.</x:v>
      </x:c>
      <x:c r="AF220" s="2" t="str">
        <x:v>For Advanced wet quenching for iron and steel sector, software-related energy is electricity for sensing, computing, storage, communication and cooling; it is normally secondary but must be included for data-intensive or continuous services.</x:v>
      </x:c>
      <x:c r="AG220" s="2" t="str">
        <x:v>The non-physical inputs are calibrated data, metadata, algorithms, boundary conditions, emission or hazard factors, manuals and validation records specific to Advanced wet quenching for iron and steel sector.</x:v>
      </x:c>
      <x:c r="AH220" s="2" t="str">
        <x:v>Software continuity for Advanced wet quenching for iron and steel sector requires licences where applicable, updates, cybersecurity patches, backups, calibration files, model validation and technical support.</x:v>
      </x:c>
      <x:c r="AI220" s="2" t="str">
        <x:v>Orgware depends on the institutions, laboratories, training providers, regulators, operators and community interfaces needed to govern Advanced wet quenching for iron and steel sector.</x:v>
      </x:c>
      <x:c r="AJ220" s="2" t="str">
        <x:v>The orgware supporting Advanced wet quenching for iron and steel sector has mainly indirect energy use from offices, meetings, training and information systems; travel and field supervision may be material at dispersed sites.</x:v>
      </x:c>
      <x:c r="AK220" s="2" t="str">
        <x:v>Its organisational inputs are permits, budgets, trained staff, competence records, contracts, procedures, safeguards, monitoring evidence and stakeholder agreements tailored to Advanced wet quenching for iron and steel sector.</x:v>
      </x:c>
      <x:c r="AL220" s="2" t="str">
        <x:v>Sustained implementation of Advanced wet quenching for iron and steel sector requires procurement and service contracts, audit protocols, training material, reporting templates, insurance or guarantees and periodic independent review.</x:v>
      </x:c>
      <x:c r="AM220" s="2" t="str">
        <x:v>Iron ore / steel inputs; Nickel; Chromium</x:v>
      </x:c>
      <x:c r="AN220" s="2" t="str">
        <x:v>Australia; Brazil; China; Indonesia; Philippines; Russia; South Africa; Kazakhstan; Turkey</x:v>
      </x:c>
      <x:c r="AO220" s="2" t="str">
        <x:v>China; India; Japan; Indonesia; South Africa; Kazakhstan</x:v>
      </x:c>
      <x:c r="AP220" s="2" t="str">
        <x:v>Advanced wet quenching for iron and steel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0" s="2" t="str">
        <x:v>2024–2025</x:v>
      </x:c>
      <x:c r="AR220" s="2" t="str">
        <x:v>https://pubs.usgs.gov/periodicals/mcs2026/mcs2026.pdf; https://www.iea.org/reports/global-critical-minerals-outlook-2025</x:v>
      </x:c>
    </x:row>
    <x:row r="221" ht="240" customHeight="1">
      <x:c r="A221" s="2" t="str">
        <x:v>MIT-0214</x:v>
      </x:c>
      <x:c r="B221" s="2" t="str">
        <x:v>Mitigation</x:v>
      </x:c>
      <x:c r="C221" s="2" t="str">
        <x:v>Industry</x:v>
      </x:c>
      <x:c r="D221" s="2" t="str">
        <x:v>Fossil fuel shift</x:v>
      </x:c>
      <x:c r="E221" s="2" t="str">
        <x:v>Oil to electricity</x:v>
      </x:c>
      <x:c r="F221" s="2" t="str">
        <x:v>Oil to electricity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Oil to electricity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1" s="2" t="str">
        <x:v>Mixed: adaptable design, site-specific implementation</x:v>
      </x:c>
      <x:c r="H221" s="2" t="str">
        <x:v>Oil to electricity is adaptable in capacity and configuration but site-specific in final engineering. Its principle remains the same, but resource quality, climate, scale, interfaces and safety constraints must be recalculated for each deployment.</x:v>
      </x:c>
      <x:c r="I221" s="2" t="str">
        <x:v>Primarily hard, with a soft component</x:v>
      </x:c>
      <x:c r="J221" s="2" t="str">
        <x:v>Oil to electricity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1" s="2" t="str">
        <x:v>Equipment and operation</x:v>
      </x:c>
      <x:c r="L221" s="2" t="str">
        <x:v>Oil to electricity is embodied mainly as an equipment-and-operation system. The deliverable is accepted only when measurable service, quality, safety and climate-performance criteria are met under real conditions.</x:v>
      </x:c>
      <x:c r="M221" s="2" t="str">
        <x:v>Conditional on performance and life cycle</x:v>
      </x:c>
      <x:c r="N221" s="2" t="str">
        <x:v>Oil to electricity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1" s="2" t="str">
        <x:v>Oil to electricity: process reactors or furnaces, heat exchangers, motors and drives, compressors, burners, controls, pollution abatement, material handling and measurement equipment.</x:v>
      </x:c>
      <x:c r="P221" s="2" t="str">
        <x:v>Oil to electricity: process simulation, pinch and heat-integration analysis, advanced control, production scheduling, quality control, energy management and life-cycle assessment.</x:v>
      </x:c>
      <x:c r="Q221" s="2" t="str">
        <x:v>Oil to electricity: industrial permits, product standards, operating procedures, maintenance and competence systems, procurement, energy management and industrial-symbiosis agreements.</x:v>
      </x:c>
      <x:c r="R221" s="2" t="str">
        <x:v>Oil to electricity: industrial site, utilities, fuel and electricity supply, material storage, process buildings, laboratories, waste handling and logistics.</x:v>
      </x:c>
      <x:c r="S221" s="2" t="str">
        <x:v>Oil to electricity: electricity, steam, process heat, cooling and fuels; useful-energy efficiency, heat recovery and carbon intensity of supply determine savings.</x:v>
      </x:c>
      <x:c r="T221" s="2" t="str">
        <x:v>Oil to electricity: process feedstocks, steel and refractory materials, catalysts, solvents, lubricants, insulation, piping, sensors and technology-specific alloying elements.</x:v>
      </x:c>
      <x:c r="U221" s="2" t="str">
        <x:v>Oil to electricity: refractory linings, bearings, seals, valves, filters, burners, electrodes, sensors, control modules, lubricants and calibrated instruments.</x:v>
      </x:c>
      <x:c r="V221" s="2" t="str">
        <x:v>https://www.ctc-n.org/sites/default/files/resources/ctcn_taxonomy_0.pdf</x:v>
      </x:c>
      <x:c r="W221" s="2" t="str">
        <x:v>https://institutoagricoladepueblobello.edu.co/colegiapp/archivostemas/GUIA%209.%5B25%5D.pdf</x:v>
      </x:c>
      <x:c r="X221" s="2" t="str">
        <x:v>https://iiasa.ac.at/what-is-technology</x:v>
      </x:c>
      <x:c r="Y221" s="2" t="str">
        <x:v>https://www.ipcc.ch/report/ar6/wg3/chapter/chapter-11/</x:v>
      </x:c>
      <x:c r="Z221" s="2" t="str">
        <x:v>Technology-specific analytical synthesis. The CTCN hierarchy is retained; classifications and component dependencies require validation against the selected design, site and supplier documentation before investment or policy use.</x:v>
      </x:c>
      <x:c r="AA221" s="2" t="str">
        <x:v>Physical deployment of Oil to electricity requires industrial site, utilities, fuel and electricity supply, material storage, process buildings, laboratories, waste handling and logistics; interfaces, foundations, access and environmental protection are sized to the specific resource and design load.</x:v>
      </x:c>
      <x:c r="AB221" s="2" t="str">
        <x:v>For Oil to electricity,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1" s="2" t="str">
        <x:v>Construction and operation use process feedstocks, steel and refractory materials, catalysts, solvents, lubricants, insulation, piping, sensors and technology-specific alloying elements. For Oil to electricity, specifications must include durability, compatibility, recycled content and recoverability.</x:v>
      </x:c>
      <x:c r="AD221" s="2" t="str">
        <x:v>Maintenance of Oil to electricity depends on refractory linings, bearings, seals, valves, filters, burners, electrodes, sensors, control modules, lubricants and calibrated instruments; critical spares are selected from failure-mode, lead-time and safety analysis for its installed configuration.</x:v>
      </x:c>
      <x:c r="AE221" s="2" t="str">
        <x:v>The software stack for Oil to electricity requires databases, secure communications, version-controlled models, computing, backup and interfaces with field or operational systems.</x:v>
      </x:c>
      <x:c r="AF221" s="2" t="str">
        <x:v>For Oil to electricity, software-related energy is electricity for sensing, computing, storage, communication and cooling; it is normally secondary but must be included for data-intensive or continuous services.</x:v>
      </x:c>
      <x:c r="AG221" s="2" t="str">
        <x:v>The non-physical inputs are calibrated data, metadata, algorithms, boundary conditions, emission or hazard factors, manuals and validation records specific to Oil to electricity.</x:v>
      </x:c>
      <x:c r="AH221" s="2" t="str">
        <x:v>Software continuity for Oil to electricity requires licences where applicable, updates, cybersecurity patches, backups, calibration files, model validation and technical support.</x:v>
      </x:c>
      <x:c r="AI221" s="2" t="str">
        <x:v>Orgware depends on the institutions, laboratories, training providers, regulators, operators and community interfaces needed to govern Oil to electricity.</x:v>
      </x:c>
      <x:c r="AJ221" s="2" t="str">
        <x:v>The orgware supporting Oil to electricity has mainly indirect energy use from offices, meetings, training and information systems; travel and field supervision may be material at dispersed sites.</x:v>
      </x:c>
      <x:c r="AK221" s="2" t="str">
        <x:v>Its organisational inputs are permits, budgets, trained staff, competence records, contracts, procedures, safeguards, monitoring evidence and stakeholder agreements tailored to Oil to electricity.</x:v>
      </x:c>
      <x:c r="AL221" s="2" t="str">
        <x:v>Sustained implementation of Oil to electricity requires procurement and service contracts, audit protocols, training material, reporting templates, insurance or guarantees and periodic independent review.</x:v>
      </x:c>
      <x:c r="AM221" s="2" t="str">
        <x:v>Iron ore / steel inputs; Copper; Tin</x:v>
      </x:c>
      <x:c r="AN221" s="2" t="str">
        <x:v>Australia; Brazil; China; Chile; Democratic Republic of the Congo; Peru; Indonesia; Myanmar</x:v>
      </x:c>
      <x:c r="AO221" s="2" t="str">
        <x:v>China; India; Japan; Chile; Democratic Republic of the Congo; Indonesia; Malaysia</x:v>
      </x:c>
      <x:c r="AP221" s="2" t="str">
        <x:v>Oil to electricity: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1" s="2" t="str">
        <x:v>2024–2025</x:v>
      </x:c>
      <x:c r="AR221" s="2" t="str">
        <x:v>https://pubs.usgs.gov/periodicals/mcs2026/mcs2026.pdf</x:v>
      </x:c>
    </x:row>
    <x:row r="222" ht="240" customHeight="1">
      <x:c r="A222" s="2" t="str">
        <x:v>MIT-0215</x:v>
      </x:c>
      <x:c r="B222" s="2" t="str">
        <x:v>Mitigation</x:v>
      </x:c>
      <x:c r="C222" s="2" t="str">
        <x:v>Industry</x:v>
      </x:c>
      <x:c r="D222" s="2" t="str">
        <x:v>Fossil fuel shift</x:v>
      </x:c>
      <x:c r="E222" s="2" t="str">
        <x:v>Oil to LPG</x:v>
      </x:c>
      <x:c r="F222" s="2" t="str">
        <x:v>Oil to LPG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Oil to LPG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2" s="2" t="str">
        <x:v>Mixed: adaptable design, site-specific implementation</x:v>
      </x:c>
      <x:c r="H222" s="2" t="str">
        <x:v>Oil to LPG is adaptable in capacity and configuration but site-specific in final engineering. Its principle remains the same, but resource quality, climate, scale, interfaces and safety constraints must be recalculated for each deployment.</x:v>
      </x:c>
      <x:c r="I222" s="2" t="str">
        <x:v>Primarily hard, with a soft component</x:v>
      </x:c>
      <x:c r="J222" s="2" t="str">
        <x:v>Oil to LPG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2" s="2" t="str">
        <x:v>Equipment and operation</x:v>
      </x:c>
      <x:c r="L222" s="2" t="str">
        <x:v>Oil to LPG is embodied mainly as an equipment-and-operation system. The deliverable is accepted only when measurable service, quality, safety and climate-performance criteria are met under real conditions.</x:v>
      </x:c>
      <x:c r="M222" s="2" t="str">
        <x:v>Conditional on performance and life cycle</x:v>
      </x:c>
      <x:c r="N222" s="2" t="str">
        <x:v>Oil to LPG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2" s="2" t="str">
        <x:v>Oil to LPG: process reactors or furnaces, heat exchangers, motors and drives, compressors, burners, controls, pollution abatement, material handling and measurement equipment.</x:v>
      </x:c>
      <x:c r="P222" s="2" t="str">
        <x:v>Oil to LPG: process simulation, pinch and heat-integration analysis, advanced control, production scheduling, quality control, energy management and life-cycle assessment.</x:v>
      </x:c>
      <x:c r="Q222" s="2" t="str">
        <x:v>Oil to LPG: industrial permits, product standards, operating procedures, maintenance and competence systems, procurement, energy management and industrial-symbiosis agreements.</x:v>
      </x:c>
      <x:c r="R222" s="2" t="str">
        <x:v>Oil to LPG: industrial site, utilities, fuel and electricity supply, material storage, process buildings, laboratories, waste handling and logistics.</x:v>
      </x:c>
      <x:c r="S222" s="2" t="str">
        <x:v>Oil to LPG: electricity, steam, process heat, cooling and fuels; useful-energy efficiency, heat recovery and carbon intensity of supply determine savings.</x:v>
      </x:c>
      <x:c r="T222" s="2" t="str">
        <x:v>Oil to LPG: process feedstocks, steel and refractory materials, catalysts, solvents, lubricants, insulation, piping, sensors and technology-specific alloying elements.</x:v>
      </x:c>
      <x:c r="U222" s="2" t="str">
        <x:v>Oil to LPG: refractory linings, bearings, seals, valves, filters, burners, electrodes, sensors, control modules, lubricants and calibrated instruments.</x:v>
      </x:c>
      <x:c r="V222" s="2" t="str">
        <x:v>https://www.ctc-n.org/sites/default/files/resources/ctcn_taxonomy_0.pdf</x:v>
      </x:c>
      <x:c r="W222" s="2" t="str">
        <x:v>https://institutoagricoladepueblobello.edu.co/colegiapp/archivostemas/GUIA%209.%5B25%5D.pdf</x:v>
      </x:c>
      <x:c r="X222" s="2" t="str">
        <x:v>https://iiasa.ac.at/what-is-technology</x:v>
      </x:c>
      <x:c r="Y222" s="2" t="str">
        <x:v>https://www.ipcc.ch/report/ar6/wg3/chapter/chapter-11/</x:v>
      </x:c>
      <x:c r="Z222" s="2" t="str">
        <x:v>Technology-specific analytical synthesis. The CTCN hierarchy is retained; classifications and component dependencies require validation against the selected design, site and supplier documentation before investment or policy use.</x:v>
      </x:c>
      <x:c r="AA222" s="2" t="str">
        <x:v>Physical deployment of Oil to LPG requires industrial site, utilities, fuel and electricity supply, material storage, process buildings, laboratories, waste handling and logistics; interfaces, foundations, access and environmental protection are sized to the specific resource and design load.</x:v>
      </x:c>
      <x:c r="AB222" s="2" t="str">
        <x:v>For Oil to LPG,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2" s="2" t="str">
        <x:v>Construction and operation use process feedstocks, steel and refractory materials, catalysts, solvents, lubricants, insulation, piping, sensors and technology-specific alloying elements. For Oil to LPG, specifications must include durability, compatibility, recycled content and recoverability.</x:v>
      </x:c>
      <x:c r="AD222" s="2" t="str">
        <x:v>Maintenance of Oil to LPG depends on refractory linings, bearings, seals, valves, filters, burners, electrodes, sensors, control modules, lubricants and calibrated instruments; critical spares are selected from failure-mode, lead-time and safety analysis for its installed configuration.</x:v>
      </x:c>
      <x:c r="AE222" s="2" t="str">
        <x:v>The software stack for Oil to LPG requires databases, secure communications, version-controlled models, computing, backup and interfaces with field or operational systems.</x:v>
      </x:c>
      <x:c r="AF222" s="2" t="str">
        <x:v>For Oil to LPG, software-related energy is electricity for sensing, computing, storage, communication and cooling; it is normally secondary but must be included for data-intensive or continuous services.</x:v>
      </x:c>
      <x:c r="AG222" s="2" t="str">
        <x:v>The non-physical inputs are calibrated data, metadata, algorithms, boundary conditions, emission or hazard factors, manuals and validation records specific to Oil to LPG.</x:v>
      </x:c>
      <x:c r="AH222" s="2" t="str">
        <x:v>Software continuity for Oil to LPG requires licences where applicable, updates, cybersecurity patches, backups, calibration files, model validation and technical support.</x:v>
      </x:c>
      <x:c r="AI222" s="2" t="str">
        <x:v>Orgware depends on the institutions, laboratories, training providers, regulators, operators and community interfaces needed to govern Oil to LPG.</x:v>
      </x:c>
      <x:c r="AJ222" s="2" t="str">
        <x:v>The orgware supporting Oil to LPG has mainly indirect energy use from offices, meetings, training and information systems; travel and field supervision may be material at dispersed sites.</x:v>
      </x:c>
      <x:c r="AK222" s="2" t="str">
        <x:v>Its organisational inputs are permits, budgets, trained staff, competence records, contracts, procedures, safeguards, monitoring evidence and stakeholder agreements tailored to Oil to LPG.</x:v>
      </x:c>
      <x:c r="AL222" s="2" t="str">
        <x:v>Sustained implementation of Oil to LPG requires procurement and service contracts, audit protocols, training material, reporting templates, insurance or guarantees and periodic independent review.</x:v>
      </x:c>
      <x:c r="AM222" s="2" t="str">
        <x:v>Iron ore / steel inputs</x:v>
      </x:c>
      <x:c r="AN222" s="2" t="str">
        <x:v>Australia; Brazil; China</x:v>
      </x:c>
      <x:c r="AO222" s="2" t="str">
        <x:v>China; India; Japan</x:v>
      </x:c>
      <x:c r="AP222" s="2" t="str">
        <x:v>Oil to LPG: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2" s="2" t="str">
        <x:v>2024–2025</x:v>
      </x:c>
      <x:c r="AR222" s="2" t="str">
        <x:v>https://pubs.usgs.gov/periodicals/mcs2026/mcs2026.pdf</x:v>
      </x:c>
    </x:row>
    <x:row r="223" ht="240" customHeight="1">
      <x:c r="A223" s="2" t="str">
        <x:v>MIT-0216</x:v>
      </x:c>
      <x:c r="B223" s="2" t="str">
        <x:v>Mitigation</x:v>
      </x:c>
      <x:c r="C223" s="2" t="str">
        <x:v>Industry</x:v>
      </x:c>
      <x:c r="D223" s="2" t="str">
        <x:v>Fossil fuel shift</x:v>
      </x:c>
      <x:c r="E223" s="2" t="str">
        <x:v>Fossil fuels to natural gas</x:v>
      </x:c>
      <x:c r="F223" s="2" t="str">
        <x:v>Fossil fuels to natural gas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Fossil fuels to natural gas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3" s="2" t="str">
        <x:v>Mixed: adaptable design, site-specific implementation</x:v>
      </x:c>
      <x:c r="H223" s="2" t="str">
        <x:v>Fossil fuels to natural gas is adaptable in capacity and configuration but site-specific in final engineering. Its principle remains the same, but resource quality, climate, scale, interfaces and safety constraints must be recalculated for each deployment.</x:v>
      </x:c>
      <x:c r="I223" s="2" t="str">
        <x:v>Primarily hard, with a soft component</x:v>
      </x:c>
      <x:c r="J223" s="2" t="str">
        <x:v>Fossil fuels to natural gas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3" s="2" t="str">
        <x:v>Equipment and operation</x:v>
      </x:c>
      <x:c r="L223" s="2" t="str">
        <x:v>Fossil fuels to natural gas is embodied mainly as an equipment-and-operation system. The deliverable is accepted only when measurable service, quality, safety and climate-performance criteria are met under real conditions.</x:v>
      </x:c>
      <x:c r="M223" s="2" t="str">
        <x:v>Conditional on performance and life cycle</x:v>
      </x:c>
      <x:c r="N223" s="2" t="str">
        <x:v>Fossil fuels to natural gas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3" s="2" t="str">
        <x:v>Fossil fuels to natural gas: process reactors or furnaces, heat exchangers, motors and drives, compressors, burners, controls, pollution abatement, material handling and measurement equipment.</x:v>
      </x:c>
      <x:c r="P223" s="2" t="str">
        <x:v>Fossil fuels to natural gas: process simulation, pinch and heat-integration analysis, advanced control, production scheduling, quality control, energy management and life-cycle assessment.</x:v>
      </x:c>
      <x:c r="Q223" s="2" t="str">
        <x:v>Fossil fuels to natural gas: industrial permits, product standards, operating procedures, maintenance and competence systems, procurement, energy management and industrial-symbiosis agreements.</x:v>
      </x:c>
      <x:c r="R223" s="2" t="str">
        <x:v>Fossil fuels to natural gas: industrial site, utilities, fuel and electricity supply, material storage, process buildings, laboratories, waste handling and logistics.</x:v>
      </x:c>
      <x:c r="S223" s="2" t="str">
        <x:v>Fossil fuels to natural gas: electricity, steam, process heat, cooling and fuels; useful-energy efficiency, heat recovery and carbon intensity of supply determine savings.</x:v>
      </x:c>
      <x:c r="T223" s="2" t="str">
        <x:v>Fossil fuels to natural gas: process feedstocks, steel and refractory materials, catalysts, solvents, lubricants, insulation, piping, sensors and technology-specific alloying elements.</x:v>
      </x:c>
      <x:c r="U223" s="2" t="str">
        <x:v>Fossil fuels to natural gas: refractory linings, bearings, seals, valves, filters, burners, electrodes, sensors, control modules, lubricants and calibrated instruments.</x:v>
      </x:c>
      <x:c r="V223" s="2" t="str">
        <x:v>https://www.ctc-n.org/sites/default/files/resources/ctcn_taxonomy_0.pdf</x:v>
      </x:c>
      <x:c r="W223" s="2" t="str">
        <x:v>https://institutoagricoladepueblobello.edu.co/colegiapp/archivostemas/GUIA%209.%5B25%5D.pdf</x:v>
      </x:c>
      <x:c r="X223" s="2" t="str">
        <x:v>https://iiasa.ac.at/what-is-technology</x:v>
      </x:c>
      <x:c r="Y223" s="2" t="str">
        <x:v>https://www.ipcc.ch/report/ar6/wg3/chapter/chapter-11/</x:v>
      </x:c>
      <x:c r="Z223" s="2" t="str">
        <x:v>Technology-specific analytical synthesis. The CTCN hierarchy is retained; classifications and component dependencies require validation against the selected design, site and supplier documentation before investment or policy use.</x:v>
      </x:c>
      <x:c r="AA223" s="2" t="str">
        <x:v>Physical deployment of Fossil fuels to natural gas requires industrial site, utilities, fuel and electricity supply, material storage, process buildings, laboratories, waste handling and logistics; interfaces, foundations, access and environmental protection are sized to the specific resource and design load.</x:v>
      </x:c>
      <x:c r="AB223" s="2" t="str">
        <x:v>For Fossil fuels to natural gas,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3" s="2" t="str">
        <x:v>Construction and operation use process feedstocks, steel and refractory materials, catalysts, solvents, lubricants, insulation, piping, sensors and technology-specific alloying elements. For Fossil fuels to natural gas, specifications must include durability, compatibility, recycled content and recoverability.</x:v>
      </x:c>
      <x:c r="AD223" s="2" t="str">
        <x:v>Maintenance of Fossil fuels to natural gas depends on refractory linings, bearings, seals, valves, filters, burners, electrodes, sensors, control modules, lubricants and calibrated instruments; critical spares are selected from failure-mode, lead-time and safety analysis for its installed configuration.</x:v>
      </x:c>
      <x:c r="AE223" s="2" t="str">
        <x:v>The software stack for Fossil fuels to natural gas requires databases, secure communications, version-controlled models, computing, backup and interfaces with field or operational systems.</x:v>
      </x:c>
      <x:c r="AF223" s="2" t="str">
        <x:v>For Fossil fuels to natural gas, software-related energy is electricity for sensing, computing, storage, communication and cooling; it is normally secondary but must be included for data-intensive or continuous services.</x:v>
      </x:c>
      <x:c r="AG223" s="2" t="str">
        <x:v>The non-physical inputs are calibrated data, metadata, algorithms, boundary conditions, emission or hazard factors, manuals and validation records specific to Fossil fuels to natural gas.</x:v>
      </x:c>
      <x:c r="AH223" s="2" t="str">
        <x:v>Software continuity for Fossil fuels to natural gas requires licences where applicable, updates, cybersecurity patches, backups, calibration files, model validation and technical support.</x:v>
      </x:c>
      <x:c r="AI223" s="2" t="str">
        <x:v>Orgware depends on the institutions, laboratories, training providers, regulators, operators and community interfaces needed to govern Fossil fuels to natural gas.</x:v>
      </x:c>
      <x:c r="AJ223" s="2" t="str">
        <x:v>The orgware supporting Fossil fuels to natural gas has mainly indirect energy use from offices, meetings, training and information systems; travel and field supervision may be material at dispersed sites.</x:v>
      </x:c>
      <x:c r="AK223" s="2" t="str">
        <x:v>Its organisational inputs are permits, budgets, trained staff, competence records, contracts, procedures, safeguards, monitoring evidence and stakeholder agreements tailored to Fossil fuels to natural gas.</x:v>
      </x:c>
      <x:c r="AL223" s="2" t="str">
        <x:v>Sustained implementation of Fossil fuels to natural gas requires procurement and service contracts, audit protocols, training material, reporting templates, insurance or guarantees and periodic independent review.</x:v>
      </x:c>
      <x:c r="AM223" s="2" t="str">
        <x:v>Iron ore / steel inputs</x:v>
      </x:c>
      <x:c r="AN223" s="2" t="str">
        <x:v>Australia; Brazil; China</x:v>
      </x:c>
      <x:c r="AO223" s="2" t="str">
        <x:v>China; India; Japan</x:v>
      </x:c>
      <x:c r="AP223" s="2" t="str">
        <x:v>Fossil fuels to natural gas: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3" s="2" t="str">
        <x:v>2024–2025</x:v>
      </x:c>
      <x:c r="AR223" s="2" t="str">
        <x:v>https://pubs.usgs.gov/periodicals/mcs2026/mcs2026.pdf</x:v>
      </x:c>
    </x:row>
    <x:row r="224" ht="240" customHeight="1">
      <x:c r="A224" s="2" t="str">
        <x:v>MIT-0217</x:v>
      </x:c>
      <x:c r="B224" s="2" t="str">
        <x:v>Mitigation</x:v>
      </x:c>
      <x:c r="C224" s="2" t="str">
        <x:v>Industry</x:v>
      </x:c>
      <x:c r="D224" s="2" t="str">
        <x:v>Fossil fuel shift</x:v>
      </x:c>
      <x:c r="E224" s="2" t="str">
        <x:v>New natural gas plant</x:v>
      </x:c>
      <x:c r="F224" s="2" t="str">
        <x:v>New natural gas plant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New natural gas plant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4" s="2" t="str">
        <x:v>Primarily fixed</x:v>
      </x:c>
      <x:c r="H224" s="2" t="str">
        <x:v>New natural gas plant is tied to long-lived, site-specific assets and design loads. Its principle remains the same, but resource quality, climate, scale, interfaces and safety constraints must be recalculated for each deployment.</x:v>
      </x:c>
      <x:c r="I224" s="2" t="str">
        <x:v>Primarily hard, with a soft component</x:v>
      </x:c>
      <x:c r="J224" s="2" t="str">
        <x:v>New natural gas plant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4" s="2" t="str">
        <x:v>Equipment and operation</x:v>
      </x:c>
      <x:c r="L224" s="2" t="str">
        <x:v>New natural gas plant is embodied mainly as an equipment-and-operation system. The deliverable is accepted only when measurable service, quality, safety and climate-performance criteria are met under real conditions.</x:v>
      </x:c>
      <x:c r="M224" s="2" t="str">
        <x:v>Conditional on performance and life cycle</x:v>
      </x:c>
      <x:c r="N224" s="2" t="str">
        <x:v>New natural gas plant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4" s="2" t="str">
        <x:v>New natural gas plant: process reactors or furnaces, heat exchangers, motors and drives, compressors, burners, controls, pollution abatement, material handling and measurement equipment.</x:v>
      </x:c>
      <x:c r="P224" s="2" t="str">
        <x:v>New natural gas plant: process simulation, pinch and heat-integration analysis, advanced control, production scheduling, quality control, energy management and life-cycle assessment.</x:v>
      </x:c>
      <x:c r="Q224" s="2" t="str">
        <x:v>New natural gas plant: industrial permits, product standards, operating procedures, maintenance and competence systems, procurement, energy management and industrial-symbiosis agreements.</x:v>
      </x:c>
      <x:c r="R224" s="2" t="str">
        <x:v>New natural gas plant: industrial site, utilities, fuel and electricity supply, material storage, process buildings, laboratories, waste handling and logistics.</x:v>
      </x:c>
      <x:c r="S224" s="2" t="str">
        <x:v>New natural gas plant: electricity, steam, process heat, cooling and fuels; useful-energy efficiency, heat recovery and carbon intensity of supply determine savings.</x:v>
      </x:c>
      <x:c r="T224" s="2" t="str">
        <x:v>New natural gas plant: process feedstocks, steel and refractory materials, catalysts, solvents, lubricants, insulation, piping, sensors and technology-specific alloying elements.</x:v>
      </x:c>
      <x:c r="U224" s="2" t="str">
        <x:v>New natural gas plant: refractory linings, bearings, seals, valves, filters, burners, electrodes, sensors, control modules, lubricants and calibrated instruments.</x:v>
      </x:c>
      <x:c r="V224" s="2" t="str">
        <x:v>https://www.ctc-n.org/sites/default/files/resources/ctcn_taxonomy_0.pdf</x:v>
      </x:c>
      <x:c r="W224" s="2" t="str">
        <x:v>https://institutoagricoladepueblobello.edu.co/colegiapp/archivostemas/GUIA%209.%5B25%5D.pdf</x:v>
      </x:c>
      <x:c r="X224" s="2" t="str">
        <x:v>https://iiasa.ac.at/what-is-technology</x:v>
      </x:c>
      <x:c r="Y224" s="2" t="str">
        <x:v>https://www.ipcc.ch/report/ar6/wg3/chapter/chapter-11/</x:v>
      </x:c>
      <x:c r="Z224" s="2" t="str">
        <x:v>Technology-specific analytical synthesis. The CTCN hierarchy is retained; classifications and component dependencies require validation against the selected design, site and supplier documentation before investment or policy use.</x:v>
      </x:c>
      <x:c r="AA224" s="2" t="str">
        <x:v>Physical deployment of New natural gas plant requires industrial site, utilities, fuel and electricity supply, material storage, process buildings, laboratories, waste handling and logistics; interfaces, foundations, access and environmental protection are sized to the specific resource and design load.</x:v>
      </x:c>
      <x:c r="AB224" s="2" t="str">
        <x:v>For New natural gas plant,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4" s="2" t="str">
        <x:v>Construction and operation use process feedstocks, steel and refractory materials, catalysts, solvents, lubricants, insulation, piping, sensors and technology-specific alloying elements. For New natural gas plant, specifications must include durability, compatibility, recycled content and recoverability.</x:v>
      </x:c>
      <x:c r="AD224" s="2" t="str">
        <x:v>Maintenance of New natural gas plant depends on refractory linings, bearings, seals, valves, filters, burners, electrodes, sensors, control modules, lubricants and calibrated instruments; critical spares are selected from failure-mode, lead-time and safety analysis for its installed configuration.</x:v>
      </x:c>
      <x:c r="AE224" s="2" t="str">
        <x:v>The software stack for New natural gas plant requires databases, secure communications, version-controlled models, computing, backup and interfaces with field or operational systems.</x:v>
      </x:c>
      <x:c r="AF224" s="2" t="str">
        <x:v>For New natural gas plant, software-related energy is electricity for sensing, computing, storage, communication and cooling; it is normally secondary but must be included for data-intensive or continuous services.</x:v>
      </x:c>
      <x:c r="AG224" s="2" t="str">
        <x:v>The non-physical inputs are calibrated data, metadata, algorithms, boundary conditions, emission or hazard factors, manuals and validation records specific to New natural gas plant.</x:v>
      </x:c>
      <x:c r="AH224" s="2" t="str">
        <x:v>Software continuity for New natural gas plant requires licences where applicable, updates, cybersecurity patches, backups, calibration files, model validation and technical support.</x:v>
      </x:c>
      <x:c r="AI224" s="2" t="str">
        <x:v>Orgware depends on the institutions, laboratories, training providers, regulators, operators and community interfaces needed to govern New natural gas plant.</x:v>
      </x:c>
      <x:c r="AJ224" s="2" t="str">
        <x:v>The orgware supporting New natural gas plant has mainly indirect energy use from offices, meetings, training and information systems; travel and field supervision may be material at dispersed sites.</x:v>
      </x:c>
      <x:c r="AK224" s="2" t="str">
        <x:v>Its organisational inputs are permits, budgets, trained staff, competence records, contracts, procedures, safeguards, monitoring evidence and stakeholder agreements tailored to New natural gas plant.</x:v>
      </x:c>
      <x:c r="AL224" s="2" t="str">
        <x:v>Sustained implementation of New natural gas plant requires procurement and service contracts, audit protocols, training material, reporting templates, insurance or guarantees and periodic independent review.</x:v>
      </x:c>
      <x:c r="AM224" s="2" t="str">
        <x:v>Iron ore / steel inputs</x:v>
      </x:c>
      <x:c r="AN224" s="2" t="str">
        <x:v>Australia; Brazil; China</x:v>
      </x:c>
      <x:c r="AO224" s="2" t="str">
        <x:v>China; India; Japan</x:v>
      </x:c>
      <x:c r="AP224" s="2" t="str">
        <x:v>New natural gas plant: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4" s="2" t="str">
        <x:v>2024–2025</x:v>
      </x:c>
      <x:c r="AR224" s="2" t="str">
        <x:v>https://pubs.usgs.gov/periodicals/mcs2026/mcs2026.pdf</x:v>
      </x:c>
    </x:row>
    <x:row r="225" ht="240" customHeight="1">
      <x:c r="A225" s="2" t="str">
        <x:v>MIT-0218</x:v>
      </x:c>
      <x:c r="B225" s="2" t="str">
        <x:v>Mitigation</x:v>
      </x:c>
      <x:c r="C225" s="2" t="str">
        <x:v>Industry</x:v>
      </x:c>
      <x:c r="D225" s="2" t="str">
        <x:v>Fossil fuel shift</x:v>
      </x:c>
      <x:c r="E225" s="2" t="str">
        <x:v>Fuel switch in industry</x:v>
      </x:c>
      <x:c r="F225" s="2" t="str">
        <x:v>Fuel switch in industry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Fuel switch in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5" s="2" t="str">
        <x:v>Mixed: adaptable design, site-specific implementation</x:v>
      </x:c>
      <x:c r="H225" s="2" t="str">
        <x:v>Fuel switch in industry is adaptable in capacity and configuration but site-specific in final engineering. Its principle remains the same, but resource quality, climate, scale, interfaces and safety constraints must be recalculated for each deployment.</x:v>
      </x:c>
      <x:c r="I225" s="2" t="str">
        <x:v>Primarily hard, with a soft component</x:v>
      </x:c>
      <x:c r="J225" s="2" t="str">
        <x:v>Fuel switch in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5" s="2" t="str">
        <x:v>Equipment and operation</x:v>
      </x:c>
      <x:c r="L225" s="2" t="str">
        <x:v>Fuel switch in industry is embodied mainly as an equipment-and-operation system. The deliverable is accepted only when measurable service, quality, safety and climate-performance criteria are met under real conditions.</x:v>
      </x:c>
      <x:c r="M225" s="2" t="str">
        <x:v>Conditional on performance and life cycle</x:v>
      </x:c>
      <x:c r="N225" s="2" t="str">
        <x:v>Fuel switch in industry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5" s="2" t="str">
        <x:v>Fuel switch in industry: process reactors or furnaces, heat exchangers, motors and drives, compressors, burners, controls, pollution abatement, material handling and measurement equipment.</x:v>
      </x:c>
      <x:c r="P225" s="2" t="str">
        <x:v>Fuel switch in industry: process simulation, pinch and heat-integration analysis, advanced control, production scheduling, quality control, energy management and life-cycle assessment.</x:v>
      </x:c>
      <x:c r="Q225" s="2" t="str">
        <x:v>Fuel switch in industry: industrial permits, product standards, operating procedures, maintenance and competence systems, procurement, energy management and industrial-symbiosis agreements.</x:v>
      </x:c>
      <x:c r="R225" s="2" t="str">
        <x:v>Fuel switch in industry: industrial site, utilities, fuel and electricity supply, material storage, process buildings, laboratories, waste handling and logistics.</x:v>
      </x:c>
      <x:c r="S225" s="2" t="str">
        <x:v>Fuel switch in industry: electricity, steam, process heat, cooling and fuels; useful-energy efficiency, heat recovery and carbon intensity of supply determine savings.</x:v>
      </x:c>
      <x:c r="T225" s="2" t="str">
        <x:v>Fuel switch in industry: process feedstocks, steel and refractory materials, catalysts, solvents, lubricants, insulation, piping, sensors and technology-specific alloying elements.</x:v>
      </x:c>
      <x:c r="U225" s="2" t="str">
        <x:v>Fuel switch in industry: refractory linings, bearings, seals, valves, filters, burners, electrodes, sensors, control modules, lubricants and calibrated instruments.</x:v>
      </x:c>
      <x:c r="V225" s="2" t="str">
        <x:v>https://www.ctc-n.org/sites/default/files/resources/ctcn_taxonomy_0.pdf</x:v>
      </x:c>
      <x:c r="W225" s="2" t="str">
        <x:v>https://institutoagricoladepueblobello.edu.co/colegiapp/archivostemas/GUIA%209.%5B25%5D.pdf</x:v>
      </x:c>
      <x:c r="X225" s="2" t="str">
        <x:v>https://iiasa.ac.at/what-is-technology</x:v>
      </x:c>
      <x:c r="Y225" s="2" t="str">
        <x:v>https://www.ipcc.ch/report/ar6/wg3/chapter/chapter-11/</x:v>
      </x:c>
      <x:c r="Z225" s="2" t="str">
        <x:v>Technology-specific analytical synthesis. The CTCN hierarchy is retained; classifications and component dependencies require validation against the selected design, site and supplier documentation before investment or policy use.</x:v>
      </x:c>
      <x:c r="AA225" s="2" t="str">
        <x:v>Physical deployment of Fuel switch in industry requires industrial site, utilities, fuel and electricity supply, material storage, process buildings, laboratories, waste handling and logistics; interfaces, foundations, access and environmental protection are sized to the specific resource and design load.</x:v>
      </x:c>
      <x:c r="AB225" s="2" t="str">
        <x:v>For Fuel switch in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5" s="2" t="str">
        <x:v>Construction and operation use process feedstocks, steel and refractory materials, catalysts, solvents, lubricants, insulation, piping, sensors and technology-specific alloying elements. For Fuel switch in industry, specifications must include durability, compatibility, recycled content and recoverability.</x:v>
      </x:c>
      <x:c r="AD225" s="2" t="str">
        <x:v>Maintenance of Fuel switch in industry depends on refractory linings, bearings, seals, valves, filters, burners, electrodes, sensors, control modules, lubricants and calibrated instruments; critical spares are selected from failure-mode, lead-time and safety analysis for its installed configuration.</x:v>
      </x:c>
      <x:c r="AE225" s="2" t="str">
        <x:v>The software stack for Fuel switch in industry requires databases, secure communications, version-controlled models, computing, backup and interfaces with field or operational systems.</x:v>
      </x:c>
      <x:c r="AF225" s="2" t="str">
        <x:v>For Fuel switch in industry, software-related energy is electricity for sensing, computing, storage, communication and cooling; it is normally secondary but must be included for data-intensive or continuous services.</x:v>
      </x:c>
      <x:c r="AG225" s="2" t="str">
        <x:v>The non-physical inputs are calibrated data, metadata, algorithms, boundary conditions, emission or hazard factors, manuals and validation records specific to Fuel switch in industry.</x:v>
      </x:c>
      <x:c r="AH225" s="2" t="str">
        <x:v>Software continuity for Fuel switch in industry requires licences where applicable, updates, cybersecurity patches, backups, calibration files, model validation and technical support.</x:v>
      </x:c>
      <x:c r="AI225" s="2" t="str">
        <x:v>Orgware depends on the institutions, laboratories, training providers, regulators, operators and community interfaces needed to govern Fuel switch in industry.</x:v>
      </x:c>
      <x:c r="AJ225" s="2" t="str">
        <x:v>The orgware supporting Fuel switch in industry has mainly indirect energy use from offices, meetings, training and information systems; travel and field supervision may be material at dispersed sites.</x:v>
      </x:c>
      <x:c r="AK225" s="2" t="str">
        <x:v>Its organisational inputs are permits, budgets, trained staff, competence records, contracts, procedures, safeguards, monitoring evidence and stakeholder agreements tailored to Fuel switch in industry.</x:v>
      </x:c>
      <x:c r="AL225" s="2" t="str">
        <x:v>Sustained implementation of Fuel switch in industry requires procurement and service contracts, audit protocols, training material, reporting templates, insurance or guarantees and periodic independent review.</x:v>
      </x:c>
      <x:c r="AM225" s="2" t="str">
        <x:v>Iron ore / steel inputs</x:v>
      </x:c>
      <x:c r="AN225" s="2" t="str">
        <x:v>Australia; Brazil; China</x:v>
      </x:c>
      <x:c r="AO225" s="2" t="str">
        <x:v>China; India; Japan</x:v>
      </x:c>
      <x:c r="AP225" s="2" t="str">
        <x:v>Fuel switch in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5" s="2" t="str">
        <x:v>2024–2025</x:v>
      </x:c>
      <x:c r="AR225" s="2" t="str">
        <x:v>https://pubs.usgs.gov/periodicals/mcs2026/mcs2026.pdf</x:v>
      </x:c>
    </x:row>
    <x:row r="226" ht="240" customHeight="1">
      <x:c r="A226" s="2" t="str">
        <x:v>MIT-0219</x:v>
      </x:c>
      <x:c r="B226" s="2" t="str">
        <x:v>Mitigation</x:v>
      </x:c>
      <x:c r="C226" s="2" t="str">
        <x:v>Industry</x:v>
      </x:c>
      <x:c r="D226" s="2" t="str">
        <x:v>Construction</x:v>
      </x:c>
      <x:c r="E226" s="2" t="str">
        <x:v>Efficient brick kiln</x:v>
      </x:c>
      <x:c r="F226" s="2" t="str">
        <x:v>Efficient brick kiln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Efficient brick kiln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6" s="2" t="str">
        <x:v>Mixed: adaptable design, site-specific implementation</x:v>
      </x:c>
      <x:c r="H226" s="2" t="str">
        <x:v>Efficient brick kiln is adaptable in capacity and configuration but site-specific in final engineering. Its principle remains the same, but resource quality, climate, scale, interfaces and safety constraints must be recalculated for each deployment.</x:v>
      </x:c>
      <x:c r="I226" s="2" t="str">
        <x:v>Primarily hard, with a soft component</x:v>
      </x:c>
      <x:c r="J226" s="2" t="str">
        <x:v>Efficient brick kiln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6" s="2" t="str">
        <x:v>Equipment and operation</x:v>
      </x:c>
      <x:c r="L226" s="2" t="str">
        <x:v>Efficient brick kiln is embodied mainly as an equipment-and-operation system. The deliverable is accepted only when measurable service, quality, safety and climate-performance criteria are met under real conditions.</x:v>
      </x:c>
      <x:c r="M226" s="2" t="str">
        <x:v>Yes, subject to life-cycle safeguards</x:v>
      </x:c>
      <x:c r="N226" s="2" t="str">
        <x:v>Efficient brick kiln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6" s="2" t="str">
        <x:v>Efficient brick kiln: process reactors or furnaces, heat exchangers, motors and drives, compressors, burners, controls, pollution abatement, material handling and measurement equipment.</x:v>
      </x:c>
      <x:c r="P226" s="2" t="str">
        <x:v>Efficient brick kiln: process simulation, pinch and heat-integration analysis, advanced control, production scheduling, quality control, energy management and life-cycle assessment.</x:v>
      </x:c>
      <x:c r="Q226" s="2" t="str">
        <x:v>Efficient brick kiln: industrial permits, product standards, operating procedures, maintenance and competence systems, procurement, energy management and industrial-symbiosis agreements.</x:v>
      </x:c>
      <x:c r="R226" s="2" t="str">
        <x:v>Efficient brick kiln: industrial site, utilities, fuel and electricity supply, material storage, process buildings, laboratories, waste handling and logistics.</x:v>
      </x:c>
      <x:c r="S226" s="2" t="str">
        <x:v>Efficient brick kiln: electricity, steam, process heat, cooling and fuels; useful-energy efficiency, heat recovery and carbon intensity of supply determine savings.</x:v>
      </x:c>
      <x:c r="T226" s="2" t="str">
        <x:v>Efficient brick kiln: process feedstocks, steel and refractory materials, catalysts, solvents, lubricants, insulation, piping, sensors and technology-specific alloying elements.</x:v>
      </x:c>
      <x:c r="U226" s="2" t="str">
        <x:v>Efficient brick kiln: refractory linings, bearings, seals, valves, filters, burners, electrodes, sensors, control modules, lubricants and calibrated instruments.</x:v>
      </x:c>
      <x:c r="V226" s="2" t="str">
        <x:v>https://www.ctc-n.org/sites/default/files/resources/ctcn_taxonomy_0.pdf</x:v>
      </x:c>
      <x:c r="W226" s="2" t="str">
        <x:v>https://institutoagricoladepueblobello.edu.co/colegiapp/archivostemas/GUIA%209.%5B25%5D.pdf</x:v>
      </x:c>
      <x:c r="X226" s="2" t="str">
        <x:v>https://iiasa.ac.at/what-is-technology</x:v>
      </x:c>
      <x:c r="Y226" s="2" t="str">
        <x:v>https://www.ipcc.ch/report/ar6/wg3/chapter/chapter-11/</x:v>
      </x:c>
      <x:c r="Z226" s="2" t="str">
        <x:v>Technology-specific analytical synthesis. The CTCN hierarchy is retained; classifications and component dependencies require validation against the selected design, site and supplier documentation before investment or policy use.</x:v>
      </x:c>
      <x:c r="AA226" s="2" t="str">
        <x:v>Physical deployment of Efficient brick kiln requires industrial site, utilities, fuel and electricity supply, material storage, process buildings, laboratories, waste handling and logistics; interfaces, foundations, access and environmental protection are sized to the specific resource and design load.</x:v>
      </x:c>
      <x:c r="AB226" s="2" t="str">
        <x:v>For Efficient brick kiln,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6" s="2" t="str">
        <x:v>Construction and operation use process feedstocks, steel and refractory materials, catalysts, solvents, lubricants, insulation, piping, sensors and technology-specific alloying elements. For Efficient brick kiln, specifications must include durability, compatibility, recycled content and recoverability.</x:v>
      </x:c>
      <x:c r="AD226" s="2" t="str">
        <x:v>Maintenance of Efficient brick kiln depends on refractory linings, bearings, seals, valves, filters, burners, electrodes, sensors, control modules, lubricants and calibrated instruments; critical spares are selected from failure-mode, lead-time and safety analysis for its installed configuration.</x:v>
      </x:c>
      <x:c r="AE226" s="2" t="str">
        <x:v>The software stack for Efficient brick kiln requires databases, secure communications, version-controlled models, computing, backup and interfaces with field or operational systems.</x:v>
      </x:c>
      <x:c r="AF226" s="2" t="str">
        <x:v>For Efficient brick kiln, software-related energy is electricity for sensing, computing, storage, communication and cooling; it is normally secondary but must be included for data-intensive or continuous services.</x:v>
      </x:c>
      <x:c r="AG226" s="2" t="str">
        <x:v>The non-physical inputs are calibrated data, metadata, algorithms, boundary conditions, emission or hazard factors, manuals and validation records specific to Efficient brick kiln.</x:v>
      </x:c>
      <x:c r="AH226" s="2" t="str">
        <x:v>Software continuity for Efficient brick kiln requires licences where applicable, updates, cybersecurity patches, backups, calibration files, model validation and technical support.</x:v>
      </x:c>
      <x:c r="AI226" s="2" t="str">
        <x:v>Orgware depends on the institutions, laboratories, training providers, regulators, operators and community interfaces needed to govern Efficient brick kiln.</x:v>
      </x:c>
      <x:c r="AJ226" s="2" t="str">
        <x:v>The orgware supporting Efficient brick kiln has mainly indirect energy use from offices, meetings, training and information systems; travel and field supervision may be material at dispersed sites.</x:v>
      </x:c>
      <x:c r="AK226" s="2" t="str">
        <x:v>Its organisational inputs are permits, budgets, trained staff, competence records, contracts, procedures, safeguards, monitoring evidence and stakeholder agreements tailored to Efficient brick kiln.</x:v>
      </x:c>
      <x:c r="AL226" s="2" t="str">
        <x:v>Sustained implementation of Efficient brick kiln requires procurement and service contracts, audit protocols, training material, reporting templates, insurance or guarantees and periodic independent review.</x:v>
      </x:c>
      <x:c r="AM226" s="2" t="str">
        <x:v>Iron ore / steel inputs; Limestone / cement raw materials</x:v>
      </x:c>
      <x:c r="AN226" s="2" t="str">
        <x:v>Australia; Brazil; China; India; Vietnam</x:v>
      </x:c>
      <x:c r="AO226" s="2" t="str">
        <x:v>China; India; Japan; Vietnam</x:v>
      </x:c>
      <x:c r="AP226" s="2" t="str">
        <x:v>Efficient brick kiln: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6" s="2" t="str">
        <x:v>2024–2025</x:v>
      </x:c>
      <x:c r="AR226" s="2" t="str">
        <x:v>https://pubs.usgs.gov/periodicals/mcs2026/mcs2026.pdf</x:v>
      </x:c>
    </x:row>
    <x:row r="227" ht="240" customHeight="1">
      <x:c r="A227" s="2" t="str">
        <x:v>MIT-0220</x:v>
      </x:c>
      <x:c r="B227" s="2" t="str">
        <x:v>Mitigation</x:v>
      </x:c>
      <x:c r="C227" s="2" t="str">
        <x:v>Industry</x:v>
      </x:c>
      <x:c r="D227" s="2" t="str">
        <x:v>Construction</x:v>
      </x:c>
      <x:c r="E227" s="2" t="str">
        <x:v>Clinker replacement</x:v>
      </x:c>
      <x:c r="F227" s="2" t="str">
        <x:v>Clinker replacement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It substitutes part of Portland cement clinker with qualified supplementary cementitious material, lowering limestone calcination and kiln energy per tonne of cement while preserving required performance.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7" s="2" t="str">
        <x:v>Mixed: adaptable design, site-specific implementation</x:v>
      </x:c>
      <x:c r="H227" s="2" t="str">
        <x:v>Clinker replacement is adaptable in capacity and configuration but site-specific in final engineering. Its principle remains the same, but resource quality, climate, scale, interfaces and safety constraints must be recalculated for each deployment.</x:v>
      </x:c>
      <x:c r="I227" s="2" t="str">
        <x:v>Primarily hard, with a soft component</x:v>
      </x:c>
      <x:c r="J227" s="2" t="str">
        <x:v>Clinker replacement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7" s="2" t="str">
        <x:v>Equipment and operation</x:v>
      </x:c>
      <x:c r="L227" s="2" t="str">
        <x:v>Clinker replacement is embodied mainly as an equipment-and-operation system. The deliverable is accepted only when measurable service, quality, safety and climate-performance criteria are met under real conditions.</x:v>
      </x:c>
      <x:c r="M227" s="2" t="str">
        <x:v>Yes, subject to life-cycle safeguards</x:v>
      </x:c>
      <x:c r="N227" s="2" t="str">
        <x:v>Clinker replacement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7" s="2" t="str">
        <x:v>Clinker replacement: process reactors or furnaces, heat exchangers, motors and drives, compressors, burners, controls, pollution abatement, material handling and measurement equipment.</x:v>
      </x:c>
      <x:c r="P227" s="2" t="str">
        <x:v>Clinker replacement: process simulation, pinch and heat-integration analysis, advanced control, production scheduling, quality control, energy management and life-cycle assessment.</x:v>
      </x:c>
      <x:c r="Q227" s="2" t="str">
        <x:v>Clinker replacement: industrial permits, product standards, operating procedures, maintenance and competence systems, procurement, energy management and industrial-symbiosis agreements.</x:v>
      </x:c>
      <x:c r="R227" s="2" t="str">
        <x:v>Clinker replacement: industrial site, utilities, fuel and electricity supply, material storage, process buildings, laboratories, waste handling and logistics.</x:v>
      </x:c>
      <x:c r="S227" s="2" t="str">
        <x:v>Clinker replacement: electricity, steam, process heat, cooling and fuels; useful-energy efficiency, heat recovery and carbon intensity of supply determine savings.</x:v>
      </x:c>
      <x:c r="T227" s="2" t="str">
        <x:v>Clinker replacement: process feedstocks, steel and refractory materials, catalysts, solvents, lubricants, insulation, piping, sensors and technology-specific alloying elements.</x:v>
      </x:c>
      <x:c r="U227" s="2" t="str">
        <x:v>Clinker replacement: refractory linings, bearings, seals, valves, filters, burners, electrodes, sensors, control modules, lubricants and calibrated instruments.</x:v>
      </x:c>
      <x:c r="V227" s="2" t="str">
        <x:v>https://www.ctc-n.org/sites/default/files/resources/ctcn_taxonomy_0.pdf</x:v>
      </x:c>
      <x:c r="W227" s="2" t="str">
        <x:v>https://institutoagricoladepueblobello.edu.co/colegiapp/archivostemas/GUIA%209.%5B25%5D.pdf</x:v>
      </x:c>
      <x:c r="X227" s="2" t="str">
        <x:v>https://iiasa.ac.at/what-is-technology</x:v>
      </x:c>
      <x:c r="Y227" s="2" t="str">
        <x:v>https://www.ipcc.ch/report/ar6/wg3/chapter/chapter-11/</x:v>
      </x:c>
      <x:c r="Z227" s="2" t="str">
        <x:v>Technology-specific analytical synthesis. The CTCN hierarchy is retained; classifications and component dependencies require validation against the selected design, site and supplier documentation before investment or policy use.</x:v>
      </x:c>
      <x:c r="AA227" s="2" t="str">
        <x:v>Physical deployment of Clinker replacement requires industrial site, utilities, fuel and electricity supply, material storage, process buildings, laboratories, waste handling and logistics; interfaces, foundations, access and environmental protection are sized to the specific resource and design load.</x:v>
      </x:c>
      <x:c r="AB227" s="2" t="str">
        <x:v>For Clinker replacement,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7" s="2" t="str">
        <x:v>Construction and operation use process feedstocks, steel and refractory materials, catalysts, solvents, lubricants, insulation, piping, sensors and technology-specific alloying elements. For Clinker replacement, specifications must include durability, compatibility, recycled content and recoverability.</x:v>
      </x:c>
      <x:c r="AD227" s="2" t="str">
        <x:v>Maintenance of Clinker replacement depends on refractory linings, bearings, seals, valves, filters, burners, electrodes, sensors, control modules, lubricants and calibrated instruments; critical spares are selected from failure-mode, lead-time and safety analysis for its installed configuration.</x:v>
      </x:c>
      <x:c r="AE227" s="2" t="str">
        <x:v>The software stack for Clinker replacement requires databases, secure communications, version-controlled models, computing, backup and interfaces with field or operational systems.</x:v>
      </x:c>
      <x:c r="AF227" s="2" t="str">
        <x:v>For Clinker replacement, software-related energy is electricity for sensing, computing, storage, communication and cooling; it is normally secondary but must be included for data-intensive or continuous services.</x:v>
      </x:c>
      <x:c r="AG227" s="2" t="str">
        <x:v>The non-physical inputs are calibrated data, metadata, algorithms, boundary conditions, emission or hazard factors, manuals and validation records specific to Clinker replacement.</x:v>
      </x:c>
      <x:c r="AH227" s="2" t="str">
        <x:v>Software continuity for Clinker replacement requires licences where applicable, updates, cybersecurity patches, backups, calibration files, model validation and technical support.</x:v>
      </x:c>
      <x:c r="AI227" s="2" t="str">
        <x:v>Orgware depends on the institutions, laboratories, training providers, regulators, operators and community interfaces needed to govern Clinker replacement.</x:v>
      </x:c>
      <x:c r="AJ227" s="2" t="str">
        <x:v>The orgware supporting Clinker replacement has mainly indirect energy use from offices, meetings, training and information systems; travel and field supervision may be material at dispersed sites.</x:v>
      </x:c>
      <x:c r="AK227" s="2" t="str">
        <x:v>Its organisational inputs are permits, budgets, trained staff, competence records, contracts, procedures, safeguards, monitoring evidence and stakeholder agreements tailored to Clinker replacement.</x:v>
      </x:c>
      <x:c r="AL227" s="2" t="str">
        <x:v>Sustained implementation of Clinker replacement requires procurement and service contracts, audit protocols, training material, reporting templates, insurance or guarantees and periodic independent review.</x:v>
      </x:c>
      <x:c r="AM227" s="2" t="str">
        <x:v>Iron ore / steel inputs; Nickel; Chromium; Limestone / cement raw materials</x:v>
      </x:c>
      <x:c r="AN227" s="2" t="str">
        <x:v>Australia; Brazil; China; Indonesia; Philippines; Russia; South Africa; Kazakhstan; Turkey; India; Vietnam</x:v>
      </x:c>
      <x:c r="AO227" s="2" t="str">
        <x:v>China; India; Japan; Indonesia; South Africa; Kazakhstan; Vietnam</x:v>
      </x:c>
      <x:c r="AP227" s="2" t="str">
        <x:v>Clinker replacement: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7" s="2" t="str">
        <x:v>2024–2025</x:v>
      </x:c>
      <x:c r="AR227" s="2" t="str">
        <x:v>https://pubs.usgs.gov/periodicals/mcs2026/mcs2026.pdf; https://www.iea.org/reports/global-critical-minerals-outlook-2025</x:v>
      </x:c>
    </x:row>
    <x:row r="228" ht="240" customHeight="1">
      <x:c r="A228" s="2" t="str">
        <x:v>MIT-0221</x:v>
      </x:c>
      <x:c r="B228" s="2" t="str">
        <x:v>Mitigation</x:v>
      </x:c>
      <x:c r="C228" s="2" t="str">
        <x:v>Industry</x:v>
      </x:c>
      <x:c r="D228" s="2" t="str">
        <x:v>Construction</x:v>
      </x:c>
      <x:c r="E228" s="2" t="str">
        <x:v>CCS from cement production</x:v>
      </x:c>
      <x:c r="F228" s="2" t="str">
        <x:v>CCS from cement production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CCS from cement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8" s="2" t="str">
        <x:v>Mixed: adaptable design, site-specific implementation</x:v>
      </x:c>
      <x:c r="H228" s="2" t="str">
        <x:v>CCS from cement production is adaptable in capacity and configuration but site-specific in final engineering. Its principle remains the same, but resource quality, climate, scale, interfaces and safety constraints must be recalculated for each deployment.</x:v>
      </x:c>
      <x:c r="I228" s="2" t="str">
        <x:v>Primarily hard, with a soft component</x:v>
      </x:c>
      <x:c r="J228" s="2" t="str">
        <x:v>CCS from cement production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8" s="2" t="str">
        <x:v>Equipment and operation</x:v>
      </x:c>
      <x:c r="L228" s="2" t="str">
        <x:v>CCS from cement production is embodied mainly as an equipment-and-operation system. The deliverable is accepted only when measurable service, quality, safety and climate-performance criteria are met under real conditions.</x:v>
      </x:c>
      <x:c r="M228" s="2" t="str">
        <x:v>Yes, subject to life-cycle safeguards</x:v>
      </x:c>
      <x:c r="N228" s="2" t="str">
        <x:v>CCS from cement production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8" s="2" t="str">
        <x:v>CCS from cement production: process reactors or furnaces, heat exchangers, motors and drives, compressors, burners, controls, pollution abatement, material handling and measurement equipment.</x:v>
      </x:c>
      <x:c r="P228" s="2" t="str">
        <x:v>CCS from cement production: process simulation, pinch and heat-integration analysis, advanced control, production scheduling, quality control, energy management and life-cycle assessment.</x:v>
      </x:c>
      <x:c r="Q228" s="2" t="str">
        <x:v>CCS from cement production: industrial permits, product standards, operating procedures, maintenance and competence systems, procurement, energy management and industrial-symbiosis agreements.</x:v>
      </x:c>
      <x:c r="R228" s="2" t="str">
        <x:v>CCS from cement production: industrial site, utilities, fuel and electricity supply, material storage, process buildings, laboratories, waste handling and logistics.</x:v>
      </x:c>
      <x:c r="S228" s="2" t="str">
        <x:v>CCS from cement production: electricity, steam, process heat, cooling and fuels; useful-energy efficiency, heat recovery and carbon intensity of supply determine savings.</x:v>
      </x:c>
      <x:c r="T228" s="2" t="str">
        <x:v>CCS from cement production: process feedstocks, steel and refractory materials, catalysts, solvents, lubricants, insulation, piping, sensors and technology-specific alloying elements.</x:v>
      </x:c>
      <x:c r="U228" s="2" t="str">
        <x:v>CCS from cement production: refractory linings, bearings, seals, valves, filters, burners, electrodes, sensors, control modules, lubricants and calibrated instruments.</x:v>
      </x:c>
      <x:c r="V228" s="2" t="str">
        <x:v>https://www.ctc-n.org/sites/default/files/resources/ctcn_taxonomy_0.pdf</x:v>
      </x:c>
      <x:c r="W228" s="2" t="str">
        <x:v>https://institutoagricoladepueblobello.edu.co/colegiapp/archivostemas/GUIA%209.%5B25%5D.pdf</x:v>
      </x:c>
      <x:c r="X228" s="2" t="str">
        <x:v>https://iiasa.ac.at/what-is-technology</x:v>
      </x:c>
      <x:c r="Y228" s="2" t="str">
        <x:v>https://www.ipcc.ch/report/ar6/wg3/chapter/chapter-11/</x:v>
      </x:c>
      <x:c r="Z228" s="2" t="str">
        <x:v>Technology-specific analytical synthesis. The CTCN hierarchy is retained; classifications and component dependencies require validation against the selected design, site and supplier documentation before investment or policy use.</x:v>
      </x:c>
      <x:c r="AA228" s="2" t="str">
        <x:v>Physical deployment of CCS from cement production requires industrial site, utilities, fuel and electricity supply, material storage, process buildings, laboratories, waste handling and logistics; interfaces, foundations, access and environmental protection are sized to the specific resource and design load.</x:v>
      </x:c>
      <x:c r="AB228" s="2" t="str">
        <x:v>For CCS from cement production,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8" s="2" t="str">
        <x:v>Construction and operation use process feedstocks, steel and refractory materials, catalysts, solvents, lubricants, insulation, piping, sensors and technology-specific alloying elements. For CCS from cement production, specifications must include durability, compatibility, recycled content and recoverability.</x:v>
      </x:c>
      <x:c r="AD228" s="2" t="str">
        <x:v>Maintenance of CCS from cement production depends on refractory linings, bearings, seals, valves, filters, burners, electrodes, sensors, control modules, lubricants and calibrated instruments; critical spares are selected from failure-mode, lead-time and safety analysis for its installed configuration.</x:v>
      </x:c>
      <x:c r="AE228" s="2" t="str">
        <x:v>The software stack for CCS from cement production requires databases, secure communications, version-controlled models, computing, backup and interfaces with field or operational systems.</x:v>
      </x:c>
      <x:c r="AF228" s="2" t="str">
        <x:v>For CCS from cement production, software-related energy is electricity for sensing, computing, storage, communication and cooling; it is normally secondary but must be included for data-intensive or continuous services.</x:v>
      </x:c>
      <x:c r="AG228" s="2" t="str">
        <x:v>The non-physical inputs are calibrated data, metadata, algorithms, boundary conditions, emission or hazard factors, manuals and validation records specific to CCS from cement production.</x:v>
      </x:c>
      <x:c r="AH228" s="2" t="str">
        <x:v>Software continuity for CCS from cement production requires licences where applicable, updates, cybersecurity patches, backups, calibration files, model validation and technical support.</x:v>
      </x:c>
      <x:c r="AI228" s="2" t="str">
        <x:v>Orgware depends on the institutions, laboratories, training providers, regulators, operators and community interfaces needed to govern CCS from cement production.</x:v>
      </x:c>
      <x:c r="AJ228" s="2" t="str">
        <x:v>The orgware supporting CCS from cement production has mainly indirect energy use from offices, meetings, training and information systems; travel and field supervision may be material at dispersed sites.</x:v>
      </x:c>
      <x:c r="AK228" s="2" t="str">
        <x:v>Its organisational inputs are permits, budgets, trained staff, competence records, contracts, procedures, safeguards, monitoring evidence and stakeholder agreements tailored to CCS from cement production.</x:v>
      </x:c>
      <x:c r="AL228" s="2" t="str">
        <x:v>Sustained implementation of CCS from cement production requires procurement and service contracts, audit protocols, training material, reporting templates, insurance or guarantees and periodic independent review.</x:v>
      </x:c>
      <x:c r="AM228" s="2" t="str">
        <x:v>Iron ore / steel inputs; Nickel; Chromium; Limestone / cement raw materials</x:v>
      </x:c>
      <x:c r="AN228" s="2" t="str">
        <x:v>Australia; Brazil; China; Indonesia; Philippines; Russia; South Africa; Kazakhstan; Turkey; India; Vietnam</x:v>
      </x:c>
      <x:c r="AO228" s="2" t="str">
        <x:v>China; India; Japan; Indonesia; South Africa; Kazakhstan; Vietnam</x:v>
      </x:c>
      <x:c r="AP228" s="2" t="str">
        <x:v>CCS from cement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8" s="2" t="str">
        <x:v>2024–2025</x:v>
      </x:c>
      <x:c r="AR228" s="2" t="str">
        <x:v>https://pubs.usgs.gov/periodicals/mcs2026/mcs2026.pdf; https://www.iea.org/reports/global-critical-minerals-outlook-2025</x:v>
      </x:c>
    </x:row>
    <x:row r="229" ht="240" customHeight="1">
      <x:c r="A229" s="2" t="str">
        <x:v>MIT-0222</x:v>
      </x:c>
      <x:c r="B229" s="2" t="str">
        <x:v>Mitigation</x:v>
      </x:c>
      <x:c r="C229" s="2" t="str">
        <x:v>Industry</x:v>
      </x:c>
      <x:c r="D229" s="2" t="str">
        <x:v>Construction</x:v>
      </x:c>
      <x:c r="E229" s="2" t="str">
        <x:v>Cement production</x:v>
      </x:c>
      <x:c r="F229" s="2" t="str">
        <x:v>Cement production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Cement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9" s="2" t="str">
        <x:v>Mixed: adaptable design, site-specific implementation</x:v>
      </x:c>
      <x:c r="H229" s="2" t="str">
        <x:v>Cement production is adaptable in capacity and configuration but site-specific in final engineering. Its principle remains the same, but resource quality, climate, scale, interfaces and safety constraints must be recalculated for each deployment.</x:v>
      </x:c>
      <x:c r="I229" s="2" t="str">
        <x:v>Primarily hard, with a soft component</x:v>
      </x:c>
      <x:c r="J229" s="2" t="str">
        <x:v>Cement production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9" s="2" t="str">
        <x:v>Equipment and operation</x:v>
      </x:c>
      <x:c r="L229" s="2" t="str">
        <x:v>Cement production is embodied mainly as an equipment-and-operation system. The deliverable is accepted only when measurable service, quality, safety and climate-performance criteria are met under real conditions.</x:v>
      </x:c>
      <x:c r="M229" s="2" t="str">
        <x:v>Yes, subject to life-cycle safeguards</x:v>
      </x:c>
      <x:c r="N229" s="2" t="str">
        <x:v>Cement production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9" s="2" t="str">
        <x:v>Cement production: process reactors or furnaces, heat exchangers, motors and drives, compressors, burners, controls, pollution abatement, material handling and measurement equipment.</x:v>
      </x:c>
      <x:c r="P229" s="2" t="str">
        <x:v>Cement production: process simulation, pinch and heat-integration analysis, advanced control, production scheduling, quality control, energy management and life-cycle assessment.</x:v>
      </x:c>
      <x:c r="Q229" s="2" t="str">
        <x:v>Cement production: industrial permits, product standards, operating procedures, maintenance and competence systems, procurement, energy management and industrial-symbiosis agreements.</x:v>
      </x:c>
      <x:c r="R229" s="2" t="str">
        <x:v>Cement production: industrial site, utilities, fuel and electricity supply, material storage, process buildings, laboratories, waste handling and logistics.</x:v>
      </x:c>
      <x:c r="S229" s="2" t="str">
        <x:v>Cement production: electricity, steam, process heat, cooling and fuels; useful-energy efficiency, heat recovery and carbon intensity of supply determine savings.</x:v>
      </x:c>
      <x:c r="T229" s="2" t="str">
        <x:v>Cement production: process feedstocks, steel and refractory materials, catalysts, solvents, lubricants, insulation, piping, sensors and technology-specific alloying elements.</x:v>
      </x:c>
      <x:c r="U229" s="2" t="str">
        <x:v>Cement production: refractory linings, bearings, seals, valves, filters, burners, electrodes, sensors, control modules, lubricants and calibrated instruments.</x:v>
      </x:c>
      <x:c r="V229" s="2" t="str">
        <x:v>https://www.ctc-n.org/sites/default/files/resources/ctcn_taxonomy_0.pdf</x:v>
      </x:c>
      <x:c r="W229" s="2" t="str">
        <x:v>https://institutoagricoladepueblobello.edu.co/colegiapp/archivostemas/GUIA%209.%5B25%5D.pdf</x:v>
      </x:c>
      <x:c r="X229" s="2" t="str">
        <x:v>https://iiasa.ac.at/what-is-technology</x:v>
      </x:c>
      <x:c r="Y229" s="2" t="str">
        <x:v>https://www.ipcc.ch/report/ar6/wg3/chapter/chapter-11/</x:v>
      </x:c>
      <x:c r="Z229" s="2" t="str">
        <x:v>Technology-specific analytical synthesis. The CTCN hierarchy is retained; classifications and component dependencies require validation against the selected design, site and supplier documentation before investment or policy use.</x:v>
      </x:c>
      <x:c r="AA229" s="2" t="str">
        <x:v>Physical deployment of Cement production requires industrial site, utilities, fuel and electricity supply, material storage, process buildings, laboratories, waste handling and logistics; interfaces, foundations, access and environmental protection are sized to the specific resource and design load.</x:v>
      </x:c>
      <x:c r="AB229" s="2" t="str">
        <x:v>For Cement production,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9" s="2" t="str">
        <x:v>Construction and operation use process feedstocks, steel and refractory materials, catalysts, solvents, lubricants, insulation, piping, sensors and technology-specific alloying elements. For Cement production, specifications must include durability, compatibility, recycled content and recoverability.</x:v>
      </x:c>
      <x:c r="AD229" s="2" t="str">
        <x:v>Maintenance of Cement production depends on refractory linings, bearings, seals, valves, filters, burners, electrodes, sensors, control modules, lubricants and calibrated instruments; critical spares are selected from failure-mode, lead-time and safety analysis for its installed configuration.</x:v>
      </x:c>
      <x:c r="AE229" s="2" t="str">
        <x:v>The software stack for Cement production requires databases, secure communications, version-controlled models, computing, backup and interfaces with field or operational systems.</x:v>
      </x:c>
      <x:c r="AF229" s="2" t="str">
        <x:v>For Cement production, software-related energy is electricity for sensing, computing, storage, communication and cooling; it is normally secondary but must be included for data-intensive or continuous services.</x:v>
      </x:c>
      <x:c r="AG229" s="2" t="str">
        <x:v>The non-physical inputs are calibrated data, metadata, algorithms, boundary conditions, emission or hazard factors, manuals and validation records specific to Cement production.</x:v>
      </x:c>
      <x:c r="AH229" s="2" t="str">
        <x:v>Software continuity for Cement production requires licences where applicable, updates, cybersecurity patches, backups, calibration files, model validation and technical support.</x:v>
      </x:c>
      <x:c r="AI229" s="2" t="str">
        <x:v>Orgware depends on the institutions, laboratories, training providers, regulators, operators and community interfaces needed to govern Cement production.</x:v>
      </x:c>
      <x:c r="AJ229" s="2" t="str">
        <x:v>The orgware supporting Cement production has mainly indirect energy use from offices, meetings, training and information systems; travel and field supervision may be material at dispersed sites.</x:v>
      </x:c>
      <x:c r="AK229" s="2" t="str">
        <x:v>Its organisational inputs are permits, budgets, trained staff, competence records, contracts, procedures, safeguards, monitoring evidence and stakeholder agreements tailored to Cement production.</x:v>
      </x:c>
      <x:c r="AL229" s="2" t="str">
        <x:v>Sustained implementation of Cement production requires procurement and service contracts, audit protocols, training material, reporting templates, insurance or guarantees and periodic independent review.</x:v>
      </x:c>
      <x:c r="AM229" s="2" t="str">
        <x:v>Iron ore / steel inputs; Nickel; Chromium; Limestone / cement raw materials</x:v>
      </x:c>
      <x:c r="AN229" s="2" t="str">
        <x:v>Australia; Brazil; China; Indonesia; Philippines; Russia; South Africa; Kazakhstan; Turkey; India; Vietnam</x:v>
      </x:c>
      <x:c r="AO229" s="2" t="str">
        <x:v>China; India; Japan; Indonesia; South Africa; Kazakhstan; Vietnam</x:v>
      </x:c>
      <x:c r="AP229" s="2" t="str">
        <x:v>Cement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9" s="2" t="str">
        <x:v>2024–2025</x:v>
      </x:c>
      <x:c r="AR229" s="2" t="str">
        <x:v>https://pubs.usgs.gov/periodicals/mcs2026/mcs2026.pdf; https://www.iea.org/reports/global-critical-minerals-outlook-2025</x:v>
      </x:c>
    </x:row>
    <x:row r="230" ht="240" customHeight="1">
      <x:c r="A230" s="2" t="str">
        <x:v>MIT-0223</x:v>
      </x:c>
      <x:c r="B230" s="2" t="str">
        <x:v>Mitigation</x:v>
      </x:c>
      <x:c r="C230" s="2" t="str">
        <x:v>Industry</x:v>
      </x:c>
      <x:c r="D230" s="2" t="str">
        <x:v>Construction</x:v>
      </x:c>
      <x:c r="E230" s="2" t="str">
        <x:v>Cement heat</x:v>
      </x:c>
      <x:c r="F230" s="2" t="str">
        <x:v>Cement heat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Cement heat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0" s="2" t="str">
        <x:v>Mixed: adaptable design, site-specific implementation</x:v>
      </x:c>
      <x:c r="H230" s="2" t="str">
        <x:v>Cement heat is adaptable in capacity and configuration but site-specific in final engineering. Its principle remains the same, but resource quality, climate, scale, interfaces and safety constraints must be recalculated for each deployment.</x:v>
      </x:c>
      <x:c r="I230" s="2" t="str">
        <x:v>Primarily hard, with a soft component</x:v>
      </x:c>
      <x:c r="J230" s="2" t="str">
        <x:v>Cement heat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0" s="2" t="str">
        <x:v>Equipment and operation</x:v>
      </x:c>
      <x:c r="L230" s="2" t="str">
        <x:v>Cement heat is embodied mainly as an equipment-and-operation system. The deliverable is accepted only when measurable service, quality, safety and climate-performance criteria are met under real conditions.</x:v>
      </x:c>
      <x:c r="M230" s="2" t="str">
        <x:v>Yes, subject to life-cycle safeguards</x:v>
      </x:c>
      <x:c r="N230" s="2" t="str">
        <x:v>Cement heat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0" s="2" t="str">
        <x:v>Cement heat: process reactors or furnaces, heat exchangers, motors and drives, compressors, burners, controls, pollution abatement, material handling and measurement equipment.</x:v>
      </x:c>
      <x:c r="P230" s="2" t="str">
        <x:v>Cement heat: process simulation, pinch and heat-integration analysis, advanced control, production scheduling, quality control, energy management and life-cycle assessment.</x:v>
      </x:c>
      <x:c r="Q230" s="2" t="str">
        <x:v>Cement heat: industrial permits, product standards, operating procedures, maintenance and competence systems, procurement, energy management and industrial-symbiosis agreements.</x:v>
      </x:c>
      <x:c r="R230" s="2" t="str">
        <x:v>Cement heat: industrial site, utilities, fuel and electricity supply, material storage, process buildings, laboratories, waste handling and logistics.</x:v>
      </x:c>
      <x:c r="S230" s="2" t="str">
        <x:v>Cement heat: electricity, steam, process heat, cooling and fuels; useful-energy efficiency, heat recovery and carbon intensity of supply determine savings.</x:v>
      </x:c>
      <x:c r="T230" s="2" t="str">
        <x:v>Cement heat: process feedstocks, steel and refractory materials, catalysts, solvents, lubricants, insulation, piping, sensors and technology-specific alloying elements.</x:v>
      </x:c>
      <x:c r="U230" s="2" t="str">
        <x:v>Cement heat: refractory linings, bearings, seals, valves, filters, burners, electrodes, sensors, control modules, lubricants and calibrated instruments.</x:v>
      </x:c>
      <x:c r="V230" s="2" t="str">
        <x:v>https://www.ctc-n.org/sites/default/files/resources/ctcn_taxonomy_0.pdf</x:v>
      </x:c>
      <x:c r="W230" s="2" t="str">
        <x:v>https://institutoagricoladepueblobello.edu.co/colegiapp/archivostemas/GUIA%209.%5B25%5D.pdf</x:v>
      </x:c>
      <x:c r="X230" s="2" t="str">
        <x:v>https://iiasa.ac.at/what-is-technology</x:v>
      </x:c>
      <x:c r="Y230" s="2" t="str">
        <x:v>https://www.ipcc.ch/report/ar6/wg3/chapter/chapter-11/</x:v>
      </x:c>
      <x:c r="Z230" s="2" t="str">
        <x:v>Technology-specific analytical synthesis. The CTCN hierarchy is retained; classifications and component dependencies require validation against the selected design, site and supplier documentation before investment or policy use.</x:v>
      </x:c>
      <x:c r="AA230" s="2" t="str">
        <x:v>Physical deployment of Cement heat requires industrial site, utilities, fuel and electricity supply, material storage, process buildings, laboratories, waste handling and logistics; interfaces, foundations, access and environmental protection are sized to the specific resource and design load.</x:v>
      </x:c>
      <x:c r="AB230" s="2" t="str">
        <x:v>For Cement heat,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0" s="2" t="str">
        <x:v>Construction and operation use process feedstocks, steel and refractory materials, catalysts, solvents, lubricants, insulation, piping, sensors and technology-specific alloying elements. For Cement heat, specifications must include durability, compatibility, recycled content and recoverability.</x:v>
      </x:c>
      <x:c r="AD230" s="2" t="str">
        <x:v>Maintenance of Cement heat depends on refractory linings, bearings, seals, valves, filters, burners, electrodes, sensors, control modules, lubricants and calibrated instruments; critical spares are selected from failure-mode, lead-time and safety analysis for its installed configuration.</x:v>
      </x:c>
      <x:c r="AE230" s="2" t="str">
        <x:v>The software stack for Cement heat requires databases, secure communications, version-controlled models, computing, backup and interfaces with field or operational systems.</x:v>
      </x:c>
      <x:c r="AF230" s="2" t="str">
        <x:v>For Cement heat, software-related energy is electricity for sensing, computing, storage, communication and cooling; it is normally secondary but must be included for data-intensive or continuous services.</x:v>
      </x:c>
      <x:c r="AG230" s="2" t="str">
        <x:v>The non-physical inputs are calibrated data, metadata, algorithms, boundary conditions, emission or hazard factors, manuals and validation records specific to Cement heat.</x:v>
      </x:c>
      <x:c r="AH230" s="2" t="str">
        <x:v>Software continuity for Cement heat requires licences where applicable, updates, cybersecurity patches, backups, calibration files, model validation and technical support.</x:v>
      </x:c>
      <x:c r="AI230" s="2" t="str">
        <x:v>Orgware depends on the institutions, laboratories, training providers, regulators, operators and community interfaces needed to govern Cement heat.</x:v>
      </x:c>
      <x:c r="AJ230" s="2" t="str">
        <x:v>The orgware supporting Cement heat has mainly indirect energy use from offices, meetings, training and information systems; travel and field supervision may be material at dispersed sites.</x:v>
      </x:c>
      <x:c r="AK230" s="2" t="str">
        <x:v>Its organisational inputs are permits, budgets, trained staff, competence records, contracts, procedures, safeguards, monitoring evidence and stakeholder agreements tailored to Cement heat.</x:v>
      </x:c>
      <x:c r="AL230" s="2" t="str">
        <x:v>Sustained implementation of Cement heat requires procurement and service contracts, audit protocols, training material, reporting templates, insurance or guarantees and periodic independent review.</x:v>
      </x:c>
      <x:c r="AM230" s="2" t="str">
        <x:v>Iron ore / steel inputs; Nickel; Chromium; Limestone / cement raw materials</x:v>
      </x:c>
      <x:c r="AN230" s="2" t="str">
        <x:v>Australia; Brazil; China; Indonesia; Philippines; Russia; South Africa; Kazakhstan; Turkey; India; Vietnam</x:v>
      </x:c>
      <x:c r="AO230" s="2" t="str">
        <x:v>China; India; Japan; Indonesia; South Africa; Kazakhstan; Vietnam</x:v>
      </x:c>
      <x:c r="AP230" s="2" t="str">
        <x:v>Cement heat: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0" s="2" t="str">
        <x:v>2024–2025</x:v>
      </x:c>
      <x:c r="AR230" s="2" t="str">
        <x:v>https://pubs.usgs.gov/periodicals/mcs2026/mcs2026.pdf; https://www.iea.org/reports/global-critical-minerals-outlook-2025</x:v>
      </x:c>
    </x:row>
    <x:row r="231" ht="240" customHeight="1">
      <x:c r="A231" s="2" t="str">
        <x:v>MIT-0224</x:v>
      </x:c>
      <x:c r="B231" s="2" t="str">
        <x:v>Mitigation</x:v>
      </x:c>
      <x:c r="C231" s="2" t="str">
        <x:v>Industry</x:v>
      </x:c>
      <x:c r="D231" s="2" t="str">
        <x:v>Construction</x:v>
      </x:c>
      <x:c r="E231" s="2" t="str">
        <x:v>Glass production</x:v>
      </x:c>
      <x:c r="F231" s="2" t="str">
        <x:v>Glass production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Glass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1" s="2" t="str">
        <x:v>Mixed: adaptable design, site-specific implementation</x:v>
      </x:c>
      <x:c r="H231" s="2" t="str">
        <x:v>Glass production is adaptable in capacity and configuration but site-specific in final engineering. Its principle remains the same, but resource quality, climate, scale, interfaces and safety constraints must be recalculated for each deployment.</x:v>
      </x:c>
      <x:c r="I231" s="2" t="str">
        <x:v>Primarily hard, with a soft component</x:v>
      </x:c>
      <x:c r="J231" s="2" t="str">
        <x:v>Glass production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1" s="2" t="str">
        <x:v>Equipment and operation</x:v>
      </x:c>
      <x:c r="L231" s="2" t="str">
        <x:v>Glass production is embodied mainly as an equipment-and-operation system. The deliverable is accepted only when measurable service, quality, safety and climate-performance criteria are met under real conditions.</x:v>
      </x:c>
      <x:c r="M231" s="2" t="str">
        <x:v>Yes, subject to life-cycle safeguards</x:v>
      </x:c>
      <x:c r="N231" s="2" t="str">
        <x:v>Glass production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1" s="2" t="str">
        <x:v>Glass production: process reactors or furnaces, heat exchangers, motors and drives, compressors, burners, controls, pollution abatement, material handling and measurement equipment.</x:v>
      </x:c>
      <x:c r="P231" s="2" t="str">
        <x:v>Glass production: process simulation, pinch and heat-integration analysis, advanced control, production scheduling, quality control, energy management and life-cycle assessment.</x:v>
      </x:c>
      <x:c r="Q231" s="2" t="str">
        <x:v>Glass production: industrial permits, product standards, operating procedures, maintenance and competence systems, procurement, energy management and industrial-symbiosis agreements.</x:v>
      </x:c>
      <x:c r="R231" s="2" t="str">
        <x:v>Glass production: industrial site, utilities, fuel and electricity supply, material storage, process buildings, laboratories, waste handling and logistics.</x:v>
      </x:c>
      <x:c r="S231" s="2" t="str">
        <x:v>Glass production: electricity, steam, process heat, cooling and fuels; useful-energy efficiency, heat recovery and carbon intensity of supply determine savings.</x:v>
      </x:c>
      <x:c r="T231" s="2" t="str">
        <x:v>Glass production: process feedstocks, steel and refractory materials, catalysts, solvents, lubricants, insulation, piping, sensors and technology-specific alloying elements.</x:v>
      </x:c>
      <x:c r="U231" s="2" t="str">
        <x:v>Glass production: refractory linings, bearings, seals, valves, filters, burners, electrodes, sensors, control modules, lubricants and calibrated instruments.</x:v>
      </x:c>
      <x:c r="V231" s="2" t="str">
        <x:v>https://www.ctc-n.org/sites/default/files/resources/ctcn_taxonomy_0.pdf</x:v>
      </x:c>
      <x:c r="W231" s="2" t="str">
        <x:v>https://institutoagricoladepueblobello.edu.co/colegiapp/archivostemas/GUIA%209.%5B25%5D.pdf</x:v>
      </x:c>
      <x:c r="X231" s="2" t="str">
        <x:v>https://iiasa.ac.at/what-is-technology</x:v>
      </x:c>
      <x:c r="Y231" s="2" t="str">
        <x:v>https://www.ipcc.ch/report/ar6/wg3/chapter/chapter-11/</x:v>
      </x:c>
      <x:c r="Z231" s="2" t="str">
        <x:v>Technology-specific analytical synthesis. The CTCN hierarchy is retained; classifications and component dependencies require validation against the selected design, site and supplier documentation before investment or policy use.</x:v>
      </x:c>
      <x:c r="AA231" s="2" t="str">
        <x:v>Physical deployment of Glass production requires industrial site, utilities, fuel and electricity supply, material storage, process buildings, laboratories, waste handling and logistics; interfaces, foundations, access and environmental protection are sized to the specific resource and design load.</x:v>
      </x:c>
      <x:c r="AB231" s="2" t="str">
        <x:v>For Glass production,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1" s="2" t="str">
        <x:v>Construction and operation use process feedstocks, steel and refractory materials, catalysts, solvents, lubricants, insulation, piping, sensors and technology-specific alloying elements. For Glass production, specifications must include durability, compatibility, recycled content and recoverability.</x:v>
      </x:c>
      <x:c r="AD231" s="2" t="str">
        <x:v>Maintenance of Glass production depends on refractory linings, bearings, seals, valves, filters, burners, electrodes, sensors, control modules, lubricants and calibrated instruments; critical spares are selected from failure-mode, lead-time and safety analysis for its installed configuration.</x:v>
      </x:c>
      <x:c r="AE231" s="2" t="str">
        <x:v>The software stack for Glass production requires databases, secure communications, version-controlled models, computing, backup and interfaces with field or operational systems.</x:v>
      </x:c>
      <x:c r="AF231" s="2" t="str">
        <x:v>For Glass production, software-related energy is electricity for sensing, computing, storage, communication and cooling; it is normally secondary but must be included for data-intensive or continuous services.</x:v>
      </x:c>
      <x:c r="AG231" s="2" t="str">
        <x:v>The non-physical inputs are calibrated data, metadata, algorithms, boundary conditions, emission or hazard factors, manuals and validation records specific to Glass production.</x:v>
      </x:c>
      <x:c r="AH231" s="2" t="str">
        <x:v>Software continuity for Glass production requires licences where applicable, updates, cybersecurity patches, backups, calibration files, model validation and technical support.</x:v>
      </x:c>
      <x:c r="AI231" s="2" t="str">
        <x:v>Orgware depends on the institutions, laboratories, training providers, regulators, operators and community interfaces needed to govern Glass production.</x:v>
      </x:c>
      <x:c r="AJ231" s="2" t="str">
        <x:v>The orgware supporting Glass production has mainly indirect energy use from offices, meetings, training and information systems; travel and field supervision may be material at dispersed sites.</x:v>
      </x:c>
      <x:c r="AK231" s="2" t="str">
        <x:v>Its organisational inputs are permits, budgets, trained staff, competence records, contracts, procedures, safeguards, monitoring evidence and stakeholder agreements tailored to Glass production.</x:v>
      </x:c>
      <x:c r="AL231" s="2" t="str">
        <x:v>Sustained implementation of Glass production requires procurement and service contracts, audit protocols, training material, reporting templates, insurance or guarantees and periodic independent review.</x:v>
      </x:c>
      <x:c r="AM231" s="2" t="str">
        <x:v>Iron ore / steel inputs; Limestone / cement raw materials</x:v>
      </x:c>
      <x:c r="AN231" s="2" t="str">
        <x:v>Australia; Brazil; China; India; Vietnam</x:v>
      </x:c>
      <x:c r="AO231" s="2" t="str">
        <x:v>China; India; Japan; Vietnam</x:v>
      </x:c>
      <x:c r="AP231" s="2" t="str">
        <x:v>Glass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1" s="2" t="str">
        <x:v>2024–2025</x:v>
      </x:c>
      <x:c r="AR231" s="2" t="str">
        <x:v>https://pubs.usgs.gov/periodicals/mcs2026/mcs2026.pdf</x:v>
      </x:c>
    </x:row>
    <x:row r="232" ht="240" customHeight="1">
      <x:c r="A232" s="2" t="str">
        <x:v>MIT-0225</x:v>
      </x:c>
      <x:c r="B232" s="2" t="str">
        <x:v>Mitigation</x:v>
      </x:c>
      <x:c r="C232" s="2" t="str">
        <x:v>Industry</x:v>
      </x:c>
      <x:c r="D232" s="2" t="str">
        <x:v>Manufacturing industry</x:v>
      </x:c>
      <x:c r="E232" s="2" t="str">
        <x:v>Machinery</x:v>
      </x:c>
      <x:c r="F232" s="2" t="str">
        <x:v>Machinery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Machinery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2" s="2" t="str">
        <x:v>Mixed: adaptable design, site-specific implementation</x:v>
      </x:c>
      <x:c r="H232" s="2" t="str">
        <x:v>Machinery is adaptable in capacity and configuration but site-specific in final engineering. Its principle remains the same, but resource quality, climate, scale, interfaces and safety constraints must be recalculated for each deployment.</x:v>
      </x:c>
      <x:c r="I232" s="2" t="str">
        <x:v>Primarily hard, with a soft component</x:v>
      </x:c>
      <x:c r="J232" s="2" t="str">
        <x:v>Machinery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2" s="2" t="str">
        <x:v>Equipment and operation</x:v>
      </x:c>
      <x:c r="L232" s="2" t="str">
        <x:v>Machinery is embodied mainly as an equipment-and-operation system. The deliverable is accepted only when measurable service, quality, safety and climate-performance criteria are met under real conditions.</x:v>
      </x:c>
      <x:c r="M232" s="2" t="str">
        <x:v>Yes, subject to life-cycle safeguards</x:v>
      </x:c>
      <x:c r="N232" s="2" t="str">
        <x:v>Machinery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2" s="2" t="str">
        <x:v>Machinery: process reactors or furnaces, heat exchangers, motors and drives, compressors, burners, controls, pollution abatement, material handling and measurement equipment.</x:v>
      </x:c>
      <x:c r="P232" s="2" t="str">
        <x:v>Machinery: process simulation, pinch and heat-integration analysis, advanced control, production scheduling, quality control, energy management and life-cycle assessment.</x:v>
      </x:c>
      <x:c r="Q232" s="2" t="str">
        <x:v>Machinery: industrial permits, product standards, operating procedures, maintenance and competence systems, procurement, energy management and industrial-symbiosis agreements.</x:v>
      </x:c>
      <x:c r="R232" s="2" t="str">
        <x:v>Machinery: industrial site, utilities, fuel and electricity supply, material storage, process buildings, laboratories, waste handling and logistics.</x:v>
      </x:c>
      <x:c r="S232" s="2" t="str">
        <x:v>Machinery: electricity, steam, process heat, cooling and fuels; useful-energy efficiency, heat recovery and carbon intensity of supply determine savings.</x:v>
      </x:c>
      <x:c r="T232" s="2" t="str">
        <x:v>Machinery: process feedstocks, steel and refractory materials, catalysts, solvents, lubricants, insulation, piping, sensors and technology-specific alloying elements.</x:v>
      </x:c>
      <x:c r="U232" s="2" t="str">
        <x:v>Machinery: refractory linings, bearings, seals, valves, filters, burners, electrodes, sensors, control modules, lubricants and calibrated instruments.</x:v>
      </x:c>
      <x:c r="V232" s="2" t="str">
        <x:v>https://www.ctc-n.org/sites/default/files/resources/ctcn_taxonomy_0.pdf</x:v>
      </x:c>
      <x:c r="W232" s="2" t="str">
        <x:v>https://institutoagricoladepueblobello.edu.co/colegiapp/archivostemas/GUIA%209.%5B25%5D.pdf</x:v>
      </x:c>
      <x:c r="X232" s="2" t="str">
        <x:v>https://iiasa.ac.at/what-is-technology</x:v>
      </x:c>
      <x:c r="Y232" s="2" t="str">
        <x:v>https://www.ipcc.ch/report/ar6/wg3/chapter/chapter-11/</x:v>
      </x:c>
      <x:c r="Z232" s="2" t="str">
        <x:v>Technology-specific analytical synthesis. The CTCN hierarchy is retained; classifications and component dependencies require validation against the selected design, site and supplier documentation before investment or policy use.</x:v>
      </x:c>
      <x:c r="AA232" s="2" t="str">
        <x:v>Physical deployment of Machinery requires industrial site, utilities, fuel and electricity supply, material storage, process buildings, laboratories, waste handling and logistics; interfaces, foundations, access and environmental protection are sized to the specific resource and design load.</x:v>
      </x:c>
      <x:c r="AB232" s="2" t="str">
        <x:v>For Machinery,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2" s="2" t="str">
        <x:v>Construction and operation use process feedstocks, steel and refractory materials, catalysts, solvents, lubricants, insulation, piping, sensors and technology-specific alloying elements. For Machinery, specifications must include durability, compatibility, recycled content and recoverability.</x:v>
      </x:c>
      <x:c r="AD232" s="2" t="str">
        <x:v>Maintenance of Machinery depends on refractory linings, bearings, seals, valves, filters, burners, electrodes, sensors, control modules, lubricants and calibrated instruments; critical spares are selected from failure-mode, lead-time and safety analysis for its installed configuration.</x:v>
      </x:c>
      <x:c r="AE232" s="2" t="str">
        <x:v>The software stack for Machinery requires databases, secure communications, version-controlled models, computing, backup and interfaces with field or operational systems.</x:v>
      </x:c>
      <x:c r="AF232" s="2" t="str">
        <x:v>For Machinery, software-related energy is electricity for sensing, computing, storage, communication and cooling; it is normally secondary but must be included for data-intensive or continuous services.</x:v>
      </x:c>
      <x:c r="AG232" s="2" t="str">
        <x:v>The non-physical inputs are calibrated data, metadata, algorithms, boundary conditions, emission or hazard factors, manuals and validation records specific to Machinery.</x:v>
      </x:c>
      <x:c r="AH232" s="2" t="str">
        <x:v>Software continuity for Machinery requires licences where applicable, updates, cybersecurity patches, backups, calibration files, model validation and technical support.</x:v>
      </x:c>
      <x:c r="AI232" s="2" t="str">
        <x:v>Orgware depends on the institutions, laboratories, training providers, regulators, operators and community interfaces needed to govern Machinery.</x:v>
      </x:c>
      <x:c r="AJ232" s="2" t="str">
        <x:v>The orgware supporting Machinery has mainly indirect energy use from offices, meetings, training and information systems; travel and field supervision may be material at dispersed sites.</x:v>
      </x:c>
      <x:c r="AK232" s="2" t="str">
        <x:v>Its organisational inputs are permits, budgets, trained staff, competence records, contracts, procedures, safeguards, monitoring evidence and stakeholder agreements tailored to Machinery.</x:v>
      </x:c>
      <x:c r="AL232" s="2" t="str">
        <x:v>Sustained implementation of Machinery requires procurement and service contracts, audit protocols, training material, reporting templates, insurance or guarantees and periodic independent review.</x:v>
      </x:c>
      <x:c r="AM232" s="2" t="str">
        <x:v>Iron ore / steel inputs</x:v>
      </x:c>
      <x:c r="AN232" s="2" t="str">
        <x:v>Australia; Brazil; China</x:v>
      </x:c>
      <x:c r="AO232" s="2" t="str">
        <x:v>China; India; Japan</x:v>
      </x:c>
      <x:c r="AP232" s="2" t="str">
        <x:v>Machinery: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2" s="2" t="str">
        <x:v>2024–2025</x:v>
      </x:c>
      <x:c r="AR232" s="2" t="str">
        <x:v>https://pubs.usgs.gov/periodicals/mcs2026/mcs2026.pdf</x:v>
      </x:c>
    </x:row>
    <x:row r="233" ht="240" customHeight="1">
      <x:c r="A233" s="2" t="str">
        <x:v>MIT-0226</x:v>
      </x:c>
      <x:c r="B233" s="2" t="str">
        <x:v>Mitigation</x:v>
      </x:c>
      <x:c r="C233" s="2" t="str">
        <x:v>Industry</x:v>
      </x:c>
      <x:c r="D233" s="2" t="str">
        <x:v>Manufacturing industry</x:v>
      </x:c>
      <x:c r="E233" s="2" t="str">
        <x:v>Efficient supply chains</x:v>
      </x:c>
      <x:c r="F233" s="2" t="str">
        <x:v>Efficient supply chains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Efficient supply chains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3" s="2" t="str">
        <x:v>Mixed: adaptable design, site-specific implementation</x:v>
      </x:c>
      <x:c r="H233" s="2" t="str">
        <x:v>Efficient supply chains is adaptable in capacity and configuration but site-specific in final engineering. Its principle remains the same, but resource quality, climate, scale, interfaces and safety constraints must be recalculated for each deployment.</x:v>
      </x:c>
      <x:c r="I233" s="2" t="str">
        <x:v>Primarily hard, with a soft component</x:v>
      </x:c>
      <x:c r="J233" s="2" t="str">
        <x:v>Efficient supply chains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3" s="2" t="str">
        <x:v>Equipment and operation</x:v>
      </x:c>
      <x:c r="L233" s="2" t="str">
        <x:v>Efficient supply chains is embodied mainly as an equipment-and-operation system. The deliverable is accepted only when measurable service, quality, safety and climate-performance criteria are met under real conditions.</x:v>
      </x:c>
      <x:c r="M233" s="2" t="str">
        <x:v>Yes, subject to life-cycle safeguards</x:v>
      </x:c>
      <x:c r="N233" s="2" t="str">
        <x:v>Efficient supply chains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3" s="2" t="str">
        <x:v>Efficient supply chains: process reactors or furnaces, heat exchangers, motors and drives, compressors, burners, controls, pollution abatement, material handling and measurement equipment.</x:v>
      </x:c>
      <x:c r="P233" s="2" t="str">
        <x:v>Efficient supply chains: process simulation, pinch and heat-integration analysis, advanced control, production scheduling, quality control, energy management and life-cycle assessment.</x:v>
      </x:c>
      <x:c r="Q233" s="2" t="str">
        <x:v>Efficient supply chains: industrial permits, product standards, operating procedures, maintenance and competence systems, procurement, energy management and industrial-symbiosis agreements.</x:v>
      </x:c>
      <x:c r="R233" s="2" t="str">
        <x:v>Efficient supply chains: industrial site, utilities, fuel and electricity supply, material storage, process buildings, laboratories, waste handling and logistics.</x:v>
      </x:c>
      <x:c r="S233" s="2" t="str">
        <x:v>Efficient supply chains: electricity, steam, process heat, cooling and fuels; useful-energy efficiency, heat recovery and carbon intensity of supply determine savings.</x:v>
      </x:c>
      <x:c r="T233" s="2" t="str">
        <x:v>Efficient supply chains: process feedstocks, steel and refractory materials, catalysts, solvents, lubricants, insulation, piping, sensors and technology-specific alloying elements.</x:v>
      </x:c>
      <x:c r="U233" s="2" t="str">
        <x:v>Efficient supply chains: refractory linings, bearings, seals, valves, filters, burners, electrodes, sensors, control modules, lubricants and calibrated instruments.</x:v>
      </x:c>
      <x:c r="V233" s="2" t="str">
        <x:v>https://www.ctc-n.org/sites/default/files/resources/ctcn_taxonomy_0.pdf</x:v>
      </x:c>
      <x:c r="W233" s="2" t="str">
        <x:v>https://institutoagricoladepueblobello.edu.co/colegiapp/archivostemas/GUIA%209.%5B25%5D.pdf</x:v>
      </x:c>
      <x:c r="X233" s="2" t="str">
        <x:v>https://iiasa.ac.at/what-is-technology</x:v>
      </x:c>
      <x:c r="Y233" s="2" t="str">
        <x:v>https://www.ipcc.ch/report/ar6/wg3/chapter/chapter-11/</x:v>
      </x:c>
      <x:c r="Z233" s="2" t="str">
        <x:v>Technology-specific analytical synthesis. The CTCN hierarchy is retained; classifications and component dependencies require validation against the selected design, site and supplier documentation before investment or policy use.</x:v>
      </x:c>
      <x:c r="AA233" s="2" t="str">
        <x:v>Physical deployment of Efficient supply chains requires industrial site, utilities, fuel and electricity supply, material storage, process buildings, laboratories, waste handling and logistics; interfaces, foundations, access and environmental protection are sized to the specific resource and design load.</x:v>
      </x:c>
      <x:c r="AB233" s="2" t="str">
        <x:v>For Efficient supply chains,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3" s="2" t="str">
        <x:v>Construction and operation use process feedstocks, steel and refractory materials, catalysts, solvents, lubricants, insulation, piping, sensors and technology-specific alloying elements. For Efficient supply chains, specifications must include durability, compatibility, recycled content and recoverability.</x:v>
      </x:c>
      <x:c r="AD233" s="2" t="str">
        <x:v>Maintenance of Efficient supply chains depends on refractory linings, bearings, seals, valves, filters, burners, electrodes, sensors, control modules, lubricants and calibrated instruments; critical spares are selected from failure-mode, lead-time and safety analysis for its installed configuration.</x:v>
      </x:c>
      <x:c r="AE233" s="2" t="str">
        <x:v>The software stack for Efficient supply chains requires databases, secure communications, version-controlled models, computing, backup and interfaces with field or operational systems.</x:v>
      </x:c>
      <x:c r="AF233" s="2" t="str">
        <x:v>For Efficient supply chains, software-related energy is electricity for sensing, computing, storage, communication and cooling; it is normally secondary but must be included for data-intensive or continuous services.</x:v>
      </x:c>
      <x:c r="AG233" s="2" t="str">
        <x:v>The non-physical inputs are calibrated data, metadata, algorithms, boundary conditions, emission or hazard factors, manuals and validation records specific to Efficient supply chains.</x:v>
      </x:c>
      <x:c r="AH233" s="2" t="str">
        <x:v>Software continuity for Efficient supply chains requires licences where applicable, updates, cybersecurity patches, backups, calibration files, model validation and technical support.</x:v>
      </x:c>
      <x:c r="AI233" s="2" t="str">
        <x:v>Orgware depends on the institutions, laboratories, training providers, regulators, operators and community interfaces needed to govern Efficient supply chains.</x:v>
      </x:c>
      <x:c r="AJ233" s="2" t="str">
        <x:v>The orgware supporting Efficient supply chains has mainly indirect energy use from offices, meetings, training and information systems; travel and field supervision may be material at dispersed sites.</x:v>
      </x:c>
      <x:c r="AK233" s="2" t="str">
        <x:v>Its organisational inputs are permits, budgets, trained staff, competence records, contracts, procedures, safeguards, monitoring evidence and stakeholder agreements tailored to Efficient supply chains.</x:v>
      </x:c>
      <x:c r="AL233" s="2" t="str">
        <x:v>Sustained implementation of Efficient supply chains requires procurement and service contracts, audit protocols, training material, reporting templates, insurance or guarantees and periodic independent review.</x:v>
      </x:c>
      <x:c r="AM233" s="2" t="str">
        <x:v>Iron ore / steel inputs</x:v>
      </x:c>
      <x:c r="AN233" s="2" t="str">
        <x:v>Australia; Brazil; China</x:v>
      </x:c>
      <x:c r="AO233" s="2" t="str">
        <x:v>China; India; Japan</x:v>
      </x:c>
      <x:c r="AP233" s="2" t="str">
        <x:v>Efficient supply chains: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3" s="2" t="str">
        <x:v>2024–2025</x:v>
      </x:c>
      <x:c r="AR233" s="2" t="str">
        <x:v>https://pubs.usgs.gov/periodicals/mcs2026/mcs2026.pdf</x:v>
      </x:c>
    </x:row>
    <x:row r="234" ht="240" customHeight="1">
      <x:c r="A234" s="2" t="str">
        <x:v>MIT-0227</x:v>
      </x:c>
      <x:c r="B234" s="2" t="str">
        <x:v>Mitigation</x:v>
      </x:c>
      <x:c r="C234" s="2" t="str">
        <x:v>Industry</x:v>
      </x:c>
      <x:c r="D234" s="2" t="str">
        <x:v>Manufacturing industry</x:v>
      </x:c>
      <x:c r="E234" s="2" t="str">
        <x:v>Mitigation in the textiles and leather industry</x:v>
      </x:c>
      <x:c r="F234" s="2" t="str">
        <x:v>Mitigation in the textiles and leather industry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Mitigation in the textiles and leather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4" s="2" t="str">
        <x:v>Mixed: adaptable design, site-specific implementation</x:v>
      </x:c>
      <x:c r="H234" s="2" t="str">
        <x:v>Mitigation in the textiles and leather industry is adaptable in capacity and configuration but site-specific in final engineering. Its principle remains the same, but resource quality, climate, scale, interfaces and safety constraints must be recalculated for each deployment.</x:v>
      </x:c>
      <x:c r="I234" s="2" t="str">
        <x:v>Primarily hard, with a soft component</x:v>
      </x:c>
      <x:c r="J234" s="2" t="str">
        <x:v>Mitigation in the textiles and leather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4" s="2" t="str">
        <x:v>Equipment and operation</x:v>
      </x:c>
      <x:c r="L234" s="2" t="str">
        <x:v>Mitigation in the textiles and leather industry is embodied mainly as an equipment-and-operation system. The deliverable is accepted only when measurable service, quality, safety and climate-performance criteria are met under real conditions.</x:v>
      </x:c>
      <x:c r="M234" s="2" t="str">
        <x:v>Yes, subject to life-cycle safeguards</x:v>
      </x:c>
      <x:c r="N234" s="2" t="str">
        <x:v>Mitigation in the textiles and leather industry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4" s="2" t="str">
        <x:v>Mitigation in the textiles and leather industry: process reactors or furnaces, heat exchangers, motors and drives, compressors, burners, controls, pollution abatement, material handling and measurement equipment.</x:v>
      </x:c>
      <x:c r="P234" s="2" t="str">
        <x:v>Mitigation in the textiles and leather industry: process simulation, pinch and heat-integration analysis, advanced control, production scheduling, quality control, energy management and life-cycle assessment.</x:v>
      </x:c>
      <x:c r="Q234" s="2" t="str">
        <x:v>Mitigation in the textiles and leather industry: industrial permits, product standards, operating procedures, maintenance and competence systems, procurement, energy management and industrial-symbiosis agreements.</x:v>
      </x:c>
      <x:c r="R234" s="2" t="str">
        <x:v>Mitigation in the textiles and leather industry: industrial site, utilities, fuel and electricity supply, material storage, process buildings, laboratories, waste handling and logistics.</x:v>
      </x:c>
      <x:c r="S234" s="2" t="str">
        <x:v>Mitigation in the textiles and leather industry: electricity, steam, process heat, cooling and fuels; useful-energy efficiency, heat recovery and carbon intensity of supply determine savings.</x:v>
      </x:c>
      <x:c r="T234" s="2" t="str">
        <x:v>Mitigation in the textiles and leather industry: process feedstocks, steel and refractory materials, catalysts, solvents, lubricants, insulation, piping, sensors and technology-specific alloying elements.</x:v>
      </x:c>
      <x:c r="U234" s="2" t="str">
        <x:v>Mitigation in the textiles and leather industry: refractory linings, bearings, seals, valves, filters, burners, electrodes, sensors, control modules, lubricants and calibrated instruments.</x:v>
      </x:c>
      <x:c r="V234" s="2" t="str">
        <x:v>https://www.ctc-n.org/sites/default/files/resources/ctcn_taxonomy_0.pdf</x:v>
      </x:c>
      <x:c r="W234" s="2" t="str">
        <x:v>https://institutoagricoladepueblobello.edu.co/colegiapp/archivostemas/GUIA%209.%5B25%5D.pdf</x:v>
      </x:c>
      <x:c r="X234" s="2" t="str">
        <x:v>https://iiasa.ac.at/what-is-technology</x:v>
      </x:c>
      <x:c r="Y234" s="2" t="str">
        <x:v>https://www.ipcc.ch/report/ar6/wg3/chapter/chapter-11/</x:v>
      </x:c>
      <x:c r="Z234" s="2" t="str">
        <x:v>Technology-specific analytical synthesis. The CTCN hierarchy is retained; classifications and component dependencies require validation against the selected design, site and supplier documentation before investment or policy use.</x:v>
      </x:c>
      <x:c r="AA234" s="2" t="str">
        <x:v>Physical deployment of Mitigation in the textiles and leather industry requires industrial site, utilities, fuel and electricity supply, material storage, process buildings, laboratories, waste handling and logistics; interfaces, foundations, access and environmental protection are sized to the specific resource and design load.</x:v>
      </x:c>
      <x:c r="AB234" s="2" t="str">
        <x:v>For Mitigation in the textiles and leather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4" s="2" t="str">
        <x:v>Construction and operation use process feedstocks, steel and refractory materials, catalysts, solvents, lubricants, insulation, piping, sensors and technology-specific alloying elements. For Mitigation in the textiles and leather industry, specifications must include durability, compatibility, recycled content and recoverability.</x:v>
      </x:c>
      <x:c r="AD234" s="2" t="str">
        <x:v>Maintenance of Mitigation in the textiles and leather industry depends on refractory linings, bearings, seals, valves, filters, burners, electrodes, sensors, control modules, lubricants and calibrated instruments; critical spares are selected from failure-mode, lead-time and safety analysis for its installed configuration.</x:v>
      </x:c>
      <x:c r="AE234" s="2" t="str">
        <x:v>The software stack for Mitigation in the textiles and leather industry requires databases, secure communications, version-controlled models, computing, backup and interfaces with field or operational systems.</x:v>
      </x:c>
      <x:c r="AF234" s="2" t="str">
        <x:v>For Mitigation in the textiles and leather industry, software-related energy is electricity for sensing, computing, storage, communication and cooling; it is normally secondary but must be included for data-intensive or continuous services.</x:v>
      </x:c>
      <x:c r="AG234" s="2" t="str">
        <x:v>The non-physical inputs are calibrated data, metadata, algorithms, boundary conditions, emission or hazard factors, manuals and validation records specific to Mitigation in the textiles and leather industry.</x:v>
      </x:c>
      <x:c r="AH234" s="2" t="str">
        <x:v>Software continuity for Mitigation in the textiles and leather industry requires licences where applicable, updates, cybersecurity patches, backups, calibration files, model validation and technical support.</x:v>
      </x:c>
      <x:c r="AI234" s="2" t="str">
        <x:v>Orgware depends on the institutions, laboratories, training providers, regulators, operators and community interfaces needed to govern Mitigation in the textiles and leather industry.</x:v>
      </x:c>
      <x:c r="AJ234" s="2" t="str">
        <x:v>The orgware supporting Mitigation in the textiles and leather industry has mainly indirect energy use from offices, meetings, training and information systems; travel and field supervision may be material at dispersed sites.</x:v>
      </x:c>
      <x:c r="AK234" s="2" t="str">
        <x:v>Its organisational inputs are permits, budgets, trained staff, competence records, contracts, procedures, safeguards, monitoring evidence and stakeholder agreements tailored to Mitigation in the textiles and leather industry.</x:v>
      </x:c>
      <x:c r="AL234" s="2" t="str">
        <x:v>Sustained implementation of Mitigation in the textiles and leather industry requires procurement and service contracts, audit protocols, training material, reporting templates, insurance or guarantees and periodic independent review.</x:v>
      </x:c>
      <x:c r="AM234" s="2" t="str">
        <x:v>Iron ore / steel inputs</x:v>
      </x:c>
      <x:c r="AN234" s="2" t="str">
        <x:v>Australia; Brazil; China</x:v>
      </x:c>
      <x:c r="AO234" s="2" t="str">
        <x:v>China; India; Japan</x:v>
      </x:c>
      <x:c r="AP234" s="2" t="str">
        <x:v>Mitigation in the textiles and leather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4" s="2" t="str">
        <x:v>2024–2025</x:v>
      </x:c>
      <x:c r="AR234" s="2" t="str">
        <x:v>https://pubs.usgs.gov/periodicals/mcs2026/mcs2026.pdf</x:v>
      </x:c>
    </x:row>
    <x:row r="235" ht="240" customHeight="1">
      <x:c r="A235" s="2" t="str">
        <x:v>MIT-0228</x:v>
      </x:c>
      <x:c r="B235" s="2" t="str">
        <x:v>Mitigation</x:v>
      </x:c>
      <x:c r="C235" s="2" t="str">
        <x:v>Industry</x:v>
      </x:c>
      <x:c r="D235" s="2" t="str">
        <x:v>Manufacturing industry</x:v>
      </x:c>
      <x:c r="E235" s="2" t="str">
        <x:v>Industrial symbiosis</x:v>
      </x:c>
      <x:c r="F235" s="2" t="str">
        <x:v>Industrial symbiosis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Industrial symbiosis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5" s="2" t="str">
        <x:v>Mixed: adaptable design, site-specific implementation</x:v>
      </x:c>
      <x:c r="H235" s="2" t="str">
        <x:v>Industrial symbiosis is adaptable in capacity and configuration but site-specific in final engineering. Its principle remains the same, but resource quality, climate, scale, interfaces and safety constraints must be recalculated for each deployment.</x:v>
      </x:c>
      <x:c r="I235" s="2" t="str">
        <x:v>Primarily hard, with a soft component</x:v>
      </x:c>
      <x:c r="J235" s="2" t="str">
        <x:v>Industrial symbiosis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5" s="2" t="str">
        <x:v>Equipment and operation</x:v>
      </x:c>
      <x:c r="L235" s="2" t="str">
        <x:v>Industrial symbiosis is embodied mainly as an equipment-and-operation system. The deliverable is accepted only when measurable service, quality, safety and climate-performance criteria are met under real conditions.</x:v>
      </x:c>
      <x:c r="M235" s="2" t="str">
        <x:v>Yes, subject to life-cycle safeguards</x:v>
      </x:c>
      <x:c r="N235" s="2" t="str">
        <x:v>Industrial symbiosis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5" s="2" t="str">
        <x:v>Industrial symbiosis: process reactors or furnaces, heat exchangers, motors and drives, compressors, burners, controls, pollution abatement, material handling and measurement equipment.</x:v>
      </x:c>
      <x:c r="P235" s="2" t="str">
        <x:v>Industrial symbiosis: process simulation, pinch and heat-integration analysis, advanced control, production scheduling, quality control, energy management and life-cycle assessment.</x:v>
      </x:c>
      <x:c r="Q235" s="2" t="str">
        <x:v>Industrial symbiosis: industrial permits, product standards, operating procedures, maintenance and competence systems, procurement, energy management and industrial-symbiosis agreements.</x:v>
      </x:c>
      <x:c r="R235" s="2" t="str">
        <x:v>Industrial symbiosis: industrial site, utilities, fuel and electricity supply, material storage, process buildings, laboratories, waste handling and logistics.</x:v>
      </x:c>
      <x:c r="S235" s="2" t="str">
        <x:v>Industrial symbiosis: electricity, steam, process heat, cooling and fuels; useful-energy efficiency, heat recovery and carbon intensity of supply determine savings.</x:v>
      </x:c>
      <x:c r="T235" s="2" t="str">
        <x:v>Industrial symbiosis: process feedstocks, steel and refractory materials, catalysts, solvents, lubricants, insulation, piping, sensors and technology-specific alloying elements.</x:v>
      </x:c>
      <x:c r="U235" s="2" t="str">
        <x:v>Industrial symbiosis: refractory linings, bearings, seals, valves, filters, burners, electrodes, sensors, control modules, lubricants and calibrated instruments.</x:v>
      </x:c>
      <x:c r="V235" s="2" t="str">
        <x:v>https://www.ctc-n.org/sites/default/files/resources/ctcn_taxonomy_0.pdf</x:v>
      </x:c>
      <x:c r="W235" s="2" t="str">
        <x:v>https://institutoagricoladepueblobello.edu.co/colegiapp/archivostemas/GUIA%209.%5B25%5D.pdf</x:v>
      </x:c>
      <x:c r="X235" s="2" t="str">
        <x:v>https://iiasa.ac.at/what-is-technology</x:v>
      </x:c>
      <x:c r="Y235" s="2" t="str">
        <x:v>https://www.ipcc.ch/report/ar6/wg3/chapter/chapter-11/</x:v>
      </x:c>
      <x:c r="Z235" s="2" t="str">
        <x:v>Technology-specific analytical synthesis. The CTCN hierarchy is retained; classifications and component dependencies require validation against the selected design, site and supplier documentation before investment or policy use.</x:v>
      </x:c>
      <x:c r="AA235" s="2" t="str">
        <x:v>Physical deployment of Industrial symbiosis requires industrial site, utilities, fuel and electricity supply, material storage, process buildings, laboratories, waste handling and logistics; interfaces, foundations, access and environmental protection are sized to the specific resource and design load.</x:v>
      </x:c>
      <x:c r="AB235" s="2" t="str">
        <x:v>For Industrial symbiosis,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5" s="2" t="str">
        <x:v>Construction and operation use process feedstocks, steel and refractory materials, catalysts, solvents, lubricants, insulation, piping, sensors and technology-specific alloying elements. For Industrial symbiosis, specifications must include durability, compatibility, recycled content and recoverability.</x:v>
      </x:c>
      <x:c r="AD235" s="2" t="str">
        <x:v>Maintenance of Industrial symbiosis depends on refractory linings, bearings, seals, valves, filters, burners, electrodes, sensors, control modules, lubricants and calibrated instruments; critical spares are selected from failure-mode, lead-time and safety analysis for its installed configuration.</x:v>
      </x:c>
      <x:c r="AE235" s="2" t="str">
        <x:v>The software stack for Industrial symbiosis requires databases, secure communications, version-controlled models, computing, backup and interfaces with field or operational systems.</x:v>
      </x:c>
      <x:c r="AF235" s="2" t="str">
        <x:v>For Industrial symbiosis, software-related energy is electricity for sensing, computing, storage, communication and cooling; it is normally secondary but must be included for data-intensive or continuous services.</x:v>
      </x:c>
      <x:c r="AG235" s="2" t="str">
        <x:v>The non-physical inputs are calibrated data, metadata, algorithms, boundary conditions, emission or hazard factors, manuals and validation records specific to Industrial symbiosis.</x:v>
      </x:c>
      <x:c r="AH235" s="2" t="str">
        <x:v>Software continuity for Industrial symbiosis requires licences where applicable, updates, cybersecurity patches, backups, calibration files, model validation and technical support.</x:v>
      </x:c>
      <x:c r="AI235" s="2" t="str">
        <x:v>Orgware depends on the institutions, laboratories, training providers, regulators, operators and community interfaces needed to govern Industrial symbiosis.</x:v>
      </x:c>
      <x:c r="AJ235" s="2" t="str">
        <x:v>The orgware supporting Industrial symbiosis has mainly indirect energy use from offices, meetings, training and information systems; travel and field supervision may be material at dispersed sites.</x:v>
      </x:c>
      <x:c r="AK235" s="2" t="str">
        <x:v>Its organisational inputs are permits, budgets, trained staff, competence records, contracts, procedures, safeguards, monitoring evidence and stakeholder agreements tailored to Industrial symbiosis.</x:v>
      </x:c>
      <x:c r="AL235" s="2" t="str">
        <x:v>Sustained implementation of Industrial symbiosis requires procurement and service contracts, audit protocols, training material, reporting templates, insurance or guarantees and periodic independent review.</x:v>
      </x:c>
      <x:c r="AM235" s="2" t="str">
        <x:v>Iron ore / steel inputs</x:v>
      </x:c>
      <x:c r="AN235" s="2" t="str">
        <x:v>Australia; Brazil; China</x:v>
      </x:c>
      <x:c r="AO235" s="2" t="str">
        <x:v>China; India; Japan</x:v>
      </x:c>
      <x:c r="AP235" s="2" t="str">
        <x:v>Industrial symbiosis: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5" s="2" t="str">
        <x:v>2024–2025</x:v>
      </x:c>
      <x:c r="AR235" s="2" t="str">
        <x:v>https://pubs.usgs.gov/periodicals/mcs2026/mcs2026.pdf</x:v>
      </x:c>
    </x:row>
    <x:row r="236" ht="240" customHeight="1">
      <x:c r="A236" s="2" t="str">
        <x:v>MIT-0229</x:v>
      </x:c>
      <x:c r="B236" s="2" t="str">
        <x:v>Mitigation</x:v>
      </x:c>
      <x:c r="C236" s="2" t="str">
        <x:v>Industry</x:v>
      </x:c>
      <x:c r="D236" s="2" t="str">
        <x:v>Manufacturing industry</x:v>
      </x:c>
      <x:c r="E236" s="2" t="str">
        <x:v>Electronic control systems</x:v>
      </x:c>
      <x:c r="F236" s="2" t="str">
        <x:v>Electronic control systems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Electronic control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6" s="2" t="str">
        <x:v>Mixed: adaptable design, site-specific implementation</x:v>
      </x:c>
      <x:c r="H236" s="2" t="str">
        <x:v>Electronic control systems is adaptable in capacity and configuration but site-specific in final engineering. Its principle remains the same, but resource quality, climate, scale, interfaces and safety constraints must be recalculated for each deployment.</x:v>
      </x:c>
      <x:c r="I236" s="2" t="str">
        <x:v>Primarily hard, with a soft component</x:v>
      </x:c>
      <x:c r="J236" s="2" t="str">
        <x:v>Electronic control systems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6" s="2" t="str">
        <x:v>Equipment and operation</x:v>
      </x:c>
      <x:c r="L236" s="2" t="str">
        <x:v>Electronic control systems is embodied mainly as an equipment-and-operation system. The deliverable is accepted only when measurable service, quality, safety and climate-performance criteria are met under real conditions.</x:v>
      </x:c>
      <x:c r="M236" s="2" t="str">
        <x:v>Yes, subject to life-cycle safeguards</x:v>
      </x:c>
      <x:c r="N236" s="2" t="str">
        <x:v>Electronic control systems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6" s="2" t="str">
        <x:v>Electronic control systems: process reactors or furnaces, heat exchangers, motors and drives, compressors, burners, controls, pollution abatement, material handling and measurement equipment.</x:v>
      </x:c>
      <x:c r="P236" s="2" t="str">
        <x:v>Electronic control systems: process simulation, pinch and heat-integration analysis, advanced control, production scheduling, quality control, energy management and life-cycle assessment.</x:v>
      </x:c>
      <x:c r="Q236" s="2" t="str">
        <x:v>Electronic control systems: industrial permits, product standards, operating procedures, maintenance and competence systems, procurement, energy management and industrial-symbiosis agreements.</x:v>
      </x:c>
      <x:c r="R236" s="2" t="str">
        <x:v>Electronic control systems: industrial site, utilities, fuel and electricity supply, material storage, process buildings, laboratories, waste handling and logistics.</x:v>
      </x:c>
      <x:c r="S236" s="2" t="str">
        <x:v>Electronic control systems: electricity, steam, process heat, cooling and fuels; useful-energy efficiency, heat recovery and carbon intensity of supply determine savings.</x:v>
      </x:c>
      <x:c r="T236" s="2" t="str">
        <x:v>Electronic control systems: process feedstocks, steel and refractory materials, catalysts, solvents, lubricants, insulation, piping, sensors and technology-specific alloying elements.</x:v>
      </x:c>
      <x:c r="U236" s="2" t="str">
        <x:v>Electronic control systems: refractory linings, bearings, seals, valves, filters, burners, electrodes, sensors, control modules, lubricants and calibrated instruments.</x:v>
      </x:c>
      <x:c r="V236" s="2" t="str">
        <x:v>https://www.ctc-n.org/sites/default/files/resources/ctcn_taxonomy_0.pdf</x:v>
      </x:c>
      <x:c r="W236" s="2" t="str">
        <x:v>https://institutoagricoladepueblobello.edu.co/colegiapp/archivostemas/GUIA%209.%5B25%5D.pdf</x:v>
      </x:c>
      <x:c r="X236" s="2" t="str">
        <x:v>https://iiasa.ac.at/what-is-technology</x:v>
      </x:c>
      <x:c r="Y236" s="2" t="str">
        <x:v>https://www.ipcc.ch/report/ar6/wg3/chapter/chapter-11/</x:v>
      </x:c>
      <x:c r="Z236" s="2" t="str">
        <x:v>Technology-specific analytical synthesis. The CTCN hierarchy is retained; classifications and component dependencies require validation against the selected design, site and supplier documentation before investment or policy use.</x:v>
      </x:c>
      <x:c r="AA236" s="2" t="str">
        <x:v>Physical deployment of Electronic control systems requires industrial site, utilities, fuel and electricity supply, material storage, process buildings, laboratories, waste handling and logistics; interfaces, foundations, access and environmental protection are sized to the specific resource and design load.</x:v>
      </x:c>
      <x:c r="AB236" s="2" t="str">
        <x:v>For Electronic control systems,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6" s="2" t="str">
        <x:v>Construction and operation use process feedstocks, steel and refractory materials, catalysts, solvents, lubricants, insulation, piping, sensors and technology-specific alloying elements. For Electronic control systems, specifications must include durability, compatibility, recycled content and recoverability.</x:v>
      </x:c>
      <x:c r="AD236" s="2" t="str">
        <x:v>Maintenance of Electronic control systems depends on refractory linings, bearings, seals, valves, filters, burners, electrodes, sensors, control modules, lubricants and calibrated instruments; critical spares are selected from failure-mode, lead-time and safety analysis for its installed configuration.</x:v>
      </x:c>
      <x:c r="AE236" s="2" t="str">
        <x:v>The software stack for Electronic control systems requires databases, secure communications, version-controlled models, computing, backup and interfaces with field or operational systems.</x:v>
      </x:c>
      <x:c r="AF236" s="2" t="str">
        <x:v>For Electronic control systems, software-related energy is electricity for sensing, computing, storage, communication and cooling; it is normally secondary but must be included for data-intensive or continuous services.</x:v>
      </x:c>
      <x:c r="AG236" s="2" t="str">
        <x:v>The non-physical inputs are calibrated data, metadata, algorithms, boundary conditions, emission or hazard factors, manuals and validation records specific to Electronic control systems.</x:v>
      </x:c>
      <x:c r="AH236" s="2" t="str">
        <x:v>Software continuity for Electronic control systems requires licences where applicable, updates, cybersecurity patches, backups, calibration files, model validation and technical support.</x:v>
      </x:c>
      <x:c r="AI236" s="2" t="str">
        <x:v>Orgware depends on the institutions, laboratories, training providers, regulators, operators and community interfaces needed to govern Electronic control systems.</x:v>
      </x:c>
      <x:c r="AJ236" s="2" t="str">
        <x:v>The orgware supporting Electronic control systems has mainly indirect energy use from offices, meetings, training and information systems; travel and field supervision may be material at dispersed sites.</x:v>
      </x:c>
      <x:c r="AK236" s="2" t="str">
        <x:v>Its organisational inputs are permits, budgets, trained staff, competence records, contracts, procedures, safeguards, monitoring evidence and stakeholder agreements tailored to Electronic control systems.</x:v>
      </x:c>
      <x:c r="AL236" s="2" t="str">
        <x:v>Sustained implementation of Electronic control systems requires procurement and service contracts, audit protocols, training material, reporting templates, insurance or guarantees and periodic independent review.</x:v>
      </x:c>
      <x:c r="AM236" s="2" t="str">
        <x:v>Iron ore / steel inputs; Copper; Tin; Tantalum</x:v>
      </x:c>
      <x:c r="AN236" s="2" t="str">
        <x:v>Australia; Brazil; China; Chile; Democratic Republic of the Congo; Peru; Indonesia; Myanmar; Rwanda; Nigeria</x:v>
      </x:c>
      <x:c r="AO236" s="2" t="str">
        <x:v>China; India; Japan; Chile; Democratic Republic of the Congo; Indonesia; Malaysia; Germany; United States</x:v>
      </x:c>
      <x:c r="AP236" s="2" t="str">
        <x:v>Electronic control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6" s="2" t="str">
        <x:v>2024–2025</x:v>
      </x:c>
      <x:c r="AR236" s="2" t="str">
        <x:v>https://pubs.usgs.gov/periodicals/mcs2026/mcs2026.pdf</x:v>
      </x:c>
    </x:row>
    <x:row r="237" ht="240" customHeight="1">
      <x:c r="A237" s="2" t="str">
        <x:v>MIT-0230</x:v>
      </x:c>
      <x:c r="B237" s="2" t="str">
        <x:v>Mitigation</x:v>
      </x:c>
      <x:c r="C237" s="2" t="str">
        <x:v>Industry</x:v>
      </x:c>
      <x:c r="D237" s="2" t="str">
        <x:v>Manufacturing industry</x:v>
      </x:c>
      <x:c r="E237" s="2" t="str">
        <x:v>Eco-design</x:v>
      </x:c>
      <x:c r="F237" s="2" t="str">
        <x:v>Eco-design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Eco-design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7" s="2" t="str">
        <x:v>Mixed: adaptable design, site-specific implementation</x:v>
      </x:c>
      <x:c r="H237" s="2" t="str">
        <x:v>Eco-design is adaptable in capacity and configuration but site-specific in final engineering. Its principle remains the same, but resource quality, climate, scale, interfaces and safety constraints must be recalculated for each deployment.</x:v>
      </x:c>
      <x:c r="I237" s="2" t="str">
        <x:v>Primarily hard, with a soft component</x:v>
      </x:c>
      <x:c r="J237" s="2" t="str">
        <x:v>Eco-design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7" s="2" t="str">
        <x:v>Equipment and operation</x:v>
      </x:c>
      <x:c r="L237" s="2" t="str">
        <x:v>Eco-design is embodied mainly as an equipment-and-operation system. The deliverable is accepted only when measurable service, quality, safety and climate-performance criteria are met under real conditions.</x:v>
      </x:c>
      <x:c r="M237" s="2" t="str">
        <x:v>Yes, subject to life-cycle safeguards</x:v>
      </x:c>
      <x:c r="N237" s="2" t="str">
        <x:v>Eco-design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7" s="2" t="str">
        <x:v>Eco-design: process reactors or furnaces, heat exchangers, motors and drives, compressors, burners, controls, pollution abatement, material handling and measurement equipment.</x:v>
      </x:c>
      <x:c r="P237" s="2" t="str">
        <x:v>Eco-design: process simulation, pinch and heat-integration analysis, advanced control, production scheduling, quality control, energy management and life-cycle assessment.</x:v>
      </x:c>
      <x:c r="Q237" s="2" t="str">
        <x:v>Eco-design: industrial permits, product standards, operating procedures, maintenance and competence systems, procurement, energy management and industrial-symbiosis agreements.</x:v>
      </x:c>
      <x:c r="R237" s="2" t="str">
        <x:v>Eco-design: industrial site, utilities, fuel and electricity supply, material storage, process buildings, laboratories, waste handling and logistics.</x:v>
      </x:c>
      <x:c r="S237" s="2" t="str">
        <x:v>Eco-design: electricity, steam, process heat, cooling and fuels; useful-energy efficiency, heat recovery and carbon intensity of supply determine savings.</x:v>
      </x:c>
      <x:c r="T237" s="2" t="str">
        <x:v>Eco-design: process feedstocks, steel and refractory materials, catalysts, solvents, lubricants, insulation, piping, sensors and technology-specific alloying elements.</x:v>
      </x:c>
      <x:c r="U237" s="2" t="str">
        <x:v>Eco-design: refractory linings, bearings, seals, valves, filters, burners, electrodes, sensors, control modules, lubricants and calibrated instruments.</x:v>
      </x:c>
      <x:c r="V237" s="2" t="str">
        <x:v>https://www.ctc-n.org/sites/default/files/resources/ctcn_taxonomy_0.pdf</x:v>
      </x:c>
      <x:c r="W237" s="2" t="str">
        <x:v>https://institutoagricoladepueblobello.edu.co/colegiapp/archivostemas/GUIA%209.%5B25%5D.pdf</x:v>
      </x:c>
      <x:c r="X237" s="2" t="str">
        <x:v>https://iiasa.ac.at/what-is-technology</x:v>
      </x:c>
      <x:c r="Y237" s="2" t="str">
        <x:v>https://www.ipcc.ch/report/ar6/wg3/chapter/chapter-11/</x:v>
      </x:c>
      <x:c r="Z237" s="2" t="str">
        <x:v>Technology-specific analytical synthesis. The CTCN hierarchy is retained; classifications and component dependencies require validation against the selected design, site and supplier documentation before investment or policy use.</x:v>
      </x:c>
      <x:c r="AA237" s="2" t="str">
        <x:v>Physical deployment of Eco-design requires industrial site, utilities, fuel and electricity supply, material storage, process buildings, laboratories, waste handling and logistics; interfaces, foundations, access and environmental protection are sized to the specific resource and design load.</x:v>
      </x:c>
      <x:c r="AB237" s="2" t="str">
        <x:v>For Eco-design,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7" s="2" t="str">
        <x:v>Construction and operation use process feedstocks, steel and refractory materials, catalysts, solvents, lubricants, insulation, piping, sensors and technology-specific alloying elements. For Eco-design, specifications must include durability, compatibility, recycled content and recoverability.</x:v>
      </x:c>
      <x:c r="AD237" s="2" t="str">
        <x:v>Maintenance of Eco-design depends on refractory linings, bearings, seals, valves, filters, burners, electrodes, sensors, control modules, lubricants and calibrated instruments; critical spares are selected from failure-mode, lead-time and safety analysis for its installed configuration.</x:v>
      </x:c>
      <x:c r="AE237" s="2" t="str">
        <x:v>The software stack for Eco-design requires databases, secure communications, version-controlled models, computing, backup and interfaces with field or operational systems.</x:v>
      </x:c>
      <x:c r="AF237" s="2" t="str">
        <x:v>For Eco-design, software-related energy is electricity for sensing, computing, storage, communication and cooling; it is normally secondary but must be included for data-intensive or continuous services.</x:v>
      </x:c>
      <x:c r="AG237" s="2" t="str">
        <x:v>The non-physical inputs are calibrated data, metadata, algorithms, boundary conditions, emission or hazard factors, manuals and validation records specific to Eco-design.</x:v>
      </x:c>
      <x:c r="AH237" s="2" t="str">
        <x:v>Software continuity for Eco-design requires licences where applicable, updates, cybersecurity patches, backups, calibration files, model validation and technical support.</x:v>
      </x:c>
      <x:c r="AI237" s="2" t="str">
        <x:v>Orgware depends on the institutions, laboratories, training providers, regulators, operators and community interfaces needed to govern Eco-design.</x:v>
      </x:c>
      <x:c r="AJ237" s="2" t="str">
        <x:v>The orgware supporting Eco-design has mainly indirect energy use from offices, meetings, training and information systems; travel and field supervision may be material at dispersed sites.</x:v>
      </x:c>
      <x:c r="AK237" s="2" t="str">
        <x:v>Its organisational inputs are permits, budgets, trained staff, competence records, contracts, procedures, safeguards, monitoring evidence and stakeholder agreements tailored to Eco-design.</x:v>
      </x:c>
      <x:c r="AL237" s="2" t="str">
        <x:v>Sustained implementation of Eco-design requires procurement and service contracts, audit protocols, training material, reporting templates, insurance or guarantees and periodic independent review.</x:v>
      </x:c>
      <x:c r="AM237" s="2" t="str">
        <x:v>Iron ore / steel inputs</x:v>
      </x:c>
      <x:c r="AN237" s="2" t="str">
        <x:v>Australia; Brazil; China</x:v>
      </x:c>
      <x:c r="AO237" s="2" t="str">
        <x:v>China; India; Japan</x:v>
      </x:c>
      <x:c r="AP237" s="2" t="str">
        <x:v>Eco-design: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7" s="2" t="str">
        <x:v>2024–2025</x:v>
      </x:c>
      <x:c r="AR237" s="2" t="str">
        <x:v>https://pubs.usgs.gov/periodicals/mcs2026/mcs2026.pdf</x:v>
      </x:c>
    </x:row>
    <x:row r="238" ht="240" customHeight="1">
      <x:c r="A238" s="2" t="str">
        <x:v>MIT-0231</x:v>
      </x:c>
      <x:c r="B238" s="2" t="str">
        <x:v>Mitigation</x:v>
      </x:c>
      <x:c r="C238" s="2" t="str">
        <x:v>Industry</x:v>
      </x:c>
      <x:c r="D238" s="2" t="str">
        <x:v>Manufacturing industry</x:v>
      </x:c>
      <x:c r="E238" s="2" t="str">
        <x:v>Wood products</x:v>
      </x:c>
      <x:c r="F238" s="2" t="str">
        <x:v>Wood products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Wood products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8" s="2" t="str">
        <x:v>Mixed: adaptable design, site-specific implementation</x:v>
      </x:c>
      <x:c r="H238" s="2" t="str">
        <x:v>Wood products is adaptable in capacity and configuration but site-specific in final engineering. Its principle remains the same, but resource quality, climate, scale, interfaces and safety constraints must be recalculated for each deployment.</x:v>
      </x:c>
      <x:c r="I238" s="2" t="str">
        <x:v>Primarily hard, with a soft component</x:v>
      </x:c>
      <x:c r="J238" s="2" t="str">
        <x:v>Wood products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8" s="2" t="str">
        <x:v>Equipment and operation</x:v>
      </x:c>
      <x:c r="L238" s="2" t="str">
        <x:v>Wood products is embodied mainly as an equipment-and-operation system. The deliverable is accepted only when measurable service, quality, safety and climate-performance criteria are met under real conditions.</x:v>
      </x:c>
      <x:c r="M238" s="2" t="str">
        <x:v>Yes, subject to life-cycle safeguards</x:v>
      </x:c>
      <x:c r="N238" s="2" t="str">
        <x:v>Wood products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8" s="2" t="str">
        <x:v>Wood products: process reactors or furnaces, heat exchangers, motors and drives, compressors, burners, controls, pollution abatement, material handling and measurement equipment.</x:v>
      </x:c>
      <x:c r="P238" s="2" t="str">
        <x:v>Wood products: process simulation, pinch and heat-integration analysis, advanced control, production scheduling, quality control, energy management and life-cycle assessment.</x:v>
      </x:c>
      <x:c r="Q238" s="2" t="str">
        <x:v>Wood products: industrial permits, product standards, operating procedures, maintenance and competence systems, procurement, energy management and industrial-symbiosis agreements.</x:v>
      </x:c>
      <x:c r="R238" s="2" t="str">
        <x:v>Wood products: industrial site, utilities, fuel and electricity supply, material storage, process buildings, laboratories, waste handling and logistics.</x:v>
      </x:c>
      <x:c r="S238" s="2" t="str">
        <x:v>Wood products: electricity, steam, process heat, cooling and fuels; useful-energy efficiency, heat recovery and carbon intensity of supply determine savings.</x:v>
      </x:c>
      <x:c r="T238" s="2" t="str">
        <x:v>Wood products: process feedstocks, steel and refractory materials, catalysts, solvents, lubricants, insulation, piping, sensors and technology-specific alloying elements.</x:v>
      </x:c>
      <x:c r="U238" s="2" t="str">
        <x:v>Wood products: refractory linings, bearings, seals, valves, filters, burners, electrodes, sensors, control modules, lubricants and calibrated instruments.</x:v>
      </x:c>
      <x:c r="V238" s="2" t="str">
        <x:v>https://www.ctc-n.org/sites/default/files/resources/ctcn_taxonomy_0.pdf</x:v>
      </x:c>
      <x:c r="W238" s="2" t="str">
        <x:v>https://institutoagricoladepueblobello.edu.co/colegiapp/archivostemas/GUIA%209.%5B25%5D.pdf</x:v>
      </x:c>
      <x:c r="X238" s="2" t="str">
        <x:v>https://iiasa.ac.at/what-is-technology</x:v>
      </x:c>
      <x:c r="Y238" s="2" t="str">
        <x:v>https://www.ipcc.ch/report/ar6/wg3/chapter/chapter-11/</x:v>
      </x:c>
      <x:c r="Z238" s="2" t="str">
        <x:v>Technology-specific analytical synthesis. The CTCN hierarchy is retained; classifications and component dependencies require validation against the selected design, site and supplier documentation before investment or policy use.</x:v>
      </x:c>
      <x:c r="AA238" s="2" t="str">
        <x:v>Physical deployment of Wood products requires industrial site, utilities, fuel and electricity supply, material storage, process buildings, laboratories, waste handling and logistics; interfaces, foundations, access and environmental protection are sized to the specific resource and design load.</x:v>
      </x:c>
      <x:c r="AB238" s="2" t="str">
        <x:v>For Wood products,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8" s="2" t="str">
        <x:v>Construction and operation use process feedstocks, steel and refractory materials, catalysts, solvents, lubricants, insulation, piping, sensors and technology-specific alloying elements. For Wood products, specifications must include durability, compatibility, recycled content and recoverability.</x:v>
      </x:c>
      <x:c r="AD238" s="2" t="str">
        <x:v>Maintenance of Wood products depends on refractory linings, bearings, seals, valves, filters, burners, electrodes, sensors, control modules, lubricants and calibrated instruments; critical spares are selected from failure-mode, lead-time and safety analysis for its installed configuration.</x:v>
      </x:c>
      <x:c r="AE238" s="2" t="str">
        <x:v>The software stack for Wood products requires databases, secure communications, version-controlled models, computing, backup and interfaces with field or operational systems.</x:v>
      </x:c>
      <x:c r="AF238" s="2" t="str">
        <x:v>For Wood products, software-related energy is electricity for sensing, computing, storage, communication and cooling; it is normally secondary but must be included for data-intensive or continuous services.</x:v>
      </x:c>
      <x:c r="AG238" s="2" t="str">
        <x:v>The non-physical inputs are calibrated data, metadata, algorithms, boundary conditions, emission or hazard factors, manuals and validation records specific to Wood products.</x:v>
      </x:c>
      <x:c r="AH238" s="2" t="str">
        <x:v>Software continuity for Wood products requires licences where applicable, updates, cybersecurity patches, backups, calibration files, model validation and technical support.</x:v>
      </x:c>
      <x:c r="AI238" s="2" t="str">
        <x:v>Orgware depends on the institutions, laboratories, training providers, regulators, operators and community interfaces needed to govern Wood products.</x:v>
      </x:c>
      <x:c r="AJ238" s="2" t="str">
        <x:v>The orgware supporting Wood products has mainly indirect energy use from offices, meetings, training and information systems; travel and field supervision may be material at dispersed sites.</x:v>
      </x:c>
      <x:c r="AK238" s="2" t="str">
        <x:v>Its organisational inputs are permits, budgets, trained staff, competence records, contracts, procedures, safeguards, monitoring evidence and stakeholder agreements tailored to Wood products.</x:v>
      </x:c>
      <x:c r="AL238" s="2" t="str">
        <x:v>Sustained implementation of Wood products requires procurement and service contracts, audit protocols, training material, reporting templates, insurance or guarantees and periodic independent review.</x:v>
      </x:c>
      <x:c r="AM238" s="2" t="str">
        <x:v>Iron ore / steel inputs</x:v>
      </x:c>
      <x:c r="AN238" s="2" t="str">
        <x:v>Australia; Brazil; China</x:v>
      </x:c>
      <x:c r="AO238" s="2" t="str">
        <x:v>China; India; Japan</x:v>
      </x:c>
      <x:c r="AP238" s="2" t="str">
        <x:v>Wood products: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8" s="2" t="str">
        <x:v>2024–2025</x:v>
      </x:c>
      <x:c r="AR238" s="2" t="str">
        <x:v>https://pubs.usgs.gov/periodicals/mcs2026/mcs2026.pdf</x:v>
      </x:c>
    </x:row>
    <x:row r="239" ht="240" customHeight="1">
      <x:c r="A239" s="2" t="str">
        <x:v>MIT-0232</x:v>
      </x:c>
      <x:c r="B239" s="2" t="str">
        <x:v>Mitigation</x:v>
      </x:c>
      <x:c r="C239" s="2" t="str">
        <x:v>Industry</x:v>
      </x:c>
      <x:c r="D239" s="2" t="str">
        <x:v>Manufacturing industry</x:v>
      </x:c>
      <x:c r="E239" s="2" t="str">
        <x:v>Mitigation in the pulp and paper industry</x:v>
      </x:c>
      <x:c r="F239" s="2" t="str">
        <x:v>Mitigation in the pulp and paper industry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Mitigation in the pulp and paper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9" s="2" t="str">
        <x:v>Mixed: adaptable design, site-specific implementation</x:v>
      </x:c>
      <x:c r="H239" s="2" t="str">
        <x:v>Mitigation in the pulp and paper industry is adaptable in capacity and configuration but site-specific in final engineering. Its principle remains the same, but resource quality, climate, scale, interfaces and safety constraints must be recalculated for each deployment.</x:v>
      </x:c>
      <x:c r="I239" s="2" t="str">
        <x:v>Primarily hard, with a soft component</x:v>
      </x:c>
      <x:c r="J239" s="2" t="str">
        <x:v>Mitigation in the pulp and paper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9" s="2" t="str">
        <x:v>Equipment and operation</x:v>
      </x:c>
      <x:c r="L239" s="2" t="str">
        <x:v>Mitigation in the pulp and paper industry is embodied mainly as an equipment-and-operation system. The deliverable is accepted only when measurable service, quality, safety and climate-performance criteria are met under real conditions.</x:v>
      </x:c>
      <x:c r="M239" s="2" t="str">
        <x:v>Yes, subject to life-cycle safeguards</x:v>
      </x:c>
      <x:c r="N239" s="2" t="str">
        <x:v>Mitigation in the pulp and paper industry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9" s="2" t="str">
        <x:v>Mitigation in the pulp and paper industry: process reactors or furnaces, heat exchangers, motors and drives, compressors, burners, controls, pollution abatement, material handling and measurement equipment.</x:v>
      </x:c>
      <x:c r="P239" s="2" t="str">
        <x:v>Mitigation in the pulp and paper industry: process simulation, pinch and heat-integration analysis, advanced control, production scheduling, quality control, energy management and life-cycle assessment.</x:v>
      </x:c>
      <x:c r="Q239" s="2" t="str">
        <x:v>Mitigation in the pulp and paper industry: industrial permits, product standards, operating procedures, maintenance and competence systems, procurement, energy management and industrial-symbiosis agreements.</x:v>
      </x:c>
      <x:c r="R239" s="2" t="str">
        <x:v>Mitigation in the pulp and paper industry: industrial site, utilities, fuel and electricity supply, material storage, process buildings, laboratories, waste handling and logistics.</x:v>
      </x:c>
      <x:c r="S239" s="2" t="str">
        <x:v>Mitigation in the pulp and paper industry: electricity, steam, process heat, cooling and fuels; useful-energy efficiency, heat recovery and carbon intensity of supply determine savings.</x:v>
      </x:c>
      <x:c r="T239" s="2" t="str">
        <x:v>Mitigation in the pulp and paper industry: process feedstocks, steel and refractory materials, catalysts, solvents, lubricants, insulation, piping, sensors and technology-specific alloying elements.</x:v>
      </x:c>
      <x:c r="U239" s="2" t="str">
        <x:v>Mitigation in the pulp and paper industry: refractory linings, bearings, seals, valves, filters, burners, electrodes, sensors, control modules, lubricants and calibrated instruments.</x:v>
      </x:c>
      <x:c r="V239" s="2" t="str">
        <x:v>https://www.ctc-n.org/sites/default/files/resources/ctcn_taxonomy_0.pdf</x:v>
      </x:c>
      <x:c r="W239" s="2" t="str">
        <x:v>https://institutoagricoladepueblobello.edu.co/colegiapp/archivostemas/GUIA%209.%5B25%5D.pdf</x:v>
      </x:c>
      <x:c r="X239" s="2" t="str">
        <x:v>https://iiasa.ac.at/what-is-technology</x:v>
      </x:c>
      <x:c r="Y239" s="2" t="str">
        <x:v>https://www.ipcc.ch/report/ar6/wg3/chapter/chapter-11/</x:v>
      </x:c>
      <x:c r="Z239" s="2" t="str">
        <x:v>Technology-specific analytical synthesis. The CTCN hierarchy is retained; classifications and component dependencies require validation against the selected design, site and supplier documentation before investment or policy use.</x:v>
      </x:c>
      <x:c r="AA239" s="2" t="str">
        <x:v>Physical deployment of Mitigation in the pulp and paper industry requires industrial site, utilities, fuel and electricity supply, material storage, process buildings, laboratories, waste handling and logistics; interfaces, foundations, access and environmental protection are sized to the specific resource and design load.</x:v>
      </x:c>
      <x:c r="AB239" s="2" t="str">
        <x:v>For Mitigation in the pulp and paper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9" s="2" t="str">
        <x:v>Construction and operation use process feedstocks, steel and refractory materials, catalysts, solvents, lubricants, insulation, piping, sensors and technology-specific alloying elements. For Mitigation in the pulp and paper industry, specifications must include durability, compatibility, recycled content and recoverability.</x:v>
      </x:c>
      <x:c r="AD239" s="2" t="str">
        <x:v>Maintenance of Mitigation in the pulp and paper industry depends on refractory linings, bearings, seals, valves, filters, burners, electrodes, sensors, control modules, lubricants and calibrated instruments; critical spares are selected from failure-mode, lead-time and safety analysis for its installed configuration.</x:v>
      </x:c>
      <x:c r="AE239" s="2" t="str">
        <x:v>The software stack for Mitigation in the pulp and paper industry requires databases, secure communications, version-controlled models, computing, backup and interfaces with field or operational systems.</x:v>
      </x:c>
      <x:c r="AF239" s="2" t="str">
        <x:v>For Mitigation in the pulp and paper industry, software-related energy is electricity for sensing, computing, storage, communication and cooling; it is normally secondary but must be included for data-intensive or continuous services.</x:v>
      </x:c>
      <x:c r="AG239" s="2" t="str">
        <x:v>The non-physical inputs are calibrated data, metadata, algorithms, boundary conditions, emission or hazard factors, manuals and validation records specific to Mitigation in the pulp and paper industry.</x:v>
      </x:c>
      <x:c r="AH239" s="2" t="str">
        <x:v>Software continuity for Mitigation in the pulp and paper industry requires licences where applicable, updates, cybersecurity patches, backups, calibration files, model validation and technical support.</x:v>
      </x:c>
      <x:c r="AI239" s="2" t="str">
        <x:v>Orgware depends on the institutions, laboratories, training providers, regulators, operators and community interfaces needed to govern Mitigation in the pulp and paper industry.</x:v>
      </x:c>
      <x:c r="AJ239" s="2" t="str">
        <x:v>The orgware supporting Mitigation in the pulp and paper industry has mainly indirect energy use from offices, meetings, training and information systems; travel and field supervision may be material at dispersed sites.</x:v>
      </x:c>
      <x:c r="AK239" s="2" t="str">
        <x:v>Its organisational inputs are permits, budgets, trained staff, competence records, contracts, procedures, safeguards, monitoring evidence and stakeholder agreements tailored to Mitigation in the pulp and paper industry.</x:v>
      </x:c>
      <x:c r="AL239" s="2" t="str">
        <x:v>Sustained implementation of Mitigation in the pulp and paper industry requires procurement and service contracts, audit protocols, training material, reporting templates, insurance or guarantees and periodic independent review.</x:v>
      </x:c>
      <x:c r="AM239" s="2" t="str">
        <x:v>Iron ore / steel inputs</x:v>
      </x:c>
      <x:c r="AN239" s="2" t="str">
        <x:v>Australia; Brazil; China</x:v>
      </x:c>
      <x:c r="AO239" s="2" t="str">
        <x:v>China; India; Japan</x:v>
      </x:c>
      <x:c r="AP239" s="2" t="str">
        <x:v>Mitigation in the pulp and paper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9" s="2" t="str">
        <x:v>2024–2025</x:v>
      </x:c>
      <x:c r="AR239" s="2" t="str">
        <x:v>https://pubs.usgs.gov/periodicals/mcs2026/mcs2026.pdf</x:v>
      </x:c>
    </x:row>
    <x:row r="240" ht="240" customHeight="1">
      <x:c r="A240" s="2" t="str">
        <x:v>MIT-0233</x:v>
      </x:c>
      <x:c r="B240" s="2" t="str">
        <x:v>Mitigation</x:v>
      </x:c>
      <x:c r="C240" s="2" t="str">
        <x:v>Industry</x:v>
      </x:c>
      <x:c r="D240" s="2" t="str">
        <x:v>Manufacturing industry</x:v>
      </x:c>
      <x:c r="E240" s="2" t="str">
        <x:v>Electronic devices</x:v>
      </x:c>
      <x:c r="F240" s="2" t="str">
        <x:v>Electronic devices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Electronic devices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0" s="2" t="str">
        <x:v>Mixed: adaptable design, site-specific implementation</x:v>
      </x:c>
      <x:c r="H240" s="2" t="str">
        <x:v>Electronic devices is adaptable in capacity and configuration but site-specific in final engineering. Its principle remains the same, but resource quality, climate, scale, interfaces and safety constraints must be recalculated for each deployment.</x:v>
      </x:c>
      <x:c r="I240" s="2" t="str">
        <x:v>Primarily hard, with a soft component</x:v>
      </x:c>
      <x:c r="J240" s="2" t="str">
        <x:v>Electronic devices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0" s="2" t="str">
        <x:v>Equipment and operation</x:v>
      </x:c>
      <x:c r="L240" s="2" t="str">
        <x:v>Electronic devices is embodied mainly as an equipment-and-operation system. The deliverable is accepted only when measurable service, quality, safety and climate-performance criteria are met under real conditions.</x:v>
      </x:c>
      <x:c r="M240" s="2" t="str">
        <x:v>Yes, subject to life-cycle safeguards</x:v>
      </x:c>
      <x:c r="N240" s="2" t="str">
        <x:v>Electronic devices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0" s="2" t="str">
        <x:v>Electronic devices: process reactors or furnaces, heat exchangers, motors and drives, compressors, burners, controls, pollution abatement, material handling and measurement equipment.</x:v>
      </x:c>
      <x:c r="P240" s="2" t="str">
        <x:v>Electronic devices: process simulation, pinch and heat-integration analysis, advanced control, production scheduling, quality control, energy management and life-cycle assessment.</x:v>
      </x:c>
      <x:c r="Q240" s="2" t="str">
        <x:v>Electronic devices: industrial permits, product standards, operating procedures, maintenance and competence systems, procurement, energy management and industrial-symbiosis agreements.</x:v>
      </x:c>
      <x:c r="R240" s="2" t="str">
        <x:v>Electronic devices: industrial site, utilities, fuel and electricity supply, material storage, process buildings, laboratories, waste handling and logistics.</x:v>
      </x:c>
      <x:c r="S240" s="2" t="str">
        <x:v>Electronic devices: electricity, steam, process heat, cooling and fuels; useful-energy efficiency, heat recovery and carbon intensity of supply determine savings.</x:v>
      </x:c>
      <x:c r="T240" s="2" t="str">
        <x:v>Electronic devices: process feedstocks, steel and refractory materials, catalysts, solvents, lubricants, insulation, piping, sensors and technology-specific alloying elements.</x:v>
      </x:c>
      <x:c r="U240" s="2" t="str">
        <x:v>Electronic devices: refractory linings, bearings, seals, valves, filters, burners, electrodes, sensors, control modules, lubricants and calibrated instruments.</x:v>
      </x:c>
      <x:c r="V240" s="2" t="str">
        <x:v>https://www.ctc-n.org/sites/default/files/resources/ctcn_taxonomy_0.pdf</x:v>
      </x:c>
      <x:c r="W240" s="2" t="str">
        <x:v>https://institutoagricoladepueblobello.edu.co/colegiapp/archivostemas/GUIA%209.%5B25%5D.pdf</x:v>
      </x:c>
      <x:c r="X240" s="2" t="str">
        <x:v>https://iiasa.ac.at/what-is-technology</x:v>
      </x:c>
      <x:c r="Y240" s="2" t="str">
        <x:v>https://www.ipcc.ch/report/ar6/wg3/chapter/chapter-11/</x:v>
      </x:c>
      <x:c r="Z240" s="2" t="str">
        <x:v>Technology-specific analytical synthesis. The CTCN hierarchy is retained; classifications and component dependencies require validation against the selected design, site and supplier documentation before investment or policy use.</x:v>
      </x:c>
      <x:c r="AA240" s="2" t="str">
        <x:v>Physical deployment of Electronic devices requires industrial site, utilities, fuel and electricity supply, material storage, process buildings, laboratories, waste handling and logistics; interfaces, foundations, access and environmental protection are sized to the specific resource and design load.</x:v>
      </x:c>
      <x:c r="AB240" s="2" t="str">
        <x:v>For Electronic devices,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0" s="2" t="str">
        <x:v>Construction and operation use process feedstocks, steel and refractory materials, catalysts, solvents, lubricants, insulation, piping, sensors and technology-specific alloying elements. For Electronic devices, specifications must include durability, compatibility, recycled content and recoverability.</x:v>
      </x:c>
      <x:c r="AD240" s="2" t="str">
        <x:v>Maintenance of Electronic devices depends on refractory linings, bearings, seals, valves, filters, burners, electrodes, sensors, control modules, lubricants and calibrated instruments; critical spares are selected from failure-mode, lead-time and safety analysis for its installed configuration.</x:v>
      </x:c>
      <x:c r="AE240" s="2" t="str">
        <x:v>The software stack for Electronic devices requires databases, secure communications, version-controlled models, computing, backup and interfaces with field or operational systems.</x:v>
      </x:c>
      <x:c r="AF240" s="2" t="str">
        <x:v>For Electronic devices, software-related energy is electricity for sensing, computing, storage, communication and cooling; it is normally secondary but must be included for data-intensive or continuous services.</x:v>
      </x:c>
      <x:c r="AG240" s="2" t="str">
        <x:v>The non-physical inputs are calibrated data, metadata, algorithms, boundary conditions, emission or hazard factors, manuals and validation records specific to Electronic devices.</x:v>
      </x:c>
      <x:c r="AH240" s="2" t="str">
        <x:v>Software continuity for Electronic devices requires licences where applicable, updates, cybersecurity patches, backups, calibration files, model validation and technical support.</x:v>
      </x:c>
      <x:c r="AI240" s="2" t="str">
        <x:v>Orgware depends on the institutions, laboratories, training providers, regulators, operators and community interfaces needed to govern Electronic devices.</x:v>
      </x:c>
      <x:c r="AJ240" s="2" t="str">
        <x:v>The orgware supporting Electronic devices has mainly indirect energy use from offices, meetings, training and information systems; travel and field supervision may be material at dispersed sites.</x:v>
      </x:c>
      <x:c r="AK240" s="2" t="str">
        <x:v>Its organisational inputs are permits, budgets, trained staff, competence records, contracts, procedures, safeguards, monitoring evidence and stakeholder agreements tailored to Electronic devices.</x:v>
      </x:c>
      <x:c r="AL240" s="2" t="str">
        <x:v>Sustained implementation of Electronic devices requires procurement and service contracts, audit protocols, training material, reporting templates, insurance or guarantees and periodic independent review.</x:v>
      </x:c>
      <x:c r="AM240" s="2" t="str">
        <x:v>Iron ore / steel inputs; Copper; Tin</x:v>
      </x:c>
      <x:c r="AN240" s="2" t="str">
        <x:v>Australia; Brazil; China; Chile; Democratic Republic of the Congo; Peru; Indonesia; Myanmar</x:v>
      </x:c>
      <x:c r="AO240" s="2" t="str">
        <x:v>China; India; Japan; Chile; Democratic Republic of the Congo; Indonesia; Malaysia</x:v>
      </x:c>
      <x:c r="AP240" s="2" t="str">
        <x:v>Electronic devices: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0" s="2" t="str">
        <x:v>2024–2025</x:v>
      </x:c>
      <x:c r="AR240" s="2" t="str">
        <x:v>https://pubs.usgs.gov/periodicals/mcs2026/mcs2026.pdf</x:v>
      </x:c>
    </x:row>
    <x:row r="241" ht="240" customHeight="1">
      <x:c r="A241" s="2" t="str">
        <x:v>MIT-0234</x:v>
      </x:c>
      <x:c r="B241" s="2" t="str">
        <x:v>Mitigation</x:v>
      </x:c>
      <x:c r="C241" s="2" t="str">
        <x:v>Industry</x:v>
      </x:c>
      <x:c r="D241" s="2" t="str">
        <x:v>Manufacturing industry</x:v>
      </x:c>
      <x:c r="E241" s="2" t="str">
        <x:v>Bioplastics</x:v>
      </x:c>
      <x:c r="F241" s="2" t="str">
        <x:v>Bioplastics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Bioplastics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1" s="2" t="str">
        <x:v>Mixed: adaptable design, site-specific implementation</x:v>
      </x:c>
      <x:c r="H241" s="2" t="str">
        <x:v>Bioplastics is adaptable in capacity and configuration but site-specific in final engineering. Its principle remains the same, but resource quality, climate, scale, interfaces and safety constraints must be recalculated for each deployment.</x:v>
      </x:c>
      <x:c r="I241" s="2" t="str">
        <x:v>Primarily hard, with a soft component</x:v>
      </x:c>
      <x:c r="J241" s="2" t="str">
        <x:v>Bioplastics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1" s="2" t="str">
        <x:v>Product and equipment; complementary operation</x:v>
      </x:c>
      <x:c r="L241" s="2" t="str">
        <x:v>Bioplastics is embodied mainly as a product/equipment package. The deliverable is accepted only when measurable service, quality, safety and climate-performance criteria are met under real conditions.</x:v>
      </x:c>
      <x:c r="M241" s="2" t="str">
        <x:v>Yes, subject to life-cycle safeguards</x:v>
      </x:c>
      <x:c r="N241" s="2" t="str">
        <x:v>Bioplastics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1" s="2" t="str">
        <x:v>Bioplastics: process reactors or furnaces, heat exchangers, motors and drives, compressors, burners, controls, pollution abatement, material handling and measurement equipment.</x:v>
      </x:c>
      <x:c r="P241" s="2" t="str">
        <x:v>Bioplastics: process simulation, pinch and heat-integration analysis, advanced control, production scheduling, quality control, energy management and life-cycle assessment.</x:v>
      </x:c>
      <x:c r="Q241" s="2" t="str">
        <x:v>Bioplastics: industrial permits, product standards, operating procedures, maintenance and competence systems, procurement, energy management and industrial-symbiosis agreements.</x:v>
      </x:c>
      <x:c r="R241" s="2" t="str">
        <x:v>Bioplastics: industrial site, utilities, fuel and electricity supply, material storage, process buildings, laboratories, waste handling and logistics.</x:v>
      </x:c>
      <x:c r="S241" s="2" t="str">
        <x:v>Bioplastics: electricity, steam, process heat, cooling and fuels; useful-energy efficiency, heat recovery and carbon intensity of supply determine savings.</x:v>
      </x:c>
      <x:c r="T241" s="2" t="str">
        <x:v>Bioplastics: process feedstocks, steel and refractory materials, catalysts, solvents, lubricants, insulation, piping, sensors and technology-specific alloying elements.</x:v>
      </x:c>
      <x:c r="U241" s="2" t="str">
        <x:v>Bioplastics: refractory linings, bearings, seals, valves, filters, burners, electrodes, sensors, control modules, lubricants and calibrated instruments.</x:v>
      </x:c>
      <x:c r="V241" s="2" t="str">
        <x:v>https://www.ctc-n.org/sites/default/files/resources/ctcn_taxonomy_0.pdf</x:v>
      </x:c>
      <x:c r="W241" s="2" t="str">
        <x:v>https://institutoagricoladepueblobello.edu.co/colegiapp/archivostemas/GUIA%209.%5B25%5D.pdf</x:v>
      </x:c>
      <x:c r="X241" s="2" t="str">
        <x:v>https://iiasa.ac.at/what-is-technology</x:v>
      </x:c>
      <x:c r="Y241" s="2" t="str">
        <x:v>https://www.ipcc.ch/report/ar6/wg3/chapter/chapter-11/</x:v>
      </x:c>
      <x:c r="Z241" s="2" t="str">
        <x:v>Technology-specific analytical synthesis. The CTCN hierarchy is retained; classifications and component dependencies require validation against the selected design, site and supplier documentation before investment or policy use.</x:v>
      </x:c>
      <x:c r="AA241" s="2" t="str">
        <x:v>Physical deployment of Bioplastics requires industrial site, utilities, fuel and electricity supply, material storage, process buildings, laboratories, waste handling and logistics; interfaces, foundations, access and environmental protection are sized to the specific resource and design load.</x:v>
      </x:c>
      <x:c r="AB241" s="2" t="str">
        <x:v>For Bioplastics,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1" s="2" t="str">
        <x:v>Construction and operation use process feedstocks, steel and refractory materials, catalysts, solvents, lubricants, insulation, piping, sensors and technology-specific alloying elements. For Bioplastics, specifications must include durability, compatibility, recycled content and recoverability.</x:v>
      </x:c>
      <x:c r="AD241" s="2" t="str">
        <x:v>Maintenance of Bioplastics depends on refractory linings, bearings, seals, valves, filters, burners, electrodes, sensors, control modules, lubricants and calibrated instruments; critical spares are selected from failure-mode, lead-time and safety analysis for its installed configuration.</x:v>
      </x:c>
      <x:c r="AE241" s="2" t="str">
        <x:v>The software stack for Bioplastics requires databases, secure communications, version-controlled models, computing, backup and interfaces with field or operational systems.</x:v>
      </x:c>
      <x:c r="AF241" s="2" t="str">
        <x:v>For Bioplastics, software-related energy is electricity for sensing, computing, storage, communication and cooling; it is normally secondary but must be included for data-intensive or continuous services.</x:v>
      </x:c>
      <x:c r="AG241" s="2" t="str">
        <x:v>The non-physical inputs are calibrated data, metadata, algorithms, boundary conditions, emission or hazard factors, manuals and validation records specific to Bioplastics.</x:v>
      </x:c>
      <x:c r="AH241" s="2" t="str">
        <x:v>Software continuity for Bioplastics requires licences where applicable, updates, cybersecurity patches, backups, calibration files, model validation and technical support.</x:v>
      </x:c>
      <x:c r="AI241" s="2" t="str">
        <x:v>Orgware depends on the institutions, laboratories, training providers, regulators, operators and community interfaces needed to govern Bioplastics.</x:v>
      </x:c>
      <x:c r="AJ241" s="2" t="str">
        <x:v>The orgware supporting Bioplastics has mainly indirect energy use from offices, meetings, training and information systems; travel and field supervision may be material at dispersed sites.</x:v>
      </x:c>
      <x:c r="AK241" s="2" t="str">
        <x:v>Its organisational inputs are permits, budgets, trained staff, competence records, contracts, procedures, safeguards, monitoring evidence and stakeholder agreements tailored to Bioplastics.</x:v>
      </x:c>
      <x:c r="AL241" s="2" t="str">
        <x:v>Sustained implementation of Bioplastics requires procurement and service contracts, audit protocols, training material, reporting templates, insurance or guarantees and periodic independent review.</x:v>
      </x:c>
      <x:c r="AM241" s="2" t="str">
        <x:v>Iron ore / steel inputs</x:v>
      </x:c>
      <x:c r="AN241" s="2" t="str">
        <x:v>Australia; Brazil; China</x:v>
      </x:c>
      <x:c r="AO241" s="2" t="str">
        <x:v>China; India; Japan</x:v>
      </x:c>
      <x:c r="AP241" s="2" t="str">
        <x:v>Bioplastics: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1" s="2" t="str">
        <x:v>2024–2025</x:v>
      </x:c>
      <x:c r="AR241" s="2" t="str">
        <x:v>https://pubs.usgs.gov/periodicals/mcs2026/mcs2026.pdf</x:v>
      </x:c>
    </x:row>
    <x:row r="242" ht="240" customHeight="1">
      <x:c r="A242" s="2" t="str">
        <x:v>MIT-0235</x:v>
      </x:c>
      <x:c r="B242" s="2" t="str">
        <x:v>Mitigation</x:v>
      </x:c>
      <x:c r="C242" s="2" t="str">
        <x:v>Industry</x:v>
      </x:c>
      <x:c r="D242" s="2" t="str">
        <x:v>Conventional power plant efficiency</x:v>
      </x:c>
      <x:c r="E242" s="2" t="str">
        <x:v>Power plant rehabilitation</x:v>
      </x:c>
      <x:c r="F242" s="2" t="str">
        <x:v>Power plant rehabilitation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Power plant rehabilitation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2" s="2" t="str">
        <x:v>Primarily fixed</x:v>
      </x:c>
      <x:c r="H242" s="2" t="str">
        <x:v>Power plant rehabilitation is tied to long-lived, site-specific assets and design loads. Its principle remains the same, but resource quality, climate, scale, interfaces and safety constraints must be recalculated for each deployment.</x:v>
      </x:c>
      <x:c r="I242" s="2" t="str">
        <x:v>Primarily hard, with a soft component</x:v>
      </x:c>
      <x:c r="J242" s="2" t="str">
        <x:v>Power plant rehabilitation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2" s="2" t="str">
        <x:v>Equipment and operation</x:v>
      </x:c>
      <x:c r="L242" s="2" t="str">
        <x:v>Power plant rehabilitation is embodied mainly as an equipment-and-operation system. The deliverable is accepted only when measurable service, quality, safety and climate-performance criteria are met under real conditions.</x:v>
      </x:c>
      <x:c r="M242" s="2" t="str">
        <x:v>Yes, subject to life-cycle safeguards</x:v>
      </x:c>
      <x:c r="N242" s="2" t="str">
        <x:v>Power plant rehabilitation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2" s="2" t="str">
        <x:v>Power plant rehabilitation: process reactors or furnaces, heat exchangers, motors and drives, compressors, burners, controls, pollution abatement, material handling and measurement equipment.</x:v>
      </x:c>
      <x:c r="P242" s="2" t="str">
        <x:v>Power plant rehabilitation: process simulation, pinch and heat-integration analysis, advanced control, production scheduling, quality control, energy management and life-cycle assessment.</x:v>
      </x:c>
      <x:c r="Q242" s="2" t="str">
        <x:v>Power plant rehabilitation: industrial permits, product standards, operating procedures, maintenance and competence systems, procurement, energy management and industrial-symbiosis agreements.</x:v>
      </x:c>
      <x:c r="R242" s="2" t="str">
        <x:v>Power plant rehabilitation: industrial site, utilities, fuel and electricity supply, material storage, process buildings, laboratories, waste handling and logistics.</x:v>
      </x:c>
      <x:c r="S242" s="2" t="str">
        <x:v>Power plant rehabilitation: electricity, steam, process heat, cooling and fuels; useful-energy efficiency, heat recovery and carbon intensity of supply determine savings.</x:v>
      </x:c>
      <x:c r="T242" s="2" t="str">
        <x:v>Power plant rehabilitation: process feedstocks, steel and refractory materials, catalysts, solvents, lubricants, insulation, piping, sensors and technology-specific alloying elements.</x:v>
      </x:c>
      <x:c r="U242" s="2" t="str">
        <x:v>Power plant rehabilitation: refractory linings, bearings, seals, valves, filters, burners, electrodes, sensors, control modules, lubricants and calibrated instruments.</x:v>
      </x:c>
      <x:c r="V242" s="2" t="str">
        <x:v>https://www.ctc-n.org/sites/default/files/resources/ctcn_taxonomy_0.pdf</x:v>
      </x:c>
      <x:c r="W242" s="2" t="str">
        <x:v>https://institutoagricoladepueblobello.edu.co/colegiapp/archivostemas/GUIA%209.%5B25%5D.pdf</x:v>
      </x:c>
      <x:c r="X242" s="2" t="str">
        <x:v>https://iiasa.ac.at/what-is-technology</x:v>
      </x:c>
      <x:c r="Y242" s="2" t="str">
        <x:v>https://www.ipcc.ch/report/ar6/wg3/chapter/chapter-11/</x:v>
      </x:c>
      <x:c r="Z242" s="2" t="str">
        <x:v>Technology-specific analytical synthesis. The CTCN hierarchy is retained; classifications and component dependencies require validation against the selected design, site and supplier documentation before investment or policy use.</x:v>
      </x:c>
      <x:c r="AA242" s="2" t="str">
        <x:v>Physical deployment of Power plant rehabilitation requires industrial site, utilities, fuel and electricity supply, material storage, process buildings, laboratories, waste handling and logistics; interfaces, foundations, access and environmental protection are sized to the specific resource and design load.</x:v>
      </x:c>
      <x:c r="AB242" s="2" t="str">
        <x:v>For Power plant rehabilitation,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2" s="2" t="str">
        <x:v>Construction and operation use process feedstocks, steel and refractory materials, catalysts, solvents, lubricants, insulation, piping, sensors and technology-specific alloying elements. For Power plant rehabilitation, specifications must include durability, compatibility, recycled content and recoverability.</x:v>
      </x:c>
      <x:c r="AD242" s="2" t="str">
        <x:v>Maintenance of Power plant rehabilitation depends on refractory linings, bearings, seals, valves, filters, burners, electrodes, sensors, control modules, lubricants and calibrated instruments; critical spares are selected from failure-mode, lead-time and safety analysis for its installed configuration.</x:v>
      </x:c>
      <x:c r="AE242" s="2" t="str">
        <x:v>The software stack for Power plant rehabilitation requires databases, secure communications, version-controlled models, computing, backup and interfaces with field or operational systems.</x:v>
      </x:c>
      <x:c r="AF242" s="2" t="str">
        <x:v>For Power plant rehabilitation, software-related energy is electricity for sensing, computing, storage, communication and cooling; it is normally secondary but must be included for data-intensive or continuous services.</x:v>
      </x:c>
      <x:c r="AG242" s="2" t="str">
        <x:v>The non-physical inputs are calibrated data, metadata, algorithms, boundary conditions, emission or hazard factors, manuals and validation records specific to Power plant rehabilitation.</x:v>
      </x:c>
      <x:c r="AH242" s="2" t="str">
        <x:v>Software continuity for Power plant rehabilitation requires licences where applicable, updates, cybersecurity patches, backups, calibration files, model validation and technical support.</x:v>
      </x:c>
      <x:c r="AI242" s="2" t="str">
        <x:v>Orgware depends on the institutions, laboratories, training providers, regulators, operators and community interfaces needed to govern Power plant rehabilitation.</x:v>
      </x:c>
      <x:c r="AJ242" s="2" t="str">
        <x:v>The orgware supporting Power plant rehabilitation has mainly indirect energy use from offices, meetings, training and information systems; travel and field supervision may be material at dispersed sites.</x:v>
      </x:c>
      <x:c r="AK242" s="2" t="str">
        <x:v>Its organisational inputs are permits, budgets, trained staff, competence records, contracts, procedures, safeguards, monitoring evidence and stakeholder agreements tailored to Power plant rehabilitation.</x:v>
      </x:c>
      <x:c r="AL242" s="2" t="str">
        <x:v>Sustained implementation of Power plant rehabilitation requires procurement and service contracts, audit protocols, training material, reporting templates, insurance or guarantees and periodic independent review.</x:v>
      </x:c>
      <x:c r="AM242" s="2" t="str">
        <x:v>Iron ore / steel inputs</x:v>
      </x:c>
      <x:c r="AN242" s="2" t="str">
        <x:v>Australia; Brazil; China</x:v>
      </x:c>
      <x:c r="AO242" s="2" t="str">
        <x:v>China; India; Japan</x:v>
      </x:c>
      <x:c r="AP242" s="2" t="str">
        <x:v>Power plant rehabilitation: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2" s="2" t="str">
        <x:v>2024–2025</x:v>
      </x:c>
      <x:c r="AR242" s="2" t="str">
        <x:v>https://pubs.usgs.gov/periodicals/mcs2026/mcs2026.pdf</x:v>
      </x:c>
    </x:row>
    <x:row r="243" ht="240" customHeight="1">
      <x:c r="A243" s="2" t="str">
        <x:v>MIT-0236</x:v>
      </x:c>
      <x:c r="B243" s="2" t="str">
        <x:v>Mitigation</x:v>
      </x:c>
      <x:c r="C243" s="2" t="str">
        <x:v>Industry</x:v>
      </x:c>
      <x:c r="D243" s="2" t="str">
        <x:v>Conventional power plant efficiency</x:v>
      </x:c>
      <x:c r="E243" s="2" t="str">
        <x:v>Stirling engine</x:v>
      </x:c>
      <x:c r="F243" s="2" t="str">
        <x:v>Stirling engine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Stirling engine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3" s="2" t="str">
        <x:v>Primarily fixed</x:v>
      </x:c>
      <x:c r="H243" s="2" t="str">
        <x:v>Stirling engine is tied to long-lived, site-specific assets and design loads. Its principle remains the same, but resource quality, climate, scale, interfaces and safety constraints must be recalculated for each deployment.</x:v>
      </x:c>
      <x:c r="I243" s="2" t="str">
        <x:v>Primarily hard, with a soft component</x:v>
      </x:c>
      <x:c r="J243" s="2" t="str">
        <x:v>Stirling engine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3" s="2" t="str">
        <x:v>Equipment and operation</x:v>
      </x:c>
      <x:c r="L243" s="2" t="str">
        <x:v>Stirling engine is embodied mainly as an equipment-and-operation system. The deliverable is accepted only when measurable service, quality, safety and climate-performance criteria are met under real conditions.</x:v>
      </x:c>
      <x:c r="M243" s="2" t="str">
        <x:v>Yes, subject to life-cycle safeguards</x:v>
      </x:c>
      <x:c r="N243" s="2" t="str">
        <x:v>Stirling engine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3" s="2" t="str">
        <x:v>Stirling engine: process reactors or furnaces, heat exchangers, motors and drives, compressors, burners, controls, pollution abatement, material handling and measurement equipment.</x:v>
      </x:c>
      <x:c r="P243" s="2" t="str">
        <x:v>Stirling engine: process simulation, pinch and heat-integration analysis, advanced control, production scheduling, quality control, energy management and life-cycle assessment.</x:v>
      </x:c>
      <x:c r="Q243" s="2" t="str">
        <x:v>Stirling engine: industrial permits, product standards, operating procedures, maintenance and competence systems, procurement, energy management and industrial-symbiosis agreements.</x:v>
      </x:c>
      <x:c r="R243" s="2" t="str">
        <x:v>Stirling engine: industrial site, utilities, fuel and electricity supply, material storage, process buildings, laboratories, waste handling and logistics.</x:v>
      </x:c>
      <x:c r="S243" s="2" t="str">
        <x:v>Stirling engine: electricity, steam, process heat, cooling and fuels; useful-energy efficiency, heat recovery and carbon intensity of supply determine savings.</x:v>
      </x:c>
      <x:c r="T243" s="2" t="str">
        <x:v>Stirling engine: process feedstocks, steel and refractory materials, catalysts, solvents, lubricants, insulation, piping, sensors and technology-specific alloying elements.</x:v>
      </x:c>
      <x:c r="U243" s="2" t="str">
        <x:v>Stirling engine: refractory linings, bearings, seals, valves, filters, burners, electrodes, sensors, control modules, lubricants and calibrated instruments.</x:v>
      </x:c>
      <x:c r="V243" s="2" t="str">
        <x:v>https://www.ctc-n.org/sites/default/files/resources/ctcn_taxonomy_0.pdf</x:v>
      </x:c>
      <x:c r="W243" s="2" t="str">
        <x:v>https://institutoagricoladepueblobello.edu.co/colegiapp/archivostemas/GUIA%209.%5B25%5D.pdf</x:v>
      </x:c>
      <x:c r="X243" s="2" t="str">
        <x:v>https://iiasa.ac.at/what-is-technology</x:v>
      </x:c>
      <x:c r="Y243" s="2" t="str">
        <x:v>https://www.ipcc.ch/report/ar6/wg3/chapter/chapter-11/</x:v>
      </x:c>
      <x:c r="Z243" s="2" t="str">
        <x:v>Technology-specific analytical synthesis. The CTCN hierarchy is retained; classifications and component dependencies require validation against the selected design, site and supplier documentation before investment or policy use.</x:v>
      </x:c>
      <x:c r="AA243" s="2" t="str">
        <x:v>Physical deployment of Stirling engine requires industrial site, utilities, fuel and electricity supply, material storage, process buildings, laboratories, waste handling and logistics; interfaces, foundations, access and environmental protection are sized to the specific resource and design load.</x:v>
      </x:c>
      <x:c r="AB243" s="2" t="str">
        <x:v>For Stirling engine,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3" s="2" t="str">
        <x:v>Construction and operation use process feedstocks, steel and refractory materials, catalysts, solvents, lubricants, insulation, piping, sensors and technology-specific alloying elements. For Stirling engine, specifications must include durability, compatibility, recycled content and recoverability.</x:v>
      </x:c>
      <x:c r="AD243" s="2" t="str">
        <x:v>Maintenance of Stirling engine depends on refractory linings, bearings, seals, valves, filters, burners, electrodes, sensors, control modules, lubricants and calibrated instruments; critical spares are selected from failure-mode, lead-time and safety analysis for its installed configuration.</x:v>
      </x:c>
      <x:c r="AE243" s="2" t="str">
        <x:v>The software stack for Stirling engine requires databases, secure communications, version-controlled models, computing, backup and interfaces with field or operational systems.</x:v>
      </x:c>
      <x:c r="AF243" s="2" t="str">
        <x:v>For Stirling engine, software-related energy is electricity for sensing, computing, storage, communication and cooling; it is normally secondary but must be included for data-intensive or continuous services.</x:v>
      </x:c>
      <x:c r="AG243" s="2" t="str">
        <x:v>The non-physical inputs are calibrated data, metadata, algorithms, boundary conditions, emission or hazard factors, manuals and validation records specific to Stirling engine.</x:v>
      </x:c>
      <x:c r="AH243" s="2" t="str">
        <x:v>Software continuity for Stirling engine requires licences where applicable, updates, cybersecurity patches, backups, calibration files, model validation and technical support.</x:v>
      </x:c>
      <x:c r="AI243" s="2" t="str">
        <x:v>Orgware depends on the institutions, laboratories, training providers, regulators, operators and community interfaces needed to govern Stirling engine.</x:v>
      </x:c>
      <x:c r="AJ243" s="2" t="str">
        <x:v>The orgware supporting Stirling engine has mainly indirect energy use from offices, meetings, training and information systems; travel and field supervision may be material at dispersed sites.</x:v>
      </x:c>
      <x:c r="AK243" s="2" t="str">
        <x:v>Its organisational inputs are permits, budgets, trained staff, competence records, contracts, procedures, safeguards, monitoring evidence and stakeholder agreements tailored to Stirling engine.</x:v>
      </x:c>
      <x:c r="AL243" s="2" t="str">
        <x:v>Sustained implementation of Stirling engine requires procurement and service contracts, audit protocols, training material, reporting templates, insurance or guarantees and periodic independent review.</x:v>
      </x:c>
      <x:c r="AM243" s="2" t="str">
        <x:v>Iron ore / steel inputs</x:v>
      </x:c>
      <x:c r="AN243" s="2" t="str">
        <x:v>Australia; Brazil; China</x:v>
      </x:c>
      <x:c r="AO243" s="2" t="str">
        <x:v>China; India; Japan</x:v>
      </x:c>
      <x:c r="AP243" s="2" t="str">
        <x:v>Stirling engine: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3" s="2" t="str">
        <x:v>2024–2025</x:v>
      </x:c>
      <x:c r="AR243" s="2" t="str">
        <x:v>https://pubs.usgs.gov/periodicals/mcs2026/mcs2026.pdf</x:v>
      </x:c>
    </x:row>
    <x:row r="244" ht="240" customHeight="1">
      <x:c r="A244" s="2" t="str">
        <x:v>MIT-0237</x:v>
      </x:c>
      <x:c r="B244" s="2" t="str">
        <x:v>Mitigation</x:v>
      </x:c>
      <x:c r="C244" s="2" t="str">
        <x:v>Industry</x:v>
      </x:c>
      <x:c r="D244" s="2" t="str">
        <x:v>Conventional power plant efficiency</x:v>
      </x:c>
      <x:c r="E244" s="2" t="str">
        <x:v>Natural gas combined cycle plants</x:v>
      </x:c>
      <x:c r="F244" s="2" t="str">
        <x:v>Natural gas combined cycle plants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Natural gas combined cycle plants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4" s="2" t="str">
        <x:v>Primarily fixed</x:v>
      </x:c>
      <x:c r="H244" s="2" t="str">
        <x:v>Natural gas combined cycle plants is tied to long-lived, site-specific assets and design loads. Its principle remains the same, but resource quality, climate, scale, interfaces and safety constraints must be recalculated for each deployment.</x:v>
      </x:c>
      <x:c r="I244" s="2" t="str">
        <x:v>Primarily hard, with a soft component</x:v>
      </x:c>
      <x:c r="J244" s="2" t="str">
        <x:v>Natural gas combined cycle plants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4" s="2" t="str">
        <x:v>Equipment and operation</x:v>
      </x:c>
      <x:c r="L244" s="2" t="str">
        <x:v>Natural gas combined cycle plants is embodied mainly as an equipment-and-operation system. The deliverable is accepted only when measurable service, quality, safety and climate-performance criteria are met under real conditions.</x:v>
      </x:c>
      <x:c r="M244" s="2" t="str">
        <x:v>Conditional on performance and life cycle</x:v>
      </x:c>
      <x:c r="N244" s="2" t="str">
        <x:v>Natural gas combined cycle plants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4" s="2" t="str">
        <x:v>Natural gas combined cycle plants: process reactors or furnaces, heat exchangers, motors and drives, compressors, burners, controls, pollution abatement, material handling and measurement equipment.</x:v>
      </x:c>
      <x:c r="P244" s="2" t="str">
        <x:v>Natural gas combined cycle plants: process simulation, pinch and heat-integration analysis, advanced control, production scheduling, quality control, energy management and life-cycle assessment.</x:v>
      </x:c>
      <x:c r="Q244" s="2" t="str">
        <x:v>Natural gas combined cycle plants: industrial permits, product standards, operating procedures, maintenance and competence systems, procurement, energy management and industrial-symbiosis agreements.</x:v>
      </x:c>
      <x:c r="R244" s="2" t="str">
        <x:v>Natural gas combined cycle plants: industrial site, utilities, fuel and electricity supply, material storage, process buildings, laboratories, waste handling and logistics.</x:v>
      </x:c>
      <x:c r="S244" s="2" t="str">
        <x:v>Natural gas combined cycle plants: electricity, steam, process heat, cooling and fuels; useful-energy efficiency, heat recovery and carbon intensity of supply determine savings.</x:v>
      </x:c>
      <x:c r="T244" s="2" t="str">
        <x:v>Natural gas combined cycle plants: process feedstocks, steel and refractory materials, catalysts, solvents, lubricants, insulation, piping, sensors and technology-specific alloying elements.</x:v>
      </x:c>
      <x:c r="U244" s="2" t="str">
        <x:v>Natural gas combined cycle plants: refractory linings, bearings, seals, valves, filters, burners, electrodes, sensors, control modules, lubricants and calibrated instruments.</x:v>
      </x:c>
      <x:c r="V244" s="2" t="str">
        <x:v>https://www.ctc-n.org/sites/default/files/resources/ctcn_taxonomy_0.pdf</x:v>
      </x:c>
      <x:c r="W244" s="2" t="str">
        <x:v>https://institutoagricoladepueblobello.edu.co/colegiapp/archivostemas/GUIA%209.%5B25%5D.pdf</x:v>
      </x:c>
      <x:c r="X244" s="2" t="str">
        <x:v>https://iiasa.ac.at/what-is-technology</x:v>
      </x:c>
      <x:c r="Y244" s="2" t="str">
        <x:v>https://www.ipcc.ch/report/ar6/wg3/chapter/chapter-11/</x:v>
      </x:c>
      <x:c r="Z244" s="2" t="str">
        <x:v>Technology-specific analytical synthesis. The CTCN hierarchy is retained; classifications and component dependencies require validation against the selected design, site and supplier documentation before investment or policy use.</x:v>
      </x:c>
      <x:c r="AA244" s="2" t="str">
        <x:v>Physical deployment of Natural gas combined cycle plants requires industrial site, utilities, fuel and electricity supply, material storage, process buildings, laboratories, waste handling and logistics; interfaces, foundations, access and environmental protection are sized to the specific resource and design load.</x:v>
      </x:c>
      <x:c r="AB244" s="2" t="str">
        <x:v>For Natural gas combined cycle plants,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4" s="2" t="str">
        <x:v>Construction and operation use process feedstocks, steel and refractory materials, catalysts, solvents, lubricants, insulation, piping, sensors and technology-specific alloying elements. For Natural gas combined cycle plants, specifications must include durability, compatibility, recycled content and recoverability.</x:v>
      </x:c>
      <x:c r="AD244" s="2" t="str">
        <x:v>Maintenance of Natural gas combined cycle plants depends on refractory linings, bearings, seals, valves, filters, burners, electrodes, sensors, control modules, lubricants and calibrated instruments; critical spares are selected from failure-mode, lead-time and safety analysis for its installed configuration.</x:v>
      </x:c>
      <x:c r="AE244" s="2" t="str">
        <x:v>The software stack for Natural gas combined cycle plants requires databases, secure communications, version-controlled models, computing, backup and interfaces with field or operational systems.</x:v>
      </x:c>
      <x:c r="AF244" s="2" t="str">
        <x:v>For Natural gas combined cycle plants, software-related energy is electricity for sensing, computing, storage, communication and cooling; it is normally secondary but must be included for data-intensive or continuous services.</x:v>
      </x:c>
      <x:c r="AG244" s="2" t="str">
        <x:v>The non-physical inputs are calibrated data, metadata, algorithms, boundary conditions, emission or hazard factors, manuals and validation records specific to Natural gas combined cycle plants.</x:v>
      </x:c>
      <x:c r="AH244" s="2" t="str">
        <x:v>Software continuity for Natural gas combined cycle plants requires licences where applicable, updates, cybersecurity patches, backups, calibration files, model validation and technical support.</x:v>
      </x:c>
      <x:c r="AI244" s="2" t="str">
        <x:v>Orgware depends on the institutions, laboratories, training providers, regulators, operators and community interfaces needed to govern Natural gas combined cycle plants.</x:v>
      </x:c>
      <x:c r="AJ244" s="2" t="str">
        <x:v>The orgware supporting Natural gas combined cycle plants has mainly indirect energy use from offices, meetings, training and information systems; travel and field supervision may be material at dispersed sites.</x:v>
      </x:c>
      <x:c r="AK244" s="2" t="str">
        <x:v>Its organisational inputs are permits, budgets, trained staff, competence records, contracts, procedures, safeguards, monitoring evidence and stakeholder agreements tailored to Natural gas combined cycle plants.</x:v>
      </x:c>
      <x:c r="AL244" s="2" t="str">
        <x:v>Sustained implementation of Natural gas combined cycle plants requires procurement and service contracts, audit protocols, training material, reporting templates, insurance or guarantees and periodic independent review.</x:v>
      </x:c>
      <x:c r="AM244" s="2" t="str">
        <x:v>Iron ore / steel inputs</x:v>
      </x:c>
      <x:c r="AN244" s="2" t="str">
        <x:v>Australia; Brazil; China</x:v>
      </x:c>
      <x:c r="AO244" s="2" t="str">
        <x:v>China; India; Japan</x:v>
      </x:c>
      <x:c r="AP244" s="2" t="str">
        <x:v>Natural gas combined cycle plants: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4" s="2" t="str">
        <x:v>2024–2025</x:v>
      </x:c>
      <x:c r="AR244" s="2" t="str">
        <x:v>https://pubs.usgs.gov/periodicals/mcs2026/mcs2026.pdf</x:v>
      </x:c>
    </x:row>
    <x:row r="245" ht="240" customHeight="1">
      <x:c r="A245" s="2" t="str">
        <x:v>MIT-0238</x:v>
      </x:c>
      <x:c r="B245" s="2" t="str">
        <x:v>Mitigation</x:v>
      </x:c>
      <x:c r="C245" s="2" t="str">
        <x:v>Industry</x:v>
      </x:c>
      <x:c r="D245" s="2" t="str">
        <x:v>Conventional power plant efficiency</x:v>
      </x:c>
      <x:c r="E245" s="2" t="str">
        <x:v>Integrated gasification combined-cycle</x:v>
      </x:c>
      <x:c r="F245" s="2" t="str">
        <x:v>Integrated gasification combined-cycle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Integrated gasification combined-cycle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5" s="2" t="str">
        <x:v>Primarily fixed</x:v>
      </x:c>
      <x:c r="H245" s="2" t="str">
        <x:v>Integrated gasification combined-cycle is tied to long-lived, site-specific assets and design loads. Its principle remains the same, but resource quality, climate, scale, interfaces and safety constraints must be recalculated for each deployment.</x:v>
      </x:c>
      <x:c r="I245" s="2" t="str">
        <x:v>Primarily hard, with a soft component</x:v>
      </x:c>
      <x:c r="J245" s="2" t="str">
        <x:v>Integrated gasification combined-cycle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5" s="2" t="str">
        <x:v>Equipment and operation</x:v>
      </x:c>
      <x:c r="L245" s="2" t="str">
        <x:v>Integrated gasification combined-cycle is embodied mainly as an equipment-and-operation system. The deliverable is accepted only when measurable service, quality, safety and climate-performance criteria are met under real conditions.</x:v>
      </x:c>
      <x:c r="M245" s="2" t="str">
        <x:v>Yes, subject to life-cycle safeguards</x:v>
      </x:c>
      <x:c r="N245" s="2" t="str">
        <x:v>Integrated gasification combined-cycle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5" s="2" t="str">
        <x:v>Integrated gasification combined-cycle: process reactors or furnaces, heat exchangers, motors and drives, compressors, burners, controls, pollution abatement, material handling and measurement equipment.</x:v>
      </x:c>
      <x:c r="P245" s="2" t="str">
        <x:v>Integrated gasification combined-cycle: process simulation, pinch and heat-integration analysis, advanced control, production scheduling, quality control, energy management and life-cycle assessment.</x:v>
      </x:c>
      <x:c r="Q245" s="2" t="str">
        <x:v>Integrated gasification combined-cycle: industrial permits, product standards, operating procedures, maintenance and competence systems, procurement, energy management and industrial-symbiosis agreements.</x:v>
      </x:c>
      <x:c r="R245" s="2" t="str">
        <x:v>Integrated gasification combined-cycle: industrial site, utilities, fuel and electricity supply, material storage, process buildings, laboratories, waste handling and logistics.</x:v>
      </x:c>
      <x:c r="S245" s="2" t="str">
        <x:v>Integrated gasification combined-cycle: electricity, steam, process heat, cooling and fuels; useful-energy efficiency, heat recovery and carbon intensity of supply determine savings.</x:v>
      </x:c>
      <x:c r="T245" s="2" t="str">
        <x:v>Integrated gasification combined-cycle: process feedstocks, steel and refractory materials, catalysts, solvents, lubricants, insulation, piping, sensors and technology-specific alloying elements.</x:v>
      </x:c>
      <x:c r="U245" s="2" t="str">
        <x:v>Integrated gasification combined-cycle: refractory linings, bearings, seals, valves, filters, burners, electrodes, sensors, control modules, lubricants and calibrated instruments.</x:v>
      </x:c>
      <x:c r="V245" s="2" t="str">
        <x:v>https://www.ctc-n.org/sites/default/files/resources/ctcn_taxonomy_0.pdf</x:v>
      </x:c>
      <x:c r="W245" s="2" t="str">
        <x:v>https://institutoagricoladepueblobello.edu.co/colegiapp/archivostemas/GUIA%209.%5B25%5D.pdf</x:v>
      </x:c>
      <x:c r="X245" s="2" t="str">
        <x:v>https://iiasa.ac.at/what-is-technology</x:v>
      </x:c>
      <x:c r="Y245" s="2" t="str">
        <x:v>https://www.ipcc.ch/report/ar6/wg3/chapter/chapter-11/</x:v>
      </x:c>
      <x:c r="Z245" s="2" t="str">
        <x:v>Technology-specific analytical synthesis. The CTCN hierarchy is retained; classifications and component dependencies require validation against the selected design, site and supplier documentation before investment or policy use.</x:v>
      </x:c>
      <x:c r="AA245" s="2" t="str">
        <x:v>Physical deployment of Integrated gasification combined-cycle requires industrial site, utilities, fuel and electricity supply, material storage, process buildings, laboratories, waste handling and logistics; interfaces, foundations, access and environmental protection are sized to the specific resource and design load.</x:v>
      </x:c>
      <x:c r="AB245" s="2" t="str">
        <x:v>For Integrated gasification combined-cycle,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5" s="2" t="str">
        <x:v>Construction and operation use process feedstocks, steel and refractory materials, catalysts, solvents, lubricants, insulation, piping, sensors and technology-specific alloying elements. For Integrated gasification combined-cycle, specifications must include durability, compatibility, recycled content and recoverability.</x:v>
      </x:c>
      <x:c r="AD245" s="2" t="str">
        <x:v>Maintenance of Integrated gasification combined-cycle depends on refractory linings, bearings, seals, valves, filters, burners, electrodes, sensors, control modules, lubricants and calibrated instruments; critical spares are selected from failure-mode, lead-time and safety analysis for its installed configuration.</x:v>
      </x:c>
      <x:c r="AE245" s="2" t="str">
        <x:v>The software stack for Integrated gasification combined-cycle requires databases, secure communications, version-controlled models, computing, backup and interfaces with field or operational systems.</x:v>
      </x:c>
      <x:c r="AF245" s="2" t="str">
        <x:v>For Integrated gasification combined-cycle, software-related energy is electricity for sensing, computing, storage, communication and cooling; it is normally secondary but must be included for data-intensive or continuous services.</x:v>
      </x:c>
      <x:c r="AG245" s="2" t="str">
        <x:v>The non-physical inputs are calibrated data, metadata, algorithms, boundary conditions, emission or hazard factors, manuals and validation records specific to Integrated gasification combined-cycle.</x:v>
      </x:c>
      <x:c r="AH245" s="2" t="str">
        <x:v>Software continuity for Integrated gasification combined-cycle requires licences where applicable, updates, cybersecurity patches, backups, calibration files, model validation and technical support.</x:v>
      </x:c>
      <x:c r="AI245" s="2" t="str">
        <x:v>Orgware depends on the institutions, laboratories, training providers, regulators, operators and community interfaces needed to govern Integrated gasification combined-cycle.</x:v>
      </x:c>
      <x:c r="AJ245" s="2" t="str">
        <x:v>The orgware supporting Integrated gasification combined-cycle has mainly indirect energy use from offices, meetings, training and information systems; travel and field supervision may be material at dispersed sites.</x:v>
      </x:c>
      <x:c r="AK245" s="2" t="str">
        <x:v>Its organisational inputs are permits, budgets, trained staff, competence records, contracts, procedures, safeguards, monitoring evidence and stakeholder agreements tailored to Integrated gasification combined-cycle.</x:v>
      </x:c>
      <x:c r="AL245" s="2" t="str">
        <x:v>Sustained implementation of Integrated gasification combined-cycle requires procurement and service contracts, audit protocols, training material, reporting templates, insurance or guarantees and periodic independent review.</x:v>
      </x:c>
      <x:c r="AM245" s="2" t="str">
        <x:v>Iron ore / steel inputs</x:v>
      </x:c>
      <x:c r="AN245" s="2" t="str">
        <x:v>Australia; Brazil; China</x:v>
      </x:c>
      <x:c r="AO245" s="2" t="str">
        <x:v>China; India; Japan</x:v>
      </x:c>
      <x:c r="AP245" s="2" t="str">
        <x:v>Integrated gasification combined-cycle: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5" s="2" t="str">
        <x:v>2024–2025</x:v>
      </x:c>
      <x:c r="AR245" s="2" t="str">
        <x:v>https://pubs.usgs.gov/periodicals/mcs2026/mcs2026.pdf</x:v>
      </x:c>
    </x:row>
    <x:row r="246" ht="240" customHeight="1">
      <x:c r="A246" s="2" t="str">
        <x:v>MIT-0239</x:v>
      </x:c>
      <x:c r="B246" s="2" t="str">
        <x:v>Mitigation</x:v>
      </x:c>
      <x:c r="C246" s="2" t="str">
        <x:v>Industry</x:v>
      </x:c>
      <x:c r="D246" s="2" t="str">
        <x:v>Conventional power plant efficiency</x:v>
      </x:c>
      <x:c r="E246" s="2" t="str">
        <x:v>Single cycle to combined cycle power generation</x:v>
      </x:c>
      <x:c r="F246" s="2" t="str">
        <x:v>Single cycle to combined cycle power generation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Single cycle to combined cycle power generation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6" s="2" t="str">
        <x:v>Primarily fixed</x:v>
      </x:c>
      <x:c r="H246" s="2" t="str">
        <x:v>Single cycle to combined cycle power generation is tied to long-lived, site-specific assets and design loads. Its principle remains the same, but resource quality, climate, scale, interfaces and safety constraints must be recalculated for each deployment.</x:v>
      </x:c>
      <x:c r="I246" s="2" t="str">
        <x:v>Primarily hard, with a soft component</x:v>
      </x:c>
      <x:c r="J246" s="2" t="str">
        <x:v>Single cycle to combined cycle power generation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6" s="2" t="str">
        <x:v>Equipment and operation</x:v>
      </x:c>
      <x:c r="L246" s="2" t="str">
        <x:v>Single cycle to combined cycle power generation is embodied mainly as an equipment-and-operation system. The deliverable is accepted only when measurable service, quality, safety and climate-performance criteria are met under real conditions.</x:v>
      </x:c>
      <x:c r="M246" s="2" t="str">
        <x:v>Yes, subject to life-cycle safeguards</x:v>
      </x:c>
      <x:c r="N246" s="2" t="str">
        <x:v>Single cycle to combined cycle power generation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6" s="2" t="str">
        <x:v>Single cycle to combined cycle power generation: process reactors or furnaces, heat exchangers, motors and drives, compressors, burners, controls, pollution abatement, material handling and measurement equipment.</x:v>
      </x:c>
      <x:c r="P246" s="2" t="str">
        <x:v>Single cycle to combined cycle power generation: process simulation, pinch and heat-integration analysis, advanced control, production scheduling, quality control, energy management and life-cycle assessment.</x:v>
      </x:c>
      <x:c r="Q246" s="2" t="str">
        <x:v>Single cycle to combined cycle power generation: industrial permits, product standards, operating procedures, maintenance and competence systems, procurement, energy management and industrial-symbiosis agreements.</x:v>
      </x:c>
      <x:c r="R246" s="2" t="str">
        <x:v>Single cycle to combined cycle power generation: industrial site, utilities, fuel and electricity supply, material storage, process buildings, laboratories, waste handling and logistics.</x:v>
      </x:c>
      <x:c r="S246" s="2" t="str">
        <x:v>Single cycle to combined cycle power generation: electricity, steam, process heat, cooling and fuels; useful-energy efficiency, heat recovery and carbon intensity of supply determine savings.</x:v>
      </x:c>
      <x:c r="T246" s="2" t="str">
        <x:v>Single cycle to combined cycle power generation: process feedstocks, steel and refractory materials, catalysts, solvents, lubricants, insulation, piping, sensors and technology-specific alloying elements.</x:v>
      </x:c>
      <x:c r="U246" s="2" t="str">
        <x:v>Single cycle to combined cycle power generation: refractory linings, bearings, seals, valves, filters, burners, electrodes, sensors, control modules, lubricants and calibrated instruments.</x:v>
      </x:c>
      <x:c r="V246" s="2" t="str">
        <x:v>https://www.ctc-n.org/sites/default/files/resources/ctcn_taxonomy_0.pdf</x:v>
      </x:c>
      <x:c r="W246" s="2" t="str">
        <x:v>https://institutoagricoladepueblobello.edu.co/colegiapp/archivostemas/GUIA%209.%5B25%5D.pdf</x:v>
      </x:c>
      <x:c r="X246" s="2" t="str">
        <x:v>https://iiasa.ac.at/what-is-technology</x:v>
      </x:c>
      <x:c r="Y246" s="2" t="str">
        <x:v>https://www.ipcc.ch/report/ar6/wg3/chapter/chapter-11/</x:v>
      </x:c>
      <x:c r="Z246" s="2" t="str">
        <x:v>Technology-specific analytical synthesis. The CTCN hierarchy is retained; classifications and component dependencies require validation against the selected design, site and supplier documentation before investment or policy use.</x:v>
      </x:c>
      <x:c r="AA246" s="2" t="str">
        <x:v>Physical deployment of Single cycle to combined cycle power generation requires industrial site, utilities, fuel and electricity supply, material storage, process buildings, laboratories, waste handling and logistics; interfaces, foundations, access and environmental protection are sized to the specific resource and design load.</x:v>
      </x:c>
      <x:c r="AB246" s="2" t="str">
        <x:v>For Single cycle to combined cycle power generation,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6" s="2" t="str">
        <x:v>Construction and operation use process feedstocks, steel and refractory materials, catalysts, solvents, lubricants, insulation, piping, sensors and technology-specific alloying elements. For Single cycle to combined cycle power generation, specifications must include durability, compatibility, recycled content and recoverability.</x:v>
      </x:c>
      <x:c r="AD246" s="2" t="str">
        <x:v>Maintenance of Single cycle to combined cycle power generation depends on refractory linings, bearings, seals, valves, filters, burners, electrodes, sensors, control modules, lubricants and calibrated instruments; critical spares are selected from failure-mode, lead-time and safety analysis for its installed configuration.</x:v>
      </x:c>
      <x:c r="AE246" s="2" t="str">
        <x:v>The software stack for Single cycle to combined cycle power generation requires databases, secure communications, version-controlled models, computing, backup and interfaces with field or operational systems.</x:v>
      </x:c>
      <x:c r="AF246" s="2" t="str">
        <x:v>For Single cycle to combined cycle power generation, software-related energy is electricity for sensing, computing, storage, communication and cooling; it is normally secondary but must be included for data-intensive or continuous services.</x:v>
      </x:c>
      <x:c r="AG246" s="2" t="str">
        <x:v>The non-physical inputs are calibrated data, metadata, algorithms, boundary conditions, emission or hazard factors, manuals and validation records specific to Single cycle to combined cycle power generation.</x:v>
      </x:c>
      <x:c r="AH246" s="2" t="str">
        <x:v>Software continuity for Single cycle to combined cycle power generation requires licences where applicable, updates, cybersecurity patches, backups, calibration files, model validation and technical support.</x:v>
      </x:c>
      <x:c r="AI246" s="2" t="str">
        <x:v>Orgware depends on the institutions, laboratories, training providers, regulators, operators and community interfaces needed to govern Single cycle to combined cycle power generation.</x:v>
      </x:c>
      <x:c r="AJ246" s="2" t="str">
        <x:v>The orgware supporting Single cycle to combined cycle power generation has mainly indirect energy use from offices, meetings, training and information systems; travel and field supervision may be material at dispersed sites.</x:v>
      </x:c>
      <x:c r="AK246" s="2" t="str">
        <x:v>Its organisational inputs are permits, budgets, trained staff, competence records, contracts, procedures, safeguards, monitoring evidence and stakeholder agreements tailored to Single cycle to combined cycle power generation.</x:v>
      </x:c>
      <x:c r="AL246" s="2" t="str">
        <x:v>Sustained implementation of Single cycle to combined cycle power generation requires procurement and service contracts, audit protocols, training material, reporting templates, insurance or guarantees and periodic independent review.</x:v>
      </x:c>
      <x:c r="AM246" s="2" t="str">
        <x:v>Iron ore / steel inputs</x:v>
      </x:c>
      <x:c r="AN246" s="2" t="str">
        <x:v>Australia; Brazil; China</x:v>
      </x:c>
      <x:c r="AO246" s="2" t="str">
        <x:v>China; India; Japan</x:v>
      </x:c>
      <x:c r="AP246" s="2" t="str">
        <x:v>Single cycle to combined cycle power generation: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6" s="2" t="str">
        <x:v>2024–2025</x:v>
      </x:c>
      <x:c r="AR246" s="2" t="str">
        <x:v>https://pubs.usgs.gov/periodicals/mcs2026/mcs2026.pdf</x:v>
      </x:c>
    </x:row>
    <x:row r="247" ht="240" customHeight="1">
      <x:c r="A247" s="2" t="str">
        <x:v>MIT-0240</x:v>
      </x:c>
      <x:c r="B247" s="2" t="str">
        <x:v>Mitigation</x:v>
      </x:c>
      <x:c r="C247" s="2" t="str">
        <x:v>Industry</x:v>
      </x:c>
      <x:c r="D247" s="2" t="str">
        <x:v>Conventional power plant efficiency</x:v>
      </x:c>
      <x:c r="E247" s="2" t="str">
        <x:v>Replacement of district heating boilers</x:v>
      </x:c>
      <x:c r="F247" s="2" t="str">
        <x:v>Replacement of district heating boilers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Replacement of district heating boilers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7" s="2" t="str">
        <x:v>Primarily fixed</x:v>
      </x:c>
      <x:c r="H247" s="2" t="str">
        <x:v>Replacement of district heating boilers is tied to long-lived, site-specific assets and design loads. Its principle remains the same, but resource quality, climate, scale, interfaces and safety constraints must be recalculated for each deployment.</x:v>
      </x:c>
      <x:c r="I247" s="2" t="str">
        <x:v>Primarily hard, with a soft component</x:v>
      </x:c>
      <x:c r="J247" s="2" t="str">
        <x:v>Replacement of district heating boilers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7" s="2" t="str">
        <x:v>Equipment and operation</x:v>
      </x:c>
      <x:c r="L247" s="2" t="str">
        <x:v>Replacement of district heating boilers is embodied mainly as an equipment-and-operation system. The deliverable is accepted only when measurable service, quality, safety and climate-performance criteria are met under real conditions.</x:v>
      </x:c>
      <x:c r="M247" s="2" t="str">
        <x:v>Yes, subject to life-cycle safeguards</x:v>
      </x:c>
      <x:c r="N247" s="2" t="str">
        <x:v>Replacement of district heating boilers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7" s="2" t="str">
        <x:v>Replacement of district heating boilers: process reactors or furnaces, heat exchangers, motors and drives, compressors, burners, controls, pollution abatement, material handling and measurement equipment.</x:v>
      </x:c>
      <x:c r="P247" s="2" t="str">
        <x:v>Replacement of district heating boilers: process simulation, pinch and heat-integration analysis, advanced control, production scheduling, quality control, energy management and life-cycle assessment.</x:v>
      </x:c>
      <x:c r="Q247" s="2" t="str">
        <x:v>Replacement of district heating boilers: industrial permits, product standards, operating procedures, maintenance and competence systems, procurement, energy management and industrial-symbiosis agreements.</x:v>
      </x:c>
      <x:c r="R247" s="2" t="str">
        <x:v>Replacement of district heating boilers: industrial site, utilities, fuel and electricity supply, material storage, process buildings, laboratories, waste handling and logistics.</x:v>
      </x:c>
      <x:c r="S247" s="2" t="str">
        <x:v>Replacement of district heating boilers: electricity, steam, process heat, cooling and fuels; useful-energy efficiency, heat recovery and carbon intensity of supply determine savings.</x:v>
      </x:c>
      <x:c r="T247" s="2" t="str">
        <x:v>Replacement of district heating boilers: process feedstocks, steel and refractory materials, catalysts, solvents, lubricants, insulation, piping, sensors and technology-specific alloying elements.</x:v>
      </x:c>
      <x:c r="U247" s="2" t="str">
        <x:v>Replacement of district heating boilers: refractory linings, bearings, seals, valves, filters, burners, electrodes, sensors, control modules, lubricants and calibrated instruments.</x:v>
      </x:c>
      <x:c r="V247" s="2" t="str">
        <x:v>https://www.ctc-n.org/sites/default/files/resources/ctcn_taxonomy_0.pdf</x:v>
      </x:c>
      <x:c r="W247" s="2" t="str">
        <x:v>https://institutoagricoladepueblobello.edu.co/colegiapp/archivostemas/GUIA%209.%5B25%5D.pdf</x:v>
      </x:c>
      <x:c r="X247" s="2" t="str">
        <x:v>https://iiasa.ac.at/what-is-technology</x:v>
      </x:c>
      <x:c r="Y247" s="2" t="str">
        <x:v>https://www.ipcc.ch/report/ar6/wg3/chapter/chapter-11/</x:v>
      </x:c>
      <x:c r="Z247" s="2" t="str">
        <x:v>Technology-specific analytical synthesis. The CTCN hierarchy is retained; classifications and component dependencies require validation against the selected design, site and supplier documentation before investment or policy use.</x:v>
      </x:c>
      <x:c r="AA247" s="2" t="str">
        <x:v>Physical deployment of Replacement of district heating boilers requires industrial site, utilities, fuel and electricity supply, material storage, process buildings, laboratories, waste handling and logistics; interfaces, foundations, access and environmental protection are sized to the specific resource and design load.</x:v>
      </x:c>
      <x:c r="AB247" s="2" t="str">
        <x:v>For Replacement of district heating boilers,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7" s="2" t="str">
        <x:v>Construction and operation use process feedstocks, steel and refractory materials, catalysts, solvents, lubricants, insulation, piping, sensors and technology-specific alloying elements. For Replacement of district heating boilers, specifications must include durability, compatibility, recycled content and recoverability.</x:v>
      </x:c>
      <x:c r="AD247" s="2" t="str">
        <x:v>Maintenance of Replacement of district heating boilers depends on refractory linings, bearings, seals, valves, filters, burners, electrodes, sensors, control modules, lubricants and calibrated instruments; critical spares are selected from failure-mode, lead-time and safety analysis for its installed configuration.</x:v>
      </x:c>
      <x:c r="AE247" s="2" t="str">
        <x:v>The software stack for Replacement of district heating boilers requires databases, secure communications, version-controlled models, computing, backup and interfaces with field or operational systems.</x:v>
      </x:c>
      <x:c r="AF247" s="2" t="str">
        <x:v>For Replacement of district heating boilers, software-related energy is electricity for sensing, computing, storage, communication and cooling; it is normally secondary but must be included for data-intensive or continuous services.</x:v>
      </x:c>
      <x:c r="AG247" s="2" t="str">
        <x:v>The non-physical inputs are calibrated data, metadata, algorithms, boundary conditions, emission or hazard factors, manuals and validation records specific to Replacement of district heating boilers.</x:v>
      </x:c>
      <x:c r="AH247" s="2" t="str">
        <x:v>Software continuity for Replacement of district heating boilers requires licences where applicable, updates, cybersecurity patches, backups, calibration files, model validation and technical support.</x:v>
      </x:c>
      <x:c r="AI247" s="2" t="str">
        <x:v>Orgware depends on the institutions, laboratories, training providers, regulators, operators and community interfaces needed to govern Replacement of district heating boilers.</x:v>
      </x:c>
      <x:c r="AJ247" s="2" t="str">
        <x:v>The orgware supporting Replacement of district heating boilers has mainly indirect energy use from offices, meetings, training and information systems; travel and field supervision may be material at dispersed sites.</x:v>
      </x:c>
      <x:c r="AK247" s="2" t="str">
        <x:v>Its organisational inputs are permits, budgets, trained staff, competence records, contracts, procedures, safeguards, monitoring evidence and stakeholder agreements tailored to Replacement of district heating boilers.</x:v>
      </x:c>
      <x:c r="AL247" s="2" t="str">
        <x:v>Sustained implementation of Replacement of district heating boilers requires procurement and service contracts, audit protocols, training material, reporting templates, insurance or guarantees and periodic independent review.</x:v>
      </x:c>
      <x:c r="AM247" s="2" t="str">
        <x:v>Iron ore / steel inputs; Nickel; Chromium; Limestone / cement raw materials</x:v>
      </x:c>
      <x:c r="AN247" s="2" t="str">
        <x:v>Australia; Brazil; China; Indonesia; Philippines; Russia; South Africa; Kazakhstan; Turkey; India; Vietnam</x:v>
      </x:c>
      <x:c r="AO247" s="2" t="str">
        <x:v>China; India; Japan; Indonesia; South Africa; Kazakhstan; Vietnam</x:v>
      </x:c>
      <x:c r="AP247" s="2" t="str">
        <x:v>Replacement of district heating boilers: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7" s="2" t="str">
        <x:v>2024–2025</x:v>
      </x:c>
      <x:c r="AR247" s="2" t="str">
        <x:v>https://pubs.usgs.gov/periodicals/mcs2026/mcs2026.pdf; https://www.iea.org/reports/global-critical-minerals-outlook-2025</x:v>
      </x:c>
    </x:row>
    <x:row r="248" ht="240" customHeight="1">
      <x:c r="A248" s="2" t="str">
        <x:v>MIT-0241</x:v>
      </x:c>
      <x:c r="B248" s="2" t="str">
        <x:v>Mitigation</x:v>
      </x:c>
      <x:c r="C248" s="2" t="str">
        <x:v>Industry</x:v>
      </x:c>
      <x:c r="D248" s="2" t="str">
        <x:v>Conventional power plant efficiency</x:v>
      </x:c>
      <x:c r="E248" s="2" t="str">
        <x:v>Higher efficiency oil power</x:v>
      </x:c>
      <x:c r="F248" s="2" t="str">
        <x:v>Higher efficiency oil power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Higher efficiency oil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8" s="2" t="str">
        <x:v>Primarily fixed</x:v>
      </x:c>
      <x:c r="H248" s="2" t="str">
        <x:v>Higher efficiency oil power is tied to long-lived, site-specific assets and design loads. Its principle remains the same, but resource quality, climate, scale, interfaces and safety constraints must be recalculated for each deployment.</x:v>
      </x:c>
      <x:c r="I248" s="2" t="str">
        <x:v>Primarily hard, with a soft component</x:v>
      </x:c>
      <x:c r="J248" s="2" t="str">
        <x:v>Higher efficiency oil power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8" s="2" t="str">
        <x:v>Equipment and operation</x:v>
      </x:c>
      <x:c r="L248" s="2" t="str">
        <x:v>Higher efficiency oil power is embodied mainly as an equipment-and-operation system. The deliverable is accepted only when measurable service, quality, safety and climate-performance criteria are met under real conditions.</x:v>
      </x:c>
      <x:c r="M248" s="2" t="str">
        <x:v>Not necessarily</x:v>
      </x:c>
      <x:c r="N248" s="2" t="str">
        <x:v>Higher efficiency oil power is classified as not inherently clean.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8" s="2" t="str">
        <x:v>Higher efficiency oil power: process reactors or furnaces, heat exchangers, motors and drives, compressors, burners, controls, pollution abatement, material handling and measurement equipment.</x:v>
      </x:c>
      <x:c r="P248" s="2" t="str">
        <x:v>Higher efficiency oil power: process simulation, pinch and heat-integration analysis, advanced control, production scheduling, quality control, energy management and life-cycle assessment.</x:v>
      </x:c>
      <x:c r="Q248" s="2" t="str">
        <x:v>Higher efficiency oil power: industrial permits, product standards, operating procedures, maintenance and competence systems, procurement, energy management and industrial-symbiosis agreements.</x:v>
      </x:c>
      <x:c r="R248" s="2" t="str">
        <x:v>Higher efficiency oil power: industrial site, utilities, fuel and electricity supply, material storage, process buildings, laboratories, waste handling and logistics.</x:v>
      </x:c>
      <x:c r="S248" s="2" t="str">
        <x:v>Higher efficiency oil power: electricity, steam, process heat, cooling and fuels; useful-energy efficiency, heat recovery and carbon intensity of supply determine savings.</x:v>
      </x:c>
      <x:c r="T248" s="2" t="str">
        <x:v>Higher efficiency oil power: process feedstocks, steel and refractory materials, catalysts, solvents, lubricants, insulation, piping, sensors and technology-specific alloying elements.</x:v>
      </x:c>
      <x:c r="U248" s="2" t="str">
        <x:v>Higher efficiency oil power: refractory linings, bearings, seals, valves, filters, burners, electrodes, sensors, control modules, lubricants and calibrated instruments.</x:v>
      </x:c>
      <x:c r="V248" s="2" t="str">
        <x:v>https://www.ctc-n.org/sites/default/files/resources/ctcn_taxonomy_0.pdf</x:v>
      </x:c>
      <x:c r="W248" s="2" t="str">
        <x:v>https://institutoagricoladepueblobello.edu.co/colegiapp/archivostemas/GUIA%209.%5B25%5D.pdf</x:v>
      </x:c>
      <x:c r="X248" s="2" t="str">
        <x:v>https://iiasa.ac.at/what-is-technology</x:v>
      </x:c>
      <x:c r="Y248" s="2" t="str">
        <x:v>https://www.ipcc.ch/report/ar6/wg3/chapter/chapter-11/</x:v>
      </x:c>
      <x:c r="Z248" s="2" t="str">
        <x:v>Technology-specific analytical synthesis. The CTCN hierarchy is retained; classifications and component dependencies require validation against the selected design, site and supplier documentation before investment or policy use.</x:v>
      </x:c>
      <x:c r="AA248" s="2" t="str">
        <x:v>Physical deployment of Higher efficiency oil power requires industrial site, utilities, fuel and electricity supply, material storage, process buildings, laboratories, waste handling and logistics; interfaces, foundations, access and environmental protection are sized to the specific resource and design load.</x:v>
      </x:c>
      <x:c r="AB248" s="2" t="str">
        <x:v>For Higher efficiency oil power,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8" s="2" t="str">
        <x:v>Construction and operation use process feedstocks, steel and refractory materials, catalysts, solvents, lubricants, insulation, piping, sensors and technology-specific alloying elements. For Higher efficiency oil power, specifications must include durability, compatibility, recycled content and recoverability.</x:v>
      </x:c>
      <x:c r="AD248" s="2" t="str">
        <x:v>Maintenance of Higher efficiency oil power depends on refractory linings, bearings, seals, valves, filters, burners, electrodes, sensors, control modules, lubricants and calibrated instruments; critical spares are selected from failure-mode, lead-time and safety analysis for its installed configuration.</x:v>
      </x:c>
      <x:c r="AE248" s="2" t="str">
        <x:v>The software stack for Higher efficiency oil power requires databases, secure communications, version-controlled models, computing, backup and interfaces with field or operational systems.</x:v>
      </x:c>
      <x:c r="AF248" s="2" t="str">
        <x:v>For Higher efficiency oil power, software-related energy is electricity for sensing, computing, storage, communication and cooling; it is normally secondary but must be included for data-intensive or continuous services.</x:v>
      </x:c>
      <x:c r="AG248" s="2" t="str">
        <x:v>The non-physical inputs are calibrated data, metadata, algorithms, boundary conditions, emission or hazard factors, manuals and validation records specific to Higher efficiency oil power.</x:v>
      </x:c>
      <x:c r="AH248" s="2" t="str">
        <x:v>Software continuity for Higher efficiency oil power requires licences where applicable, updates, cybersecurity patches, backups, calibration files, model validation and technical support.</x:v>
      </x:c>
      <x:c r="AI248" s="2" t="str">
        <x:v>Orgware depends on the institutions, laboratories, training providers, regulators, operators and community interfaces needed to govern Higher efficiency oil power.</x:v>
      </x:c>
      <x:c r="AJ248" s="2" t="str">
        <x:v>The orgware supporting Higher efficiency oil power has mainly indirect energy use from offices, meetings, training and information systems; travel and field supervision may be material at dispersed sites.</x:v>
      </x:c>
      <x:c r="AK248" s="2" t="str">
        <x:v>Its organisational inputs are permits, budgets, trained staff, competence records, contracts, procedures, safeguards, monitoring evidence and stakeholder agreements tailored to Higher efficiency oil power.</x:v>
      </x:c>
      <x:c r="AL248" s="2" t="str">
        <x:v>Sustained implementation of Higher efficiency oil power requires procurement and service contracts, audit protocols, training material, reporting templates, insurance or guarantees and periodic independent review.</x:v>
      </x:c>
      <x:c r="AM248" s="2" t="str">
        <x:v>Iron ore / steel inputs</x:v>
      </x:c>
      <x:c r="AN248" s="2" t="str">
        <x:v>Australia; Brazil; China</x:v>
      </x:c>
      <x:c r="AO248" s="2" t="str">
        <x:v>China; India; Japan</x:v>
      </x:c>
      <x:c r="AP248" s="2" t="str">
        <x:v>Higher efficiency oil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8" s="2" t="str">
        <x:v>2024–2025</x:v>
      </x:c>
      <x:c r="AR248" s="2" t="str">
        <x:v>https://pubs.usgs.gov/periodicals/mcs2026/mcs2026.pdf</x:v>
      </x:c>
    </x:row>
    <x:row r="249" ht="240" customHeight="1">
      <x:c r="A249" s="2" t="str">
        <x:v>MIT-0242</x:v>
      </x:c>
      <x:c r="B249" s="2" t="str">
        <x:v>Mitigation</x:v>
      </x:c>
      <x:c r="C249" s="2" t="str">
        <x:v>Industry</x:v>
      </x:c>
      <x:c r="D249" s="2" t="str">
        <x:v>Conventional power plant efficiency</x:v>
      </x:c>
      <x:c r="E249" s="2" t="str">
        <x:v>Higher efficiency steam boiler</x:v>
      </x:c>
      <x:c r="F249" s="2" t="str">
        <x:v>Higher efficiency steam boiler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Higher efficiency steam boiler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9" s="2" t="str">
        <x:v>Primarily fixed</x:v>
      </x:c>
      <x:c r="H249" s="2" t="str">
        <x:v>Higher efficiency steam boiler is tied to long-lived, site-specific assets and design loads. Its principle remains the same, but resource quality, climate, scale, interfaces and safety constraints must be recalculated for each deployment.</x:v>
      </x:c>
      <x:c r="I249" s="2" t="str">
        <x:v>Primarily hard, with a soft component</x:v>
      </x:c>
      <x:c r="J249" s="2" t="str">
        <x:v>Higher efficiency steam boiler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9" s="2" t="str">
        <x:v>Equipment and operation</x:v>
      </x:c>
      <x:c r="L249" s="2" t="str">
        <x:v>Higher efficiency steam boiler is embodied mainly as an equipment-and-operation system. The deliverable is accepted only when measurable service, quality, safety and climate-performance criteria are met under real conditions.</x:v>
      </x:c>
      <x:c r="M249" s="2" t="str">
        <x:v>Yes, subject to life-cycle safeguards</x:v>
      </x:c>
      <x:c r="N249" s="2" t="str">
        <x:v>Higher efficiency steam boiler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9" s="2" t="str">
        <x:v>Higher efficiency steam boiler: process reactors or furnaces, heat exchangers, motors and drives, compressors, burners, controls, pollution abatement, material handling and measurement equipment.</x:v>
      </x:c>
      <x:c r="P249" s="2" t="str">
        <x:v>Higher efficiency steam boiler: process simulation, pinch and heat-integration analysis, advanced control, production scheduling, quality control, energy management and life-cycle assessment.</x:v>
      </x:c>
      <x:c r="Q249" s="2" t="str">
        <x:v>Higher efficiency steam boiler: industrial permits, product standards, operating procedures, maintenance and competence systems, procurement, energy management and industrial-symbiosis agreements.</x:v>
      </x:c>
      <x:c r="R249" s="2" t="str">
        <x:v>Higher efficiency steam boiler: industrial site, utilities, fuel and electricity supply, material storage, process buildings, laboratories, waste handling and logistics.</x:v>
      </x:c>
      <x:c r="S249" s="2" t="str">
        <x:v>Higher efficiency steam boiler: electricity, steam, process heat, cooling and fuels; useful-energy efficiency, heat recovery and carbon intensity of supply determine savings.</x:v>
      </x:c>
      <x:c r="T249" s="2" t="str">
        <x:v>Higher efficiency steam boiler: process feedstocks, steel and refractory materials, catalysts, solvents, lubricants, insulation, piping, sensors and technology-specific alloying elements.</x:v>
      </x:c>
      <x:c r="U249" s="2" t="str">
        <x:v>Higher efficiency steam boiler: refractory linings, bearings, seals, valves, filters, burners, electrodes, sensors, control modules, lubricants and calibrated instruments.</x:v>
      </x:c>
      <x:c r="V249" s="2" t="str">
        <x:v>https://www.ctc-n.org/sites/default/files/resources/ctcn_taxonomy_0.pdf</x:v>
      </x:c>
      <x:c r="W249" s="2" t="str">
        <x:v>https://institutoagricoladepueblobello.edu.co/colegiapp/archivostemas/GUIA%209.%5B25%5D.pdf</x:v>
      </x:c>
      <x:c r="X249" s="2" t="str">
        <x:v>https://iiasa.ac.at/what-is-technology</x:v>
      </x:c>
      <x:c r="Y249" s="2" t="str">
        <x:v>https://www.ipcc.ch/report/ar6/wg3/chapter/chapter-11/</x:v>
      </x:c>
      <x:c r="Z249" s="2" t="str">
        <x:v>Technology-specific analytical synthesis. The CTCN hierarchy is retained; classifications and component dependencies require validation against the selected design, site and supplier documentation before investment or policy use.</x:v>
      </x:c>
      <x:c r="AA249" s="2" t="str">
        <x:v>Physical deployment of Higher efficiency steam boiler requires industrial site, utilities, fuel and electricity supply, material storage, process buildings, laboratories, waste handling and logistics; interfaces, foundations, access and environmental protection are sized to the specific resource and design load.</x:v>
      </x:c>
      <x:c r="AB249" s="2" t="str">
        <x:v>For Higher efficiency steam boiler,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9" s="2" t="str">
        <x:v>Construction and operation use process feedstocks, steel and refractory materials, catalysts, solvents, lubricants, insulation, piping, sensors and technology-specific alloying elements. For Higher efficiency steam boiler, specifications must include durability, compatibility, recycled content and recoverability.</x:v>
      </x:c>
      <x:c r="AD249" s="2" t="str">
        <x:v>Maintenance of Higher efficiency steam boiler depends on refractory linings, bearings, seals, valves, filters, burners, electrodes, sensors, control modules, lubricants and calibrated instruments; critical spares are selected from failure-mode, lead-time and safety analysis for its installed configuration.</x:v>
      </x:c>
      <x:c r="AE249" s="2" t="str">
        <x:v>The software stack for Higher efficiency steam boiler requires databases, secure communications, version-controlled models, computing, backup and interfaces with field or operational systems.</x:v>
      </x:c>
      <x:c r="AF249" s="2" t="str">
        <x:v>For Higher efficiency steam boiler, software-related energy is electricity for sensing, computing, storage, communication and cooling; it is normally secondary but must be included for data-intensive or continuous services.</x:v>
      </x:c>
      <x:c r="AG249" s="2" t="str">
        <x:v>The non-physical inputs are calibrated data, metadata, algorithms, boundary conditions, emission or hazard factors, manuals and validation records specific to Higher efficiency steam boiler.</x:v>
      </x:c>
      <x:c r="AH249" s="2" t="str">
        <x:v>Software continuity for Higher efficiency steam boiler requires licences where applicable, updates, cybersecurity patches, backups, calibration files, model validation and technical support.</x:v>
      </x:c>
      <x:c r="AI249" s="2" t="str">
        <x:v>Orgware depends on the institutions, laboratories, training providers, regulators, operators and community interfaces needed to govern Higher efficiency steam boiler.</x:v>
      </x:c>
      <x:c r="AJ249" s="2" t="str">
        <x:v>The orgware supporting Higher efficiency steam boiler has mainly indirect energy use from offices, meetings, training and information systems; travel and field supervision may be material at dispersed sites.</x:v>
      </x:c>
      <x:c r="AK249" s="2" t="str">
        <x:v>Its organisational inputs are permits, budgets, trained staff, competence records, contracts, procedures, safeguards, monitoring evidence and stakeholder agreements tailored to Higher efficiency steam boiler.</x:v>
      </x:c>
      <x:c r="AL249" s="2" t="str">
        <x:v>Sustained implementation of Higher efficiency steam boiler requires procurement and service contracts, audit protocols, training material, reporting templates, insurance or guarantees and periodic independent review.</x:v>
      </x:c>
      <x:c r="AM249" s="2" t="str">
        <x:v>Iron ore / steel inputs</x:v>
      </x:c>
      <x:c r="AN249" s="2" t="str">
        <x:v>Australia; Brazil; China</x:v>
      </x:c>
      <x:c r="AO249" s="2" t="str">
        <x:v>China; India; Japan</x:v>
      </x:c>
      <x:c r="AP249" s="2" t="str">
        <x:v>Higher efficiency steam boiler: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9" s="2" t="str">
        <x:v>2024–2025</x:v>
      </x:c>
      <x:c r="AR249" s="2" t="str">
        <x:v>https://pubs.usgs.gov/periodicals/mcs2026/mcs2026.pdf</x:v>
      </x:c>
    </x:row>
    <x:row r="250" ht="240" customHeight="1">
      <x:c r="A250" s="2" t="str">
        <x:v>MIT-0243</x:v>
      </x:c>
      <x:c r="B250" s="2" t="str">
        <x:v>Mitigation</x:v>
      </x:c>
      <x:c r="C250" s="2" t="str">
        <x:v>Industry</x:v>
      </x:c>
      <x:c r="D250" s="2" t="str">
        <x:v>Conventional power plant efficiency</x:v>
      </x:c>
      <x:c r="E250" s="2" t="str">
        <x:v>Waste heat recovery</x:v>
      </x:c>
      <x:c r="F250" s="2" t="str">
        <x:v>Waste heat recovery is a mitigation technology in the Industry sector and the Conventional power plant efficiency technology group. It is defined as a combined hardware–software–orgware system that controls biological or thermochemical conversion of biomass, residues, solid waste or wastewater to avoid methane, recover materials and energy, or stabilise organic matter. Heat exchangers recover sensible or latent heat from hot exhausts, products or cooling streams and transfer it to preheating, steam generation or another useful sink.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250" s="2" t="str">
        <x:v>Primarily fixed</x:v>
      </x:c>
      <x:c r="H250" s="2" t="str">
        <x:v>Waste heat recovery is tied to long-lived, site-specific assets and design loads. Its principle remains the same, but resource quality, climate, scale, interfaces and safety constraints must be recalculated for each deployment.</x:v>
      </x:c>
      <x:c r="I250" s="2" t="str">
        <x:v>Primarily hard, with a soft component</x:v>
      </x:c>
      <x:c r="J250" s="2" t="str">
        <x:v>Waste heat recovery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250" s="2" t="str">
        <x:v>Equipment and operation</x:v>
      </x:c>
      <x:c r="L250" s="2" t="str">
        <x:v>Waste heat recovery is embodied mainly as an equipment-and-operation system. The deliverable is accepted only when measurable service, quality, safety and climate-performance criteria are met under real conditions.</x:v>
      </x:c>
      <x:c r="M250" s="2" t="str">
        <x:v>Yes, subject to life-cycle safeguards</x:v>
      </x:c>
      <x:c r="N250" s="2" t="str">
        <x:v>Waste heat recovery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250" s="2" t="str">
        <x:v>Waste heat recovery: collection and sorting equipment, reactors or digesters, aeration, gas handling, thermal conversion, pollution control and product conditioning.</x:v>
      </x:c>
      <x:c r="P250" s="2" t="str">
        <x:v>Waste heat recovery: feedstock characterisation, mass balances, biological or thermal process control, methane accounting, quality assurance and logistics optimisation.</x:v>
      </x:c>
      <x:c r="Q250" s="2" t="str">
        <x:v>Waste heat recovery: waste hierarchy, source separation, collection contracts, emission permits, digestate or product standards, occupational safety and informal-sector inclusion.</x:v>
      </x:c>
      <x:c r="R250" s="2" t="str">
        <x:v>Waste heat recovery: collection network, transfer and treatment sites, weighbridge, drainage, electricity or heat connection, gas line and residue disposal.</x:v>
      </x:c>
      <x:c r="S250" s="2" t="str">
        <x:v>Waste heat recovery: electricity, process heat or auxiliary fuel; recovered biogas, syngas, heat or electricity may offset external energy.</x:v>
      </x:c>
      <x:c r="T250" s="2" t="str">
        <x:v>Waste heat recovery: steel, concrete, polymers, filters, catalysts or sorbents, biological inoculum and treatment chemicals according to the process.</x:v>
      </x:c>
      <x:c r="U250" s="2" t="str">
        <x:v>Waste heat recovery: pumps, screens, blowers, mixers, seals, burners, analysers, filter media, reagents and personal protective equipment.</x:v>
      </x:c>
      <x:c r="V250" s="2" t="str">
        <x:v>https://www.ctc-n.org/sites/default/files/resources/ctcn_taxonomy_0.pdf</x:v>
      </x:c>
      <x:c r="W250" s="2" t="str">
        <x:v>https://institutoagricoladepueblobello.edu.co/colegiapp/archivostemas/GUIA%209.%5B25%5D.pdf</x:v>
      </x:c>
      <x:c r="X250" s="2" t="str">
        <x:v>https://iiasa.ac.at/what-is-technology</x:v>
      </x:c>
      <x:c r="Y250" s="2" t="str">
        <x:v>https://www.ipcc.ch/report/ar6/wg3/chapter/chapter-11/; https://www.unep.org/resources/report/global-waste-management-outlook-2024</x:v>
      </x:c>
      <x:c r="Z250" s="2" t="str">
        <x:v>Technology-specific analytical synthesis. The CTCN hierarchy is retained; classifications and component dependencies require validation against the selected design, site and supplier documentation before investment or policy use.</x:v>
      </x:c>
      <x:c r="AA250" s="2" t="str">
        <x:v>Physical deployment of Waste heat recovery requires collection network, transfer and treatment sites, weighbridge, drainage, electricity or heat connection, gas line and residue disposal; interfaces, foundations, access and environmental protection are sized to the specific resource and design load.</x:v>
      </x:c>
      <x:c r="AB250" s="2" t="str">
        <x:v>For Waste heat recovery, the hardware energy balance comprises electricity, process heat or auxiliary fuel; recovered biogas, syngas, heat or electricity may offset external energy; metering must separate useful output, conversion losses and auxiliaries for the selected design.</x:v>
      </x:c>
      <x:c r="AC250" s="2" t="str">
        <x:v>Construction and operation use steel, concrete, polymers, filters, catalysts or sorbents, biological inoculum and treatment chemicals according to the process. For Waste heat recovery, specifications must include durability, compatibility, recycled content and recoverability.</x:v>
      </x:c>
      <x:c r="AD250" s="2" t="str">
        <x:v>Maintenance of Waste heat recovery depends on pumps, screens, blowers, mixers, seals, burners, analysers, filter media, reagents and personal protective equipment; critical spares are selected from failure-mode, lead-time and safety analysis for its installed configuration.</x:v>
      </x:c>
      <x:c r="AE250" s="2" t="str">
        <x:v>The software stack for Waste heat recovery requires databases, secure communications, version-controlled models, computing, backup and interfaces with field or operational systems.</x:v>
      </x:c>
      <x:c r="AF250" s="2" t="str">
        <x:v>For Waste heat recovery, software-related energy is electricity for sensing, computing, storage, communication and cooling; it is normally secondary but must be included for data-intensive or continuous services.</x:v>
      </x:c>
      <x:c r="AG250" s="2" t="str">
        <x:v>The non-physical inputs are calibrated data, metadata, algorithms, boundary conditions, emission or hazard factors, manuals and validation records specific to Waste heat recovery.</x:v>
      </x:c>
      <x:c r="AH250" s="2" t="str">
        <x:v>Software continuity for Waste heat recovery requires licences where applicable, updates, cybersecurity patches, backups, calibration files, model validation and technical support.</x:v>
      </x:c>
      <x:c r="AI250" s="2" t="str">
        <x:v>Orgware depends on the institutions, laboratories, training providers, regulators, operators and community interfaces needed to govern Waste heat recovery.</x:v>
      </x:c>
      <x:c r="AJ250" s="2" t="str">
        <x:v>The orgware supporting Waste heat recovery has mainly indirect energy use from offices, meetings, training and information systems; travel and field supervision may be material at dispersed sites.</x:v>
      </x:c>
      <x:c r="AK250" s="2" t="str">
        <x:v>Its organisational inputs are permits, budgets, trained staff, competence records, contracts, procedures, safeguards, monitoring evidence and stakeholder agreements tailored to Waste heat recovery.</x:v>
      </x:c>
      <x:c r="AL250" s="2" t="str">
        <x:v>Sustained implementation of Waste heat recovery requires procurement and service contracts, audit protocols, training material, reporting templates, insurance or guarantees and periodic independent review.</x:v>
      </x:c>
      <x:c r="AM250" s="2" t="str">
        <x:v>Iron ore / steel inputs</x:v>
      </x:c>
      <x:c r="AN250" s="2" t="str">
        <x:v>Australia; Brazil; China</x:v>
      </x:c>
      <x:c r="AO250" s="2" t="str">
        <x:v>China; India; Japan</x:v>
      </x:c>
      <x:c r="AP250" s="2" t="str">
        <x:v>Waste heat recovery: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0" s="2" t="str">
        <x:v>2024–2025</x:v>
      </x:c>
      <x:c r="AR250" s="2" t="str">
        <x:v>https://pubs.usgs.gov/periodicals/mcs2026/mcs2026.pdf</x:v>
      </x:c>
    </x:row>
    <x:row r="251" ht="240" customHeight="1">
      <x:c r="A251" s="2" t="str">
        <x:v>MIT-0244</x:v>
      </x:c>
      <x:c r="B251" s="2" t="str">
        <x:v>Mitigation</x:v>
      </x:c>
      <x:c r="C251" s="2" t="str">
        <x:v>Industry</x:v>
      </x:c>
      <x:c r="D251" s="2" t="str">
        <x:v>Conventional power plant efficiency</x:v>
      </x:c>
      <x:c r="E251" s="2" t="str">
        <x:v>Trigeneration</x:v>
      </x:c>
      <x:c r="F251" s="2" t="str">
        <x:v>Trigeneration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Trigeneration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1" s="2" t="str">
        <x:v>Primarily fixed</x:v>
      </x:c>
      <x:c r="H251" s="2" t="str">
        <x:v>Trigeneration is tied to long-lived, site-specific assets and design loads. Its principle remains the same, but resource quality, climate, scale, interfaces and safety constraints must be recalculated for each deployment.</x:v>
      </x:c>
      <x:c r="I251" s="2" t="str">
        <x:v>Primarily hard, with a soft component</x:v>
      </x:c>
      <x:c r="J251" s="2" t="str">
        <x:v>Trigeneration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1" s="2" t="str">
        <x:v>Equipment and operation</x:v>
      </x:c>
      <x:c r="L251" s="2" t="str">
        <x:v>Trigeneration is embodied mainly as an equipment-and-operation system. The deliverable is accepted only when measurable service, quality, safety and climate-performance criteria are met under real conditions.</x:v>
      </x:c>
      <x:c r="M251" s="2" t="str">
        <x:v>Yes, subject to life-cycle safeguards</x:v>
      </x:c>
      <x:c r="N251" s="2" t="str">
        <x:v>Trigeneration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1" s="2" t="str">
        <x:v>Trigeneration: process reactors or furnaces, heat exchangers, motors and drives, compressors, burners, controls, pollution abatement, material handling and measurement equipment.</x:v>
      </x:c>
      <x:c r="P251" s="2" t="str">
        <x:v>Trigeneration: process simulation, pinch and heat-integration analysis, advanced control, production scheduling, quality control, energy management and life-cycle assessment.</x:v>
      </x:c>
      <x:c r="Q251" s="2" t="str">
        <x:v>Trigeneration: industrial permits, product standards, operating procedures, maintenance and competence systems, procurement, energy management and industrial-symbiosis agreements.</x:v>
      </x:c>
      <x:c r="R251" s="2" t="str">
        <x:v>Trigeneration: industrial site, utilities, fuel and electricity supply, material storage, process buildings, laboratories, waste handling and logistics.</x:v>
      </x:c>
      <x:c r="S251" s="2" t="str">
        <x:v>Trigeneration: electricity, steam, process heat, cooling and fuels; useful-energy efficiency, heat recovery and carbon intensity of supply determine savings.</x:v>
      </x:c>
      <x:c r="T251" s="2" t="str">
        <x:v>Trigeneration: process feedstocks, steel and refractory materials, catalysts, solvents, lubricants, insulation, piping, sensors and technology-specific alloying elements.</x:v>
      </x:c>
      <x:c r="U251" s="2" t="str">
        <x:v>Trigeneration: refractory linings, bearings, seals, valves, filters, burners, electrodes, sensors, control modules, lubricants and calibrated instruments.</x:v>
      </x:c>
      <x:c r="V251" s="2" t="str">
        <x:v>https://www.ctc-n.org/sites/default/files/resources/ctcn_taxonomy_0.pdf</x:v>
      </x:c>
      <x:c r="W251" s="2" t="str">
        <x:v>https://institutoagricoladepueblobello.edu.co/colegiapp/archivostemas/GUIA%209.%5B25%5D.pdf</x:v>
      </x:c>
      <x:c r="X251" s="2" t="str">
        <x:v>https://iiasa.ac.at/what-is-technology</x:v>
      </x:c>
      <x:c r="Y251" s="2" t="str">
        <x:v>https://www.ipcc.ch/report/ar6/wg3/chapter/chapter-11/</x:v>
      </x:c>
      <x:c r="Z251" s="2" t="str">
        <x:v>Technology-specific analytical synthesis. The CTCN hierarchy is retained; classifications and component dependencies require validation against the selected design, site and supplier documentation before investment or policy use.</x:v>
      </x:c>
      <x:c r="AA251" s="2" t="str">
        <x:v>Physical deployment of Trigeneration requires industrial site, utilities, fuel and electricity supply, material storage, process buildings, laboratories, waste handling and logistics; interfaces, foundations, access and environmental protection are sized to the specific resource and design load.</x:v>
      </x:c>
      <x:c r="AB251" s="2" t="str">
        <x:v>For Trigeneration,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1" s="2" t="str">
        <x:v>Construction and operation use process feedstocks, steel and refractory materials, catalysts, solvents, lubricants, insulation, piping, sensors and technology-specific alloying elements. For Trigeneration, specifications must include durability, compatibility, recycled content and recoverability.</x:v>
      </x:c>
      <x:c r="AD251" s="2" t="str">
        <x:v>Maintenance of Trigeneration depends on refractory linings, bearings, seals, valves, filters, burners, electrodes, sensors, control modules, lubricants and calibrated instruments; critical spares are selected from failure-mode, lead-time and safety analysis for its installed configuration.</x:v>
      </x:c>
      <x:c r="AE251" s="2" t="str">
        <x:v>The software stack for Trigeneration requires databases, secure communications, version-controlled models, computing, backup and interfaces with field or operational systems.</x:v>
      </x:c>
      <x:c r="AF251" s="2" t="str">
        <x:v>For Trigeneration, software-related energy is electricity for sensing, computing, storage, communication and cooling; it is normally secondary but must be included for data-intensive or continuous services.</x:v>
      </x:c>
      <x:c r="AG251" s="2" t="str">
        <x:v>The non-physical inputs are calibrated data, metadata, algorithms, boundary conditions, emission or hazard factors, manuals and validation records specific to Trigeneration.</x:v>
      </x:c>
      <x:c r="AH251" s="2" t="str">
        <x:v>Software continuity for Trigeneration requires licences where applicable, updates, cybersecurity patches, backups, calibration files, model validation and technical support.</x:v>
      </x:c>
      <x:c r="AI251" s="2" t="str">
        <x:v>Orgware depends on the institutions, laboratories, training providers, regulators, operators and community interfaces needed to govern Trigeneration.</x:v>
      </x:c>
      <x:c r="AJ251" s="2" t="str">
        <x:v>The orgware supporting Trigeneration has mainly indirect energy use from offices, meetings, training and information systems; travel and field supervision may be material at dispersed sites.</x:v>
      </x:c>
      <x:c r="AK251" s="2" t="str">
        <x:v>Its organisational inputs are permits, budgets, trained staff, competence records, contracts, procedures, safeguards, monitoring evidence and stakeholder agreements tailored to Trigeneration.</x:v>
      </x:c>
      <x:c r="AL251" s="2" t="str">
        <x:v>Sustained implementation of Trigeneration requires procurement and service contracts, audit protocols, training material, reporting templates, insurance or guarantees and periodic independent review.</x:v>
      </x:c>
      <x:c r="AM251" s="2" t="str">
        <x:v>Iron ore / steel inputs</x:v>
      </x:c>
      <x:c r="AN251" s="2" t="str">
        <x:v>Australia; Brazil; China</x:v>
      </x:c>
      <x:c r="AO251" s="2" t="str">
        <x:v>China; India; Japan</x:v>
      </x:c>
      <x:c r="AP251" s="2" t="str">
        <x:v>Trigeneration: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1" s="2" t="str">
        <x:v>2024–2025</x:v>
      </x:c>
      <x:c r="AR251" s="2" t="str">
        <x:v>https://pubs.usgs.gov/periodicals/mcs2026/mcs2026.pdf</x:v>
      </x:c>
    </x:row>
    <x:row r="252" ht="240" customHeight="1">
      <x:c r="A252" s="2" t="str">
        <x:v>MIT-0245</x:v>
      </x:c>
      <x:c r="B252" s="2" t="str">
        <x:v>Mitigation</x:v>
      </x:c>
      <x:c r="C252" s="2" t="str">
        <x:v>Industry</x:v>
      </x:c>
      <x:c r="D252" s="2" t="str">
        <x:v>Conventional power plant efficiency</x:v>
      </x:c>
      <x:c r="E252" s="2" t="str">
        <x:v>Small-scale Combined Heat and Power</x:v>
      </x:c>
      <x:c r="F252" s="2" t="str">
        <x:v>Small-scale Combined Heat and Power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Small-scale Combined Heat and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2" s="2" t="str">
        <x:v>Primarily fixed</x:v>
      </x:c>
      <x:c r="H252" s="2" t="str">
        <x:v>Small-scale Combined Heat and Power is tied to long-lived, site-specific assets and design loads. Its principle remains the same, but resource quality, climate, scale, interfaces and safety constraints must be recalculated for each deployment.</x:v>
      </x:c>
      <x:c r="I252" s="2" t="str">
        <x:v>Primarily hard, with a soft component</x:v>
      </x:c>
      <x:c r="J252" s="2" t="str">
        <x:v>Small-scale Combined Heat and Power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2" s="2" t="str">
        <x:v>Equipment and operation</x:v>
      </x:c>
      <x:c r="L252" s="2" t="str">
        <x:v>Small-scale Combined Heat and Power is embodied mainly as an equipment-and-operation system. The deliverable is accepted only when measurable service, quality, safety and climate-performance criteria are met under real conditions.</x:v>
      </x:c>
      <x:c r="M252" s="2" t="str">
        <x:v>Yes, subject to life-cycle safeguards</x:v>
      </x:c>
      <x:c r="N252" s="2" t="str">
        <x:v>Small-scale Combined Heat and Power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2" s="2" t="str">
        <x:v>Small-scale Combined Heat and Power: process reactors or furnaces, heat exchangers, motors and drives, compressors, burners, controls, pollution abatement, material handling and measurement equipment.</x:v>
      </x:c>
      <x:c r="P252" s="2" t="str">
        <x:v>Small-scale Combined Heat and Power: process simulation, pinch and heat-integration analysis, advanced control, production scheduling, quality control, energy management and life-cycle assessment.</x:v>
      </x:c>
      <x:c r="Q252" s="2" t="str">
        <x:v>Small-scale Combined Heat and Power: industrial permits, product standards, operating procedures, maintenance and competence systems, procurement, energy management and industrial-symbiosis agreements.</x:v>
      </x:c>
      <x:c r="R252" s="2" t="str">
        <x:v>Small-scale Combined Heat and Power: industrial site, utilities, fuel and electricity supply, material storage, process buildings, laboratories, waste handling and logistics.</x:v>
      </x:c>
      <x:c r="S252" s="2" t="str">
        <x:v>Small-scale Combined Heat and Power: electricity, steam, process heat, cooling and fuels; useful-energy efficiency, heat recovery and carbon intensity of supply determine savings.</x:v>
      </x:c>
      <x:c r="T252" s="2" t="str">
        <x:v>Small-scale Combined Heat and Power: process feedstocks, steel and refractory materials, catalysts, solvents, lubricants, insulation, piping, sensors and technology-specific alloying elements.</x:v>
      </x:c>
      <x:c r="U252" s="2" t="str">
        <x:v>Small-scale Combined Heat and Power: refractory linings, bearings, seals, valves, filters, burners, electrodes, sensors, control modules, lubricants and calibrated instruments.</x:v>
      </x:c>
      <x:c r="V252" s="2" t="str">
        <x:v>https://www.ctc-n.org/sites/default/files/resources/ctcn_taxonomy_0.pdf</x:v>
      </x:c>
      <x:c r="W252" s="2" t="str">
        <x:v>https://institutoagricoladepueblobello.edu.co/colegiapp/archivostemas/GUIA%209.%5B25%5D.pdf</x:v>
      </x:c>
      <x:c r="X252" s="2" t="str">
        <x:v>https://iiasa.ac.at/what-is-technology</x:v>
      </x:c>
      <x:c r="Y252" s="2" t="str">
        <x:v>https://www.ipcc.ch/report/ar6/wg3/chapter/chapter-11/</x:v>
      </x:c>
      <x:c r="Z252" s="2" t="str">
        <x:v>Technology-specific analytical synthesis. The CTCN hierarchy is retained; classifications and component dependencies require validation against the selected design, site and supplier documentation before investment or policy use.</x:v>
      </x:c>
      <x:c r="AA252" s="2" t="str">
        <x:v>Physical deployment of Small-scale Combined Heat and Power requires industrial site, utilities, fuel and electricity supply, material storage, process buildings, laboratories, waste handling and logistics; interfaces, foundations, access and environmental protection are sized to the specific resource and design load.</x:v>
      </x:c>
      <x:c r="AB252" s="2" t="str">
        <x:v>For Small-scale Combined Heat and Power,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2" s="2" t="str">
        <x:v>Construction and operation use process feedstocks, steel and refractory materials, catalysts, solvents, lubricants, insulation, piping, sensors and technology-specific alloying elements. For Small-scale Combined Heat and Power, specifications must include durability, compatibility, recycled content and recoverability.</x:v>
      </x:c>
      <x:c r="AD252" s="2" t="str">
        <x:v>Maintenance of Small-scale Combined Heat and Power depends on refractory linings, bearings, seals, valves, filters, burners, electrodes, sensors, control modules, lubricants and calibrated instruments; critical spares are selected from failure-mode, lead-time and safety analysis for its installed configuration.</x:v>
      </x:c>
      <x:c r="AE252" s="2" t="str">
        <x:v>The software stack for Small-scale Combined Heat and Power requires databases, secure communications, version-controlled models, computing, backup and interfaces with field or operational systems.</x:v>
      </x:c>
      <x:c r="AF252" s="2" t="str">
        <x:v>For Small-scale Combined Heat and Power, software-related energy is electricity for sensing, computing, storage, communication and cooling; it is normally secondary but must be included for data-intensive or continuous services.</x:v>
      </x:c>
      <x:c r="AG252" s="2" t="str">
        <x:v>The non-physical inputs are calibrated data, metadata, algorithms, boundary conditions, emission or hazard factors, manuals and validation records specific to Small-scale Combined Heat and Power.</x:v>
      </x:c>
      <x:c r="AH252" s="2" t="str">
        <x:v>Software continuity for Small-scale Combined Heat and Power requires licences where applicable, updates, cybersecurity patches, backups, calibration files, model validation and technical support.</x:v>
      </x:c>
      <x:c r="AI252" s="2" t="str">
        <x:v>Orgware depends on the institutions, laboratories, training providers, regulators, operators and community interfaces needed to govern Small-scale Combined Heat and Power.</x:v>
      </x:c>
      <x:c r="AJ252" s="2" t="str">
        <x:v>The orgware supporting Small-scale Combined Heat and Power has mainly indirect energy use from offices, meetings, training and information systems; travel and field supervision may be material at dispersed sites.</x:v>
      </x:c>
      <x:c r="AK252" s="2" t="str">
        <x:v>Its organisational inputs are permits, budgets, trained staff, competence records, contracts, procedures, safeguards, monitoring evidence and stakeholder agreements tailored to Small-scale Combined Heat and Power.</x:v>
      </x:c>
      <x:c r="AL252" s="2" t="str">
        <x:v>Sustained implementation of Small-scale Combined Heat and Power requires procurement and service contracts, audit protocols, training material, reporting templates, insurance or guarantees and periodic independent review.</x:v>
      </x:c>
      <x:c r="AM252" s="2" t="str">
        <x:v>Iron ore / steel inputs</x:v>
      </x:c>
      <x:c r="AN252" s="2" t="str">
        <x:v>Australia; Brazil; China</x:v>
      </x:c>
      <x:c r="AO252" s="2" t="str">
        <x:v>China; India; Japan</x:v>
      </x:c>
      <x:c r="AP252" s="2" t="str">
        <x:v>Small-scale Combined Heat and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2" s="2" t="str">
        <x:v>2024–2025</x:v>
      </x:c>
      <x:c r="AR252" s="2" t="str">
        <x:v>https://pubs.usgs.gov/periodicals/mcs2026/mcs2026.pdf</x:v>
      </x:c>
    </x:row>
    <x:row r="253" ht="240" customHeight="1">
      <x:c r="A253" s="2" t="str">
        <x:v>MIT-0246</x:v>
      </x:c>
      <x:c r="B253" s="2" t="str">
        <x:v>Mitigation</x:v>
      </x:c>
      <x:c r="C253" s="2" t="str">
        <x:v>Industry</x:v>
      </x:c>
      <x:c r="D253" s="2" t="str">
        <x:v>Conventional power plant efficiency</x:v>
      </x:c>
      <x:c r="E253" s="2" t="str">
        <x:v>Large-scale Combined Heat and Power</x:v>
      </x:c>
      <x:c r="F253" s="2" t="str">
        <x:v>Large-scale Combined Heat and Power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Large-scale Combined Heat and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3" s="2" t="str">
        <x:v>Primarily fixed</x:v>
      </x:c>
      <x:c r="H253" s="2" t="str">
        <x:v>Large-scale Combined Heat and Power is tied to long-lived, site-specific assets and design loads. Its principle remains the same, but resource quality, climate, scale, interfaces and safety constraints must be recalculated for each deployment.</x:v>
      </x:c>
      <x:c r="I253" s="2" t="str">
        <x:v>Primarily hard, with a soft component</x:v>
      </x:c>
      <x:c r="J253" s="2" t="str">
        <x:v>Large-scale Combined Heat and Power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3" s="2" t="str">
        <x:v>Equipment and operation</x:v>
      </x:c>
      <x:c r="L253" s="2" t="str">
        <x:v>Large-scale Combined Heat and Power is embodied mainly as an equipment-and-operation system. The deliverable is accepted only when measurable service, quality, safety and climate-performance criteria are met under real conditions.</x:v>
      </x:c>
      <x:c r="M253" s="2" t="str">
        <x:v>Yes, subject to life-cycle safeguards</x:v>
      </x:c>
      <x:c r="N253" s="2" t="str">
        <x:v>Large-scale Combined Heat and Power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3" s="2" t="str">
        <x:v>Large-scale Combined Heat and Power: process reactors or furnaces, heat exchangers, motors and drives, compressors, burners, controls, pollution abatement, material handling and measurement equipment.</x:v>
      </x:c>
      <x:c r="P253" s="2" t="str">
        <x:v>Large-scale Combined Heat and Power: process simulation, pinch and heat-integration analysis, advanced control, production scheduling, quality control, energy management and life-cycle assessment.</x:v>
      </x:c>
      <x:c r="Q253" s="2" t="str">
        <x:v>Large-scale Combined Heat and Power: industrial permits, product standards, operating procedures, maintenance and competence systems, procurement, energy management and industrial-symbiosis agreements.</x:v>
      </x:c>
      <x:c r="R253" s="2" t="str">
        <x:v>Large-scale Combined Heat and Power: industrial site, utilities, fuel and electricity supply, material storage, process buildings, laboratories, waste handling and logistics.</x:v>
      </x:c>
      <x:c r="S253" s="2" t="str">
        <x:v>Large-scale Combined Heat and Power: electricity, steam, process heat, cooling and fuels; useful-energy efficiency, heat recovery and carbon intensity of supply determine savings.</x:v>
      </x:c>
      <x:c r="T253" s="2" t="str">
        <x:v>Large-scale Combined Heat and Power: process feedstocks, steel and refractory materials, catalysts, solvents, lubricants, insulation, piping, sensors and technology-specific alloying elements.</x:v>
      </x:c>
      <x:c r="U253" s="2" t="str">
        <x:v>Large-scale Combined Heat and Power: refractory linings, bearings, seals, valves, filters, burners, electrodes, sensors, control modules, lubricants and calibrated instruments.</x:v>
      </x:c>
      <x:c r="V253" s="2" t="str">
        <x:v>https://www.ctc-n.org/sites/default/files/resources/ctcn_taxonomy_0.pdf</x:v>
      </x:c>
      <x:c r="W253" s="2" t="str">
        <x:v>https://institutoagricoladepueblobello.edu.co/colegiapp/archivostemas/GUIA%209.%5B25%5D.pdf</x:v>
      </x:c>
      <x:c r="X253" s="2" t="str">
        <x:v>https://iiasa.ac.at/what-is-technology</x:v>
      </x:c>
      <x:c r="Y253" s="2" t="str">
        <x:v>https://www.ipcc.ch/report/ar6/wg3/chapter/chapter-11/</x:v>
      </x:c>
      <x:c r="Z253" s="2" t="str">
        <x:v>Technology-specific analytical synthesis. The CTCN hierarchy is retained; classifications and component dependencies require validation against the selected design, site and supplier documentation before investment or policy use.</x:v>
      </x:c>
      <x:c r="AA253" s="2" t="str">
        <x:v>Physical deployment of Large-scale Combined Heat and Power requires industrial site, utilities, fuel and electricity supply, material storage, process buildings, laboratories, waste handling and logistics; interfaces, foundations, access and environmental protection are sized to the specific resource and design load.</x:v>
      </x:c>
      <x:c r="AB253" s="2" t="str">
        <x:v>For Large-scale Combined Heat and Power,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3" s="2" t="str">
        <x:v>Construction and operation use process feedstocks, steel and refractory materials, catalysts, solvents, lubricants, insulation, piping, sensors and technology-specific alloying elements. For Large-scale Combined Heat and Power, specifications must include durability, compatibility, recycled content and recoverability.</x:v>
      </x:c>
      <x:c r="AD253" s="2" t="str">
        <x:v>Maintenance of Large-scale Combined Heat and Power depends on refractory linings, bearings, seals, valves, filters, burners, electrodes, sensors, control modules, lubricants and calibrated instruments; critical spares are selected from failure-mode, lead-time and safety analysis for its installed configuration.</x:v>
      </x:c>
      <x:c r="AE253" s="2" t="str">
        <x:v>The software stack for Large-scale Combined Heat and Power requires databases, secure communications, version-controlled models, computing, backup and interfaces with field or operational systems.</x:v>
      </x:c>
      <x:c r="AF253" s="2" t="str">
        <x:v>For Large-scale Combined Heat and Power, software-related energy is electricity for sensing, computing, storage, communication and cooling; it is normally secondary but must be included for data-intensive or continuous services.</x:v>
      </x:c>
      <x:c r="AG253" s="2" t="str">
        <x:v>The non-physical inputs are calibrated data, metadata, algorithms, boundary conditions, emission or hazard factors, manuals and validation records specific to Large-scale Combined Heat and Power.</x:v>
      </x:c>
      <x:c r="AH253" s="2" t="str">
        <x:v>Software continuity for Large-scale Combined Heat and Power requires licences where applicable, updates, cybersecurity patches, backups, calibration files, model validation and technical support.</x:v>
      </x:c>
      <x:c r="AI253" s="2" t="str">
        <x:v>Orgware depends on the institutions, laboratories, training providers, regulators, operators and community interfaces needed to govern Large-scale Combined Heat and Power.</x:v>
      </x:c>
      <x:c r="AJ253" s="2" t="str">
        <x:v>The orgware supporting Large-scale Combined Heat and Power has mainly indirect energy use from offices, meetings, training and information systems; travel and field supervision may be material at dispersed sites.</x:v>
      </x:c>
      <x:c r="AK253" s="2" t="str">
        <x:v>Its organisational inputs are permits, budgets, trained staff, competence records, contracts, procedures, safeguards, monitoring evidence and stakeholder agreements tailored to Large-scale Combined Heat and Power.</x:v>
      </x:c>
      <x:c r="AL253" s="2" t="str">
        <x:v>Sustained implementation of Large-scale Combined Heat and Power requires procurement and service contracts, audit protocols, training material, reporting templates, insurance or guarantees and periodic independent review.</x:v>
      </x:c>
      <x:c r="AM253" s="2" t="str">
        <x:v>Iron ore / steel inputs</x:v>
      </x:c>
      <x:c r="AN253" s="2" t="str">
        <x:v>Australia; Brazil; China</x:v>
      </x:c>
      <x:c r="AO253" s="2" t="str">
        <x:v>China; India; Japan</x:v>
      </x:c>
      <x:c r="AP253" s="2" t="str">
        <x:v>Large-scale Combined Heat and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3" s="2" t="str">
        <x:v>2024–2025</x:v>
      </x:c>
      <x:c r="AR253" s="2" t="str">
        <x:v>https://pubs.usgs.gov/periodicals/mcs2026/mcs2026.pdf</x:v>
      </x:c>
    </x:row>
    <x:row r="254" ht="240" customHeight="1">
      <x:c r="A254" s="2" t="str">
        <x:v>MIT-0247</x:v>
      </x:c>
      <x:c r="B254" s="2" t="str">
        <x:v>Mitigation</x:v>
      </x:c>
      <x:c r="C254" s="2" t="str">
        <x:v>Industry</x:v>
      </x:c>
      <x:c r="D254" s="2" t="str">
        <x:v>Chemicals management</x:v>
      </x:c>
      <x:c r="E254" s="2" t="str">
        <x:v>N2O reduction</x:v>
      </x:c>
      <x:c r="F254" s="2" t="str">
        <x:v>N2O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It suppresses N₂O formation through process optimisation or destroys N₂O catalytically in the process or tail gas; performance is verified by continuous concentration and flow measurement.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4" s="2" t="str">
        <x:v>Flexible</x:v>
      </x:c>
      <x:c r="H254" s="2" t="str">
        <x:v>N2O reduction is transferable through configurable methods, rules and operating parameters. Its principle remains the same, but resource quality, climate, scale, interfaces and safety constraints must be recalculated for each deployment.</x:v>
      </x:c>
      <x:c r="I254" s="2" t="str">
        <x:v>Primarily soft, with physical support</x:v>
      </x:c>
      <x:c r="J254" s="2" t="str">
        <x:v>N2O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4" s="2" t="str">
        <x:v>Operation</x:v>
      </x:c>
      <x:c r="L254" s="2" t="str">
        <x:v>N2O reduction is embodied mainly as an operating practice. The deliverable is accepted only when measurable service, quality, safety and climate-performance criteria are met under real conditions.</x:v>
      </x:c>
      <x:c r="M254" s="2" t="str">
        <x:v>Yes, subject to life-cycle safeguards</x:v>
      </x:c>
      <x:c r="N254" s="2" t="str">
        <x:v>N2O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4" s="2" t="str">
        <x:v>N2O reduction: process reactors or furnaces, heat exchangers, motors and drives, compressors, burners, controls, pollution abatement, material handling and measurement equipment.</x:v>
      </x:c>
      <x:c r="P254" s="2" t="str">
        <x:v>N2O reduction: process simulation, pinch and heat-integration analysis, advanced control, production scheduling, quality control, energy management and life-cycle assessment.</x:v>
      </x:c>
      <x:c r="Q254" s="2" t="str">
        <x:v>N2O reduction: industrial permits, product standards, operating procedures, maintenance and competence systems, procurement, energy management and industrial-symbiosis agreements.</x:v>
      </x:c>
      <x:c r="R254" s="2" t="str">
        <x:v>N2O reduction: industrial site, utilities, fuel and electricity supply, material storage, process buildings, laboratories, waste handling and logistics.</x:v>
      </x:c>
      <x:c r="S254" s="2" t="str">
        <x:v>N2O reduction: electricity, steam, process heat, cooling and fuels; useful-energy efficiency, heat recovery and carbon intensity of supply determine savings.</x:v>
      </x:c>
      <x:c r="T254" s="2" t="str">
        <x:v>N2O reduction: process feedstocks, steel and refractory materials, catalysts, solvents, lubricants, insulation, piping, sensors and technology-specific alloying elements.</x:v>
      </x:c>
      <x:c r="U254" s="2" t="str">
        <x:v>N2O reduction: refractory linings, bearings, seals, valves, filters, burners, electrodes, sensors, control modules, lubricants and calibrated instruments.</x:v>
      </x:c>
      <x:c r="V254" s="2" t="str">
        <x:v>https://www.ctc-n.org/sites/default/files/resources/ctcn_taxonomy_0.pdf</x:v>
      </x:c>
      <x:c r="W254" s="2" t="str">
        <x:v>https://institutoagricoladepueblobello.edu.co/colegiapp/archivostemas/GUIA%209.%5B25%5D.pdf</x:v>
      </x:c>
      <x:c r="X254" s="2" t="str">
        <x:v>https://iiasa.ac.at/what-is-technology</x:v>
      </x:c>
      <x:c r="Y254" s="2" t="str">
        <x:v>https://www.ipcc.ch/report/ar6/wg3/chapter/chapter-11/</x:v>
      </x:c>
      <x:c r="Z254" s="2" t="str">
        <x:v>Technology-specific analytical synthesis. The CTCN hierarchy is retained; classifications and component dependencies require validation against the selected design, site and supplier documentation before investment or policy use.</x:v>
      </x:c>
      <x:c r="AA254" s="2" t="str">
        <x:v>Physical deployment of N2O reduction requires industrial site, utilities, fuel and electricity supply, material storage, process buildings, laboratories, waste handling and logistics; interfaces, foundations, access and environmental protection are sized to the specific resource and design load.</x:v>
      </x:c>
      <x:c r="AB254" s="2" t="str">
        <x:v>For N2O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4" s="2" t="str">
        <x:v>Construction and operation use process feedstocks, steel and refractory materials, catalysts, solvents, lubricants, insulation, piping, sensors and technology-specific alloying elements. For N2O reduction, specifications must include durability, compatibility, recycled content and recoverability.</x:v>
      </x:c>
      <x:c r="AD254" s="2" t="str">
        <x:v>Maintenance of N2O reduction depends on refractory linings, bearings, seals, valves, filters, burners, electrodes, sensors, control modules, lubricants and calibrated instruments; critical spares are selected from failure-mode, lead-time and safety analysis for its installed configuration.</x:v>
      </x:c>
      <x:c r="AE254" s="2" t="str">
        <x:v>The software stack for N2O reduction requires databases, secure communications, version-controlled models, computing, backup and interfaces with field or operational systems.</x:v>
      </x:c>
      <x:c r="AF254" s="2" t="str">
        <x:v>For N2O reduction, software-related energy is electricity for sensing, computing, storage, communication and cooling; it is normally secondary but must be included for data-intensive or continuous services.</x:v>
      </x:c>
      <x:c r="AG254" s="2" t="str">
        <x:v>The non-physical inputs are calibrated data, metadata, algorithms, boundary conditions, emission or hazard factors, manuals and validation records specific to N2O reduction.</x:v>
      </x:c>
      <x:c r="AH254" s="2" t="str">
        <x:v>Software continuity for N2O reduction requires licences where applicable, updates, cybersecurity patches, backups, calibration files, model validation and technical support.</x:v>
      </x:c>
      <x:c r="AI254" s="2" t="str">
        <x:v>Orgware depends on the institutions, laboratories, training providers, regulators, operators and community interfaces needed to govern N2O reduction.</x:v>
      </x:c>
      <x:c r="AJ254" s="2" t="str">
        <x:v>The orgware supporting N2O reduction has mainly indirect energy use from offices, meetings, training and information systems; travel and field supervision may be material at dispersed sites.</x:v>
      </x:c>
      <x:c r="AK254" s="2" t="str">
        <x:v>Its organisational inputs are permits, budgets, trained staff, competence records, contracts, procedures, safeguards, monitoring evidence and stakeholder agreements tailored to N2O reduction.</x:v>
      </x:c>
      <x:c r="AL254" s="2" t="str">
        <x:v>Sustained implementation of N2O reduction requires procurement and service contracts, audit protocols, training material, reporting templates, insurance or guarantees and periodic independent review.</x:v>
      </x:c>
      <x:c r="AM254" s="2" t="str">
        <x:v>Iron ore / steel inputs; Nickel; Chromium</x:v>
      </x:c>
      <x:c r="AN254" s="2" t="str">
        <x:v>Australia; Brazil; China; Indonesia; Philippines; Russia; South Africa; Kazakhstan; Turkey</x:v>
      </x:c>
      <x:c r="AO254" s="2" t="str">
        <x:v>China; India; Japan; Indonesia; South Africa; Kazakhstan</x:v>
      </x:c>
      <x:c r="AP254" s="2" t="str">
        <x:v>N2O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4" s="2" t="str">
        <x:v>2024–2025</x:v>
      </x:c>
      <x:c r="AR254" s="2" t="str">
        <x:v>https://pubs.usgs.gov/periodicals/mcs2026/mcs2026.pdf; https://www.iea.org/reports/global-critical-minerals-outlook-2025</x:v>
      </x:c>
    </x:row>
    <x:row r="255" ht="240" customHeight="1">
      <x:c r="A255" s="2" t="str">
        <x:v>MIT-0248</x:v>
      </x:c>
      <x:c r="B255" s="2" t="str">
        <x:v>Mitigation</x:v>
      </x:c>
      <x:c r="C255" s="2" t="str">
        <x:v>Industry</x:v>
      </x:c>
      <x:c r="D255" s="2" t="str">
        <x:v>Chemicals management</x:v>
      </x:c>
      <x:c r="E255" s="2" t="str">
        <x:v>Shift to coolants and refrigerants with lower GWP</x:v>
      </x:c>
      <x:c r="F255" s="2" t="str">
        <x:v>Shift to coolants and refrigerants with lower GWP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Shift to coolants and refrigerants with lower GWP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5" s="2" t="str">
        <x:v>Flexible</x:v>
      </x:c>
      <x:c r="H255" s="2" t="str">
        <x:v>Shift to coolants and refrigerants with lower GWP is transferable through configurable methods, rules and operating parameters. Its principle remains the same, but resource quality, climate, scale, interfaces and safety constraints must be recalculated for each deployment.</x:v>
      </x:c>
      <x:c r="I255" s="2" t="str">
        <x:v>Primarily soft, with physical support</x:v>
      </x:c>
      <x:c r="J255" s="2" t="str">
        <x:v>Shift to coolants and refrigerants with lower GWP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5" s="2" t="str">
        <x:v>Operation</x:v>
      </x:c>
      <x:c r="L255" s="2" t="str">
        <x:v>Shift to coolants and refrigerants with lower GWP is embodied mainly as an operating practice. The deliverable is accepted only when measurable service, quality, safety and climate-performance criteria are met under real conditions.</x:v>
      </x:c>
      <x:c r="M255" s="2" t="str">
        <x:v>Yes, subject to life-cycle safeguards</x:v>
      </x:c>
      <x:c r="N255" s="2" t="str">
        <x:v>Shift to coolants and refrigerants with lower GWP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5" s="2" t="str">
        <x:v>Shift to coolants and refrigerants with lower GWP: process reactors or furnaces, heat exchangers, motors and drives, compressors, burners, controls, pollution abatement, material handling and measurement equipment.</x:v>
      </x:c>
      <x:c r="P255" s="2" t="str">
        <x:v>Shift to coolants and refrigerants with lower GWP: process simulation, pinch and heat-integration analysis, advanced control, production scheduling, quality control, energy management and life-cycle assessment.</x:v>
      </x:c>
      <x:c r="Q255" s="2" t="str">
        <x:v>Shift to coolants and refrigerants with lower GWP: industrial permits, product standards, operating procedures, maintenance and competence systems, procurement, energy management and industrial-symbiosis agreements.</x:v>
      </x:c>
      <x:c r="R255" s="2" t="str">
        <x:v>Shift to coolants and refrigerants with lower GWP: industrial site, utilities, fuel and electricity supply, material storage, process buildings, laboratories, waste handling and logistics.</x:v>
      </x:c>
      <x:c r="S255" s="2" t="str">
        <x:v>Shift to coolants and refrigerants with lower GWP: electricity, steam, process heat, cooling and fuels; useful-energy efficiency, heat recovery and carbon intensity of supply determine savings.</x:v>
      </x:c>
      <x:c r="T255" s="2" t="str">
        <x:v>Shift to coolants and refrigerants with lower GWP: process feedstocks, steel and refractory materials, catalysts, solvents, lubricants, insulation, piping, sensors and technology-specific alloying elements.</x:v>
      </x:c>
      <x:c r="U255" s="2" t="str">
        <x:v>Shift to coolants and refrigerants with lower GWP: refractory linings, bearings, seals, valves, filters, burners, electrodes, sensors, control modules, lubricants and calibrated instruments.</x:v>
      </x:c>
      <x:c r="V255" s="2" t="str">
        <x:v>https://www.ctc-n.org/sites/default/files/resources/ctcn_taxonomy_0.pdf</x:v>
      </x:c>
      <x:c r="W255" s="2" t="str">
        <x:v>https://institutoagricoladepueblobello.edu.co/colegiapp/archivostemas/GUIA%209.%5B25%5D.pdf</x:v>
      </x:c>
      <x:c r="X255" s="2" t="str">
        <x:v>https://iiasa.ac.at/what-is-technology</x:v>
      </x:c>
      <x:c r="Y255" s="2" t="str">
        <x:v>https://www.ipcc.ch/report/ar6/wg3/chapter/chapter-11/</x:v>
      </x:c>
      <x:c r="Z255" s="2" t="str">
        <x:v>Technology-specific analytical synthesis. The CTCN hierarchy is retained; classifications and component dependencies require validation against the selected design, site and supplier documentation before investment or policy use.</x:v>
      </x:c>
      <x:c r="AA255" s="2" t="str">
        <x:v>Physical deployment of Shift to coolants and refrigerants with lower GWP requires industrial site, utilities, fuel and electricity supply, material storage, process buildings, laboratories, waste handling and logistics; interfaces, foundations, access and environmental protection are sized to the specific resource and design load.</x:v>
      </x:c>
      <x:c r="AB255" s="2" t="str">
        <x:v>For Shift to coolants and refrigerants with lower GWP,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5" s="2" t="str">
        <x:v>Construction and operation use process feedstocks, steel and refractory materials, catalysts, solvents, lubricants, insulation, piping, sensors and technology-specific alloying elements. For Shift to coolants and refrigerants with lower GWP, specifications must include durability, compatibility, recycled content and recoverability.</x:v>
      </x:c>
      <x:c r="AD255" s="2" t="str">
        <x:v>Maintenance of Shift to coolants and refrigerants with lower GWP depends on refractory linings, bearings, seals, valves, filters, burners, electrodes, sensors, control modules, lubricants and calibrated instruments; critical spares are selected from failure-mode, lead-time and safety analysis for its installed configuration.</x:v>
      </x:c>
      <x:c r="AE255" s="2" t="str">
        <x:v>The software stack for Shift to coolants and refrigerants with lower GWP requires databases, secure communications, version-controlled models, computing, backup and interfaces with field or operational systems.</x:v>
      </x:c>
      <x:c r="AF255" s="2" t="str">
        <x:v>For Shift to coolants and refrigerants with lower GWP, software-related energy is electricity for sensing, computing, storage, communication and cooling; it is normally secondary but must be included for data-intensive or continuous services.</x:v>
      </x:c>
      <x:c r="AG255" s="2" t="str">
        <x:v>The non-physical inputs are calibrated data, metadata, algorithms, boundary conditions, emission or hazard factors, manuals and validation records specific to Shift to coolants and refrigerants with lower GWP.</x:v>
      </x:c>
      <x:c r="AH255" s="2" t="str">
        <x:v>Software continuity for Shift to coolants and refrigerants with lower GWP requires licences where applicable, updates, cybersecurity patches, backups, calibration files, model validation and technical support.</x:v>
      </x:c>
      <x:c r="AI255" s="2" t="str">
        <x:v>Orgware depends on the institutions, laboratories, training providers, regulators, operators and community interfaces needed to govern Shift to coolants and refrigerants with lower GWP.</x:v>
      </x:c>
      <x:c r="AJ255" s="2" t="str">
        <x:v>The orgware supporting Shift to coolants and refrigerants with lower GWP has mainly indirect energy use from offices, meetings, training and information systems; travel and field supervision may be material at dispersed sites.</x:v>
      </x:c>
      <x:c r="AK255" s="2" t="str">
        <x:v>Its organisational inputs are permits, budgets, trained staff, competence records, contracts, procedures, safeguards, monitoring evidence and stakeholder agreements tailored to Shift to coolants and refrigerants with lower GWP.</x:v>
      </x:c>
      <x:c r="AL255" s="2" t="str">
        <x:v>Sustained implementation of Shift to coolants and refrigerants with lower GWP requires procurement and service contracts, audit protocols, training material, reporting templates, insurance or guarantees and periodic independent review.</x:v>
      </x:c>
      <x:c r="AM255" s="2" t="str">
        <x:v>Iron ore / steel inputs; Copper; Tin; Nickel; Chromium</x:v>
      </x:c>
      <x:c r="AN255" s="2" t="str">
        <x:v>Australia; Brazil; China; Chile; Democratic Republic of the Congo; Peru; Indonesia; Myanmar; Philippines; Russia; South Africa; Kazakhstan; Turkey</x:v>
      </x:c>
      <x:c r="AO255" s="2" t="str">
        <x:v>China; India; Japan; Chile; Democratic Republic of the Congo; Indonesia; Malaysia; South Africa; Kazakhstan</x:v>
      </x:c>
      <x:c r="AP255" s="2" t="str">
        <x:v>Shift to coolants and refrigerants with lower GWP: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5" s="2" t="str">
        <x:v>2024–2025</x:v>
      </x:c>
      <x:c r="AR255" s="2" t="str">
        <x:v>https://pubs.usgs.gov/periodicals/mcs2026/mcs2026.pdf; https://www.iea.org/reports/global-critical-minerals-outlook-2025</x:v>
      </x:c>
    </x:row>
    <x:row r="256" ht="240" customHeight="1">
      <x:c r="A256" s="2" t="str">
        <x:v>MIT-0249</x:v>
      </x:c>
      <x:c r="B256" s="2" t="str">
        <x:v>Mitigation</x:v>
      </x:c>
      <x:c r="C256" s="2" t="str">
        <x:v>Industry</x:v>
      </x:c>
      <x:c r="D256" s="2" t="str">
        <x:v>Chemicals management</x:v>
      </x:c>
      <x:c r="E256" s="2" t="str">
        <x:v>SF6 reduction</x:v>
      </x:c>
      <x:c r="F256" s="2" t="str">
        <x:v>SF6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SF6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6" s="2" t="str">
        <x:v>Flexible</x:v>
      </x:c>
      <x:c r="H256" s="2" t="str">
        <x:v>SF6 reduction is transferable through configurable methods, rules and operating parameters. Its principle remains the same, but resource quality, climate, scale, interfaces and safety constraints must be recalculated for each deployment.</x:v>
      </x:c>
      <x:c r="I256" s="2" t="str">
        <x:v>Primarily soft, with physical support</x:v>
      </x:c>
      <x:c r="J256" s="2" t="str">
        <x:v>SF6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6" s="2" t="str">
        <x:v>Operation</x:v>
      </x:c>
      <x:c r="L256" s="2" t="str">
        <x:v>SF6 reduction is embodied mainly as an operating practice. The deliverable is accepted only when measurable service, quality, safety and climate-performance criteria are met under real conditions.</x:v>
      </x:c>
      <x:c r="M256" s="2" t="str">
        <x:v>Yes, subject to life-cycle safeguards</x:v>
      </x:c>
      <x:c r="N256" s="2" t="str">
        <x:v>SF6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6" s="2" t="str">
        <x:v>SF6 reduction: process reactors or furnaces, heat exchangers, motors and drives, compressors, burners, controls, pollution abatement, material handling and measurement equipment.</x:v>
      </x:c>
      <x:c r="P256" s="2" t="str">
        <x:v>SF6 reduction: process simulation, pinch and heat-integration analysis, advanced control, production scheduling, quality control, energy management and life-cycle assessment.</x:v>
      </x:c>
      <x:c r="Q256" s="2" t="str">
        <x:v>SF6 reduction: industrial permits, product standards, operating procedures, maintenance and competence systems, procurement, energy management and industrial-symbiosis agreements.</x:v>
      </x:c>
      <x:c r="R256" s="2" t="str">
        <x:v>SF6 reduction: industrial site, utilities, fuel and electricity supply, material storage, process buildings, laboratories, waste handling and logistics.</x:v>
      </x:c>
      <x:c r="S256" s="2" t="str">
        <x:v>SF6 reduction: electricity, steam, process heat, cooling and fuels; useful-energy efficiency, heat recovery and carbon intensity of supply determine savings.</x:v>
      </x:c>
      <x:c r="T256" s="2" t="str">
        <x:v>SF6 reduction: process feedstocks, steel and refractory materials, catalysts, solvents, lubricants, insulation, piping, sensors and technology-specific alloying elements.</x:v>
      </x:c>
      <x:c r="U256" s="2" t="str">
        <x:v>SF6 reduction: refractory linings, bearings, seals, valves, filters, burners, electrodes, sensors, control modules, lubricants and calibrated instruments.</x:v>
      </x:c>
      <x:c r="V256" s="2" t="str">
        <x:v>https://www.ctc-n.org/sites/default/files/resources/ctcn_taxonomy_0.pdf</x:v>
      </x:c>
      <x:c r="W256" s="2" t="str">
        <x:v>https://institutoagricoladepueblobello.edu.co/colegiapp/archivostemas/GUIA%209.%5B25%5D.pdf</x:v>
      </x:c>
      <x:c r="X256" s="2" t="str">
        <x:v>https://iiasa.ac.at/what-is-technology</x:v>
      </x:c>
      <x:c r="Y256" s="2" t="str">
        <x:v>https://www.ipcc.ch/report/ar6/wg3/chapter/chapter-11/</x:v>
      </x:c>
      <x:c r="Z256" s="2" t="str">
        <x:v>Technology-specific analytical synthesis. The CTCN hierarchy is retained; classifications and component dependencies require validation against the selected design, site and supplier documentation before investment or policy use.</x:v>
      </x:c>
      <x:c r="AA256" s="2" t="str">
        <x:v>Physical deployment of SF6 reduction requires industrial site, utilities, fuel and electricity supply, material storage, process buildings, laboratories, waste handling and logistics; interfaces, foundations, access and environmental protection are sized to the specific resource and design load.</x:v>
      </x:c>
      <x:c r="AB256" s="2" t="str">
        <x:v>For SF6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6" s="2" t="str">
        <x:v>Construction and operation use process feedstocks, steel and refractory materials, catalysts, solvents, lubricants, insulation, piping, sensors and technology-specific alloying elements. For SF6 reduction, specifications must include durability, compatibility, recycled content and recoverability.</x:v>
      </x:c>
      <x:c r="AD256" s="2" t="str">
        <x:v>Maintenance of SF6 reduction depends on refractory linings, bearings, seals, valves, filters, burners, electrodes, sensors, control modules, lubricants and calibrated instruments; critical spares are selected from failure-mode, lead-time and safety analysis for its installed configuration.</x:v>
      </x:c>
      <x:c r="AE256" s="2" t="str">
        <x:v>The software stack for SF6 reduction requires databases, secure communications, version-controlled models, computing, backup and interfaces with field or operational systems.</x:v>
      </x:c>
      <x:c r="AF256" s="2" t="str">
        <x:v>For SF6 reduction, software-related energy is electricity for sensing, computing, storage, communication and cooling; it is normally secondary but must be included for data-intensive or continuous services.</x:v>
      </x:c>
      <x:c r="AG256" s="2" t="str">
        <x:v>The non-physical inputs are calibrated data, metadata, algorithms, boundary conditions, emission or hazard factors, manuals and validation records specific to SF6 reduction.</x:v>
      </x:c>
      <x:c r="AH256" s="2" t="str">
        <x:v>Software continuity for SF6 reduction requires licences where applicable, updates, cybersecurity patches, backups, calibration files, model validation and technical support.</x:v>
      </x:c>
      <x:c r="AI256" s="2" t="str">
        <x:v>Orgware depends on the institutions, laboratories, training providers, regulators, operators and community interfaces needed to govern SF6 reduction.</x:v>
      </x:c>
      <x:c r="AJ256" s="2" t="str">
        <x:v>The orgware supporting SF6 reduction has mainly indirect energy use from offices, meetings, training and information systems; travel and field supervision may be material at dispersed sites.</x:v>
      </x:c>
      <x:c r="AK256" s="2" t="str">
        <x:v>Its organisational inputs are permits, budgets, trained staff, competence records, contracts, procedures, safeguards, monitoring evidence and stakeholder agreements tailored to SF6 reduction.</x:v>
      </x:c>
      <x:c r="AL256" s="2" t="str">
        <x:v>Sustained implementation of SF6 reduction requires procurement and service contracts, audit protocols, training material, reporting templates, insurance or guarantees and periodic independent review.</x:v>
      </x:c>
      <x:c r="AM256" s="2" t="str">
        <x:v>Iron ore / steel inputs; Nickel; Chromium</x:v>
      </x:c>
      <x:c r="AN256" s="2" t="str">
        <x:v>Australia; Brazil; China; Indonesia; Philippines; Russia; South Africa; Kazakhstan; Turkey</x:v>
      </x:c>
      <x:c r="AO256" s="2" t="str">
        <x:v>China; India; Japan; Indonesia; South Africa; Kazakhstan</x:v>
      </x:c>
      <x:c r="AP256" s="2" t="str">
        <x:v>SF6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6" s="2" t="str">
        <x:v>2024–2025</x:v>
      </x:c>
      <x:c r="AR256" s="2" t="str">
        <x:v>https://pubs.usgs.gov/periodicals/mcs2026/mcs2026.pdf; https://www.iea.org/reports/global-critical-minerals-outlook-2025</x:v>
      </x:c>
    </x:row>
    <x:row r="257" ht="240" customHeight="1">
      <x:c r="A257" s="2" t="str">
        <x:v>MIT-0250</x:v>
      </x:c>
      <x:c r="B257" s="2" t="str">
        <x:v>Mitigation</x:v>
      </x:c>
      <x:c r="C257" s="2" t="str">
        <x:v>Industry</x:v>
      </x:c>
      <x:c r="D257" s="2" t="str">
        <x:v>Chemicals management</x:v>
      </x:c>
      <x:c r="E257" s="2" t="str">
        <x:v>Adipic acid</x:v>
      </x:c>
      <x:c r="F257" s="2" t="str">
        <x:v>Adipic acid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It suppresses N₂O formation through process optimisation or destroys N₂O catalytically in the process or tail gas; performance is verified by continuous concentration and flow measurement.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7" s="2" t="str">
        <x:v>Flexible</x:v>
      </x:c>
      <x:c r="H257" s="2" t="str">
        <x:v>Adipic acid is transferable through configurable methods, rules and operating parameters. Its principle remains the same, but resource quality, climate, scale, interfaces and safety constraints must be recalculated for each deployment.</x:v>
      </x:c>
      <x:c r="I257" s="2" t="str">
        <x:v>Primarily soft, with physical support</x:v>
      </x:c>
      <x:c r="J257" s="2" t="str">
        <x:v>Adipic acid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7" s="2" t="str">
        <x:v>Operation</x:v>
      </x:c>
      <x:c r="L257" s="2" t="str">
        <x:v>Adipic acid is embodied mainly as an operating practice. The deliverable is accepted only when measurable service, quality, safety and climate-performance criteria are met under real conditions.</x:v>
      </x:c>
      <x:c r="M257" s="2" t="str">
        <x:v>Yes, subject to life-cycle safeguards</x:v>
      </x:c>
      <x:c r="N257" s="2" t="str">
        <x:v>Adipic acid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7" s="2" t="str">
        <x:v>Adipic acid: process reactors or furnaces, heat exchangers, motors and drives, compressors, burners, controls, pollution abatement, material handling and measurement equipment.</x:v>
      </x:c>
      <x:c r="P257" s="2" t="str">
        <x:v>Adipic acid: process simulation, pinch and heat-integration analysis, advanced control, production scheduling, quality control, energy management and life-cycle assessment.</x:v>
      </x:c>
      <x:c r="Q257" s="2" t="str">
        <x:v>Adipic acid: industrial permits, product standards, operating procedures, maintenance and competence systems, procurement, energy management and industrial-symbiosis agreements.</x:v>
      </x:c>
      <x:c r="R257" s="2" t="str">
        <x:v>Adipic acid: industrial site, utilities, fuel and electricity supply, material storage, process buildings, laboratories, waste handling and logistics.</x:v>
      </x:c>
      <x:c r="S257" s="2" t="str">
        <x:v>Adipic acid: electricity, steam, process heat, cooling and fuels; useful-energy efficiency, heat recovery and carbon intensity of supply determine savings.</x:v>
      </x:c>
      <x:c r="T257" s="2" t="str">
        <x:v>Adipic acid: process feedstocks, steel and refractory materials, catalysts, solvents, lubricants, insulation, piping, sensors and technology-specific alloying elements.</x:v>
      </x:c>
      <x:c r="U257" s="2" t="str">
        <x:v>Adipic acid: refractory linings, bearings, seals, valves, filters, burners, electrodes, sensors, control modules, lubricants and calibrated instruments.</x:v>
      </x:c>
      <x:c r="V257" s="2" t="str">
        <x:v>https://www.ctc-n.org/sites/default/files/resources/ctcn_taxonomy_0.pdf</x:v>
      </x:c>
      <x:c r="W257" s="2" t="str">
        <x:v>https://institutoagricoladepueblobello.edu.co/colegiapp/archivostemas/GUIA%209.%5B25%5D.pdf</x:v>
      </x:c>
      <x:c r="X257" s="2" t="str">
        <x:v>https://iiasa.ac.at/what-is-technology</x:v>
      </x:c>
      <x:c r="Y257" s="2" t="str">
        <x:v>https://www.ipcc.ch/report/ar6/wg3/chapter/chapter-11/</x:v>
      </x:c>
      <x:c r="Z257" s="2" t="str">
        <x:v>Technology-specific analytical synthesis. The CTCN hierarchy is retained; classifications and component dependencies require validation against the selected design, site and supplier documentation before investment or policy use.</x:v>
      </x:c>
      <x:c r="AA257" s="2" t="str">
        <x:v>Physical deployment of Adipic acid requires industrial site, utilities, fuel and electricity supply, material storage, process buildings, laboratories, waste handling and logistics; interfaces, foundations, access and environmental protection are sized to the specific resource and design load.</x:v>
      </x:c>
      <x:c r="AB257" s="2" t="str">
        <x:v>For Adipic acid,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7" s="2" t="str">
        <x:v>Construction and operation use process feedstocks, steel and refractory materials, catalysts, solvents, lubricants, insulation, piping, sensors and technology-specific alloying elements. For Adipic acid, specifications must include durability, compatibility, recycled content and recoverability.</x:v>
      </x:c>
      <x:c r="AD257" s="2" t="str">
        <x:v>Maintenance of Adipic acid depends on refractory linings, bearings, seals, valves, filters, burners, electrodes, sensors, control modules, lubricants and calibrated instruments; critical spares are selected from failure-mode, lead-time and safety analysis for its installed configuration.</x:v>
      </x:c>
      <x:c r="AE257" s="2" t="str">
        <x:v>The software stack for Adipic acid requires databases, secure communications, version-controlled models, computing, backup and interfaces with field or operational systems.</x:v>
      </x:c>
      <x:c r="AF257" s="2" t="str">
        <x:v>For Adipic acid, software-related energy is electricity for sensing, computing, storage, communication and cooling; it is normally secondary but must be included for data-intensive or continuous services.</x:v>
      </x:c>
      <x:c r="AG257" s="2" t="str">
        <x:v>The non-physical inputs are calibrated data, metadata, algorithms, boundary conditions, emission or hazard factors, manuals and validation records specific to Adipic acid.</x:v>
      </x:c>
      <x:c r="AH257" s="2" t="str">
        <x:v>Software continuity for Adipic acid requires licences where applicable, updates, cybersecurity patches, backups, calibration files, model validation and technical support.</x:v>
      </x:c>
      <x:c r="AI257" s="2" t="str">
        <x:v>Orgware depends on the institutions, laboratories, training providers, regulators, operators and community interfaces needed to govern Adipic acid.</x:v>
      </x:c>
      <x:c r="AJ257" s="2" t="str">
        <x:v>The orgware supporting Adipic acid has mainly indirect energy use from offices, meetings, training and information systems; travel and field supervision may be material at dispersed sites.</x:v>
      </x:c>
      <x:c r="AK257" s="2" t="str">
        <x:v>Its organisational inputs are permits, budgets, trained staff, competence records, contracts, procedures, safeguards, monitoring evidence and stakeholder agreements tailored to Adipic acid.</x:v>
      </x:c>
      <x:c r="AL257" s="2" t="str">
        <x:v>Sustained implementation of Adipic acid requires procurement and service contracts, audit protocols, training material, reporting templates, insurance or guarantees and periodic independent review.</x:v>
      </x:c>
      <x:c r="AM257" s="2" t="str">
        <x:v>Iron ore / steel inputs; Platinum-group metals; Nickel; Chromium</x:v>
      </x:c>
      <x:c r="AN257" s="2" t="str">
        <x:v>Australia; Brazil; China; South Africa; Russia; Zimbabwe; Indonesia; Philippines; Kazakhstan; Turkey</x:v>
      </x:c>
      <x:c r="AO257" s="2" t="str">
        <x:v>China; India; Japan; South Africa; Russia; Germany; Indonesia; Kazakhstan</x:v>
      </x:c>
      <x:c r="AP257" s="2" t="str">
        <x:v>Adipic acid: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7" s="2" t="str">
        <x:v>2024–2025</x:v>
      </x:c>
      <x:c r="AR257" s="2" t="str">
        <x:v>https://pubs.usgs.gov/periodicals/mcs2026/mcs2026.pdf; https://www.iea.org/reports/global-critical-minerals-outlook-2025</x:v>
      </x:c>
    </x:row>
    <x:row r="258" ht="240" customHeight="1">
      <x:c r="A258" s="2" t="str">
        <x:v>MIT-0251</x:v>
      </x:c>
      <x:c r="B258" s="2" t="str">
        <x:v>Mitigation</x:v>
      </x:c>
      <x:c r="C258" s="2" t="str">
        <x:v>Industry</x:v>
      </x:c>
      <x:c r="D258" s="2" t="str">
        <x:v>Chemicals management</x:v>
      </x:c>
      <x:c r="E258" s="2" t="str">
        <x:v>Biopolymer production for petrochemical sector</x:v>
      </x:c>
      <x:c r="F258" s="2" t="str">
        <x:v>Biopolymer production for petrochemical sector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Biopolymer production for petrochemical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8" s="2" t="str">
        <x:v>Flexible</x:v>
      </x:c>
      <x:c r="H258" s="2" t="str">
        <x:v>Biopolymer production for petrochemical sector is transferable through configurable methods, rules and operating parameters. Its principle remains the same, but resource quality, climate, scale, interfaces and safety constraints must be recalculated for each deployment.</x:v>
      </x:c>
      <x:c r="I258" s="2" t="str">
        <x:v>Primarily soft, with physical support</x:v>
      </x:c>
      <x:c r="J258" s="2" t="str">
        <x:v>Biopolymer production for petrochemical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8" s="2" t="str">
        <x:v>Operation</x:v>
      </x:c>
      <x:c r="L258" s="2" t="str">
        <x:v>Biopolymer production for petrochemical sector is embodied mainly as an operating practice. The deliverable is accepted only when measurable service, quality, safety and climate-performance criteria are met under real conditions.</x:v>
      </x:c>
      <x:c r="M258" s="2" t="str">
        <x:v>Yes, subject to life-cycle safeguards</x:v>
      </x:c>
      <x:c r="N258" s="2" t="str">
        <x:v>Biopolymer production for petrochemical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8" s="2" t="str">
        <x:v>Biopolymer production for petrochemical sector: process reactors or furnaces, heat exchangers, motors and drives, compressors, burners, controls, pollution abatement, material handling and measurement equipment.</x:v>
      </x:c>
      <x:c r="P258" s="2" t="str">
        <x:v>Biopolymer production for petrochemical sector: process simulation, pinch and heat-integration analysis, advanced control, production scheduling, quality control, energy management and life-cycle assessment.</x:v>
      </x:c>
      <x:c r="Q258" s="2" t="str">
        <x:v>Biopolymer production for petrochemical sector: industrial permits, product standards, operating procedures, maintenance and competence systems, procurement, energy management and industrial-symbiosis agreements.</x:v>
      </x:c>
      <x:c r="R258" s="2" t="str">
        <x:v>Biopolymer production for petrochemical sector: industrial site, utilities, fuel and electricity supply, material storage, process buildings, laboratories, waste handling and logistics.</x:v>
      </x:c>
      <x:c r="S258" s="2" t="str">
        <x:v>Biopolymer production for petrochemical sector: electricity, steam, process heat, cooling and fuels; useful-energy efficiency, heat recovery and carbon intensity of supply determine savings.</x:v>
      </x:c>
      <x:c r="T258" s="2" t="str">
        <x:v>Biopolymer production for petrochemical sector: process feedstocks, steel and refractory materials, catalysts, solvents, lubricants, insulation, piping, sensors and technology-specific alloying elements.</x:v>
      </x:c>
      <x:c r="U258" s="2" t="str">
        <x:v>Biopolymer production for petrochemical sector: refractory linings, bearings, seals, valves, filters, burners, electrodes, sensors, control modules, lubricants and calibrated instruments.</x:v>
      </x:c>
      <x:c r="V258" s="2" t="str">
        <x:v>https://www.ctc-n.org/sites/default/files/resources/ctcn_taxonomy_0.pdf</x:v>
      </x:c>
      <x:c r="W258" s="2" t="str">
        <x:v>https://institutoagricoladepueblobello.edu.co/colegiapp/archivostemas/GUIA%209.%5B25%5D.pdf</x:v>
      </x:c>
      <x:c r="X258" s="2" t="str">
        <x:v>https://iiasa.ac.at/what-is-technology</x:v>
      </x:c>
      <x:c r="Y258" s="2" t="str">
        <x:v>https://www.ipcc.ch/report/ar6/wg3/chapter/chapter-11/</x:v>
      </x:c>
      <x:c r="Z258" s="2" t="str">
        <x:v>Technology-specific analytical synthesis. The CTCN hierarchy is retained; classifications and component dependencies require validation against the selected design, site and supplier documentation before investment or policy use.</x:v>
      </x:c>
      <x:c r="AA258" s="2" t="str">
        <x:v>Physical deployment of Biopolymer production for petrochemical sector requires industrial site, utilities, fuel and electricity supply, material storage, process buildings, laboratories, waste handling and logistics; interfaces, foundations, access and environmental protection are sized to the specific resource and design load.</x:v>
      </x:c>
      <x:c r="AB258" s="2" t="str">
        <x:v>For Biopolymer production for petrochemical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8" s="2" t="str">
        <x:v>Construction and operation use process feedstocks, steel and refractory materials, catalysts, solvents, lubricants, insulation, piping, sensors and technology-specific alloying elements. For Biopolymer production for petrochemical sector, specifications must include durability, compatibility, recycled content and recoverability.</x:v>
      </x:c>
      <x:c r="AD258" s="2" t="str">
        <x:v>Maintenance of Biopolymer production for petrochemical sector depends on refractory linings, bearings, seals, valves, filters, burners, electrodes, sensors, control modules, lubricants and calibrated instruments; critical spares are selected from failure-mode, lead-time and safety analysis for its installed configuration.</x:v>
      </x:c>
      <x:c r="AE258" s="2" t="str">
        <x:v>The software stack for Biopolymer production for petrochemical sector requires databases, secure communications, version-controlled models, computing, backup and interfaces with field or operational systems.</x:v>
      </x:c>
      <x:c r="AF258" s="2" t="str">
        <x:v>For Biopolymer production for petrochemical sector, software-related energy is electricity for sensing, computing, storage, communication and cooling; it is normally secondary but must be included for data-intensive or continuous services.</x:v>
      </x:c>
      <x:c r="AG258" s="2" t="str">
        <x:v>The non-physical inputs are calibrated data, metadata, algorithms, boundary conditions, emission or hazard factors, manuals and validation records specific to Biopolymer production for petrochemical sector.</x:v>
      </x:c>
      <x:c r="AH258" s="2" t="str">
        <x:v>Software continuity for Biopolymer production for petrochemical sector requires licences where applicable, updates, cybersecurity patches, backups, calibration files, model validation and technical support.</x:v>
      </x:c>
      <x:c r="AI258" s="2" t="str">
        <x:v>Orgware depends on the institutions, laboratories, training providers, regulators, operators and community interfaces needed to govern Biopolymer production for petrochemical sector.</x:v>
      </x:c>
      <x:c r="AJ258" s="2" t="str">
        <x:v>The orgware supporting Biopolymer production for petrochemical sector has mainly indirect energy use from offices, meetings, training and information systems; travel and field supervision may be material at dispersed sites.</x:v>
      </x:c>
      <x:c r="AK258" s="2" t="str">
        <x:v>Its organisational inputs are permits, budgets, trained staff, competence records, contracts, procedures, safeguards, monitoring evidence and stakeholder agreements tailored to Biopolymer production for petrochemical sector.</x:v>
      </x:c>
      <x:c r="AL258" s="2" t="str">
        <x:v>Sustained implementation of Biopolymer production for petrochemical sector requires procurement and service contracts, audit protocols, training material, reporting templates, insurance or guarantees and periodic independent review.</x:v>
      </x:c>
      <x:c r="AM258" s="2" t="str">
        <x:v>Iron ore / steel inputs; Nickel; Chromium</x:v>
      </x:c>
      <x:c r="AN258" s="2" t="str">
        <x:v>Australia; Brazil; China; Indonesia; Philippines; Russia; South Africa; Kazakhstan; Turkey</x:v>
      </x:c>
      <x:c r="AO258" s="2" t="str">
        <x:v>China; India; Japan; Indonesia; South Africa; Kazakhstan</x:v>
      </x:c>
      <x:c r="AP258" s="2" t="str">
        <x:v>Biopolymer production for petrochemical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8" s="2" t="str">
        <x:v>2024–2025</x:v>
      </x:c>
      <x:c r="AR258" s="2" t="str">
        <x:v>https://pubs.usgs.gov/periodicals/mcs2026/mcs2026.pdf; https://www.iea.org/reports/global-critical-minerals-outlook-2025</x:v>
      </x:c>
    </x:row>
    <x:row r="259" ht="240" customHeight="1">
      <x:c r="A259" s="2" t="str">
        <x:v>MIT-0252</x:v>
      </x:c>
      <x:c r="B259" s="2" t="str">
        <x:v>Mitigation</x:v>
      </x:c>
      <x:c r="C259" s="2" t="str">
        <x:v>Industry</x:v>
      </x:c>
      <x:c r="D259" s="2" t="str">
        <x:v>Chemicals management</x:v>
      </x:c>
      <x:c r="E259" s="2" t="str">
        <x:v>CH4 reduction</x:v>
      </x:c>
      <x:c r="F259" s="2" t="str">
        <x:v>CH4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CH4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9" s="2" t="str">
        <x:v>Flexible</x:v>
      </x:c>
      <x:c r="H259" s="2" t="str">
        <x:v>CH4 reduction is transferable through configurable methods, rules and operating parameters. Its principle remains the same, but resource quality, climate, scale, interfaces and safety constraints must be recalculated for each deployment.</x:v>
      </x:c>
      <x:c r="I259" s="2" t="str">
        <x:v>Primarily soft, with physical support</x:v>
      </x:c>
      <x:c r="J259" s="2" t="str">
        <x:v>CH4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9" s="2" t="str">
        <x:v>Operation</x:v>
      </x:c>
      <x:c r="L259" s="2" t="str">
        <x:v>CH4 reduction is embodied mainly as an operating practice. The deliverable is accepted only when measurable service, quality, safety and climate-performance criteria are met under real conditions.</x:v>
      </x:c>
      <x:c r="M259" s="2" t="str">
        <x:v>Yes, subject to life-cycle safeguards</x:v>
      </x:c>
      <x:c r="N259" s="2" t="str">
        <x:v>CH4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9" s="2" t="str">
        <x:v>CH4 reduction: process reactors or furnaces, heat exchangers, motors and drives, compressors, burners, controls, pollution abatement, material handling and measurement equipment.</x:v>
      </x:c>
      <x:c r="P259" s="2" t="str">
        <x:v>CH4 reduction: process simulation, pinch and heat-integration analysis, advanced control, production scheduling, quality control, energy management and life-cycle assessment.</x:v>
      </x:c>
      <x:c r="Q259" s="2" t="str">
        <x:v>CH4 reduction: industrial permits, product standards, operating procedures, maintenance and competence systems, procurement, energy management and industrial-symbiosis agreements.</x:v>
      </x:c>
      <x:c r="R259" s="2" t="str">
        <x:v>CH4 reduction: industrial site, utilities, fuel and electricity supply, material storage, process buildings, laboratories, waste handling and logistics.</x:v>
      </x:c>
      <x:c r="S259" s="2" t="str">
        <x:v>CH4 reduction: electricity, steam, process heat, cooling and fuels; useful-energy efficiency, heat recovery and carbon intensity of supply determine savings.</x:v>
      </x:c>
      <x:c r="T259" s="2" t="str">
        <x:v>CH4 reduction: process feedstocks, steel and refractory materials, catalysts, solvents, lubricants, insulation, piping, sensors and technology-specific alloying elements.</x:v>
      </x:c>
      <x:c r="U259" s="2" t="str">
        <x:v>CH4 reduction: refractory linings, bearings, seals, valves, filters, burners, electrodes, sensors, control modules, lubricants and calibrated instruments.</x:v>
      </x:c>
      <x:c r="V259" s="2" t="str">
        <x:v>https://www.ctc-n.org/sites/default/files/resources/ctcn_taxonomy_0.pdf</x:v>
      </x:c>
      <x:c r="W259" s="2" t="str">
        <x:v>https://institutoagricoladepueblobello.edu.co/colegiapp/archivostemas/GUIA%209.%5B25%5D.pdf</x:v>
      </x:c>
      <x:c r="X259" s="2" t="str">
        <x:v>https://iiasa.ac.at/what-is-technology</x:v>
      </x:c>
      <x:c r="Y259" s="2" t="str">
        <x:v>https://www.ipcc.ch/report/ar6/wg3/chapter/chapter-11/</x:v>
      </x:c>
      <x:c r="Z259" s="2" t="str">
        <x:v>Technology-specific analytical synthesis. The CTCN hierarchy is retained; classifications and component dependencies require validation against the selected design, site and supplier documentation before investment or policy use.</x:v>
      </x:c>
      <x:c r="AA259" s="2" t="str">
        <x:v>Physical deployment of CH4 reduction requires industrial site, utilities, fuel and electricity supply, material storage, process buildings, laboratories, waste handling and logistics; interfaces, foundations, access and environmental protection are sized to the specific resource and design load.</x:v>
      </x:c>
      <x:c r="AB259" s="2" t="str">
        <x:v>For CH4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9" s="2" t="str">
        <x:v>Construction and operation use process feedstocks, steel and refractory materials, catalysts, solvents, lubricants, insulation, piping, sensors and technology-specific alloying elements. For CH4 reduction, specifications must include durability, compatibility, recycled content and recoverability.</x:v>
      </x:c>
      <x:c r="AD259" s="2" t="str">
        <x:v>Maintenance of CH4 reduction depends on refractory linings, bearings, seals, valves, filters, burners, electrodes, sensors, control modules, lubricants and calibrated instruments; critical spares are selected from failure-mode, lead-time and safety analysis for its installed configuration.</x:v>
      </x:c>
      <x:c r="AE259" s="2" t="str">
        <x:v>The software stack for CH4 reduction requires databases, secure communications, version-controlled models, computing, backup and interfaces with field or operational systems.</x:v>
      </x:c>
      <x:c r="AF259" s="2" t="str">
        <x:v>For CH4 reduction, software-related energy is electricity for sensing, computing, storage, communication and cooling; it is normally secondary but must be included for data-intensive or continuous services.</x:v>
      </x:c>
      <x:c r="AG259" s="2" t="str">
        <x:v>The non-physical inputs are calibrated data, metadata, algorithms, boundary conditions, emission or hazard factors, manuals and validation records specific to CH4 reduction.</x:v>
      </x:c>
      <x:c r="AH259" s="2" t="str">
        <x:v>Software continuity for CH4 reduction requires licences where applicable, updates, cybersecurity patches, backups, calibration files, model validation and technical support.</x:v>
      </x:c>
      <x:c r="AI259" s="2" t="str">
        <x:v>Orgware depends on the institutions, laboratories, training providers, regulators, operators and community interfaces needed to govern CH4 reduction.</x:v>
      </x:c>
      <x:c r="AJ259" s="2" t="str">
        <x:v>The orgware supporting CH4 reduction has mainly indirect energy use from offices, meetings, training and information systems; travel and field supervision may be material at dispersed sites.</x:v>
      </x:c>
      <x:c r="AK259" s="2" t="str">
        <x:v>Its organisational inputs are permits, budgets, trained staff, competence records, contracts, procedures, safeguards, monitoring evidence and stakeholder agreements tailored to CH4 reduction.</x:v>
      </x:c>
      <x:c r="AL259" s="2" t="str">
        <x:v>Sustained implementation of CH4 reduction requires procurement and service contracts, audit protocols, training material, reporting templates, insurance or guarantees and periodic independent review.</x:v>
      </x:c>
      <x:c r="AM259" s="2" t="str">
        <x:v>Iron ore / steel inputs; Nickel; Chromium</x:v>
      </x:c>
      <x:c r="AN259" s="2" t="str">
        <x:v>Australia; Brazil; China; Indonesia; Philippines; Russia; South Africa; Kazakhstan; Turkey</x:v>
      </x:c>
      <x:c r="AO259" s="2" t="str">
        <x:v>China; India; Japan; Indonesia; South Africa; Kazakhstan</x:v>
      </x:c>
      <x:c r="AP259" s="2" t="str">
        <x:v>CH4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9" s="2" t="str">
        <x:v>2024–2025</x:v>
      </x:c>
      <x:c r="AR259" s="2" t="str">
        <x:v>https://pubs.usgs.gov/periodicals/mcs2026/mcs2026.pdf; https://www.iea.org/reports/global-critical-minerals-outlook-2025</x:v>
      </x:c>
    </x:row>
    <x:row r="260" ht="240" customHeight="1">
      <x:c r="A260" s="2" t="str">
        <x:v>MIT-0253</x:v>
      </x:c>
      <x:c r="B260" s="2" t="str">
        <x:v>Mitigation</x:v>
      </x:c>
      <x:c r="C260" s="2" t="str">
        <x:v>Industry</x:v>
      </x:c>
      <x:c r="D260" s="2" t="str">
        <x:v>Chemicals management</x:v>
      </x:c>
      <x:c r="E260" s="2" t="str">
        <x:v>CO2 replacement</x:v>
      </x:c>
      <x:c r="F260" s="2" t="str">
        <x:v>CO2 replacement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CO2 replacement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0" s="2" t="str">
        <x:v>Flexible</x:v>
      </x:c>
      <x:c r="H260" s="2" t="str">
        <x:v>CO2 replacement is transferable through configurable methods, rules and operating parameters. Its principle remains the same, but resource quality, climate, scale, interfaces and safety constraints must be recalculated for each deployment.</x:v>
      </x:c>
      <x:c r="I260" s="2" t="str">
        <x:v>Primarily soft, with physical support</x:v>
      </x:c>
      <x:c r="J260" s="2" t="str">
        <x:v>CO2 replacement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0" s="2" t="str">
        <x:v>Operation</x:v>
      </x:c>
      <x:c r="L260" s="2" t="str">
        <x:v>CO2 replacement is embodied mainly as an operating practice. The deliverable is accepted only when measurable service, quality, safety and climate-performance criteria are met under real conditions.</x:v>
      </x:c>
      <x:c r="M260" s="2" t="str">
        <x:v>Yes, subject to life-cycle safeguards</x:v>
      </x:c>
      <x:c r="N260" s="2" t="str">
        <x:v>CO2 replacement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0" s="2" t="str">
        <x:v>CO2 replacement: process reactors or furnaces, heat exchangers, motors and drives, compressors, burners, controls, pollution abatement, material handling and measurement equipment.</x:v>
      </x:c>
      <x:c r="P260" s="2" t="str">
        <x:v>CO2 replacement: process simulation, pinch and heat-integration analysis, advanced control, production scheduling, quality control, energy management and life-cycle assessment.</x:v>
      </x:c>
      <x:c r="Q260" s="2" t="str">
        <x:v>CO2 replacement: industrial permits, product standards, operating procedures, maintenance and competence systems, procurement, energy management and industrial-symbiosis agreements.</x:v>
      </x:c>
      <x:c r="R260" s="2" t="str">
        <x:v>CO2 replacement: industrial site, utilities, fuel and electricity supply, material storage, process buildings, laboratories, waste handling and logistics.</x:v>
      </x:c>
      <x:c r="S260" s="2" t="str">
        <x:v>CO2 replacement: electricity, steam, process heat, cooling and fuels; useful-energy efficiency, heat recovery and carbon intensity of supply determine savings.</x:v>
      </x:c>
      <x:c r="T260" s="2" t="str">
        <x:v>CO2 replacement: process feedstocks, steel and refractory materials, catalysts, solvents, lubricants, insulation, piping, sensors and technology-specific alloying elements.</x:v>
      </x:c>
      <x:c r="U260" s="2" t="str">
        <x:v>CO2 replacement: refractory linings, bearings, seals, valves, filters, burners, electrodes, sensors, control modules, lubricants and calibrated instruments.</x:v>
      </x:c>
      <x:c r="V260" s="2" t="str">
        <x:v>https://www.ctc-n.org/sites/default/files/resources/ctcn_taxonomy_0.pdf</x:v>
      </x:c>
      <x:c r="W260" s="2" t="str">
        <x:v>https://institutoagricoladepueblobello.edu.co/colegiapp/archivostemas/GUIA%209.%5B25%5D.pdf</x:v>
      </x:c>
      <x:c r="X260" s="2" t="str">
        <x:v>https://iiasa.ac.at/what-is-technology</x:v>
      </x:c>
      <x:c r="Y260" s="2" t="str">
        <x:v>https://www.ipcc.ch/report/ar6/wg3/chapter/chapter-11/</x:v>
      </x:c>
      <x:c r="Z260" s="2" t="str">
        <x:v>Technology-specific analytical synthesis. The CTCN hierarchy is retained; classifications and component dependencies require validation against the selected design, site and supplier documentation before investment or policy use.</x:v>
      </x:c>
      <x:c r="AA260" s="2" t="str">
        <x:v>Physical deployment of CO2 replacement requires industrial site, utilities, fuel and electricity supply, material storage, process buildings, laboratories, waste handling and logistics; interfaces, foundations, access and environmental protection are sized to the specific resource and design load.</x:v>
      </x:c>
      <x:c r="AB260" s="2" t="str">
        <x:v>For CO2 replacement,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0" s="2" t="str">
        <x:v>Construction and operation use process feedstocks, steel and refractory materials, catalysts, solvents, lubricants, insulation, piping, sensors and technology-specific alloying elements. For CO2 replacement, specifications must include durability, compatibility, recycled content and recoverability.</x:v>
      </x:c>
      <x:c r="AD260" s="2" t="str">
        <x:v>Maintenance of CO2 replacement depends on refractory linings, bearings, seals, valves, filters, burners, electrodes, sensors, control modules, lubricants and calibrated instruments; critical spares are selected from failure-mode, lead-time and safety analysis for its installed configuration.</x:v>
      </x:c>
      <x:c r="AE260" s="2" t="str">
        <x:v>The software stack for CO2 replacement requires databases, secure communications, version-controlled models, computing, backup and interfaces with field or operational systems.</x:v>
      </x:c>
      <x:c r="AF260" s="2" t="str">
        <x:v>For CO2 replacement, software-related energy is electricity for sensing, computing, storage, communication and cooling; it is normally secondary but must be included for data-intensive or continuous services.</x:v>
      </x:c>
      <x:c r="AG260" s="2" t="str">
        <x:v>The non-physical inputs are calibrated data, metadata, algorithms, boundary conditions, emission or hazard factors, manuals and validation records specific to CO2 replacement.</x:v>
      </x:c>
      <x:c r="AH260" s="2" t="str">
        <x:v>Software continuity for CO2 replacement requires licences where applicable, updates, cybersecurity patches, backups, calibration files, model validation and technical support.</x:v>
      </x:c>
      <x:c r="AI260" s="2" t="str">
        <x:v>Orgware depends on the institutions, laboratories, training providers, regulators, operators and community interfaces needed to govern CO2 replacement.</x:v>
      </x:c>
      <x:c r="AJ260" s="2" t="str">
        <x:v>The orgware supporting CO2 replacement has mainly indirect energy use from offices, meetings, training and information systems; travel and field supervision may be material at dispersed sites.</x:v>
      </x:c>
      <x:c r="AK260" s="2" t="str">
        <x:v>Its organisational inputs are permits, budgets, trained staff, competence records, contracts, procedures, safeguards, monitoring evidence and stakeholder agreements tailored to CO2 replacement.</x:v>
      </x:c>
      <x:c r="AL260" s="2" t="str">
        <x:v>Sustained implementation of CO2 replacement requires procurement and service contracts, audit protocols, training material, reporting templates, insurance or guarantees and periodic independent review.</x:v>
      </x:c>
      <x:c r="AM260" s="2" t="str">
        <x:v>Iron ore / steel inputs; Nickel; Chromium; Limestone / cement raw materials</x:v>
      </x:c>
      <x:c r="AN260" s="2" t="str">
        <x:v>Australia; Brazil; China; Indonesia; Philippines; Russia; South Africa; Kazakhstan; Turkey; India; Vietnam</x:v>
      </x:c>
      <x:c r="AO260" s="2" t="str">
        <x:v>China; India; Japan; Indonesia; South Africa; Kazakhstan; Vietnam</x:v>
      </x:c>
      <x:c r="AP260" s="2" t="str">
        <x:v>CO2 replacement: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0" s="2" t="str">
        <x:v>2024–2025</x:v>
      </x:c>
      <x:c r="AR260" s="2" t="str">
        <x:v>https://pubs.usgs.gov/periodicals/mcs2026/mcs2026.pdf; https://www.iea.org/reports/global-critical-minerals-outlook-2025</x:v>
      </x:c>
    </x:row>
    <x:row r="261" ht="240" customHeight="1">
      <x:c r="A261" s="2" t="str">
        <x:v>MIT-0254</x:v>
      </x:c>
      <x:c r="B261" s="2" t="str">
        <x:v>Mitigation</x:v>
      </x:c>
      <x:c r="C261" s="2" t="str">
        <x:v>Industry</x:v>
      </x:c>
      <x:c r="D261" s="2" t="str">
        <x:v>Chemicals management</x:v>
      </x:c>
      <x:c r="E261" s="2" t="str">
        <x:v>CO2 recycling</x:v>
      </x:c>
      <x:c r="F261" s="2" t="str">
        <x:v>CO2 recycling is a mitigation technology in the Industry sector and the Chemicals management technology group. It is defined as a combined hardware–software–orgware system that changes vehicle kilometres, modal share, occupancy, speed profiles, routing or logistics so that the same mobility service is delivered with less final energy and fewer tailpipe emissions. CO2 recycling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61" s="2" t="str">
        <x:v>Flexible</x:v>
      </x:c>
      <x:c r="H261" s="2" t="str">
        <x:v>CO2 recycling is transferable through configurable methods, rules and operating parameters. Its principle remains the same, but resource quality, climate, scale, interfaces and safety constraints must be recalculated for each deployment.</x:v>
      </x:c>
      <x:c r="I261" s="2" t="str">
        <x:v>Primarily soft, with physical support</x:v>
      </x:c>
      <x:c r="J261" s="2" t="str">
        <x:v>CO2 recycling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61" s="2" t="str">
        <x:v>Operation</x:v>
      </x:c>
      <x:c r="L261" s="2" t="str">
        <x:v>CO2 recycling is embodied mainly as an operating practice. The deliverable is accepted only when measurable service, quality, safety and climate-performance criteria are met under real conditions.</x:v>
      </x:c>
      <x:c r="M261" s="2" t="str">
        <x:v>Yes, subject to life-cycle safeguards</x:v>
      </x:c>
      <x:c r="N261" s="2" t="str">
        <x:v>CO2 recycling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61" s="2" t="str">
        <x:v>CO2 recycling: corridor and station infrastructure, signalling, ticketing, communications, fleet equipment, traffic sensors and user interfaces as applicable.</x:v>
      </x:c>
      <x:c r="P261" s="2" t="str">
        <x:v>CO2 recycling: network and timetable design, demand models, traffic control, fleet dispatch, logistics optimisation, safety analysis and service-performance analytics.</x:v>
      </x:c>
      <x:c r="Q261" s="2" t="str">
        <x:v>CO2 recycling: transport authority mandates, operating contracts, tariffs, enforcement, street-space allocation, accessibility rules and coordination with land-use planning.</x:v>
      </x:c>
      <x:c r="R261" s="2" t="str">
        <x:v>CO2 recycling: rights-of-way, stops or terminals, depots, interchanges, control centres, communications and safe pedestrian or cycling access.</x:v>
      </x:c>
      <x:c r="S261" s="2" t="str">
        <x:v>CO2 recycling: electricity for control and stations plus the energy used by the affected vehicle fleet; the net result is governed by modal shift and occupancy.</x:v>
      </x:c>
      <x:c r="T261" s="2" t="str">
        <x:v>CO2 recycling: concrete, steel, asphalt, copper, signalling electronics, pavement materials and vehicle-related materials where new infrastructure is built.</x:v>
      </x:c>
      <x:c r="U261" s="2" t="str">
        <x:v>CO2 recycling: signal modules, communications equipment, validators, sensors, pavement components, station equipment and fleet consumables.</x:v>
      </x:c>
      <x:c r="V261" s="2" t="str">
        <x:v>https://www.ctc-n.org/sites/default/files/resources/ctcn_taxonomy_0.pdf</x:v>
      </x:c>
      <x:c r="W261" s="2" t="str">
        <x:v>https://institutoagricoladepueblobello.edu.co/colegiapp/archivostemas/GUIA%209.%5B25%5D.pdf</x:v>
      </x:c>
      <x:c r="X261" s="2" t="str">
        <x:v>https://iiasa.ac.at/what-is-technology</x:v>
      </x:c>
      <x:c r="Y261" s="2" t="str">
        <x:v>https://www.ipcc.ch/report/ar6/wg3/chapter/chapter-11/; https://www.ipcc.ch/report/ar6/wg3/chapter/chapter-10/; https://ppp.worldbank.org/print/pdf/node/7300</x:v>
      </x:c>
      <x:c r="Z261" s="2" t="str">
        <x:v>Technology-specific analytical synthesis. The CTCN hierarchy is retained; classifications and component dependencies require validation against the selected design, site and supplier documentation before investment or policy use.</x:v>
      </x:c>
      <x:c r="AA261" s="2" t="str">
        <x:v>Physical deployment of CO2 recycling requires rights-of-way, stops or terminals, depots, interchanges, control centres, communications and safe pedestrian or cycling access; interfaces, foundations, access and environmental protection are sized to the specific resource and design load.</x:v>
      </x:c>
      <x:c r="AB261" s="2" t="str">
        <x:v>For CO2 recycling,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61" s="2" t="str">
        <x:v>Construction and operation use concrete, steel, asphalt, copper, signalling electronics, pavement materials and vehicle-related materials where new infrastructure is built. For CO2 recycling, specifications must include durability, compatibility, recycled content and recoverability.</x:v>
      </x:c>
      <x:c r="AD261" s="2" t="str">
        <x:v>Maintenance of CO2 recycling depends on signal modules, communications equipment, validators, sensors, pavement components, station equipment and fleet consumables; critical spares are selected from failure-mode, lead-time and safety analysis for its installed configuration.</x:v>
      </x:c>
      <x:c r="AE261" s="2" t="str">
        <x:v>The software stack for CO2 recycling requires databases, secure communications, version-controlled models, computing, backup and interfaces with field or operational systems.</x:v>
      </x:c>
      <x:c r="AF261" s="2" t="str">
        <x:v>For CO2 recycling, software-related energy is electricity for sensing, computing, storage, communication and cooling; it is normally secondary but must be included for data-intensive or continuous services.</x:v>
      </x:c>
      <x:c r="AG261" s="2" t="str">
        <x:v>The non-physical inputs are calibrated data, metadata, algorithms, boundary conditions, emission or hazard factors, manuals and validation records specific to CO2 recycling.</x:v>
      </x:c>
      <x:c r="AH261" s="2" t="str">
        <x:v>Software continuity for CO2 recycling requires licences where applicable, updates, cybersecurity patches, backups, calibration files, model validation and technical support.</x:v>
      </x:c>
      <x:c r="AI261" s="2" t="str">
        <x:v>Orgware depends on the institutions, laboratories, training providers, regulators, operators and community interfaces needed to govern CO2 recycling.</x:v>
      </x:c>
      <x:c r="AJ261" s="2" t="str">
        <x:v>The orgware supporting CO2 recycling has mainly indirect energy use from offices, meetings, training and information systems; travel and field supervision may be material at dispersed sites.</x:v>
      </x:c>
      <x:c r="AK261" s="2" t="str">
        <x:v>Its organisational inputs are permits, budgets, trained staff, competence records, contracts, procedures, safeguards, monitoring evidence and stakeholder agreements tailored to CO2 recycling.</x:v>
      </x:c>
      <x:c r="AL261" s="2" t="str">
        <x:v>Sustained implementation of CO2 recycling requires procurement and service contracts, audit protocols, training material, reporting templates, insurance or guarantees and periodic independent review.</x:v>
      </x:c>
      <x:c r="AM261" s="2" t="str">
        <x:v>Iron ore / steel inputs; Nickel; Chromium</x:v>
      </x:c>
      <x:c r="AN261" s="2" t="str">
        <x:v>Australia; Brazil; China; Indonesia; Philippines; Russia; South Africa; Kazakhstan; Turkey</x:v>
      </x:c>
      <x:c r="AO261" s="2" t="str">
        <x:v>China; India; Japan; Indonesia; South Africa; Kazakhstan</x:v>
      </x:c>
      <x:c r="AP261" s="2" t="str">
        <x:v>CO2 recycling: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1" s="2" t="str">
        <x:v>2024–2025</x:v>
      </x:c>
      <x:c r="AR261" s="2" t="str">
        <x:v>https://pubs.usgs.gov/periodicals/mcs2026/mcs2026.pdf; https://www.iea.org/reports/global-critical-minerals-outlook-2025</x:v>
      </x:c>
    </x:row>
    <x:row r="262" ht="240" customHeight="1">
      <x:c r="A262" s="2" t="str">
        <x:v>MIT-0255</x:v>
      </x:c>
      <x:c r="B262" s="2" t="str">
        <x:v>Mitigation</x:v>
      </x:c>
      <x:c r="C262" s="2" t="str">
        <x:v>Industry</x:v>
      </x:c>
      <x:c r="D262" s="2" t="str">
        <x:v>Chemicals management</x:v>
      </x:c>
      <x:c r="E262" s="2" t="str">
        <x:v>PFCs reduction</x:v>
      </x:c>
      <x:c r="F262" s="2" t="str">
        <x:v>PFCs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PFCs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2" s="2" t="str">
        <x:v>Flexible</x:v>
      </x:c>
      <x:c r="H262" s="2" t="str">
        <x:v>PFCs reduction is transferable through configurable methods, rules and operating parameters. Its principle remains the same, but resource quality, climate, scale, interfaces and safety constraints must be recalculated for each deployment.</x:v>
      </x:c>
      <x:c r="I262" s="2" t="str">
        <x:v>Primarily soft, with physical support</x:v>
      </x:c>
      <x:c r="J262" s="2" t="str">
        <x:v>PFCs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2" s="2" t="str">
        <x:v>Operation</x:v>
      </x:c>
      <x:c r="L262" s="2" t="str">
        <x:v>PFCs reduction is embodied mainly as an operating practice. The deliverable is accepted only when measurable service, quality, safety and climate-performance criteria are met under real conditions.</x:v>
      </x:c>
      <x:c r="M262" s="2" t="str">
        <x:v>Yes, subject to life-cycle safeguards</x:v>
      </x:c>
      <x:c r="N262" s="2" t="str">
        <x:v>PFCs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2" s="2" t="str">
        <x:v>PFCs reduction: process reactors or furnaces, heat exchangers, motors and drives, compressors, burners, controls, pollution abatement, material handling and measurement equipment.</x:v>
      </x:c>
      <x:c r="P262" s="2" t="str">
        <x:v>PFCs reduction: process simulation, pinch and heat-integration analysis, advanced control, production scheduling, quality control, energy management and life-cycle assessment.</x:v>
      </x:c>
      <x:c r="Q262" s="2" t="str">
        <x:v>PFCs reduction: industrial permits, product standards, operating procedures, maintenance and competence systems, procurement, energy management and industrial-symbiosis agreements.</x:v>
      </x:c>
      <x:c r="R262" s="2" t="str">
        <x:v>PFCs reduction: industrial site, utilities, fuel and electricity supply, material storage, process buildings, laboratories, waste handling and logistics.</x:v>
      </x:c>
      <x:c r="S262" s="2" t="str">
        <x:v>PFCs reduction: electricity, steam, process heat, cooling and fuels; useful-energy efficiency, heat recovery and carbon intensity of supply determine savings.</x:v>
      </x:c>
      <x:c r="T262" s="2" t="str">
        <x:v>PFCs reduction: process feedstocks, steel and refractory materials, catalysts, solvents, lubricants, insulation, piping, sensors and technology-specific alloying elements.</x:v>
      </x:c>
      <x:c r="U262" s="2" t="str">
        <x:v>PFCs reduction: refractory linings, bearings, seals, valves, filters, burners, electrodes, sensors, control modules, lubricants and calibrated instruments.</x:v>
      </x:c>
      <x:c r="V262" s="2" t="str">
        <x:v>https://www.ctc-n.org/sites/default/files/resources/ctcn_taxonomy_0.pdf</x:v>
      </x:c>
      <x:c r="W262" s="2" t="str">
        <x:v>https://institutoagricoladepueblobello.edu.co/colegiapp/archivostemas/GUIA%209.%5B25%5D.pdf</x:v>
      </x:c>
      <x:c r="X262" s="2" t="str">
        <x:v>https://iiasa.ac.at/what-is-technology</x:v>
      </x:c>
      <x:c r="Y262" s="2" t="str">
        <x:v>https://www.ipcc.ch/report/ar6/wg3/chapter/chapter-11/</x:v>
      </x:c>
      <x:c r="Z262" s="2" t="str">
        <x:v>Technology-specific analytical synthesis. The CTCN hierarchy is retained; classifications and component dependencies require validation against the selected design, site and supplier documentation before investment or policy use.</x:v>
      </x:c>
      <x:c r="AA262" s="2" t="str">
        <x:v>Physical deployment of PFCs reduction requires industrial site, utilities, fuel and electricity supply, material storage, process buildings, laboratories, waste handling and logistics; interfaces, foundations, access and environmental protection are sized to the specific resource and design load.</x:v>
      </x:c>
      <x:c r="AB262" s="2" t="str">
        <x:v>For PFCs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2" s="2" t="str">
        <x:v>Construction and operation use process feedstocks, steel and refractory materials, catalysts, solvents, lubricants, insulation, piping, sensors and technology-specific alloying elements. For PFCs reduction, specifications must include durability, compatibility, recycled content and recoverability.</x:v>
      </x:c>
      <x:c r="AD262" s="2" t="str">
        <x:v>Maintenance of PFCs reduction depends on refractory linings, bearings, seals, valves, filters, burners, electrodes, sensors, control modules, lubricants and calibrated instruments; critical spares are selected from failure-mode, lead-time and safety analysis for its installed configuration.</x:v>
      </x:c>
      <x:c r="AE262" s="2" t="str">
        <x:v>The software stack for PFCs reduction requires databases, secure communications, version-controlled models, computing, backup and interfaces with field or operational systems.</x:v>
      </x:c>
      <x:c r="AF262" s="2" t="str">
        <x:v>For PFCs reduction, software-related energy is electricity for sensing, computing, storage, communication and cooling; it is normally secondary but must be included for data-intensive or continuous services.</x:v>
      </x:c>
      <x:c r="AG262" s="2" t="str">
        <x:v>The non-physical inputs are calibrated data, metadata, algorithms, boundary conditions, emission or hazard factors, manuals and validation records specific to PFCs reduction.</x:v>
      </x:c>
      <x:c r="AH262" s="2" t="str">
        <x:v>Software continuity for PFCs reduction requires licences where applicable, updates, cybersecurity patches, backups, calibration files, model validation and technical support.</x:v>
      </x:c>
      <x:c r="AI262" s="2" t="str">
        <x:v>Orgware depends on the institutions, laboratories, training providers, regulators, operators and community interfaces needed to govern PFCs reduction.</x:v>
      </x:c>
      <x:c r="AJ262" s="2" t="str">
        <x:v>The orgware supporting PFCs reduction has mainly indirect energy use from offices, meetings, training and information systems; travel and field supervision may be material at dispersed sites.</x:v>
      </x:c>
      <x:c r="AK262" s="2" t="str">
        <x:v>Its organisational inputs are permits, budgets, trained staff, competence records, contracts, procedures, safeguards, monitoring evidence and stakeholder agreements tailored to PFCs reduction.</x:v>
      </x:c>
      <x:c r="AL262" s="2" t="str">
        <x:v>Sustained implementation of PFCs reduction requires procurement and service contracts, audit protocols, training material, reporting templates, insurance or guarantees and periodic independent review.</x:v>
      </x:c>
      <x:c r="AM262" s="2" t="str">
        <x:v>Iron ore / steel inputs; Nickel; Chromium</x:v>
      </x:c>
      <x:c r="AN262" s="2" t="str">
        <x:v>Australia; Brazil; China; Indonesia; Philippines; Russia; South Africa; Kazakhstan; Turkey</x:v>
      </x:c>
      <x:c r="AO262" s="2" t="str">
        <x:v>China; India; Japan; Indonesia; South Africa; Kazakhstan</x:v>
      </x:c>
      <x:c r="AP262" s="2" t="str">
        <x:v>PFCs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2" s="2" t="str">
        <x:v>2024–2025</x:v>
      </x:c>
      <x:c r="AR262" s="2" t="str">
        <x:v>https://pubs.usgs.gov/periodicals/mcs2026/mcs2026.pdf; https://www.iea.org/reports/global-critical-minerals-outlook-2025</x:v>
      </x:c>
    </x:row>
    <x:row r="263" ht="240" customHeight="1">
      <x:c r="A263" s="2" t="str">
        <x:v>MIT-0256</x:v>
      </x:c>
      <x:c r="B263" s="2" t="str">
        <x:v>Mitigation</x:v>
      </x:c>
      <x:c r="C263" s="2" t="str">
        <x:v>Industry</x:v>
      </x:c>
      <x:c r="D263" s="2" t="str">
        <x:v>Chemicals management</x:v>
      </x:c>
      <x:c r="E263" s="2" t="str">
        <x:v>Carbon black</x:v>
      </x:c>
      <x:c r="F263" s="2" t="str">
        <x:v>Carbon black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Carbon black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3" s="2" t="str">
        <x:v>Flexible</x:v>
      </x:c>
      <x:c r="H263" s="2" t="str">
        <x:v>Carbon black is transferable through configurable methods, rules and operating parameters. Its principle remains the same, but resource quality, climate, scale, interfaces and safety constraints must be recalculated for each deployment.</x:v>
      </x:c>
      <x:c r="I263" s="2" t="str">
        <x:v>Primarily soft, with physical support</x:v>
      </x:c>
      <x:c r="J263" s="2" t="str">
        <x:v>Carbon black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3" s="2" t="str">
        <x:v>Operation</x:v>
      </x:c>
      <x:c r="L263" s="2" t="str">
        <x:v>Carbon black is embodied mainly as an operating practice. The deliverable is accepted only when measurable service, quality, safety and climate-performance criteria are met under real conditions.</x:v>
      </x:c>
      <x:c r="M263" s="2" t="str">
        <x:v>Yes, subject to life-cycle safeguards</x:v>
      </x:c>
      <x:c r="N263" s="2" t="str">
        <x:v>Carbon black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3" s="2" t="str">
        <x:v>Carbon black: process reactors or furnaces, heat exchangers, motors and drives, compressors, burners, controls, pollution abatement, material handling and measurement equipment.</x:v>
      </x:c>
      <x:c r="P263" s="2" t="str">
        <x:v>Carbon black: process simulation, pinch and heat-integration analysis, advanced control, production scheduling, quality control, energy management and life-cycle assessment.</x:v>
      </x:c>
      <x:c r="Q263" s="2" t="str">
        <x:v>Carbon black: industrial permits, product standards, operating procedures, maintenance and competence systems, procurement, energy management and industrial-symbiosis agreements.</x:v>
      </x:c>
      <x:c r="R263" s="2" t="str">
        <x:v>Carbon black: industrial site, utilities, fuel and electricity supply, material storage, process buildings, laboratories, waste handling and logistics.</x:v>
      </x:c>
      <x:c r="S263" s="2" t="str">
        <x:v>Carbon black: electricity, steam, process heat, cooling and fuels; useful-energy efficiency, heat recovery and carbon intensity of supply determine savings.</x:v>
      </x:c>
      <x:c r="T263" s="2" t="str">
        <x:v>Carbon black: process feedstocks, steel and refractory materials, catalysts, solvents, lubricants, insulation, piping, sensors and technology-specific alloying elements.</x:v>
      </x:c>
      <x:c r="U263" s="2" t="str">
        <x:v>Carbon black: refractory linings, bearings, seals, valves, filters, burners, electrodes, sensors, control modules, lubricants and calibrated instruments.</x:v>
      </x:c>
      <x:c r="V263" s="2" t="str">
        <x:v>https://www.ctc-n.org/sites/default/files/resources/ctcn_taxonomy_0.pdf</x:v>
      </x:c>
      <x:c r="W263" s="2" t="str">
        <x:v>https://institutoagricoladepueblobello.edu.co/colegiapp/archivostemas/GUIA%209.%5B25%5D.pdf</x:v>
      </x:c>
      <x:c r="X263" s="2" t="str">
        <x:v>https://iiasa.ac.at/what-is-technology</x:v>
      </x:c>
      <x:c r="Y263" s="2" t="str">
        <x:v>https://www.ipcc.ch/report/ar6/wg3/chapter/chapter-11/</x:v>
      </x:c>
      <x:c r="Z263" s="2" t="str">
        <x:v>Technology-specific analytical synthesis. The CTCN hierarchy is retained; classifications and component dependencies require validation against the selected design, site and supplier documentation before investment or policy use.</x:v>
      </x:c>
      <x:c r="AA263" s="2" t="str">
        <x:v>Physical deployment of Carbon black requires industrial site, utilities, fuel and electricity supply, material storage, process buildings, laboratories, waste handling and logistics; interfaces, foundations, access and environmental protection are sized to the specific resource and design load.</x:v>
      </x:c>
      <x:c r="AB263" s="2" t="str">
        <x:v>For Carbon black,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3" s="2" t="str">
        <x:v>Construction and operation use process feedstocks, steel and refractory materials, catalysts, solvents, lubricants, insulation, piping, sensors and technology-specific alloying elements. For Carbon black, specifications must include durability, compatibility, recycled content and recoverability.</x:v>
      </x:c>
      <x:c r="AD263" s="2" t="str">
        <x:v>Maintenance of Carbon black depends on refractory linings, bearings, seals, valves, filters, burners, electrodes, sensors, control modules, lubricants and calibrated instruments; critical spares are selected from failure-mode, lead-time and safety analysis for its installed configuration.</x:v>
      </x:c>
      <x:c r="AE263" s="2" t="str">
        <x:v>The software stack for Carbon black requires databases, secure communications, version-controlled models, computing, backup and interfaces with field or operational systems.</x:v>
      </x:c>
      <x:c r="AF263" s="2" t="str">
        <x:v>For Carbon black, software-related energy is electricity for sensing, computing, storage, communication and cooling; it is normally secondary but must be included for data-intensive or continuous services.</x:v>
      </x:c>
      <x:c r="AG263" s="2" t="str">
        <x:v>The non-physical inputs are calibrated data, metadata, algorithms, boundary conditions, emission or hazard factors, manuals and validation records specific to Carbon black.</x:v>
      </x:c>
      <x:c r="AH263" s="2" t="str">
        <x:v>Software continuity for Carbon black requires licences where applicable, updates, cybersecurity patches, backups, calibration files, model validation and technical support.</x:v>
      </x:c>
      <x:c r="AI263" s="2" t="str">
        <x:v>Orgware depends on the institutions, laboratories, training providers, regulators, operators and community interfaces needed to govern Carbon black.</x:v>
      </x:c>
      <x:c r="AJ263" s="2" t="str">
        <x:v>The orgware supporting Carbon black has mainly indirect energy use from offices, meetings, training and information systems; travel and field supervision may be material at dispersed sites.</x:v>
      </x:c>
      <x:c r="AK263" s="2" t="str">
        <x:v>Its organisational inputs are permits, budgets, trained staff, competence records, contracts, procedures, safeguards, monitoring evidence and stakeholder agreements tailored to Carbon black.</x:v>
      </x:c>
      <x:c r="AL263" s="2" t="str">
        <x:v>Sustained implementation of Carbon black requires procurement and service contracts, audit protocols, training material, reporting templates, insurance or guarantees and periodic independent review.</x:v>
      </x:c>
      <x:c r="AM263" s="2" t="str">
        <x:v>Iron ore / steel inputs; Nickel; Chromium</x:v>
      </x:c>
      <x:c r="AN263" s="2" t="str">
        <x:v>Australia; Brazil; China; Indonesia; Philippines; Russia; South Africa; Kazakhstan; Turkey</x:v>
      </x:c>
      <x:c r="AO263" s="2" t="str">
        <x:v>China; India; Japan; Indonesia; South Africa; Kazakhstan</x:v>
      </x:c>
      <x:c r="AP263" s="2" t="str">
        <x:v>Carbon black: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3" s="2" t="str">
        <x:v>2024–2025</x:v>
      </x:c>
      <x:c r="AR263" s="2" t="str">
        <x:v>https://pubs.usgs.gov/periodicals/mcs2026/mcs2026.pdf; https://www.iea.org/reports/global-critical-minerals-outlook-2025</x:v>
      </x:c>
    </x:row>
    <x:row r="264" ht="240" customHeight="1">
      <x:c r="A264" s="2" t="str">
        <x:v>MIT-0257</x:v>
      </x:c>
      <x:c r="B264" s="2" t="str">
        <x:v>Mitigation</x:v>
      </x:c>
      <x:c r="C264" s="2" t="str">
        <x:v>Industry</x:v>
      </x:c>
      <x:c r="D264" s="2" t="str">
        <x:v>Chemicals management</x:v>
      </x:c>
      <x:c r="E264" s="2" t="str">
        <x:v>Ammonia</x:v>
      </x:c>
      <x:c r="F264" s="2" t="str">
        <x:v>Ammonia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Ammonia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4" s="2" t="str">
        <x:v>Flexible</x:v>
      </x:c>
      <x:c r="H264" s="2" t="str">
        <x:v>Ammonia is transferable through configurable methods, rules and operating parameters. Its principle remains the same, but resource quality, climate, scale, interfaces and safety constraints must be recalculated for each deployment.</x:v>
      </x:c>
      <x:c r="I264" s="2" t="str">
        <x:v>Primarily soft, with physical support</x:v>
      </x:c>
      <x:c r="J264" s="2" t="str">
        <x:v>Ammonia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4" s="2" t="str">
        <x:v>Operation</x:v>
      </x:c>
      <x:c r="L264" s="2" t="str">
        <x:v>Ammonia is embodied mainly as an operating practice. The deliverable is accepted only when measurable service, quality, safety and climate-performance criteria are met under real conditions.</x:v>
      </x:c>
      <x:c r="M264" s="2" t="str">
        <x:v>Yes, subject to life-cycle safeguards</x:v>
      </x:c>
      <x:c r="N264" s="2" t="str">
        <x:v>Ammonia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4" s="2" t="str">
        <x:v>Ammonia: process reactors or furnaces, heat exchangers, motors and drives, compressors, burners, controls, pollution abatement, material handling and measurement equipment.</x:v>
      </x:c>
      <x:c r="P264" s="2" t="str">
        <x:v>Ammonia: process simulation, pinch and heat-integration analysis, advanced control, production scheduling, quality control, energy management and life-cycle assessment.</x:v>
      </x:c>
      <x:c r="Q264" s="2" t="str">
        <x:v>Ammonia: industrial permits, product standards, operating procedures, maintenance and competence systems, procurement, energy management and industrial-symbiosis agreements.</x:v>
      </x:c>
      <x:c r="R264" s="2" t="str">
        <x:v>Ammonia: industrial site, utilities, fuel and electricity supply, material storage, process buildings, laboratories, waste handling and logistics.</x:v>
      </x:c>
      <x:c r="S264" s="2" t="str">
        <x:v>Ammonia: electricity, steam, process heat, cooling and fuels; useful-energy efficiency, heat recovery and carbon intensity of supply determine savings.</x:v>
      </x:c>
      <x:c r="T264" s="2" t="str">
        <x:v>Ammonia: process feedstocks, steel and refractory materials, catalysts, solvents, lubricants, insulation, piping, sensors and technology-specific alloying elements.</x:v>
      </x:c>
      <x:c r="U264" s="2" t="str">
        <x:v>Ammonia: refractory linings, bearings, seals, valves, filters, burners, electrodes, sensors, control modules, lubricants and calibrated instruments.</x:v>
      </x:c>
      <x:c r="V264" s="2" t="str">
        <x:v>https://www.ctc-n.org/sites/default/files/resources/ctcn_taxonomy_0.pdf</x:v>
      </x:c>
      <x:c r="W264" s="2" t="str">
        <x:v>https://institutoagricoladepueblobello.edu.co/colegiapp/archivostemas/GUIA%209.%5B25%5D.pdf</x:v>
      </x:c>
      <x:c r="X264" s="2" t="str">
        <x:v>https://iiasa.ac.at/what-is-technology</x:v>
      </x:c>
      <x:c r="Y264" s="2" t="str">
        <x:v>https://www.ipcc.ch/report/ar6/wg3/chapter/chapter-11/</x:v>
      </x:c>
      <x:c r="Z264" s="2" t="str">
        <x:v>Technology-specific analytical synthesis. The CTCN hierarchy is retained; classifications and component dependencies require validation against the selected design, site and supplier documentation before investment or policy use.</x:v>
      </x:c>
      <x:c r="AA264" s="2" t="str">
        <x:v>Physical deployment of Ammonia requires industrial site, utilities, fuel and electricity supply, material storage, process buildings, laboratories, waste handling and logistics; interfaces, foundations, access and environmental protection are sized to the specific resource and design load.</x:v>
      </x:c>
      <x:c r="AB264" s="2" t="str">
        <x:v>For Ammonia,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4" s="2" t="str">
        <x:v>Construction and operation use process feedstocks, steel and refractory materials, catalysts, solvents, lubricants, insulation, piping, sensors and technology-specific alloying elements. For Ammonia, specifications must include durability, compatibility, recycled content and recoverability.</x:v>
      </x:c>
      <x:c r="AD264" s="2" t="str">
        <x:v>Maintenance of Ammonia depends on refractory linings, bearings, seals, valves, filters, burners, electrodes, sensors, control modules, lubricants and calibrated instruments; critical spares are selected from failure-mode, lead-time and safety analysis for its installed configuration.</x:v>
      </x:c>
      <x:c r="AE264" s="2" t="str">
        <x:v>The software stack for Ammonia requires databases, secure communications, version-controlled models, computing, backup and interfaces with field or operational systems.</x:v>
      </x:c>
      <x:c r="AF264" s="2" t="str">
        <x:v>For Ammonia, software-related energy is electricity for sensing, computing, storage, communication and cooling; it is normally secondary but must be included for data-intensive or continuous services.</x:v>
      </x:c>
      <x:c r="AG264" s="2" t="str">
        <x:v>The non-physical inputs are calibrated data, metadata, algorithms, boundary conditions, emission or hazard factors, manuals and validation records specific to Ammonia.</x:v>
      </x:c>
      <x:c r="AH264" s="2" t="str">
        <x:v>Software continuity for Ammonia requires licences where applicable, updates, cybersecurity patches, backups, calibration files, model validation and technical support.</x:v>
      </x:c>
      <x:c r="AI264" s="2" t="str">
        <x:v>Orgware depends on the institutions, laboratories, training providers, regulators, operators and community interfaces needed to govern Ammonia.</x:v>
      </x:c>
      <x:c r="AJ264" s="2" t="str">
        <x:v>The orgware supporting Ammonia has mainly indirect energy use from offices, meetings, training and information systems; travel and field supervision may be material at dispersed sites.</x:v>
      </x:c>
      <x:c r="AK264" s="2" t="str">
        <x:v>Its organisational inputs are permits, budgets, trained staff, competence records, contracts, procedures, safeguards, monitoring evidence and stakeholder agreements tailored to Ammonia.</x:v>
      </x:c>
      <x:c r="AL264" s="2" t="str">
        <x:v>Sustained implementation of Ammonia requires procurement and service contracts, audit protocols, training material, reporting templates, insurance or guarantees and periodic independent review.</x:v>
      </x:c>
      <x:c r="AM264" s="2" t="str">
        <x:v>Iron ore / steel inputs; Platinum-group metals; Nickel; Chromium</x:v>
      </x:c>
      <x:c r="AN264" s="2" t="str">
        <x:v>Australia; Brazil; China; South Africa; Russia; Zimbabwe; Indonesia; Philippines; Kazakhstan; Turkey</x:v>
      </x:c>
      <x:c r="AO264" s="2" t="str">
        <x:v>China; India; Japan; South Africa; Russia; Germany; Indonesia; Kazakhstan</x:v>
      </x:c>
      <x:c r="AP264" s="2" t="str">
        <x:v>Ammonia: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4" s="2" t="str">
        <x:v>2024–2025</x:v>
      </x:c>
      <x:c r="AR264" s="2" t="str">
        <x:v>https://pubs.usgs.gov/periodicals/mcs2026/mcs2026.pdf; https://www.iea.org/reports/global-critical-minerals-outlook-2025</x:v>
      </x:c>
    </x:row>
    <x:row r="265" ht="240" customHeight="1">
      <x:c r="A265" s="2" t="str">
        <x:v>MIT-0258</x:v>
      </x:c>
      <x:c r="B265" s="2" t="str">
        <x:v>Mitigation</x:v>
      </x:c>
      <x:c r="C265" s="2" t="str">
        <x:v>Industry</x:v>
      </x:c>
      <x:c r="D265" s="2" t="str">
        <x:v>Chemicals management</x:v>
      </x:c>
      <x:c r="E265" s="2" t="str">
        <x:v>Nitric acid</x:v>
      </x:c>
      <x:c r="F265" s="2" t="str">
        <x:v>Nitric acid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It suppresses N₂O formation through process optimisation or destroys N₂O catalytically in the process or tail gas; performance is verified by continuous concentration and flow measurement.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5" s="2" t="str">
        <x:v>Flexible</x:v>
      </x:c>
      <x:c r="H265" s="2" t="str">
        <x:v>Nitric acid is transferable through configurable methods, rules and operating parameters. Its principle remains the same, but resource quality, climate, scale, interfaces and safety constraints must be recalculated for each deployment.</x:v>
      </x:c>
      <x:c r="I265" s="2" t="str">
        <x:v>Primarily soft, with physical support</x:v>
      </x:c>
      <x:c r="J265" s="2" t="str">
        <x:v>Nitric acid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5" s="2" t="str">
        <x:v>Operation</x:v>
      </x:c>
      <x:c r="L265" s="2" t="str">
        <x:v>Nitric acid is embodied mainly as an operating practice. The deliverable is accepted only when measurable service, quality, safety and climate-performance criteria are met under real conditions.</x:v>
      </x:c>
      <x:c r="M265" s="2" t="str">
        <x:v>Yes, subject to life-cycle safeguards</x:v>
      </x:c>
      <x:c r="N265" s="2" t="str">
        <x:v>Nitric acid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5" s="2" t="str">
        <x:v>Nitric acid: process reactors or furnaces, heat exchangers, motors and drives, compressors, burners, controls, pollution abatement, material handling and measurement equipment.</x:v>
      </x:c>
      <x:c r="P265" s="2" t="str">
        <x:v>Nitric acid: process simulation, pinch and heat-integration analysis, advanced control, production scheduling, quality control, energy management and life-cycle assessment.</x:v>
      </x:c>
      <x:c r="Q265" s="2" t="str">
        <x:v>Nitric acid: industrial permits, product standards, operating procedures, maintenance and competence systems, procurement, energy management and industrial-symbiosis agreements.</x:v>
      </x:c>
      <x:c r="R265" s="2" t="str">
        <x:v>Nitric acid: industrial site, utilities, fuel and electricity supply, material storage, process buildings, laboratories, waste handling and logistics.</x:v>
      </x:c>
      <x:c r="S265" s="2" t="str">
        <x:v>Nitric acid: electricity, steam, process heat, cooling and fuels; useful-energy efficiency, heat recovery and carbon intensity of supply determine savings.</x:v>
      </x:c>
      <x:c r="T265" s="2" t="str">
        <x:v>Nitric acid: process feedstocks, steel and refractory materials, catalysts, solvents, lubricants, insulation, piping, sensors and technology-specific alloying elements.</x:v>
      </x:c>
      <x:c r="U265" s="2" t="str">
        <x:v>Nitric acid: refractory linings, bearings, seals, valves, filters, burners, electrodes, sensors, control modules, lubricants and calibrated instruments.</x:v>
      </x:c>
      <x:c r="V265" s="2" t="str">
        <x:v>https://www.ctc-n.org/sites/default/files/resources/ctcn_taxonomy_0.pdf</x:v>
      </x:c>
      <x:c r="W265" s="2" t="str">
        <x:v>https://institutoagricoladepueblobello.edu.co/colegiapp/archivostemas/GUIA%209.%5B25%5D.pdf</x:v>
      </x:c>
      <x:c r="X265" s="2" t="str">
        <x:v>https://iiasa.ac.at/what-is-technology</x:v>
      </x:c>
      <x:c r="Y265" s="2" t="str">
        <x:v>https://www.ipcc.ch/report/ar6/wg3/chapter/chapter-11/</x:v>
      </x:c>
      <x:c r="Z265" s="2" t="str">
        <x:v>Technology-specific analytical synthesis. The CTCN hierarchy is retained; classifications and component dependencies require validation against the selected design, site and supplier documentation before investment or policy use.</x:v>
      </x:c>
      <x:c r="AA265" s="2" t="str">
        <x:v>Physical deployment of Nitric acid requires industrial site, utilities, fuel and electricity supply, material storage, process buildings, laboratories, waste handling and logistics; interfaces, foundations, access and environmental protection are sized to the specific resource and design load.</x:v>
      </x:c>
      <x:c r="AB265" s="2" t="str">
        <x:v>For Nitric acid,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5" s="2" t="str">
        <x:v>Construction and operation use process feedstocks, steel and refractory materials, catalysts, solvents, lubricants, insulation, piping, sensors and technology-specific alloying elements. For Nitric acid, specifications must include durability, compatibility, recycled content and recoverability.</x:v>
      </x:c>
      <x:c r="AD265" s="2" t="str">
        <x:v>Maintenance of Nitric acid depends on refractory linings, bearings, seals, valves, filters, burners, electrodes, sensors, control modules, lubricants and calibrated instruments; critical spares are selected from failure-mode, lead-time and safety analysis for its installed configuration.</x:v>
      </x:c>
      <x:c r="AE265" s="2" t="str">
        <x:v>The software stack for Nitric acid requires databases, secure communications, version-controlled models, computing, backup and interfaces with field or operational systems.</x:v>
      </x:c>
      <x:c r="AF265" s="2" t="str">
        <x:v>For Nitric acid, software-related energy is electricity for sensing, computing, storage, communication and cooling; it is normally secondary but must be included for data-intensive or continuous services.</x:v>
      </x:c>
      <x:c r="AG265" s="2" t="str">
        <x:v>The non-physical inputs are calibrated data, metadata, algorithms, boundary conditions, emission or hazard factors, manuals and validation records specific to Nitric acid.</x:v>
      </x:c>
      <x:c r="AH265" s="2" t="str">
        <x:v>Software continuity for Nitric acid requires licences where applicable, updates, cybersecurity patches, backups, calibration files, model validation and technical support.</x:v>
      </x:c>
      <x:c r="AI265" s="2" t="str">
        <x:v>Orgware depends on the institutions, laboratories, training providers, regulators, operators and community interfaces needed to govern Nitric acid.</x:v>
      </x:c>
      <x:c r="AJ265" s="2" t="str">
        <x:v>The orgware supporting Nitric acid has mainly indirect energy use from offices, meetings, training and information systems; travel and field supervision may be material at dispersed sites.</x:v>
      </x:c>
      <x:c r="AK265" s="2" t="str">
        <x:v>Its organisational inputs are permits, budgets, trained staff, competence records, contracts, procedures, safeguards, monitoring evidence and stakeholder agreements tailored to Nitric acid.</x:v>
      </x:c>
      <x:c r="AL265" s="2" t="str">
        <x:v>Sustained implementation of Nitric acid requires procurement and service contracts, audit protocols, training material, reporting templates, insurance or guarantees and periodic independent review.</x:v>
      </x:c>
      <x:c r="AM265" s="2" t="str">
        <x:v>Iron ore / steel inputs; Platinum-group metals; Nickel; Chromium</x:v>
      </x:c>
      <x:c r="AN265" s="2" t="str">
        <x:v>Australia; Brazil; China; South Africa; Russia; Zimbabwe; Indonesia; Philippines; Kazakhstan; Turkey</x:v>
      </x:c>
      <x:c r="AO265" s="2" t="str">
        <x:v>China; India; Japan; South Africa; Russia; Germany; Indonesia; Kazakhstan</x:v>
      </x:c>
      <x:c r="AP265" s="2" t="str">
        <x:v>Nitric acid: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5" s="2" t="str">
        <x:v>2024–2025</x:v>
      </x:c>
      <x:c r="AR265" s="2" t="str">
        <x:v>https://pubs.usgs.gov/periodicals/mcs2026/mcs2026.pdf; https://www.iea.org/reports/global-critical-minerals-outlook-2025</x:v>
      </x:c>
    </x:row>
    <x:row r="266" ht="240" customHeight="1">
      <x:c r="A266" s="2" t="str">
        <x:v>MIT-0259</x:v>
      </x:c>
      <x:c r="B266" s="2" t="str">
        <x:v>Mitigation</x:v>
      </x:c>
      <x:c r="C266" s="2" t="str">
        <x:v>Industry</x:v>
      </x:c>
      <x:c r="D266" s="2" t="str">
        <x:v>Chemicals management</x:v>
      </x:c>
      <x:c r="E266" s="2" t="str">
        <x:v>NF3 reduction</x:v>
      </x:c>
      <x:c r="F266" s="2" t="str">
        <x:v>NF3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NF3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6" s="2" t="str">
        <x:v>Flexible</x:v>
      </x:c>
      <x:c r="H266" s="2" t="str">
        <x:v>NF3 reduction is transferable through configurable methods, rules and operating parameters. Its principle remains the same, but resource quality, climate, scale, interfaces and safety constraints must be recalculated for each deployment.</x:v>
      </x:c>
      <x:c r="I266" s="2" t="str">
        <x:v>Primarily soft, with physical support</x:v>
      </x:c>
      <x:c r="J266" s="2" t="str">
        <x:v>NF3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6" s="2" t="str">
        <x:v>Operation</x:v>
      </x:c>
      <x:c r="L266" s="2" t="str">
        <x:v>NF3 reduction is embodied mainly as an operating practice. The deliverable is accepted only when measurable service, quality, safety and climate-performance criteria are met under real conditions.</x:v>
      </x:c>
      <x:c r="M266" s="2" t="str">
        <x:v>Yes, subject to life-cycle safeguards</x:v>
      </x:c>
      <x:c r="N266" s="2" t="str">
        <x:v>NF3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6" s="2" t="str">
        <x:v>NF3 reduction: process reactors or furnaces, heat exchangers, motors and drives, compressors, burners, controls, pollution abatement, material handling and measurement equipment.</x:v>
      </x:c>
      <x:c r="P266" s="2" t="str">
        <x:v>NF3 reduction: process simulation, pinch and heat-integration analysis, advanced control, production scheduling, quality control, energy management and life-cycle assessment.</x:v>
      </x:c>
      <x:c r="Q266" s="2" t="str">
        <x:v>NF3 reduction: industrial permits, product standards, operating procedures, maintenance and competence systems, procurement, energy management and industrial-symbiosis agreements.</x:v>
      </x:c>
      <x:c r="R266" s="2" t="str">
        <x:v>NF3 reduction: industrial site, utilities, fuel and electricity supply, material storage, process buildings, laboratories, waste handling and logistics.</x:v>
      </x:c>
      <x:c r="S266" s="2" t="str">
        <x:v>NF3 reduction: electricity, steam, process heat, cooling and fuels; useful-energy efficiency, heat recovery and carbon intensity of supply determine savings.</x:v>
      </x:c>
      <x:c r="T266" s="2" t="str">
        <x:v>NF3 reduction: process feedstocks, steel and refractory materials, catalysts, solvents, lubricants, insulation, piping, sensors and technology-specific alloying elements.</x:v>
      </x:c>
      <x:c r="U266" s="2" t="str">
        <x:v>NF3 reduction: refractory linings, bearings, seals, valves, filters, burners, electrodes, sensors, control modules, lubricants and calibrated instruments.</x:v>
      </x:c>
      <x:c r="V266" s="2" t="str">
        <x:v>https://www.ctc-n.org/sites/default/files/resources/ctcn_taxonomy_0.pdf</x:v>
      </x:c>
      <x:c r="W266" s="2" t="str">
        <x:v>https://institutoagricoladepueblobello.edu.co/colegiapp/archivostemas/GUIA%209.%5B25%5D.pdf</x:v>
      </x:c>
      <x:c r="X266" s="2" t="str">
        <x:v>https://iiasa.ac.at/what-is-technology</x:v>
      </x:c>
      <x:c r="Y266" s="2" t="str">
        <x:v>https://www.ipcc.ch/report/ar6/wg3/chapter/chapter-11/</x:v>
      </x:c>
      <x:c r="Z266" s="2" t="str">
        <x:v>Technology-specific analytical synthesis. The CTCN hierarchy is retained; classifications and component dependencies require validation against the selected design, site and supplier documentation before investment or policy use.</x:v>
      </x:c>
      <x:c r="AA266" s="2" t="str">
        <x:v>Physical deployment of NF3 reduction requires industrial site, utilities, fuel and electricity supply, material storage, process buildings, laboratories, waste handling and logistics; interfaces, foundations, access and environmental protection are sized to the specific resource and design load.</x:v>
      </x:c>
      <x:c r="AB266" s="2" t="str">
        <x:v>For NF3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6" s="2" t="str">
        <x:v>Construction and operation use process feedstocks, steel and refractory materials, catalysts, solvents, lubricants, insulation, piping, sensors and technology-specific alloying elements. For NF3 reduction, specifications must include durability, compatibility, recycled content and recoverability.</x:v>
      </x:c>
      <x:c r="AD266" s="2" t="str">
        <x:v>Maintenance of NF3 reduction depends on refractory linings, bearings, seals, valves, filters, burners, electrodes, sensors, control modules, lubricants and calibrated instruments; critical spares are selected from failure-mode, lead-time and safety analysis for its installed configuration.</x:v>
      </x:c>
      <x:c r="AE266" s="2" t="str">
        <x:v>The software stack for NF3 reduction requires databases, secure communications, version-controlled models, computing, backup and interfaces with field or operational systems.</x:v>
      </x:c>
      <x:c r="AF266" s="2" t="str">
        <x:v>For NF3 reduction, software-related energy is electricity for sensing, computing, storage, communication and cooling; it is normally secondary but must be included for data-intensive or continuous services.</x:v>
      </x:c>
      <x:c r="AG266" s="2" t="str">
        <x:v>The non-physical inputs are calibrated data, metadata, algorithms, boundary conditions, emission or hazard factors, manuals and validation records specific to NF3 reduction.</x:v>
      </x:c>
      <x:c r="AH266" s="2" t="str">
        <x:v>Software continuity for NF3 reduction requires licences where applicable, updates, cybersecurity patches, backups, calibration files, model validation and technical support.</x:v>
      </x:c>
      <x:c r="AI266" s="2" t="str">
        <x:v>Orgware depends on the institutions, laboratories, training providers, regulators, operators and community interfaces needed to govern NF3 reduction.</x:v>
      </x:c>
      <x:c r="AJ266" s="2" t="str">
        <x:v>The orgware supporting NF3 reduction has mainly indirect energy use from offices, meetings, training and information systems; travel and field supervision may be material at dispersed sites.</x:v>
      </x:c>
      <x:c r="AK266" s="2" t="str">
        <x:v>Its organisational inputs are permits, budgets, trained staff, competence records, contracts, procedures, safeguards, monitoring evidence and stakeholder agreements tailored to NF3 reduction.</x:v>
      </x:c>
      <x:c r="AL266" s="2" t="str">
        <x:v>Sustained implementation of NF3 reduction requires procurement and service contracts, audit protocols, training material, reporting templates, insurance or guarantees and periodic independent review.</x:v>
      </x:c>
      <x:c r="AM266" s="2" t="str">
        <x:v>Iron ore / steel inputs; Nickel; Chromium</x:v>
      </x:c>
      <x:c r="AN266" s="2" t="str">
        <x:v>Australia; Brazil; China; Indonesia; Philippines; Russia; South Africa; Kazakhstan; Turkey</x:v>
      </x:c>
      <x:c r="AO266" s="2" t="str">
        <x:v>China; India; Japan; Indonesia; South Africa; Kazakhstan</x:v>
      </x:c>
      <x:c r="AP266" s="2" t="str">
        <x:v>NF3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6" s="2" t="str">
        <x:v>2024–2025</x:v>
      </x:c>
      <x:c r="AR266" s="2" t="str">
        <x:v>https://pubs.usgs.gov/periodicals/mcs2026/mcs2026.pdf; https://www.iea.org/reports/global-critical-minerals-outlook-2025</x:v>
      </x:c>
    </x:row>
    <x:row r="267" ht="240" customHeight="1">
      <x:c r="A267" s="2" t="str">
        <x:v>MIT-0260</x:v>
      </x:c>
      <x:c r="B267" s="2" t="str">
        <x:v>Mitigation</x:v>
      </x:c>
      <x:c r="C267" s="2" t="str">
        <x:v>Industry</x:v>
      </x:c>
      <x:c r="D267" s="2" t="str">
        <x:v>Transport of raw fuels</x:v>
      </x:c>
      <x:c r="E267" s="2" t="str">
        <x:v>Coal transport</x:v>
      </x:c>
      <x:c r="F267" s="2" t="str">
        <x:v>Coal transport is a mitigation technology in the Industry sector and the Transport of raw fuels technology group. It is defined as a combined hardware–software–orgware system that changes industrial chemistry, heat integration, equipment efficiency, material yield, fuel, process route or product design to reduce direct and energy-related emissions per unit of output. Coal transport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7" s="2" t="str">
        <x:v>Mixed: adaptable design, site-specific implementation</x:v>
      </x:c>
      <x:c r="H267" s="2" t="str">
        <x:v>Coal transport is adaptable in capacity and configuration but site-specific in final engineering. Its principle remains the same, but resource quality, climate, scale, interfaces and safety constraints must be recalculated for each deployment.</x:v>
      </x:c>
      <x:c r="I267" s="2" t="str">
        <x:v>Primarily hard, with a soft component</x:v>
      </x:c>
      <x:c r="J267" s="2" t="str">
        <x:v>Coal transport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7" s="2" t="str">
        <x:v>Equipment and operation</x:v>
      </x:c>
      <x:c r="L267" s="2" t="str">
        <x:v>Coal transport is embodied mainly as an equipment-and-operation system. The deliverable is accepted only when measurable service, quality, safety and climate-performance criteria are met under real conditions.</x:v>
      </x:c>
      <x:c r="M267" s="2" t="str">
        <x:v>Yes, subject to life-cycle safeguards</x:v>
      </x:c>
      <x:c r="N267" s="2" t="str">
        <x:v>Coal transport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7" s="2" t="str">
        <x:v>Coal transport: process reactors or furnaces, heat exchangers, motors and drives, compressors, burners, controls, pollution abatement, material handling and measurement equipment.</x:v>
      </x:c>
      <x:c r="P267" s="2" t="str">
        <x:v>Coal transport: process simulation, pinch and heat-integration analysis, advanced control, production scheduling, quality control, energy management and life-cycle assessment.</x:v>
      </x:c>
      <x:c r="Q267" s="2" t="str">
        <x:v>Coal transport: industrial permits, product standards, operating procedures, maintenance and competence systems, procurement, energy management and industrial-symbiosis agreements.</x:v>
      </x:c>
      <x:c r="R267" s="2" t="str">
        <x:v>Coal transport: industrial site, utilities, fuel and electricity supply, material storage, process buildings, laboratories, waste handling and logistics.</x:v>
      </x:c>
      <x:c r="S267" s="2" t="str">
        <x:v>Coal transport: electricity, steam, process heat, cooling and fuels; useful-energy efficiency, heat recovery and carbon intensity of supply determine savings.</x:v>
      </x:c>
      <x:c r="T267" s="2" t="str">
        <x:v>Coal transport: process feedstocks, steel and refractory materials, catalysts, solvents, lubricants, insulation, piping, sensors and technology-specific alloying elements.</x:v>
      </x:c>
      <x:c r="U267" s="2" t="str">
        <x:v>Coal transport: refractory linings, bearings, seals, valves, filters, burners, electrodes, sensors, control modules, lubricants and calibrated instruments.</x:v>
      </x:c>
      <x:c r="V267" s="2" t="str">
        <x:v>https://www.ctc-n.org/sites/default/files/resources/ctcn_taxonomy_0.pdf</x:v>
      </x:c>
      <x:c r="W267" s="2" t="str">
        <x:v>https://institutoagricoladepueblobello.edu.co/colegiapp/archivostemas/GUIA%209.%5B25%5D.pdf</x:v>
      </x:c>
      <x:c r="X267" s="2" t="str">
        <x:v>https://iiasa.ac.at/what-is-technology</x:v>
      </x:c>
      <x:c r="Y267" s="2" t="str">
        <x:v>https://www.ipcc.ch/report/ar6/wg3/chapter/chapter-11/</x:v>
      </x:c>
      <x:c r="Z267" s="2" t="str">
        <x:v>Technology-specific analytical synthesis. The CTCN hierarchy is retained; classifications and component dependencies require validation against the selected design, site and supplier documentation before investment or policy use.</x:v>
      </x:c>
      <x:c r="AA267" s="2" t="str">
        <x:v>Physical deployment of Coal transport requires industrial site, utilities, fuel and electricity supply, material storage, process buildings, laboratories, waste handling and logistics; interfaces, foundations, access and environmental protection are sized to the specific resource and design load.</x:v>
      </x:c>
      <x:c r="AB267" s="2" t="str">
        <x:v>For Coal transport,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7" s="2" t="str">
        <x:v>Construction and operation use process feedstocks, steel and refractory materials, catalysts, solvents, lubricants, insulation, piping, sensors and technology-specific alloying elements. For Coal transport, specifications must include durability, compatibility, recycled content and recoverability.</x:v>
      </x:c>
      <x:c r="AD267" s="2" t="str">
        <x:v>Maintenance of Coal transport depends on refractory linings, bearings, seals, valves, filters, burners, electrodes, sensors, control modules, lubricants and calibrated instruments; critical spares are selected from failure-mode, lead-time and safety analysis for its installed configuration.</x:v>
      </x:c>
      <x:c r="AE267" s="2" t="str">
        <x:v>The software stack for Coal transport requires databases, secure communications, version-controlled models, computing, backup and interfaces with field or operational systems.</x:v>
      </x:c>
      <x:c r="AF267" s="2" t="str">
        <x:v>For Coal transport, software-related energy is electricity for sensing, computing, storage, communication and cooling; it is normally secondary but must be included for data-intensive or continuous services.</x:v>
      </x:c>
      <x:c r="AG267" s="2" t="str">
        <x:v>The non-physical inputs are calibrated data, metadata, algorithms, boundary conditions, emission or hazard factors, manuals and validation records specific to Coal transport.</x:v>
      </x:c>
      <x:c r="AH267" s="2" t="str">
        <x:v>Software continuity for Coal transport requires licences where applicable, updates, cybersecurity patches, backups, calibration files, model validation and technical support.</x:v>
      </x:c>
      <x:c r="AI267" s="2" t="str">
        <x:v>Orgware depends on the institutions, laboratories, training providers, regulators, operators and community interfaces needed to govern Coal transport.</x:v>
      </x:c>
      <x:c r="AJ267" s="2" t="str">
        <x:v>The orgware supporting Coal transport has mainly indirect energy use from offices, meetings, training and information systems; travel and field supervision may be material at dispersed sites.</x:v>
      </x:c>
      <x:c r="AK267" s="2" t="str">
        <x:v>Its organisational inputs are permits, budgets, trained staff, competence records, contracts, procedures, safeguards, monitoring evidence and stakeholder agreements tailored to Coal transport.</x:v>
      </x:c>
      <x:c r="AL267" s="2" t="str">
        <x:v>Sustained implementation of Coal transport requires procurement and service contracts, audit protocols, training material, reporting templates, insurance or guarantees and periodic independent review.</x:v>
      </x:c>
      <x:c r="AM267" s="2" t="str">
        <x:v>Iron ore / steel inputs</x:v>
      </x:c>
      <x:c r="AN267" s="2" t="str">
        <x:v>Australia; Brazil; China</x:v>
      </x:c>
      <x:c r="AO267" s="2" t="str">
        <x:v>China; India; Japan</x:v>
      </x:c>
      <x:c r="AP267" s="2" t="str">
        <x:v>Coal transport: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7" s="2" t="str">
        <x:v>2024–2025</x:v>
      </x:c>
      <x:c r="AR267" s="2" t="str">
        <x:v>https://pubs.usgs.gov/periodicals/mcs2026/mcs2026.pdf</x:v>
      </x:c>
    </x:row>
    <x:row r="268" ht="240" customHeight="1">
      <x:c r="A268" s="2" t="str">
        <x:v>MIT-0261</x:v>
      </x:c>
      <x:c r="B268" s="2" t="str">
        <x:v>Mitigation</x:v>
      </x:c>
      <x:c r="C268" s="2" t="str">
        <x:v>Industry</x:v>
      </x:c>
      <x:c r="D268" s="2" t="str">
        <x:v>Transport of raw fuels</x:v>
      </x:c>
      <x:c r="E268" s="2" t="str">
        <x:v>Biomass transport</x:v>
      </x:c>
      <x:c r="F268" s="2" t="str">
        <x:v>Biomass transport is a mitigation technology in the Industry sector and the Transport of raw fuels technology group. It is defined as a combined hardware–software–orgware system that controls biological or thermochemical conversion of biomass, residues, solid waste or wastewater to avoid methane, recover materials and energy, or stabilise organic matter. Biomass transport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268" s="2" t="str">
        <x:v>Mixed: adaptable design, site-specific implementation</x:v>
      </x:c>
      <x:c r="H268" s="2" t="str">
        <x:v>Biomass transport is adaptable in capacity and configuration but site-specific in final engineering. Its principle remains the same, but resource quality, climate, scale, interfaces and safety constraints must be recalculated for each deployment.</x:v>
      </x:c>
      <x:c r="I268" s="2" t="str">
        <x:v>Primarily hard, with a soft component</x:v>
      </x:c>
      <x:c r="J268" s="2" t="str">
        <x:v>Biomass transport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268" s="2" t="str">
        <x:v>Equipment and operation</x:v>
      </x:c>
      <x:c r="L268" s="2" t="str">
        <x:v>Biomass transport is embodied mainly as an equipment-and-operation system. The deliverable is accepted only when measurable service, quality, safety and climate-performance criteria are met under real conditions.</x:v>
      </x:c>
      <x:c r="M268" s="2" t="str">
        <x:v>Yes, subject to life-cycle safeguards</x:v>
      </x:c>
      <x:c r="N268" s="2" t="str">
        <x:v>Biomass transport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268" s="2" t="str">
        <x:v>Biomass transport: collection and sorting equipment, reactors or digesters, aeration, gas handling, thermal conversion, pollution control and product conditioning.</x:v>
      </x:c>
      <x:c r="P268" s="2" t="str">
        <x:v>Biomass transport: feedstock characterisation, mass balances, biological or thermal process control, methane accounting, quality assurance and logistics optimisation.</x:v>
      </x:c>
      <x:c r="Q268" s="2" t="str">
        <x:v>Biomass transport: waste hierarchy, source separation, collection contracts, emission permits, digestate or product standards, occupational safety and informal-sector inclusion.</x:v>
      </x:c>
      <x:c r="R268" s="2" t="str">
        <x:v>Biomass transport: collection network, transfer and treatment sites, weighbridge, drainage, electricity or heat connection, gas line and residue disposal.</x:v>
      </x:c>
      <x:c r="S268" s="2" t="str">
        <x:v>Biomass transport: electricity, process heat or auxiliary fuel; recovered biogas, syngas, heat or electricity may offset external energy.</x:v>
      </x:c>
      <x:c r="T268" s="2" t="str">
        <x:v>Biomass transport: steel, concrete, polymers, filters, catalysts or sorbents, biological inoculum and treatment chemicals according to the process.</x:v>
      </x:c>
      <x:c r="U268" s="2" t="str">
        <x:v>Biomass transport: pumps, screens, blowers, mixers, seals, burners, analysers, filter media, reagents and personal protective equipment.</x:v>
      </x:c>
      <x:c r="V268" s="2" t="str">
        <x:v>https://www.ctc-n.org/sites/default/files/resources/ctcn_taxonomy_0.pdf</x:v>
      </x:c>
      <x:c r="W268" s="2" t="str">
        <x:v>https://institutoagricoladepueblobello.edu.co/colegiapp/archivostemas/GUIA%209.%5B25%5D.pdf</x:v>
      </x:c>
      <x:c r="X268" s="2" t="str">
        <x:v>https://iiasa.ac.at/what-is-technology</x:v>
      </x:c>
      <x:c r="Y268" s="2" t="str">
        <x:v>https://www.ipcc.ch/report/ar6/wg3/chapter/chapter-11/; https://www.unep.org/resources/report/global-waste-management-outlook-2024</x:v>
      </x:c>
      <x:c r="Z268" s="2" t="str">
        <x:v>Technology-specific analytical synthesis. The CTCN hierarchy is retained; classifications and component dependencies require validation against the selected design, site and supplier documentation before investment or policy use.</x:v>
      </x:c>
      <x:c r="AA268" s="2" t="str">
        <x:v>Physical deployment of Biomass transport requires collection network, transfer and treatment sites, weighbridge, drainage, electricity or heat connection, gas line and residue disposal; interfaces, foundations, access and environmental protection are sized to the specific resource and design load.</x:v>
      </x:c>
      <x:c r="AB268" s="2" t="str">
        <x:v>For Biomass transport, the hardware energy balance comprises electricity, process heat or auxiliary fuel; recovered biogas, syngas, heat or electricity may offset external energy; metering must separate useful output, conversion losses and auxiliaries for the selected design.</x:v>
      </x:c>
      <x:c r="AC268" s="2" t="str">
        <x:v>Construction and operation use steel, concrete, polymers, filters, catalysts or sorbents, biological inoculum and treatment chemicals according to the process. For Biomass transport, specifications must include durability, compatibility, recycled content and recoverability.</x:v>
      </x:c>
      <x:c r="AD268" s="2" t="str">
        <x:v>Maintenance of Biomass transport depends on pumps, screens, blowers, mixers, seals, burners, analysers, filter media, reagents and personal protective equipment; critical spares are selected from failure-mode, lead-time and safety analysis for its installed configuration.</x:v>
      </x:c>
      <x:c r="AE268" s="2" t="str">
        <x:v>The software stack for Biomass transport requires databases, secure communications, version-controlled models, computing, backup and interfaces with field or operational systems.</x:v>
      </x:c>
      <x:c r="AF268" s="2" t="str">
        <x:v>For Biomass transport, software-related energy is electricity for sensing, computing, storage, communication and cooling; it is normally secondary but must be included for data-intensive or continuous services.</x:v>
      </x:c>
      <x:c r="AG268" s="2" t="str">
        <x:v>The non-physical inputs are calibrated data, metadata, algorithms, boundary conditions, emission or hazard factors, manuals and validation records specific to Biomass transport.</x:v>
      </x:c>
      <x:c r="AH268" s="2" t="str">
        <x:v>Software continuity for Biomass transport requires licences where applicable, updates, cybersecurity patches, backups, calibration files, model validation and technical support.</x:v>
      </x:c>
      <x:c r="AI268" s="2" t="str">
        <x:v>Orgware depends on the institutions, laboratories, training providers, regulators, operators and community interfaces needed to govern Biomass transport.</x:v>
      </x:c>
      <x:c r="AJ268" s="2" t="str">
        <x:v>The orgware supporting Biomass transport has mainly indirect energy use from offices, meetings, training and information systems; travel and field supervision may be material at dispersed sites.</x:v>
      </x:c>
      <x:c r="AK268" s="2" t="str">
        <x:v>Its organisational inputs are permits, budgets, trained staff, competence records, contracts, procedures, safeguards, monitoring evidence and stakeholder agreements tailored to Biomass transport.</x:v>
      </x:c>
      <x:c r="AL268" s="2" t="str">
        <x:v>Sustained implementation of Biomass transport requires procurement and service contracts, audit protocols, training material, reporting templates, insurance or guarantees and periodic independent review.</x:v>
      </x:c>
      <x:c r="AM268" s="2" t="str">
        <x:v>Iron ore / steel inputs</x:v>
      </x:c>
      <x:c r="AN268" s="2" t="str">
        <x:v>Australia; Brazil; China</x:v>
      </x:c>
      <x:c r="AO268" s="2" t="str">
        <x:v>China; India; Japan</x:v>
      </x:c>
      <x:c r="AP268" s="2" t="str">
        <x:v>Biomass transport: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8" s="2" t="str">
        <x:v>2024–2025</x:v>
      </x:c>
      <x:c r="AR268" s="2" t="str">
        <x:v>https://pubs.usgs.gov/periodicals/mcs2026/mcs2026.pdf</x:v>
      </x:c>
    </x:row>
    <x:row r="269" ht="240" customHeight="1">
      <x:c r="A269" s="2" t="str">
        <x:v>MIT-0262</x:v>
      </x:c>
      <x:c r="B269" s="2" t="str">
        <x:v>Mitigation</x:v>
      </x:c>
      <x:c r="C269" s="2" t="str">
        <x:v>Industry</x:v>
      </x:c>
      <x:c r="D269" s="2" t="str">
        <x:v>Transport of raw fuels</x:v>
      </x:c>
      <x:c r="E269" s="2" t="str">
        <x:v>Liquefaction plants</x:v>
      </x:c>
      <x:c r="F269" s="2" t="str">
        <x:v>Liquefaction plants is a mitigation technology in the Industry sector and the Transport of raw fuels technology group. It is defined as a combined hardware–software–orgware system that changes industrial chemistry, heat integration, equipment efficiency, material yield, fuel, process route or product design to reduce direct and energy-related emissions per unit of output. Liquefaction plants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9" s="2" t="str">
        <x:v>Primarily fixed</x:v>
      </x:c>
      <x:c r="H269" s="2" t="str">
        <x:v>Liquefaction plants is tied to long-lived, site-specific assets and design loads. Its principle remains the same, but resource quality, climate, scale, interfaces and safety constraints must be recalculated for each deployment.</x:v>
      </x:c>
      <x:c r="I269" s="2" t="str">
        <x:v>Primarily hard, with a soft component</x:v>
      </x:c>
      <x:c r="J269" s="2" t="str">
        <x:v>Liquefaction plants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9" s="2" t="str">
        <x:v>Equipment and operation</x:v>
      </x:c>
      <x:c r="L269" s="2" t="str">
        <x:v>Liquefaction plants is embodied mainly as an equipment-and-operation system. The deliverable is accepted only when measurable service, quality, safety and climate-performance criteria are met under real conditions.</x:v>
      </x:c>
      <x:c r="M269" s="2" t="str">
        <x:v>Yes, subject to life-cycle safeguards</x:v>
      </x:c>
      <x:c r="N269" s="2" t="str">
        <x:v>Liquefaction plants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9" s="2" t="str">
        <x:v>Liquefaction plants: process reactors or furnaces, heat exchangers, motors and drives, compressors, burners, controls, pollution abatement, material handling and measurement equipment.</x:v>
      </x:c>
      <x:c r="P269" s="2" t="str">
        <x:v>Liquefaction plants: process simulation, pinch and heat-integration analysis, advanced control, production scheduling, quality control, energy management and life-cycle assessment.</x:v>
      </x:c>
      <x:c r="Q269" s="2" t="str">
        <x:v>Liquefaction plants: industrial permits, product standards, operating procedures, maintenance and competence systems, procurement, energy management and industrial-symbiosis agreements.</x:v>
      </x:c>
      <x:c r="R269" s="2" t="str">
        <x:v>Liquefaction plants: industrial site, utilities, fuel and electricity supply, material storage, process buildings, laboratories, waste handling and logistics.</x:v>
      </x:c>
      <x:c r="S269" s="2" t="str">
        <x:v>Liquefaction plants: electricity, steam, process heat, cooling and fuels; useful-energy efficiency, heat recovery and carbon intensity of supply determine savings.</x:v>
      </x:c>
      <x:c r="T269" s="2" t="str">
        <x:v>Liquefaction plants: process feedstocks, steel and refractory materials, catalysts, solvents, lubricants, insulation, piping, sensors and technology-specific alloying elements.</x:v>
      </x:c>
      <x:c r="U269" s="2" t="str">
        <x:v>Liquefaction plants: refractory linings, bearings, seals, valves, filters, burners, electrodes, sensors, control modules, lubricants and calibrated instruments.</x:v>
      </x:c>
      <x:c r="V269" s="2" t="str">
        <x:v>https://www.ctc-n.org/sites/default/files/resources/ctcn_taxonomy_0.pdf</x:v>
      </x:c>
      <x:c r="W269" s="2" t="str">
        <x:v>https://institutoagricoladepueblobello.edu.co/colegiapp/archivostemas/GUIA%209.%5B25%5D.pdf</x:v>
      </x:c>
      <x:c r="X269" s="2" t="str">
        <x:v>https://iiasa.ac.at/what-is-technology</x:v>
      </x:c>
      <x:c r="Y269" s="2" t="str">
        <x:v>https://www.ipcc.ch/report/ar6/wg3/chapter/chapter-11/</x:v>
      </x:c>
      <x:c r="Z269" s="2" t="str">
        <x:v>Technology-specific analytical synthesis. The CTCN hierarchy is retained; classifications and component dependencies require validation against the selected design, site and supplier documentation before investment or policy use.</x:v>
      </x:c>
      <x:c r="AA269" s="2" t="str">
        <x:v>Physical deployment of Liquefaction plants requires industrial site, utilities, fuel and electricity supply, material storage, process buildings, laboratories, waste handling and logistics; interfaces, foundations, access and environmental protection are sized to the specific resource and design load.</x:v>
      </x:c>
      <x:c r="AB269" s="2" t="str">
        <x:v>For Liquefaction plants,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9" s="2" t="str">
        <x:v>Construction and operation use process feedstocks, steel and refractory materials, catalysts, solvents, lubricants, insulation, piping, sensors and technology-specific alloying elements. For Liquefaction plants, specifications must include durability, compatibility, recycled content and recoverability.</x:v>
      </x:c>
      <x:c r="AD269" s="2" t="str">
        <x:v>Maintenance of Liquefaction plants depends on refractory linings, bearings, seals, valves, filters, burners, electrodes, sensors, control modules, lubricants and calibrated instruments; critical spares are selected from failure-mode, lead-time and safety analysis for its installed configuration.</x:v>
      </x:c>
      <x:c r="AE269" s="2" t="str">
        <x:v>The software stack for Liquefaction plants requires databases, secure communications, version-controlled models, computing, backup and interfaces with field or operational systems.</x:v>
      </x:c>
      <x:c r="AF269" s="2" t="str">
        <x:v>For Liquefaction plants, software-related energy is electricity for sensing, computing, storage, communication and cooling; it is normally secondary but must be included for data-intensive or continuous services.</x:v>
      </x:c>
      <x:c r="AG269" s="2" t="str">
        <x:v>The non-physical inputs are calibrated data, metadata, algorithms, boundary conditions, emission or hazard factors, manuals and validation records specific to Liquefaction plants.</x:v>
      </x:c>
      <x:c r="AH269" s="2" t="str">
        <x:v>Software continuity for Liquefaction plants requires licences where applicable, updates, cybersecurity patches, backups, calibration files, model validation and technical support.</x:v>
      </x:c>
      <x:c r="AI269" s="2" t="str">
        <x:v>Orgware depends on the institutions, laboratories, training providers, regulators, operators and community interfaces needed to govern Liquefaction plants.</x:v>
      </x:c>
      <x:c r="AJ269" s="2" t="str">
        <x:v>The orgware supporting Liquefaction plants has mainly indirect energy use from offices, meetings, training and information systems; travel and field supervision may be material at dispersed sites.</x:v>
      </x:c>
      <x:c r="AK269" s="2" t="str">
        <x:v>Its organisational inputs are permits, budgets, trained staff, competence records, contracts, procedures, safeguards, monitoring evidence and stakeholder agreements tailored to Liquefaction plants.</x:v>
      </x:c>
      <x:c r="AL269" s="2" t="str">
        <x:v>Sustained implementation of Liquefaction plants requires procurement and service contracts, audit protocols, training material, reporting templates, insurance or guarantees and periodic independent review.</x:v>
      </x:c>
      <x:c r="AM269" s="2" t="str">
        <x:v>Iron ore / steel inputs</x:v>
      </x:c>
      <x:c r="AN269" s="2" t="str">
        <x:v>Australia; Brazil; China</x:v>
      </x:c>
      <x:c r="AO269" s="2" t="str">
        <x:v>China; India; Japan</x:v>
      </x:c>
      <x:c r="AP269" s="2" t="str">
        <x:v>Liquefaction plants: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9" s="2" t="str">
        <x:v>2024–2025</x:v>
      </x:c>
      <x:c r="AR269" s="2" t="str">
        <x:v>https://pubs.usgs.gov/periodicals/mcs2026/mcs2026.pdf</x:v>
      </x:c>
    </x:row>
    <x:row r="270" ht="240" customHeight="1">
      <x:c r="A270" s="2" t="str">
        <x:v>MIT-0263</x:v>
      </x:c>
      <x:c r="B270" s="2" t="str">
        <x:v>Mitigation</x:v>
      </x:c>
      <x:c r="C270" s="2" t="str">
        <x:v>Industry</x:v>
      </x:c>
      <x:c r="D270" s="2" t="str">
        <x:v>Transport of raw fuels</x:v>
      </x:c>
      <x:c r="E270" s="2" t="str">
        <x:v>LNG and LPG carrier</x:v>
      </x:c>
      <x:c r="F270" s="2" t="str">
        <x:v>LNG and LPG carrier is a mitigation technology in the Industry sector and the Transport of raw fuels technology group. It is defined as a combined hardware–software–orgware system that changes industrial chemistry, heat integration, equipment efficiency, material yield, fuel, process route or product design to reduce direct and energy-related emissions per unit of output. LNG and LPG carrier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70" s="2" t="str">
        <x:v>Mixed: adaptable design, site-specific implementation</x:v>
      </x:c>
      <x:c r="H270" s="2" t="str">
        <x:v>LNG and LPG carrier is adaptable in capacity and configuration but site-specific in final engineering. Its principle remains the same, but resource quality, climate, scale, interfaces and safety constraints must be recalculated for each deployment.</x:v>
      </x:c>
      <x:c r="I270" s="2" t="str">
        <x:v>Primarily hard, with a soft component</x:v>
      </x:c>
      <x:c r="J270" s="2" t="str">
        <x:v>LNG and LPG carrier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70" s="2" t="str">
        <x:v>Equipment and operation</x:v>
      </x:c>
      <x:c r="L270" s="2" t="str">
        <x:v>LNG and LPG carrier is embodied mainly as an equipment-and-operation system. The deliverable is accepted only when measurable service, quality, safety and climate-performance criteria are met under real conditions.</x:v>
      </x:c>
      <x:c r="M270" s="2" t="str">
        <x:v>Conditional on performance and life cycle</x:v>
      </x:c>
      <x:c r="N270" s="2" t="str">
        <x:v>LNG and LPG carrier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70" s="2" t="str">
        <x:v>LNG and LPG carrier: process reactors or furnaces, heat exchangers, motors and drives, compressors, burners, controls, pollution abatement, material handling and measurement equipment.</x:v>
      </x:c>
      <x:c r="P270" s="2" t="str">
        <x:v>LNG and LPG carrier: process simulation, pinch and heat-integration analysis, advanced control, production scheduling, quality control, energy management and life-cycle assessment.</x:v>
      </x:c>
      <x:c r="Q270" s="2" t="str">
        <x:v>LNG and LPG carrier: industrial permits, product standards, operating procedures, maintenance and competence systems, procurement, energy management and industrial-symbiosis agreements.</x:v>
      </x:c>
      <x:c r="R270" s="2" t="str">
        <x:v>LNG and LPG carrier: industrial site, utilities, fuel and electricity supply, material storage, process buildings, laboratories, waste handling and logistics.</x:v>
      </x:c>
      <x:c r="S270" s="2" t="str">
        <x:v>LNG and LPG carrier: electricity, steam, process heat, cooling and fuels; useful-energy efficiency, heat recovery and carbon intensity of supply determine savings.</x:v>
      </x:c>
      <x:c r="T270" s="2" t="str">
        <x:v>LNG and LPG carrier: process feedstocks, steel and refractory materials, catalysts, solvents, lubricants, insulation, piping, sensors and technology-specific alloying elements.</x:v>
      </x:c>
      <x:c r="U270" s="2" t="str">
        <x:v>LNG and LPG carrier: refractory linings, bearings, seals, valves, filters, burners, electrodes, sensors, control modules, lubricants and calibrated instruments.</x:v>
      </x:c>
      <x:c r="V270" s="2" t="str">
        <x:v>https://www.ctc-n.org/sites/default/files/resources/ctcn_taxonomy_0.pdf</x:v>
      </x:c>
      <x:c r="W270" s="2" t="str">
        <x:v>https://institutoagricoladepueblobello.edu.co/colegiapp/archivostemas/GUIA%209.%5B25%5D.pdf</x:v>
      </x:c>
      <x:c r="X270" s="2" t="str">
        <x:v>https://iiasa.ac.at/what-is-technology</x:v>
      </x:c>
      <x:c r="Y270" s="2" t="str">
        <x:v>https://www.ipcc.ch/report/ar6/wg3/chapter/chapter-11/</x:v>
      </x:c>
      <x:c r="Z270" s="2" t="str">
        <x:v>Technology-specific analytical synthesis. The CTCN hierarchy is retained; classifications and component dependencies require validation against the selected design, site and supplier documentation before investment or policy use.</x:v>
      </x:c>
      <x:c r="AA270" s="2" t="str">
        <x:v>Physical deployment of LNG and LPG carrier requires industrial site, utilities, fuel and electricity supply, material storage, process buildings, laboratories, waste handling and logistics; interfaces, foundations, access and environmental protection are sized to the specific resource and design load.</x:v>
      </x:c>
      <x:c r="AB270" s="2" t="str">
        <x:v>For LNG and LPG carrier,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70" s="2" t="str">
        <x:v>Construction and operation use process feedstocks, steel and refractory materials, catalysts, solvents, lubricants, insulation, piping, sensors and technology-specific alloying elements. For LNG and LPG carrier, specifications must include durability, compatibility, recycled content and recoverability.</x:v>
      </x:c>
      <x:c r="AD270" s="2" t="str">
        <x:v>Maintenance of LNG and LPG carrier depends on refractory linings, bearings, seals, valves, filters, burners, electrodes, sensors, control modules, lubricants and calibrated instruments; critical spares are selected from failure-mode, lead-time and safety analysis for its installed configuration.</x:v>
      </x:c>
      <x:c r="AE270" s="2" t="str">
        <x:v>The software stack for LNG and LPG carrier requires databases, secure communications, version-controlled models, computing, backup and interfaces with field or operational systems.</x:v>
      </x:c>
      <x:c r="AF270" s="2" t="str">
        <x:v>For LNG and LPG carrier, software-related energy is electricity for sensing, computing, storage, communication and cooling; it is normally secondary but must be included for data-intensive or continuous services.</x:v>
      </x:c>
      <x:c r="AG270" s="2" t="str">
        <x:v>The non-physical inputs are calibrated data, metadata, algorithms, boundary conditions, emission or hazard factors, manuals and validation records specific to LNG and LPG carrier.</x:v>
      </x:c>
      <x:c r="AH270" s="2" t="str">
        <x:v>Software continuity for LNG and LPG carrier requires licences where applicable, updates, cybersecurity patches, backups, calibration files, model validation and technical support.</x:v>
      </x:c>
      <x:c r="AI270" s="2" t="str">
        <x:v>Orgware depends on the institutions, laboratories, training providers, regulators, operators and community interfaces needed to govern LNG and LPG carrier.</x:v>
      </x:c>
      <x:c r="AJ270" s="2" t="str">
        <x:v>The orgware supporting LNG and LPG carrier has mainly indirect energy use from offices, meetings, training and information systems; travel and field supervision may be material at dispersed sites.</x:v>
      </x:c>
      <x:c r="AK270" s="2" t="str">
        <x:v>Its organisational inputs are permits, budgets, trained staff, competence records, contracts, procedures, safeguards, monitoring evidence and stakeholder agreements tailored to LNG and LPG carrier.</x:v>
      </x:c>
      <x:c r="AL270" s="2" t="str">
        <x:v>Sustained implementation of LNG and LPG carrier requires procurement and service contracts, audit protocols, training material, reporting templates, insurance or guarantees and periodic independent review.</x:v>
      </x:c>
      <x:c r="AM270" s="2" t="str">
        <x:v>Iron ore / steel inputs</x:v>
      </x:c>
      <x:c r="AN270" s="2" t="str">
        <x:v>Australia; Brazil; China</x:v>
      </x:c>
      <x:c r="AO270" s="2" t="str">
        <x:v>China; India; Japan</x:v>
      </x:c>
      <x:c r="AP270" s="2" t="str">
        <x:v>LNG and LPG carrier: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0" s="2" t="str">
        <x:v>2024–2025</x:v>
      </x:c>
      <x:c r="AR270" s="2" t="str">
        <x:v>https://pubs.usgs.gov/periodicals/mcs2026/mcs2026.pdf</x:v>
      </x:c>
    </x:row>
    <x:row r="271" ht="240" customHeight="1">
      <x:c r="A271" s="2" t="str">
        <x:v>ADP-0001</x:v>
      </x:c>
      <x:c r="B271" s="2" t="str">
        <x:v>Adaptation</x:v>
      </x:c>
      <x:c r="C271" s="2" t="str">
        <x:v>Early Warning and Environmental Assesment</x:v>
      </x:c>
      <x:c r="D271" s="2" t="str">
        <x:v>Remote sensing &amp; GIS</x:v>
      </x:c>
      <x:c r="E271" s="2" t="str">
        <x:v>Remote sensing &amp; GIS</x:v>
      </x:c>
      <x:c r="F271" s="2" t="str">
        <x:v>Remote sensing &amp; GIS is a adaptation technology in the Early Warning and Environmental Assesment sector and the Remote sensing &amp; GIS technology group. It is defined as a combined hardware–software–orgware system that observes hazards and exposure, assimilates data, models possible evolution, converts forecasts into impact-based warnings and disseminates actionable information before thresholds are exceeded. It measures reflected or emitted electromagnetic energy—or laser travel time—to derive georeferenced surface, vegetation, moisture or elevation variables over areas that cannot be sampled continuously on the ground.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1" s="2" t="str">
        <x:v>Mixed: adaptable design, site-specific implementation</x:v>
      </x:c>
      <x:c r="H271" s="2" t="str">
        <x:v>Remote sensing &amp; GIS is adaptable in capacity and configuration but site-specific in final engineering. Its principle remains the same, but resource quality, climate, scale, interfaces and safety constraints must be recalculated for each deployment.</x:v>
      </x:c>
      <x:c r="I271" s="2" t="str">
        <x:v>Primarily hard, with a soft component</x:v>
      </x:c>
      <x:c r="J271" s="2" t="str">
        <x:v>Remote sensing &amp; GIS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1" s="2" t="str">
        <x:v>Operation</x:v>
      </x:c>
      <x:c r="L271" s="2" t="str">
        <x:v>Remote sensing &amp; GIS is embodied mainly as an operating practice. The deliverable is accepted only when measurable service, quality, safety and climate-performance criteria are met under real conditions.</x:v>
      </x:c>
      <x:c r="M271" s="2" t="str">
        <x:v>Yes, subject to life-cycle safeguards</x:v>
      </x:c>
      <x:c r="N271" s="2" t="str">
        <x:v>Remote sensing &amp; GIS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1" s="2" t="str">
        <x:v>Remote sensing &amp; GIS: in-situ stations, remote sensors, radar or lidar, satellites or receivers, telemetry, servers, backup power, sirens and communication terminals.</x:v>
      </x:c>
      <x:c r="P271" s="2" t="str">
        <x:v>Remote sensing &amp; GIS: quality control, geospatial processing, data assimilation, forecasting, downscaling, hazard and impact models, uncertainty treatment, alert logic and visualisation.</x:v>
      </x:c>
      <x:c r="Q271" s="2" t="str">
        <x:v>Remote sensing &amp; GIS: institutional mandates, data-sharing agreements, warning authority, standard operating procedures, last-mile communication, accessibility, drills and feedback.</x:v>
      </x:c>
      <x:c r="R271" s="2" t="str">
        <x:v>Remote sensing &amp; GIS: observation network, telecommunications, data centre or cloud, operations room, redundant power and multiple dissemination channels.</x:v>
      </x:c>
      <x:c r="S271" s="2" t="str">
        <x:v>Remote sensing &amp; GIS: electricity for sensing, communications, computing, cooling and warning devices, with batteries or generators for continuity during emergencies.</x:v>
      </x:c>
      <x:c r="T271" s="2" t="str">
        <x:v>Remote sensing &amp; GIS: electronics, semiconductors, copper cabling, batteries, antenna and mast materials, optical components, enclosures and calibration standards.</x:v>
      </x:c>
      <x:c r="U271" s="2" t="str">
        <x:v>Remote sensing &amp; GIS: sensor heads, batteries, solar modules, data loggers, modems, cables, connectors, storage media, calibration equipment and siren parts.</x:v>
      </x:c>
      <x:c r="V271" s="2" t="str">
        <x:v>https://www.ctc-n.org/sites/default/files/resources/ctcn_taxonomy_0.pdf</x:v>
      </x:c>
      <x:c r="W271" s="2" t="str">
        <x:v>https://institutoagricoladepueblobello.edu.co/colegiapp/archivostemas/GUIA%209.%5B25%5D.pdf</x:v>
      </x:c>
      <x:c r="X271" s="2" t="str">
        <x:v>https://iiasa.ac.at/what-is-technology</x:v>
      </x:c>
      <x:c r="Y271" s="2" t="str">
        <x:v>https://wmo.int/topics/early-warning-system; https://wmo.int/resources/publication-series/global-status-of-multi-hazard-early-warning-systems/global-status-of-multi-hazard-early-warning-systems-2025</x:v>
      </x:c>
      <x:c r="Z271" s="2" t="str">
        <x:v>Technology-specific analytical synthesis. The CTCN hierarchy is retained; classifications and component dependencies require validation against the selected design, site and supplier documentation before investment or policy use.</x:v>
      </x:c>
      <x:c r="AA271" s="2" t="str">
        <x:v>Physical deployment of Remote sensing &amp; GIS requires observation network, telecommunications, data centre or cloud, operations room, redundant power and multiple dissemination channels; interfaces, foundations, access and environmental protection are sized to the specific resource and design load.</x:v>
      </x:c>
      <x:c r="AB271" s="2" t="str">
        <x:v>For Remote sensing &amp; GIS,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1" s="2" t="str">
        <x:v>Construction and operation use electronics, semiconductors, copper cabling, batteries, antenna and mast materials, optical components, enclosures and calibration standards. For Remote sensing &amp; GIS, specifications must include durability, compatibility, recycled content and recoverability.</x:v>
      </x:c>
      <x:c r="AD271" s="2" t="str">
        <x:v>Maintenance of Remote sensing &amp; GIS depends on sensor heads, batteries, solar modules, data loggers, modems, cables, connectors, storage media, calibration equipment and siren parts; critical spares are selected from failure-mode, lead-time and safety analysis for its installed configuration.</x:v>
      </x:c>
      <x:c r="AE271" s="2" t="str">
        <x:v>The software stack for Remote sensing &amp; GIS requires databases, secure communications, version-controlled models, computing, backup and interfaces with field or operational systems.</x:v>
      </x:c>
      <x:c r="AF271" s="2" t="str">
        <x:v>For Remote sensing &amp; GIS, software-related energy is electricity for sensing, computing, storage, communication and cooling; it is normally secondary but must be included for data-intensive or continuous services.</x:v>
      </x:c>
      <x:c r="AG271" s="2" t="str">
        <x:v>The non-physical inputs are calibrated data, metadata, algorithms, boundary conditions, emission or hazard factors, manuals and validation records specific to Remote sensing &amp; GIS.</x:v>
      </x:c>
      <x:c r="AH271" s="2" t="str">
        <x:v>Software continuity for Remote sensing &amp; GIS requires licences where applicable, updates, cybersecurity patches, backups, calibration files, model validation and technical support.</x:v>
      </x:c>
      <x:c r="AI271" s="2" t="str">
        <x:v>Orgware depends on the institutions, laboratories, training providers, regulators, operators and community interfaces needed to govern Remote sensing &amp; GIS.</x:v>
      </x:c>
      <x:c r="AJ271" s="2" t="str">
        <x:v>The orgware supporting Remote sensing &amp; GIS has mainly indirect energy use from offices, meetings, training and information systems; travel and field supervision may be material at dispersed sites.</x:v>
      </x:c>
      <x:c r="AK271" s="2" t="str">
        <x:v>Its organisational inputs are permits, budgets, trained staff, competence records, contracts, procedures, safeguards, monitoring evidence and stakeholder agreements tailored to Remote sensing &amp; GIS.</x:v>
      </x:c>
      <x:c r="AL271" s="2" t="str">
        <x:v>Sustained implementation of Remote sensing &amp; GIS requires procurement and service contracts, audit protocols, training material, reporting templates, insurance or guarantees and periodic independent review.</x:v>
      </x:c>
      <x:c r="AM271" s="2" t="str">
        <x:v>Iron ore / steel inputs</x:v>
      </x:c>
      <x:c r="AN271" s="2" t="str">
        <x:v>Australia; Brazil; China</x:v>
      </x:c>
      <x:c r="AO271" s="2" t="str">
        <x:v>China; India; Japan</x:v>
      </x:c>
      <x:c r="AP271" s="2" t="str">
        <x:v>Remote sensing &amp; GIS: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1" s="2" t="str">
        <x:v>2024–2025</x:v>
      </x:c>
      <x:c r="AR271" s="2" t="str">
        <x:v>https://pubs.usgs.gov/periodicals/mcs2026/mcs2026.pdf</x:v>
      </x:c>
    </x:row>
    <x:row r="272" ht="240" customHeight="1">
      <x:c r="A272" s="2" t="str">
        <x:v>ADP-0002</x:v>
      </x:c>
      <x:c r="B272" s="2" t="str">
        <x:v>Adaptation</x:v>
      </x:c>
      <x:c r="C272" s="2" t="str">
        <x:v>Early Warning and Environmental Assesment</x:v>
      </x:c>
      <x:c r="D272" s="2" t="str">
        <x:v>Hazard mapping</x:v>
      </x:c>
      <x:c r="E272" s="2" t="str">
        <x:v>seasonal to interannual weather forecast</x:v>
      </x:c>
      <x:c r="F272" s="2" t="str">
        <x:v>seasonal to interannual weather forecast is a adaptation technology in the Early Warning and Environmental Assesment sector and the Hazard mapping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2" s="2" t="str">
        <x:v>Mixed: adaptable design, site-specific implementation</x:v>
      </x:c>
      <x:c r="H272" s="2" t="str">
        <x:v>seasonal to interannual weather forecast is adaptable in capacity and configuration but site-specific in final engineering. Its principle remains the same, but resource quality, climate, scale, interfaces and safety constraints must be recalculated for each deployment.</x:v>
      </x:c>
      <x:c r="I272" s="2" t="str">
        <x:v>Hard and soft</x:v>
      </x:c>
      <x:c r="J272" s="2" t="str">
        <x:v>seasonal to interannual weather forecast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2" s="2" t="str">
        <x:v>Operation and information service</x:v>
      </x:c>
      <x:c r="L272" s="2" t="str">
        <x:v>seasonal to interannual weather forecast is embodied mainly as an information and decision service. The deliverable is accepted only when measurable service, quality, safety and climate-performance criteria are met under real conditions.</x:v>
      </x:c>
      <x:c r="M272" s="2" t="str">
        <x:v>Yes, subject to life-cycle safeguards</x:v>
      </x:c>
      <x:c r="N272" s="2" t="str">
        <x:v>seasonal to interannual weather forecast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2" s="2" t="str">
        <x:v>seasonal to interannual weather forecast: in-situ stations, remote sensors, radar or lidar, satellites or receivers, telemetry, servers, backup power, sirens and communication terminals.</x:v>
      </x:c>
      <x:c r="P272" s="2" t="str">
        <x:v>seasonal to interannual weather forecast: quality control, geospatial processing, data assimilation, forecasting, downscaling, hazard and impact models, uncertainty treatment, alert logic and visualisation.</x:v>
      </x:c>
      <x:c r="Q272" s="2" t="str">
        <x:v>seasonal to interannual weather forecast: institutional mandates, data-sharing agreements, warning authority, standard operating procedures, last-mile communication, accessibility, drills and feedback.</x:v>
      </x:c>
      <x:c r="R272" s="2" t="str">
        <x:v>seasonal to interannual weather forecast: observation network, telecommunications, data centre or cloud, operations room, redundant power and multiple dissemination channels.</x:v>
      </x:c>
      <x:c r="S272" s="2" t="str">
        <x:v>seasonal to interannual weather forecast: electricity for sensing, communications, computing, cooling and warning devices, with batteries or generators for continuity during emergencies.</x:v>
      </x:c>
      <x:c r="T272" s="2" t="str">
        <x:v>seasonal to interannual weather forecast: electronics, semiconductors, copper cabling, batteries, antenna and mast materials, optical components, enclosures and calibration standards.</x:v>
      </x:c>
      <x:c r="U272" s="2" t="str">
        <x:v>seasonal to interannual weather forecast: sensor heads, batteries, solar modules, data loggers, modems, cables, connectors, storage media, calibration equipment and siren parts.</x:v>
      </x:c>
      <x:c r="V272" s="2" t="str">
        <x:v>https://www.ctc-n.org/sites/default/files/resources/ctcn_taxonomy_0.pdf</x:v>
      </x:c>
      <x:c r="W272" s="2" t="str">
        <x:v>https://institutoagricoladepueblobello.edu.co/colegiapp/archivostemas/GUIA%209.%5B25%5D.pdf</x:v>
      </x:c>
      <x:c r="X272" s="2" t="str">
        <x:v>https://iiasa.ac.at/what-is-technology</x:v>
      </x:c>
      <x:c r="Y272" s="2" t="str">
        <x:v>https://wmo.int/topics/early-warning-system; https://wmo.int/resources/publication-series/global-status-of-multi-hazard-early-warning-systems/global-status-of-multi-hazard-early-warning-systems-2025</x:v>
      </x:c>
      <x:c r="Z272" s="2" t="str">
        <x:v>Technology-specific analytical synthesis. The CTCN hierarchy is retained; classifications and component dependencies require validation against the selected design, site and supplier documentation before investment or policy use.</x:v>
      </x:c>
      <x:c r="AA272" s="2" t="str">
        <x:v>Physical deployment of seasonal to interannual weather forecast requires observation network, telecommunications, data centre or cloud, operations room, redundant power and multiple dissemination channels; interfaces, foundations, access and environmental protection are sized to the specific resource and design load.</x:v>
      </x:c>
      <x:c r="AB272" s="2" t="str">
        <x:v>For seasonal to interannual weather forecast,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2" s="2" t="str">
        <x:v>Construction and operation use electronics, semiconductors, copper cabling, batteries, antenna and mast materials, optical components, enclosures and calibration standards. For seasonal to interannual weather forecast, specifications must include durability, compatibility, recycled content and recoverability.</x:v>
      </x:c>
      <x:c r="AD272" s="2" t="str">
        <x:v>Maintenance of seasonal to interannual weather forecast depends on sensor heads, batteries, solar modules, data loggers, modems, cables, connectors, storage media, calibration equipment and siren parts; critical spares are selected from failure-mode, lead-time and safety analysis for its installed configuration.</x:v>
      </x:c>
      <x:c r="AE272" s="2" t="str">
        <x:v>The software stack for seasonal to interannual weather forecast requires databases, secure communications, version-controlled models, computing, backup and interfaces with field or operational systems.</x:v>
      </x:c>
      <x:c r="AF272" s="2" t="str">
        <x:v>For seasonal to interannual weather forecast, software-related energy is electricity for sensing, computing, storage, communication and cooling; it is normally secondary but must be included for data-intensive or continuous services.</x:v>
      </x:c>
      <x:c r="AG272" s="2" t="str">
        <x:v>The non-physical inputs are calibrated data, metadata, algorithms, boundary conditions, emission or hazard factors, manuals and validation records specific to seasonal to interannual weather forecast.</x:v>
      </x:c>
      <x:c r="AH272" s="2" t="str">
        <x:v>Software continuity for seasonal to interannual weather forecast requires licences where applicable, updates, cybersecurity patches, backups, calibration files, model validation and technical support.</x:v>
      </x:c>
      <x:c r="AI272" s="2" t="str">
        <x:v>Orgware depends on the institutions, laboratories, training providers, regulators, operators and community interfaces needed to govern seasonal to interannual weather forecast.</x:v>
      </x:c>
      <x:c r="AJ272" s="2" t="str">
        <x:v>The orgware supporting seasonal to interannual weather forecast has mainly indirect energy use from offices, meetings, training and information systems; travel and field supervision may be material at dispersed sites.</x:v>
      </x:c>
      <x:c r="AK272" s="2" t="str">
        <x:v>Its organisational inputs are permits, budgets, trained staff, competence records, contracts, procedures, safeguards, monitoring evidence and stakeholder agreements tailored to seasonal to interannual weather forecast.</x:v>
      </x:c>
      <x:c r="AL272" s="2" t="str">
        <x:v>Sustained implementation of seasonal to interannual weather forecast requires procurement and service contracts, audit protocols, training material, reporting templates, insurance or guarantees and periodic independent review.</x:v>
      </x:c>
      <x:c r="AM272" s="2" t="str">
        <x:v>Iron ore / steel inputs; Copper; Tin</x:v>
      </x:c>
      <x:c r="AN272" s="2" t="str">
        <x:v>Australia; Brazil; China; Chile; Democratic Republic of the Congo; Peru; Indonesia; Myanmar</x:v>
      </x:c>
      <x:c r="AO272" s="2" t="str">
        <x:v>China; India; Japan; Chile; Democratic Republic of the Congo; Indonesia; Malaysia</x:v>
      </x:c>
      <x:c r="AP272" s="2" t="str">
        <x:v>seasonal to interannual weather forecast: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2" s="2" t="str">
        <x:v>2024–2025</x:v>
      </x:c>
      <x:c r="AR272" s="2" t="str">
        <x:v>https://pubs.usgs.gov/periodicals/mcs2026/mcs2026.pdf</x:v>
      </x:c>
    </x:row>
    <x:row r="273" ht="240" customHeight="1">
      <x:c r="A273" s="2" t="str">
        <x:v>ADP-0003</x:v>
      </x:c>
      <x:c r="B273" s="2" t="str">
        <x:v>Adaptation</x:v>
      </x:c>
      <x:c r="C273" s="2" t="str">
        <x:v>Early Warning and Environmental Assesment</x:v>
      </x:c>
      <x:c r="D273" s="2" t="str">
        <x:v>Hazard mapping</x:v>
      </x:c>
      <x:c r="E273" s="2" t="str">
        <x:v>Disaster risk assessment tools</x:v>
      </x:c>
      <x:c r="F273" s="2" t="str">
        <x:v>Disaster risk assessment tools is a adaptation technology in the Early Warning and Environmental Assesment sector and the Hazard mapping technology group. It is defined as a combined hardware–software–orgware system that observes hazards and exposure, assimilates data, models possible evolution, converts forecasts into impact-based warnings and disseminates actionable information before thresholds are exceeded. Disaster risk assessment tools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3" s="2" t="str">
        <x:v>Flexible</x:v>
      </x:c>
      <x:c r="H273" s="2" t="str">
        <x:v>Disaster risk assessment tools is transferable through configurable methods, rules and operating parameters. Its principle remains the same, but resource quality, climate, scale, interfaces and safety constraints must be recalculated for each deployment.</x:v>
      </x:c>
      <x:c r="I273" s="2" t="str">
        <x:v>Hard and soft</x:v>
      </x:c>
      <x:c r="J273" s="2" t="str">
        <x:v>Disaster risk assessment tools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3" s="2" t="str">
        <x:v>Operation and information service</x:v>
      </x:c>
      <x:c r="L273" s="2" t="str">
        <x:v>Disaster risk assessment tools is embodied mainly as an information and decision service. The deliverable is accepted only when measurable service, quality, safety and climate-performance criteria are met under real conditions.</x:v>
      </x:c>
      <x:c r="M273" s="2" t="str">
        <x:v>Yes, subject to life-cycle safeguards</x:v>
      </x:c>
      <x:c r="N273" s="2" t="str">
        <x:v>Disaster risk assessment tools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3" s="2" t="str">
        <x:v>Disaster risk assessment tools: in-situ stations, remote sensors, radar or lidar, satellites or receivers, telemetry, servers, backup power, sirens and communication terminals.</x:v>
      </x:c>
      <x:c r="P273" s="2" t="str">
        <x:v>Disaster risk assessment tools: quality control, geospatial processing, data assimilation, forecasting, downscaling, hazard and impact models, uncertainty treatment, alert logic and visualisation.</x:v>
      </x:c>
      <x:c r="Q273" s="2" t="str">
        <x:v>Disaster risk assessment tools: institutional mandates, data-sharing agreements, warning authority, standard operating procedures, last-mile communication, accessibility, drills and feedback.</x:v>
      </x:c>
      <x:c r="R273" s="2" t="str">
        <x:v>Disaster risk assessment tools: observation network, telecommunications, data centre or cloud, operations room, redundant power and multiple dissemination channels.</x:v>
      </x:c>
      <x:c r="S273" s="2" t="str">
        <x:v>Disaster risk assessment tools: electricity for sensing, communications, computing, cooling and warning devices, with batteries or generators for continuity during emergencies.</x:v>
      </x:c>
      <x:c r="T273" s="2" t="str">
        <x:v>Disaster risk assessment tools: electronics, semiconductors, copper cabling, batteries, antenna and mast materials, optical components, enclosures and calibration standards.</x:v>
      </x:c>
      <x:c r="U273" s="2" t="str">
        <x:v>Disaster risk assessment tools: sensor heads, batteries, solar modules, data loggers, modems, cables, connectors, storage media, calibration equipment and siren parts.</x:v>
      </x:c>
      <x:c r="V273" s="2" t="str">
        <x:v>https://www.ctc-n.org/sites/default/files/resources/ctcn_taxonomy_0.pdf</x:v>
      </x:c>
      <x:c r="W273" s="2" t="str">
        <x:v>https://institutoagricoladepueblobello.edu.co/colegiapp/archivostemas/GUIA%209.%5B25%5D.pdf</x:v>
      </x:c>
      <x:c r="X273" s="2" t="str">
        <x:v>https://iiasa.ac.at/what-is-technology</x:v>
      </x:c>
      <x:c r="Y273" s="2" t="str">
        <x:v>https://wmo.int/topics/early-warning-system; https://wmo.int/resources/publication-series/global-status-of-multi-hazard-early-warning-systems/global-status-of-multi-hazard-early-warning-systems-2025</x:v>
      </x:c>
      <x:c r="Z273" s="2" t="str">
        <x:v>Technology-specific analytical synthesis. The CTCN hierarchy is retained; classifications and component dependencies require validation against the selected design, site and supplier documentation before investment or policy use.</x:v>
      </x:c>
      <x:c r="AA273" s="2" t="str">
        <x:v>Physical deployment of Disaster risk assessment tools requires observation network, telecommunications, data centre or cloud, operations room, redundant power and multiple dissemination channels; interfaces, foundations, access and environmental protection are sized to the specific resource and design load.</x:v>
      </x:c>
      <x:c r="AB273" s="2" t="str">
        <x:v>For Disaster risk assessment tools,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3" s="2" t="str">
        <x:v>Construction and operation use electronics, semiconductors, copper cabling, batteries, antenna and mast materials, optical components, enclosures and calibration standards. For Disaster risk assessment tools, specifications must include durability, compatibility, recycled content and recoverability.</x:v>
      </x:c>
      <x:c r="AD273" s="2" t="str">
        <x:v>Maintenance of Disaster risk assessment tools depends on sensor heads, batteries, solar modules, data loggers, modems, cables, connectors, storage media, calibration equipment and siren parts; critical spares are selected from failure-mode, lead-time and safety analysis for its installed configuration.</x:v>
      </x:c>
      <x:c r="AE273" s="2" t="str">
        <x:v>The software stack for Disaster risk assessment tools requires databases, secure communications, version-controlled models, computing, backup and interfaces with field or operational systems.</x:v>
      </x:c>
      <x:c r="AF273" s="2" t="str">
        <x:v>For Disaster risk assessment tools, software-related energy is electricity for sensing, computing, storage, communication and cooling; it is normally secondary but must be included for data-intensive or continuous services.</x:v>
      </x:c>
      <x:c r="AG273" s="2" t="str">
        <x:v>The non-physical inputs are calibrated data, metadata, algorithms, boundary conditions, emission or hazard factors, manuals and validation records specific to Disaster risk assessment tools.</x:v>
      </x:c>
      <x:c r="AH273" s="2" t="str">
        <x:v>Software continuity for Disaster risk assessment tools requires licences where applicable, updates, cybersecurity patches, backups, calibration files, model validation and technical support.</x:v>
      </x:c>
      <x:c r="AI273" s="2" t="str">
        <x:v>Orgware depends on the institutions, laboratories, training providers, regulators, operators and community interfaces needed to govern Disaster risk assessment tools.</x:v>
      </x:c>
      <x:c r="AJ273" s="2" t="str">
        <x:v>The orgware supporting Disaster risk assessment tools has mainly indirect energy use from offices, meetings, training and information systems; travel and field supervision may be material at dispersed sites.</x:v>
      </x:c>
      <x:c r="AK273" s="2" t="str">
        <x:v>Its organisational inputs are permits, budgets, trained staff, competence records, contracts, procedures, safeguards, monitoring evidence and stakeholder agreements tailored to Disaster risk assessment tools.</x:v>
      </x:c>
      <x:c r="AL273" s="2" t="str">
        <x:v>Sustained implementation of Disaster risk assessment tools requires procurement and service contracts, audit protocols, training material, reporting templates, insurance or guarantees and periodic independent review.</x:v>
      </x:c>
      <x:c r="AM273" s="2" t="str">
        <x:v>Iron ore / steel inputs; Copper; Tin</x:v>
      </x:c>
      <x:c r="AN273" s="2" t="str">
        <x:v>Australia; Brazil; China; Chile; Democratic Republic of the Congo; Peru; Indonesia; Myanmar</x:v>
      </x:c>
      <x:c r="AO273" s="2" t="str">
        <x:v>China; India; Japan; Chile; Democratic Republic of the Congo; Indonesia; Malaysia</x:v>
      </x:c>
      <x:c r="AP273" s="2" t="str">
        <x:v>Disaster risk assessment tools: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3" s="2" t="str">
        <x:v>2024–2025</x:v>
      </x:c>
      <x:c r="AR273" s="2" t="str">
        <x:v>https://pubs.usgs.gov/periodicals/mcs2026/mcs2026.pdf</x:v>
      </x:c>
    </x:row>
    <x:row r="274" ht="240" customHeight="1">
      <x:c r="A274" s="2" t="str">
        <x:v>ADP-0004</x:v>
      </x:c>
      <x:c r="B274" s="2" t="str">
        <x:v>Adaptation</x:v>
      </x:c>
      <x:c r="C274" s="2" t="str">
        <x:v>Early Warning and Environmental Assesment</x:v>
      </x:c>
      <x:c r="D274" s="2" t="str">
        <x:v>Hazard mapping</x:v>
      </x:c>
      <x:c r="E274" s="2" t="str">
        <x:v>Hazard mapping solutions</x:v>
      </x:c>
      <x:c r="F274" s="2" t="str">
        <x:v>Hazard mapping solutions is a adaptation technology in the Early Warning and Environmental Assesment sector and the Hazard mapping technology group. It is defined as a combined hardware–software–orgware system that observes hazards and exposure, assimilates data, models possible evolution, converts forecasts into impact-based warnings and disseminates actionable information before thresholds are exceeded. Hazard mapping solutions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4" s="2" t="str">
        <x:v>Mixed: adaptable design, site-specific implementation</x:v>
      </x:c>
      <x:c r="H274" s="2" t="str">
        <x:v>Hazard mapping solutions is adaptable in capacity and configuration but site-specific in final engineering. Its principle remains the same, but resource quality, climate, scale, interfaces and safety constraints must be recalculated for each deployment.</x:v>
      </x:c>
      <x:c r="I274" s="2" t="str">
        <x:v>Hard and soft</x:v>
      </x:c>
      <x:c r="J274" s="2" t="str">
        <x:v>Hazard mapping solutions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4" s="2" t="str">
        <x:v>Operation and information service</x:v>
      </x:c>
      <x:c r="L274" s="2" t="str">
        <x:v>Hazard mapping solutions is embodied mainly as an information and decision service. The deliverable is accepted only when measurable service, quality, safety and climate-performance criteria are met under real conditions.</x:v>
      </x:c>
      <x:c r="M274" s="2" t="str">
        <x:v>Yes, subject to life-cycle safeguards</x:v>
      </x:c>
      <x:c r="N274" s="2" t="str">
        <x:v>Hazard mapping solutions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4" s="2" t="str">
        <x:v>Hazard mapping solutions: in-situ stations, remote sensors, radar or lidar, satellites or receivers, telemetry, servers, backup power, sirens and communication terminals.</x:v>
      </x:c>
      <x:c r="P274" s="2" t="str">
        <x:v>Hazard mapping solutions: quality control, geospatial processing, data assimilation, forecasting, downscaling, hazard and impact models, uncertainty treatment, alert logic and visualisation.</x:v>
      </x:c>
      <x:c r="Q274" s="2" t="str">
        <x:v>Hazard mapping solutions: institutional mandates, data-sharing agreements, warning authority, standard operating procedures, last-mile communication, accessibility, drills and feedback.</x:v>
      </x:c>
      <x:c r="R274" s="2" t="str">
        <x:v>Hazard mapping solutions: observation network, telecommunications, data centre or cloud, operations room, redundant power and multiple dissemination channels.</x:v>
      </x:c>
      <x:c r="S274" s="2" t="str">
        <x:v>Hazard mapping solutions: electricity for sensing, communications, computing, cooling and warning devices, with batteries or generators for continuity during emergencies.</x:v>
      </x:c>
      <x:c r="T274" s="2" t="str">
        <x:v>Hazard mapping solutions: electronics, semiconductors, copper cabling, batteries, antenna and mast materials, optical components, enclosures and calibration standards.</x:v>
      </x:c>
      <x:c r="U274" s="2" t="str">
        <x:v>Hazard mapping solutions: sensor heads, batteries, solar modules, data loggers, modems, cables, connectors, storage media, calibration equipment and siren parts.</x:v>
      </x:c>
      <x:c r="V274" s="2" t="str">
        <x:v>https://www.ctc-n.org/sites/default/files/resources/ctcn_taxonomy_0.pdf</x:v>
      </x:c>
      <x:c r="W274" s="2" t="str">
        <x:v>https://institutoagricoladepueblobello.edu.co/colegiapp/archivostemas/GUIA%209.%5B25%5D.pdf</x:v>
      </x:c>
      <x:c r="X274" s="2" t="str">
        <x:v>https://iiasa.ac.at/what-is-technology</x:v>
      </x:c>
      <x:c r="Y274" s="2" t="str">
        <x:v>https://wmo.int/topics/early-warning-system; https://wmo.int/resources/publication-series/global-status-of-multi-hazard-early-warning-systems/global-status-of-multi-hazard-early-warning-systems-2025</x:v>
      </x:c>
      <x:c r="Z274" s="2" t="str">
        <x:v>Technology-specific analytical synthesis. The CTCN hierarchy is retained; classifications and component dependencies require validation against the selected design, site and supplier documentation before investment or policy use.</x:v>
      </x:c>
      <x:c r="AA274" s="2" t="str">
        <x:v>Physical deployment of Hazard mapping solutions requires observation network, telecommunications, data centre or cloud, operations room, redundant power and multiple dissemination channels; interfaces, foundations, access and environmental protection are sized to the specific resource and design load.</x:v>
      </x:c>
      <x:c r="AB274" s="2" t="str">
        <x:v>For Hazard mapping solutions,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4" s="2" t="str">
        <x:v>Construction and operation use electronics, semiconductors, copper cabling, batteries, antenna and mast materials, optical components, enclosures and calibration standards. For Hazard mapping solutions, specifications must include durability, compatibility, recycled content and recoverability.</x:v>
      </x:c>
      <x:c r="AD274" s="2" t="str">
        <x:v>Maintenance of Hazard mapping solutions depends on sensor heads, batteries, solar modules, data loggers, modems, cables, connectors, storage media, calibration equipment and siren parts; critical spares are selected from failure-mode, lead-time and safety analysis for its installed configuration.</x:v>
      </x:c>
      <x:c r="AE274" s="2" t="str">
        <x:v>The software stack for Hazard mapping solutions requires databases, secure communications, version-controlled models, computing, backup and interfaces with field or operational systems.</x:v>
      </x:c>
      <x:c r="AF274" s="2" t="str">
        <x:v>For Hazard mapping solutions, software-related energy is electricity for sensing, computing, storage, communication and cooling; it is normally secondary but must be included for data-intensive or continuous services.</x:v>
      </x:c>
      <x:c r="AG274" s="2" t="str">
        <x:v>The non-physical inputs are calibrated data, metadata, algorithms, boundary conditions, emission or hazard factors, manuals and validation records specific to Hazard mapping solutions.</x:v>
      </x:c>
      <x:c r="AH274" s="2" t="str">
        <x:v>Software continuity for Hazard mapping solutions requires licences where applicable, updates, cybersecurity patches, backups, calibration files, model validation and technical support.</x:v>
      </x:c>
      <x:c r="AI274" s="2" t="str">
        <x:v>Orgware depends on the institutions, laboratories, training providers, regulators, operators and community interfaces needed to govern Hazard mapping solutions.</x:v>
      </x:c>
      <x:c r="AJ274" s="2" t="str">
        <x:v>The orgware supporting Hazard mapping solutions has mainly indirect energy use from offices, meetings, training and information systems; travel and field supervision may be material at dispersed sites.</x:v>
      </x:c>
      <x:c r="AK274" s="2" t="str">
        <x:v>Its organisational inputs are permits, budgets, trained staff, competence records, contracts, procedures, safeguards, monitoring evidence and stakeholder agreements tailored to Hazard mapping solutions.</x:v>
      </x:c>
      <x:c r="AL274" s="2" t="str">
        <x:v>Sustained implementation of Hazard mapping solutions requires procurement and service contracts, audit protocols, training material, reporting templates, insurance or guarantees and periodic independent review.</x:v>
      </x:c>
      <x:c r="AM274" s="2" t="str">
        <x:v>Iron ore / steel inputs; Copper; Tin</x:v>
      </x:c>
      <x:c r="AN274" s="2" t="str">
        <x:v>Australia; Brazil; China; Chile; Democratic Republic of the Congo; Peru; Indonesia; Myanmar</x:v>
      </x:c>
      <x:c r="AO274" s="2" t="str">
        <x:v>China; India; Japan; Chile; Democratic Republic of the Congo; Indonesia; Malaysia</x:v>
      </x:c>
      <x:c r="AP274" s="2" t="str">
        <x:v>Hazard mapping solutions: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4" s="2" t="str">
        <x:v>2024–2025</x:v>
      </x:c>
      <x:c r="AR274" s="2" t="str">
        <x:v>https://pubs.usgs.gov/periodicals/mcs2026/mcs2026.pdf</x:v>
      </x:c>
    </x:row>
    <x:row r="275" ht="240" customHeight="1">
      <x:c r="A275" s="2" t="str">
        <x:v>ADP-0005</x:v>
      </x:c>
      <x:c r="B275" s="2" t="str">
        <x:v>Adaptation</x:v>
      </x:c>
      <x:c r="C275" s="2" t="str">
        <x:v>Early Warning and Environmental Assesment</x:v>
      </x:c>
      <x:c r="D275" s="2" t="str">
        <x:v>Hazard mapping</x:v>
      </x:c>
      <x:c r="E275" s="2" t="str">
        <x:v>Flood hazard mapping</x:v>
      </x:c>
      <x:c r="F275" s="2" t="str">
        <x:v>Flood hazard mapping is a adaptation technology in the Early Warning and Environmental Assesment sector and the Hazard mapping technology group. It is defined as a combined hardware–software–orgware system that observes hazards and exposure, assimilates data, models possible evolution, converts forecasts into impact-based warnings and disseminates actionable information before thresholds are exceeded. Flood hazard mapping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5" s="2" t="str">
        <x:v>Mixed: adaptable design, site-specific implementation</x:v>
      </x:c>
      <x:c r="H275" s="2" t="str">
        <x:v>Flood hazard mapping is adaptable in capacity and configuration but site-specific in final engineering. Its principle remains the same, but resource quality, climate, scale, interfaces and safety constraints must be recalculated for each deployment.</x:v>
      </x:c>
      <x:c r="I275" s="2" t="str">
        <x:v>Hard and soft</x:v>
      </x:c>
      <x:c r="J275" s="2" t="str">
        <x:v>Flood hazard mapping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5" s="2" t="str">
        <x:v>Operation and information service</x:v>
      </x:c>
      <x:c r="L275" s="2" t="str">
        <x:v>Flood hazard mapping is embodied mainly as an information and decision service. The deliverable is accepted only when measurable service, quality, safety and climate-performance criteria are met under real conditions.</x:v>
      </x:c>
      <x:c r="M275" s="2" t="str">
        <x:v>Yes, subject to life-cycle safeguards</x:v>
      </x:c>
      <x:c r="N275" s="2" t="str">
        <x:v>Flood hazard mapping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5" s="2" t="str">
        <x:v>Flood hazard mapping: in-situ stations, remote sensors, radar or lidar, satellites or receivers, telemetry, servers, backup power, sirens and communication terminals.</x:v>
      </x:c>
      <x:c r="P275" s="2" t="str">
        <x:v>Flood hazard mapping: quality control, geospatial processing, data assimilation, forecasting, downscaling, hazard and impact models, uncertainty treatment, alert logic and visualisation.</x:v>
      </x:c>
      <x:c r="Q275" s="2" t="str">
        <x:v>Flood hazard mapping: institutional mandates, data-sharing agreements, warning authority, standard operating procedures, last-mile communication, accessibility, drills and feedback.</x:v>
      </x:c>
      <x:c r="R275" s="2" t="str">
        <x:v>Flood hazard mapping: observation network, telecommunications, data centre or cloud, operations room, redundant power and multiple dissemination channels.</x:v>
      </x:c>
      <x:c r="S275" s="2" t="str">
        <x:v>Flood hazard mapping: electricity for sensing, communications, computing, cooling and warning devices, with batteries or generators for continuity during emergencies.</x:v>
      </x:c>
      <x:c r="T275" s="2" t="str">
        <x:v>Flood hazard mapping: electronics, semiconductors, copper cabling, batteries, antenna and mast materials, optical components, enclosures and calibration standards.</x:v>
      </x:c>
      <x:c r="U275" s="2" t="str">
        <x:v>Flood hazard mapping: sensor heads, batteries, solar modules, data loggers, modems, cables, connectors, storage media, calibration equipment and siren parts.</x:v>
      </x:c>
      <x:c r="V275" s="2" t="str">
        <x:v>https://www.ctc-n.org/sites/default/files/resources/ctcn_taxonomy_0.pdf</x:v>
      </x:c>
      <x:c r="W275" s="2" t="str">
        <x:v>https://institutoagricoladepueblobello.edu.co/colegiapp/archivostemas/GUIA%209.%5B25%5D.pdf</x:v>
      </x:c>
      <x:c r="X275" s="2" t="str">
        <x:v>https://iiasa.ac.at/what-is-technology</x:v>
      </x:c>
      <x:c r="Y275" s="2" t="str">
        <x:v>https://wmo.int/topics/early-warning-system; https://wmo.int/resources/publication-series/global-status-of-multi-hazard-early-warning-systems/global-status-of-multi-hazard-early-warning-systems-2025</x:v>
      </x:c>
      <x:c r="Z275" s="2" t="str">
        <x:v>Technology-specific analytical synthesis. The CTCN hierarchy is retained; classifications and component dependencies require validation against the selected design, site and supplier documentation before investment or policy use.</x:v>
      </x:c>
      <x:c r="AA275" s="2" t="str">
        <x:v>Physical deployment of Flood hazard mapping requires observation network, telecommunications, data centre or cloud, operations room, redundant power and multiple dissemination channels; interfaces, foundations, access and environmental protection are sized to the specific resource and design load.</x:v>
      </x:c>
      <x:c r="AB275" s="2" t="str">
        <x:v>For Flood hazard mapping,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5" s="2" t="str">
        <x:v>Construction and operation use electronics, semiconductors, copper cabling, batteries, antenna and mast materials, optical components, enclosures and calibration standards. For Flood hazard mapping, specifications must include durability, compatibility, recycled content and recoverability.</x:v>
      </x:c>
      <x:c r="AD275" s="2" t="str">
        <x:v>Maintenance of Flood hazard mapping depends on sensor heads, batteries, solar modules, data loggers, modems, cables, connectors, storage media, calibration equipment and siren parts; critical spares are selected from failure-mode, lead-time and safety analysis for its installed configuration.</x:v>
      </x:c>
      <x:c r="AE275" s="2" t="str">
        <x:v>The software stack for Flood hazard mapping requires databases, secure communications, version-controlled models, computing, backup and interfaces with field or operational systems.</x:v>
      </x:c>
      <x:c r="AF275" s="2" t="str">
        <x:v>For Flood hazard mapping, software-related energy is electricity for sensing, computing, storage, communication and cooling; it is normally secondary but must be included for data-intensive or continuous services.</x:v>
      </x:c>
      <x:c r="AG275" s="2" t="str">
        <x:v>The non-physical inputs are calibrated data, metadata, algorithms, boundary conditions, emission or hazard factors, manuals and validation records specific to Flood hazard mapping.</x:v>
      </x:c>
      <x:c r="AH275" s="2" t="str">
        <x:v>Software continuity for Flood hazard mapping requires licences where applicable, updates, cybersecurity patches, backups, calibration files, model validation and technical support.</x:v>
      </x:c>
      <x:c r="AI275" s="2" t="str">
        <x:v>Orgware depends on the institutions, laboratories, training providers, regulators, operators and community interfaces needed to govern Flood hazard mapping.</x:v>
      </x:c>
      <x:c r="AJ275" s="2" t="str">
        <x:v>The orgware supporting Flood hazard mapping has mainly indirect energy use from offices, meetings, training and information systems; travel and field supervision may be material at dispersed sites.</x:v>
      </x:c>
      <x:c r="AK275" s="2" t="str">
        <x:v>Its organisational inputs are permits, budgets, trained staff, competence records, contracts, procedures, safeguards, monitoring evidence and stakeholder agreements tailored to Flood hazard mapping.</x:v>
      </x:c>
      <x:c r="AL275" s="2" t="str">
        <x:v>Sustained implementation of Flood hazard mapping requires procurement and service contracts, audit protocols, training material, reporting templates, insurance or guarantees and periodic independent review.</x:v>
      </x:c>
      <x:c r="AM275" s="2" t="str">
        <x:v>Iron ore / steel inputs; Copper; Tin</x:v>
      </x:c>
      <x:c r="AN275" s="2" t="str">
        <x:v>Australia; Brazil; China; Chile; Democratic Republic of the Congo; Peru; Indonesia; Myanmar</x:v>
      </x:c>
      <x:c r="AO275" s="2" t="str">
        <x:v>China; India; Japan; Chile; Democratic Republic of the Congo; Indonesia; Malaysia</x:v>
      </x:c>
      <x:c r="AP275" s="2" t="str">
        <x:v>Flood hazard mapping: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5" s="2" t="str">
        <x:v>2024–2025</x:v>
      </x:c>
      <x:c r="AR275" s="2" t="str">
        <x:v>https://pubs.usgs.gov/periodicals/mcs2026/mcs2026.pdf</x:v>
      </x:c>
    </x:row>
    <x:row r="276" ht="240" customHeight="1">
      <x:c r="A276" s="2" t="str">
        <x:v>ADP-0006</x:v>
      </x:c>
      <x:c r="B276" s="2" t="str">
        <x:v>Adaptation</x:v>
      </x:c>
      <x:c r="C276" s="2" t="str">
        <x:v>Early Warning and Environmental Assesment</x:v>
      </x:c>
      <x:c r="D276" s="2" t="str">
        <x:v>Early warning systems</x:v>
      </x:c>
      <x:c r="E276" s="2" t="str">
        <x:v>Early Warning Systems Communication</x:v>
      </x:c>
      <x:c r="F276" s="2" t="str">
        <x:v>Early Warning Systems Communication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6" s="2" t="str">
        <x:v>Mixed: adaptable design, site-specific implementation</x:v>
      </x:c>
      <x:c r="H276" s="2" t="str">
        <x:v>Early Warning Systems Communication is adaptable in capacity and configuration but site-specific in final engineering. Its principle remains the same, but resource quality, climate, scale, interfaces and safety constraints must be recalculated for each deployment.</x:v>
      </x:c>
      <x:c r="I276" s="2" t="str">
        <x:v>Primarily hard, with a soft component</x:v>
      </x:c>
      <x:c r="J276" s="2" t="str">
        <x:v>Early Warning Systems Communication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6" s="2" t="str">
        <x:v>Operation</x:v>
      </x:c>
      <x:c r="L276" s="2" t="str">
        <x:v>Early Warning Systems Communication is embodied mainly as an operating practice. The deliverable is accepted only when measurable service, quality, safety and climate-performance criteria are met under real conditions.</x:v>
      </x:c>
      <x:c r="M276" s="2" t="str">
        <x:v>Yes, subject to life-cycle safeguards</x:v>
      </x:c>
      <x:c r="N276" s="2" t="str">
        <x:v>Early Warning Systems Communication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6" s="2" t="str">
        <x:v>Early Warning Systems Communication: in-situ stations, remote sensors, radar or lidar, satellites or receivers, telemetry, servers, backup power, sirens and communication terminals.</x:v>
      </x:c>
      <x:c r="P276" s="2" t="str">
        <x:v>Early Warning Systems Communication: quality control, geospatial processing, data assimilation, forecasting, downscaling, hazard and impact models, uncertainty treatment, alert logic and visualisation.</x:v>
      </x:c>
      <x:c r="Q276" s="2" t="str">
        <x:v>Early Warning Systems Communication: institutional mandates, data-sharing agreements, warning authority, standard operating procedures, last-mile communication, accessibility, drills and feedback.</x:v>
      </x:c>
      <x:c r="R276" s="2" t="str">
        <x:v>Early Warning Systems Communication: observation network, telecommunications, data centre or cloud, operations room, redundant power and multiple dissemination channels.</x:v>
      </x:c>
      <x:c r="S276" s="2" t="str">
        <x:v>Early Warning Systems Communication: electricity for sensing, communications, computing, cooling and warning devices, with batteries or generators for continuity during emergencies.</x:v>
      </x:c>
      <x:c r="T276" s="2" t="str">
        <x:v>Early Warning Systems Communication: electronics, semiconductors, copper cabling, batteries, antenna and mast materials, optical components, enclosures and calibration standards.</x:v>
      </x:c>
      <x:c r="U276" s="2" t="str">
        <x:v>Early Warning Systems Communication: sensor heads, batteries, solar modules, data loggers, modems, cables, connectors, storage media, calibration equipment and siren parts.</x:v>
      </x:c>
      <x:c r="V276" s="2" t="str">
        <x:v>https://www.ctc-n.org/sites/default/files/resources/ctcn_taxonomy_0.pdf</x:v>
      </x:c>
      <x:c r="W276" s="2" t="str">
        <x:v>https://institutoagricoladepueblobello.edu.co/colegiapp/archivostemas/GUIA%209.%5B25%5D.pdf</x:v>
      </x:c>
      <x:c r="X276" s="2" t="str">
        <x:v>https://iiasa.ac.at/what-is-technology</x:v>
      </x:c>
      <x:c r="Y276" s="2" t="str">
        <x:v>https://wmo.int/topics/early-warning-system; https://wmo.int/resources/publication-series/global-status-of-multi-hazard-early-warning-systems/global-status-of-multi-hazard-early-warning-systems-2025</x:v>
      </x:c>
      <x:c r="Z276" s="2" t="str">
        <x:v>Technology-specific analytical synthesis. The CTCN hierarchy is retained; classifications and component dependencies require validation against the selected design, site and supplier documentation before investment or policy use.</x:v>
      </x:c>
      <x:c r="AA276" s="2" t="str">
        <x:v>Physical deployment of Early Warning Systems Communication requires observation network, telecommunications, data centre or cloud, operations room, redundant power and multiple dissemination channels; interfaces, foundations, access and environmental protection are sized to the specific resource and design load.</x:v>
      </x:c>
      <x:c r="AB276" s="2" t="str">
        <x:v>For Early Warning Systems Communication,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6" s="2" t="str">
        <x:v>Construction and operation use electronics, semiconductors, copper cabling, batteries, antenna and mast materials, optical components, enclosures and calibration standards. For Early Warning Systems Communication, specifications must include durability, compatibility, recycled content and recoverability.</x:v>
      </x:c>
      <x:c r="AD276" s="2" t="str">
        <x:v>Maintenance of Early Warning Systems Communication depends on sensor heads, batteries, solar modules, data loggers, modems, cables, connectors, storage media, calibration equipment and siren parts; critical spares are selected from failure-mode, lead-time and safety analysis for its installed configuration.</x:v>
      </x:c>
      <x:c r="AE276" s="2" t="str">
        <x:v>The software stack for Early Warning Systems Communication requires databases, secure communications, version-controlled models, computing, backup and interfaces with field or operational systems.</x:v>
      </x:c>
      <x:c r="AF276" s="2" t="str">
        <x:v>For Early Warning Systems Communication, software-related energy is electricity for sensing, computing, storage, communication and cooling; it is normally secondary but must be included for data-intensive or continuous services.</x:v>
      </x:c>
      <x:c r="AG276" s="2" t="str">
        <x:v>The non-physical inputs are calibrated data, metadata, algorithms, boundary conditions, emission or hazard factors, manuals and validation records specific to Early Warning Systems Communication.</x:v>
      </x:c>
      <x:c r="AH276" s="2" t="str">
        <x:v>Software continuity for Early Warning Systems Communication requires licences where applicable, updates, cybersecurity patches, backups, calibration files, model validation and technical support.</x:v>
      </x:c>
      <x:c r="AI276" s="2" t="str">
        <x:v>Orgware depends on the institutions, laboratories, training providers, regulators, operators and community interfaces needed to govern Early Warning Systems Communication.</x:v>
      </x:c>
      <x:c r="AJ276" s="2" t="str">
        <x:v>The orgware supporting Early Warning Systems Communication has mainly indirect energy use from offices, meetings, training and information systems; travel and field supervision may be material at dispersed sites.</x:v>
      </x:c>
      <x:c r="AK276" s="2" t="str">
        <x:v>Its organisational inputs are permits, budgets, trained staff, competence records, contracts, procedures, safeguards, monitoring evidence and stakeholder agreements tailored to Early Warning Systems Communication.</x:v>
      </x:c>
      <x:c r="AL276" s="2" t="str">
        <x:v>Sustained implementation of Early Warning Systems Communication requires procurement and service contracts, audit protocols, training material, reporting templates, insurance or guarantees and periodic independent review.</x:v>
      </x:c>
      <x:c r="AM276" s="2" t="str">
        <x:v>Iron ore / steel inputs</x:v>
      </x:c>
      <x:c r="AN276" s="2" t="str">
        <x:v>Australia; Brazil; China</x:v>
      </x:c>
      <x:c r="AO276" s="2" t="str">
        <x:v>China; India; Japan</x:v>
      </x:c>
      <x:c r="AP276" s="2" t="str">
        <x:v>Early Warning Systems Communication: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6" s="2" t="str">
        <x:v>2024–2025</x:v>
      </x:c>
      <x:c r="AR276" s="2" t="str">
        <x:v>https://pubs.usgs.gov/periodicals/mcs2026/mcs2026.pdf</x:v>
      </x:c>
    </x:row>
    <x:row r="277" ht="240" customHeight="1">
      <x:c r="A277" s="2" t="str">
        <x:v>ADP-0007</x:v>
      </x:c>
      <x:c r="B277" s="2" t="str">
        <x:v>Adaptation</x:v>
      </x:c>
      <x:c r="C277" s="2" t="str">
        <x:v>Early Warning and Environmental Assesment</x:v>
      </x:c>
      <x:c r="D277" s="2" t="str">
        <x:v>Early warning systems</x:v>
      </x:c>
      <x:c r="E277" s="2" t="str">
        <x:v>Community-run early warning systems</x:v>
      </x:c>
      <x:c r="F277" s="2" t="str">
        <x:v>Community-run early warning systems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7" s="2" t="str">
        <x:v>Mixed: adaptable design, site-specific implementation</x:v>
      </x:c>
      <x:c r="H277" s="2" t="str">
        <x:v>Community-run early warning systems is adaptable in capacity and configuration but site-specific in final engineering. Its principle remains the same, but resource quality, climate, scale, interfaces and safety constraints must be recalculated for each deployment.</x:v>
      </x:c>
      <x:c r="I277" s="2" t="str">
        <x:v>Primarily hard, with a soft component</x:v>
      </x:c>
      <x:c r="J277" s="2" t="str">
        <x:v>Community-run early warning systems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7" s="2" t="str">
        <x:v>Operation</x:v>
      </x:c>
      <x:c r="L277" s="2" t="str">
        <x:v>Community-run early warning systems is embodied mainly as an operating practice. The deliverable is accepted only when measurable service, quality, safety and climate-performance criteria are met under real conditions.</x:v>
      </x:c>
      <x:c r="M277" s="2" t="str">
        <x:v>Yes, subject to life-cycle safeguards</x:v>
      </x:c>
      <x:c r="N277" s="2" t="str">
        <x:v>Community-run early warning systems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7" s="2" t="str">
        <x:v>Community-run early warning systems: in-situ stations, remote sensors, radar or lidar, satellites or receivers, telemetry, servers, backup power, sirens and communication terminals.</x:v>
      </x:c>
      <x:c r="P277" s="2" t="str">
        <x:v>Community-run early warning systems: quality control, geospatial processing, data assimilation, forecasting, downscaling, hazard and impact models, uncertainty treatment, alert logic and visualisation.</x:v>
      </x:c>
      <x:c r="Q277" s="2" t="str">
        <x:v>Community-run early warning systems: institutional mandates, data-sharing agreements, warning authority, standard operating procedures, last-mile communication, accessibility, drills and feedback.</x:v>
      </x:c>
      <x:c r="R277" s="2" t="str">
        <x:v>Community-run early warning systems: observation network, telecommunications, data centre or cloud, operations room, redundant power and multiple dissemination channels.</x:v>
      </x:c>
      <x:c r="S277" s="2" t="str">
        <x:v>Community-run early warning systems: electricity for sensing, communications, computing, cooling and warning devices, with batteries or generators for continuity during emergencies.</x:v>
      </x:c>
      <x:c r="T277" s="2" t="str">
        <x:v>Community-run early warning systems: electronics, semiconductors, copper cabling, batteries, antenna and mast materials, optical components, enclosures and calibration standards.</x:v>
      </x:c>
      <x:c r="U277" s="2" t="str">
        <x:v>Community-run early warning systems: sensor heads, batteries, solar modules, data loggers, modems, cables, connectors, storage media, calibration equipment and siren parts.</x:v>
      </x:c>
      <x:c r="V277" s="2" t="str">
        <x:v>https://www.ctc-n.org/sites/default/files/resources/ctcn_taxonomy_0.pdf</x:v>
      </x:c>
      <x:c r="W277" s="2" t="str">
        <x:v>https://institutoagricoladepueblobello.edu.co/colegiapp/archivostemas/GUIA%209.%5B25%5D.pdf</x:v>
      </x:c>
      <x:c r="X277" s="2" t="str">
        <x:v>https://iiasa.ac.at/what-is-technology</x:v>
      </x:c>
      <x:c r="Y277" s="2" t="str">
        <x:v>https://wmo.int/topics/early-warning-system; https://wmo.int/resources/publication-series/global-status-of-multi-hazard-early-warning-systems/global-status-of-multi-hazard-early-warning-systems-2025</x:v>
      </x:c>
      <x:c r="Z277" s="2" t="str">
        <x:v>Technology-specific analytical synthesis. The CTCN hierarchy is retained; classifications and component dependencies require validation against the selected design, site and supplier documentation before investment or policy use.</x:v>
      </x:c>
      <x:c r="AA277" s="2" t="str">
        <x:v>Physical deployment of Community-run early warning systems requires observation network, telecommunications, data centre or cloud, operations room, redundant power and multiple dissemination channels; interfaces, foundations, access and environmental protection are sized to the specific resource and design load.</x:v>
      </x:c>
      <x:c r="AB277" s="2" t="str">
        <x:v>For Community-run early warning systems,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7" s="2" t="str">
        <x:v>Construction and operation use electronics, semiconductors, copper cabling, batteries, antenna and mast materials, optical components, enclosures and calibration standards. For Community-run early warning systems, specifications must include durability, compatibility, recycled content and recoverability.</x:v>
      </x:c>
      <x:c r="AD277" s="2" t="str">
        <x:v>Maintenance of Community-run early warning systems depends on sensor heads, batteries, solar modules, data loggers, modems, cables, connectors, storage media, calibration equipment and siren parts; critical spares are selected from failure-mode, lead-time and safety analysis for its installed configuration.</x:v>
      </x:c>
      <x:c r="AE277" s="2" t="str">
        <x:v>The software stack for Community-run early warning systems requires databases, secure communications, version-controlled models, computing, backup and interfaces with field or operational systems.</x:v>
      </x:c>
      <x:c r="AF277" s="2" t="str">
        <x:v>For Community-run early warning systems, software-related energy is electricity for sensing, computing, storage, communication and cooling; it is normally secondary but must be included for data-intensive or continuous services.</x:v>
      </x:c>
      <x:c r="AG277" s="2" t="str">
        <x:v>The non-physical inputs are calibrated data, metadata, algorithms, boundary conditions, emission or hazard factors, manuals and validation records specific to Community-run early warning systems.</x:v>
      </x:c>
      <x:c r="AH277" s="2" t="str">
        <x:v>Software continuity for Community-run early warning systems requires licences where applicable, updates, cybersecurity patches, backups, calibration files, model validation and technical support.</x:v>
      </x:c>
      <x:c r="AI277" s="2" t="str">
        <x:v>Orgware depends on the institutions, laboratories, training providers, regulators, operators and community interfaces needed to govern Community-run early warning systems.</x:v>
      </x:c>
      <x:c r="AJ277" s="2" t="str">
        <x:v>The orgware supporting Community-run early warning systems has mainly indirect energy use from offices, meetings, training and information systems; travel and field supervision may be material at dispersed sites.</x:v>
      </x:c>
      <x:c r="AK277" s="2" t="str">
        <x:v>Its organisational inputs are permits, budgets, trained staff, competence records, contracts, procedures, safeguards, monitoring evidence and stakeholder agreements tailored to Community-run early warning systems.</x:v>
      </x:c>
      <x:c r="AL277" s="2" t="str">
        <x:v>Sustained implementation of Community-run early warning systems requires procurement and service contracts, audit protocols, training material, reporting templates, insurance or guarantees and periodic independent review.</x:v>
      </x:c>
      <x:c r="AM277" s="2" t="str">
        <x:v>Iron ore / steel inputs</x:v>
      </x:c>
      <x:c r="AN277" s="2" t="str">
        <x:v>Australia; Brazil; China</x:v>
      </x:c>
      <x:c r="AO277" s="2" t="str">
        <x:v>China; India; Japan</x:v>
      </x:c>
      <x:c r="AP277" s="2" t="str">
        <x:v>Community-run early warning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7" s="2" t="str">
        <x:v>2024–2025</x:v>
      </x:c>
      <x:c r="AR277" s="2" t="str">
        <x:v>https://pubs.usgs.gov/periodicals/mcs2026/mcs2026.pdf</x:v>
      </x:c>
    </x:row>
    <x:row r="278" ht="240" customHeight="1">
      <x:c r="A278" s="2" t="str">
        <x:v>ADP-0008</x:v>
      </x:c>
      <x:c r="B278" s="2" t="str">
        <x:v>Adaptation</x:v>
      </x:c>
      <x:c r="C278" s="2" t="str">
        <x:v>Early Warning and Environmental Assesment</x:v>
      </x:c>
      <x:c r="D278" s="2" t="str">
        <x:v>Early warning systems</x:v>
      </x:c>
      <x:c r="E278" s="2" t="str">
        <x:v>Climate scenario development</x:v>
      </x:c>
      <x:c r="F278" s="2" t="str">
        <x:v>Climate scenario development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Climate scenario development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8" s="2" t="str">
        <x:v>Mixed: adaptable design, site-specific implementation</x:v>
      </x:c>
      <x:c r="H278" s="2" t="str">
        <x:v>Climate scenario development is adaptable in capacity and configuration but site-specific in final engineering. Its principle remains the same, but resource quality, climate, scale, interfaces and safety constraints must be recalculated for each deployment.</x:v>
      </x:c>
      <x:c r="I278" s="2" t="str">
        <x:v>Primarily hard, with a soft component</x:v>
      </x:c>
      <x:c r="J278" s="2" t="str">
        <x:v>Climate scenario development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8" s="2" t="str">
        <x:v>Operation</x:v>
      </x:c>
      <x:c r="L278" s="2" t="str">
        <x:v>Climate scenario development is embodied mainly as an operating practice. The deliverable is accepted only when measurable service, quality, safety and climate-performance criteria are met under real conditions.</x:v>
      </x:c>
      <x:c r="M278" s="2" t="str">
        <x:v>Yes, subject to life-cycle safeguards</x:v>
      </x:c>
      <x:c r="N278" s="2" t="str">
        <x:v>Climate scenario development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8" s="2" t="str">
        <x:v>Climate scenario development: in-situ stations, remote sensors, radar or lidar, satellites or receivers, telemetry, servers, backup power, sirens and communication terminals.</x:v>
      </x:c>
      <x:c r="P278" s="2" t="str">
        <x:v>Climate scenario development: quality control, geospatial processing, data assimilation, forecasting, downscaling, hazard and impact models, uncertainty treatment, alert logic and visualisation.</x:v>
      </x:c>
      <x:c r="Q278" s="2" t="str">
        <x:v>Climate scenario development: institutional mandates, data-sharing agreements, warning authority, standard operating procedures, last-mile communication, accessibility, drills and feedback.</x:v>
      </x:c>
      <x:c r="R278" s="2" t="str">
        <x:v>Climate scenario development: observation network, telecommunications, data centre or cloud, operations room, redundant power and multiple dissemination channels.</x:v>
      </x:c>
      <x:c r="S278" s="2" t="str">
        <x:v>Climate scenario development: electricity for sensing, communications, computing, cooling and warning devices, with batteries or generators for continuity during emergencies.</x:v>
      </x:c>
      <x:c r="T278" s="2" t="str">
        <x:v>Climate scenario development: electronics, semiconductors, copper cabling, batteries, antenna and mast materials, optical components, enclosures and calibration standards.</x:v>
      </x:c>
      <x:c r="U278" s="2" t="str">
        <x:v>Climate scenario development: sensor heads, batteries, solar modules, data loggers, modems, cables, connectors, storage media, calibration equipment and siren parts.</x:v>
      </x:c>
      <x:c r="V278" s="2" t="str">
        <x:v>https://www.ctc-n.org/sites/default/files/resources/ctcn_taxonomy_0.pdf</x:v>
      </x:c>
      <x:c r="W278" s="2" t="str">
        <x:v>https://institutoagricoladepueblobello.edu.co/colegiapp/archivostemas/GUIA%209.%5B25%5D.pdf</x:v>
      </x:c>
      <x:c r="X278" s="2" t="str">
        <x:v>https://iiasa.ac.at/what-is-technology</x:v>
      </x:c>
      <x:c r="Y278" s="2" t="str">
        <x:v>https://wmo.int/topics/early-warning-system; https://wmo.int/resources/publication-series/global-status-of-multi-hazard-early-warning-systems/global-status-of-multi-hazard-early-warning-systems-2025</x:v>
      </x:c>
      <x:c r="Z278" s="2" t="str">
        <x:v>Technology-specific analytical synthesis. The CTCN hierarchy is retained; classifications and component dependencies require validation against the selected design, site and supplier documentation before investment or policy use.</x:v>
      </x:c>
      <x:c r="AA278" s="2" t="str">
        <x:v>Physical deployment of Climate scenario development requires observation network, telecommunications, data centre or cloud, operations room, redundant power and multiple dissemination channels; interfaces, foundations, access and environmental protection are sized to the specific resource and design load.</x:v>
      </x:c>
      <x:c r="AB278" s="2" t="str">
        <x:v>For Climate scenario development,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8" s="2" t="str">
        <x:v>Construction and operation use electronics, semiconductors, copper cabling, batteries, antenna and mast materials, optical components, enclosures and calibration standards. For Climate scenario development, specifications must include durability, compatibility, recycled content and recoverability.</x:v>
      </x:c>
      <x:c r="AD278" s="2" t="str">
        <x:v>Maintenance of Climate scenario development depends on sensor heads, batteries, solar modules, data loggers, modems, cables, connectors, storage media, calibration equipment and siren parts; critical spares are selected from failure-mode, lead-time and safety analysis for its installed configuration.</x:v>
      </x:c>
      <x:c r="AE278" s="2" t="str">
        <x:v>The software stack for Climate scenario development requires databases, secure communications, version-controlled models, computing, backup and interfaces with field or operational systems.</x:v>
      </x:c>
      <x:c r="AF278" s="2" t="str">
        <x:v>For Climate scenario development, software-related energy is electricity for sensing, computing, storage, communication and cooling; it is normally secondary but must be included for data-intensive or continuous services.</x:v>
      </x:c>
      <x:c r="AG278" s="2" t="str">
        <x:v>The non-physical inputs are calibrated data, metadata, algorithms, boundary conditions, emission or hazard factors, manuals and validation records specific to Climate scenario development.</x:v>
      </x:c>
      <x:c r="AH278" s="2" t="str">
        <x:v>Software continuity for Climate scenario development requires licences where applicable, updates, cybersecurity patches, backups, calibration files, model validation and technical support.</x:v>
      </x:c>
      <x:c r="AI278" s="2" t="str">
        <x:v>Orgware depends on the institutions, laboratories, training providers, regulators, operators and community interfaces needed to govern Climate scenario development.</x:v>
      </x:c>
      <x:c r="AJ278" s="2" t="str">
        <x:v>The orgware supporting Climate scenario development has mainly indirect energy use from offices, meetings, training and information systems; travel and field supervision may be material at dispersed sites.</x:v>
      </x:c>
      <x:c r="AK278" s="2" t="str">
        <x:v>Its organisational inputs are permits, budgets, trained staff, competence records, contracts, procedures, safeguards, monitoring evidence and stakeholder agreements tailored to Climate scenario development.</x:v>
      </x:c>
      <x:c r="AL278" s="2" t="str">
        <x:v>Sustained implementation of Climate scenario development requires procurement and service contracts, audit protocols, training material, reporting templates, insurance or guarantees and periodic independent review.</x:v>
      </x:c>
      <x:c r="AM278" s="2" t="str">
        <x:v>Iron ore / steel inputs</x:v>
      </x:c>
      <x:c r="AN278" s="2" t="str">
        <x:v>Australia; Brazil; China</x:v>
      </x:c>
      <x:c r="AO278" s="2" t="str">
        <x:v>China; India; Japan</x:v>
      </x:c>
      <x:c r="AP278" s="2" t="str">
        <x:v>Climate scenario development: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8" s="2" t="str">
        <x:v>2024–2025</x:v>
      </x:c>
      <x:c r="AR278" s="2" t="str">
        <x:v>https://pubs.usgs.gov/periodicals/mcs2026/mcs2026.pdf</x:v>
      </x:c>
    </x:row>
    <x:row r="279" ht="240" customHeight="1">
      <x:c r="A279" s="2" t="str">
        <x:v>ADP-0009</x:v>
      </x:c>
      <x:c r="B279" s="2" t="str">
        <x:v>Adaptation</x:v>
      </x:c>
      <x:c r="C279" s="2" t="str">
        <x:v>Early Warning and Environmental Assesment</x:v>
      </x:c>
      <x:c r="D279" s="2" t="str">
        <x:v>Early warning systems</x:v>
      </x:c>
      <x:c r="E279" s="2" t="str">
        <x:v>Flood forecasting systems</x:v>
      </x:c>
      <x:c r="F279" s="2" t="str">
        <x:v>Flood forecasting systems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79" s="2" t="str">
        <x:v>Mixed: adaptable design, site-specific implementation</x:v>
      </x:c>
      <x:c r="H279" s="2" t="str">
        <x:v>Flood forecasting systems is adaptable in capacity and configuration but site-specific in final engineering. Its principle remains the same, but resource quality, climate, scale, interfaces and safety constraints must be recalculated for each deployment.</x:v>
      </x:c>
      <x:c r="I279" s="2" t="str">
        <x:v>Hard and soft</x:v>
      </x:c>
      <x:c r="J279" s="2" t="str">
        <x:v>Flood forecasting systems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79" s="2" t="str">
        <x:v>Operation and information service</x:v>
      </x:c>
      <x:c r="L279" s="2" t="str">
        <x:v>Flood forecasting systems is embodied mainly as an information and decision service. The deliverable is accepted only when measurable service, quality, safety and climate-performance criteria are met under real conditions.</x:v>
      </x:c>
      <x:c r="M279" s="2" t="str">
        <x:v>Yes, subject to life-cycle safeguards</x:v>
      </x:c>
      <x:c r="N279" s="2" t="str">
        <x:v>Flood forecasting systems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79" s="2" t="str">
        <x:v>Flood forecasting systems: in-situ stations, remote sensors, radar or lidar, satellites or receivers, telemetry, servers, backup power, sirens and communication terminals.</x:v>
      </x:c>
      <x:c r="P279" s="2" t="str">
        <x:v>Flood forecasting systems: quality control, geospatial processing, data assimilation, forecasting, downscaling, hazard and impact models, uncertainty treatment, alert logic and visualisation.</x:v>
      </x:c>
      <x:c r="Q279" s="2" t="str">
        <x:v>Flood forecasting systems: institutional mandates, data-sharing agreements, warning authority, standard operating procedures, last-mile communication, accessibility, drills and feedback.</x:v>
      </x:c>
      <x:c r="R279" s="2" t="str">
        <x:v>Flood forecasting systems: observation network, telecommunications, data centre or cloud, operations room, redundant power and multiple dissemination channels.</x:v>
      </x:c>
      <x:c r="S279" s="2" t="str">
        <x:v>Flood forecasting systems: electricity for sensing, communications, computing, cooling and warning devices, with batteries or generators for continuity during emergencies.</x:v>
      </x:c>
      <x:c r="T279" s="2" t="str">
        <x:v>Flood forecasting systems: electronics, semiconductors, copper cabling, batteries, antenna and mast materials, optical components, enclosures and calibration standards.</x:v>
      </x:c>
      <x:c r="U279" s="2" t="str">
        <x:v>Flood forecasting systems: sensor heads, batteries, solar modules, data loggers, modems, cables, connectors, storage media, calibration equipment and siren parts.</x:v>
      </x:c>
      <x:c r="V279" s="2" t="str">
        <x:v>https://www.ctc-n.org/sites/default/files/resources/ctcn_taxonomy_0.pdf</x:v>
      </x:c>
      <x:c r="W279" s="2" t="str">
        <x:v>https://institutoagricoladepueblobello.edu.co/colegiapp/archivostemas/GUIA%209.%5B25%5D.pdf</x:v>
      </x:c>
      <x:c r="X279" s="2" t="str">
        <x:v>https://iiasa.ac.at/what-is-technology</x:v>
      </x:c>
      <x:c r="Y279" s="2" t="str">
        <x:v>https://wmo.int/topics/early-warning-system; https://wmo.int/resources/publication-series/global-status-of-multi-hazard-early-warning-systems/global-status-of-multi-hazard-early-warning-systems-2025</x:v>
      </x:c>
      <x:c r="Z279" s="2" t="str">
        <x:v>Technology-specific analytical synthesis. The CTCN hierarchy is retained; classifications and component dependencies require validation against the selected design, site and supplier documentation before investment or policy use.</x:v>
      </x:c>
      <x:c r="AA279" s="2" t="str">
        <x:v>Physical deployment of Flood forecasting systems requires observation network, telecommunications, data centre or cloud, operations room, redundant power and multiple dissemination channels; interfaces, foundations, access and environmental protection are sized to the specific resource and design load.</x:v>
      </x:c>
      <x:c r="AB279" s="2" t="str">
        <x:v>For Flood forecasting systems,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79" s="2" t="str">
        <x:v>Construction and operation use electronics, semiconductors, copper cabling, batteries, antenna and mast materials, optical components, enclosures and calibration standards. For Flood forecasting systems, specifications must include durability, compatibility, recycled content and recoverability.</x:v>
      </x:c>
      <x:c r="AD279" s="2" t="str">
        <x:v>Maintenance of Flood forecasting systems depends on sensor heads, batteries, solar modules, data loggers, modems, cables, connectors, storage media, calibration equipment and siren parts; critical spares are selected from failure-mode, lead-time and safety analysis for its installed configuration.</x:v>
      </x:c>
      <x:c r="AE279" s="2" t="str">
        <x:v>The software stack for Flood forecasting systems requires databases, secure communications, version-controlled models, computing, backup and interfaces with field or operational systems.</x:v>
      </x:c>
      <x:c r="AF279" s="2" t="str">
        <x:v>For Flood forecasting systems, software-related energy is electricity for sensing, computing, storage, communication and cooling; it is normally secondary but must be included for data-intensive or continuous services.</x:v>
      </x:c>
      <x:c r="AG279" s="2" t="str">
        <x:v>The non-physical inputs are calibrated data, metadata, algorithms, boundary conditions, emission or hazard factors, manuals and validation records specific to Flood forecasting systems.</x:v>
      </x:c>
      <x:c r="AH279" s="2" t="str">
        <x:v>Software continuity for Flood forecasting systems requires licences where applicable, updates, cybersecurity patches, backups, calibration files, model validation and technical support.</x:v>
      </x:c>
      <x:c r="AI279" s="2" t="str">
        <x:v>Orgware depends on the institutions, laboratories, training providers, regulators, operators and community interfaces needed to govern Flood forecasting systems.</x:v>
      </x:c>
      <x:c r="AJ279" s="2" t="str">
        <x:v>The orgware supporting Flood forecasting systems has mainly indirect energy use from offices, meetings, training and information systems; travel and field supervision may be material at dispersed sites.</x:v>
      </x:c>
      <x:c r="AK279" s="2" t="str">
        <x:v>Its organisational inputs are permits, budgets, trained staff, competence records, contracts, procedures, safeguards, monitoring evidence and stakeholder agreements tailored to Flood forecasting systems.</x:v>
      </x:c>
      <x:c r="AL279" s="2" t="str">
        <x:v>Sustained implementation of Flood forecasting systems requires procurement and service contracts, audit protocols, training material, reporting templates, insurance or guarantees and periodic independent review.</x:v>
      </x:c>
      <x:c r="AM279" s="2" t="str">
        <x:v>Iron ore / steel inputs; Copper; Tin</x:v>
      </x:c>
      <x:c r="AN279" s="2" t="str">
        <x:v>Australia; Brazil; China; Chile; Democratic Republic of the Congo; Peru; Indonesia; Myanmar</x:v>
      </x:c>
      <x:c r="AO279" s="2" t="str">
        <x:v>China; India; Japan; Chile; Democratic Republic of the Congo; Indonesia; Malaysia</x:v>
      </x:c>
      <x:c r="AP279" s="2" t="str">
        <x:v>Flood forecasting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9" s="2" t="str">
        <x:v>2024–2025</x:v>
      </x:c>
      <x:c r="AR279" s="2" t="str">
        <x:v>https://pubs.usgs.gov/periodicals/mcs2026/mcs2026.pdf</x:v>
      </x:c>
    </x:row>
    <x:row r="280" ht="240" customHeight="1">
      <x:c r="A280" s="2" t="str">
        <x:v>ADP-0010</x:v>
      </x:c>
      <x:c r="B280" s="2" t="str">
        <x:v>Adaptation</x:v>
      </x:c>
      <x:c r="C280" s="2" t="str">
        <x:v>Early Warning and Environmental Assesment</x:v>
      </x:c>
      <x:c r="D280" s="2" t="str">
        <x:v>Early warning systems</x:v>
      </x:c>
      <x:c r="E280" s="2" t="str">
        <x:v>Landslide and mudflow warning systems</x:v>
      </x:c>
      <x:c r="F280" s="2" t="str">
        <x:v>Landslide and mudflow warning systems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80" s="2" t="str">
        <x:v>Mixed: adaptable design, site-specific implementation</x:v>
      </x:c>
      <x:c r="H280" s="2" t="str">
        <x:v>Landslide and mudflow warning systems is adaptable in capacity and configuration but site-specific in final engineering. Its principle remains the same, but resource quality, climate, scale, interfaces and safety constraints must be recalculated for each deployment.</x:v>
      </x:c>
      <x:c r="I280" s="2" t="str">
        <x:v>Primarily hard, with a soft component</x:v>
      </x:c>
      <x:c r="J280" s="2" t="str">
        <x:v>Landslide and mudflow warning systems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80" s="2" t="str">
        <x:v>Operation</x:v>
      </x:c>
      <x:c r="L280" s="2" t="str">
        <x:v>Landslide and mudflow warning systems is embodied mainly as an operating practice. The deliverable is accepted only when measurable service, quality, safety and climate-performance criteria are met under real conditions.</x:v>
      </x:c>
      <x:c r="M280" s="2" t="str">
        <x:v>Yes, subject to life-cycle safeguards</x:v>
      </x:c>
      <x:c r="N280" s="2" t="str">
        <x:v>Landslide and mudflow warning systems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80" s="2" t="str">
        <x:v>Landslide and mudflow warning systems: in-situ stations, remote sensors, radar or lidar, satellites or receivers, telemetry, servers, backup power, sirens and communication terminals.</x:v>
      </x:c>
      <x:c r="P280" s="2" t="str">
        <x:v>Landslide and mudflow warning systems: quality control, geospatial processing, data assimilation, forecasting, downscaling, hazard and impact models, uncertainty treatment, alert logic and visualisation.</x:v>
      </x:c>
      <x:c r="Q280" s="2" t="str">
        <x:v>Landslide and mudflow warning systems: institutional mandates, data-sharing agreements, warning authority, standard operating procedures, last-mile communication, accessibility, drills and feedback.</x:v>
      </x:c>
      <x:c r="R280" s="2" t="str">
        <x:v>Landslide and mudflow warning systems: observation network, telecommunications, data centre or cloud, operations room, redundant power and multiple dissemination channels.</x:v>
      </x:c>
      <x:c r="S280" s="2" t="str">
        <x:v>Landslide and mudflow warning systems: electricity for sensing, communications, computing, cooling and warning devices, with batteries or generators for continuity during emergencies.</x:v>
      </x:c>
      <x:c r="T280" s="2" t="str">
        <x:v>Landslide and mudflow warning systems: electronics, semiconductors, copper cabling, batteries, antenna and mast materials, optical components, enclosures and calibration standards.</x:v>
      </x:c>
      <x:c r="U280" s="2" t="str">
        <x:v>Landslide and mudflow warning systems: sensor heads, batteries, solar modules, data loggers, modems, cables, connectors, storage media, calibration equipment and siren parts.</x:v>
      </x:c>
      <x:c r="V280" s="2" t="str">
        <x:v>https://www.ctc-n.org/sites/default/files/resources/ctcn_taxonomy_0.pdf</x:v>
      </x:c>
      <x:c r="W280" s="2" t="str">
        <x:v>https://institutoagricoladepueblobello.edu.co/colegiapp/archivostemas/GUIA%209.%5B25%5D.pdf</x:v>
      </x:c>
      <x:c r="X280" s="2" t="str">
        <x:v>https://iiasa.ac.at/what-is-technology</x:v>
      </x:c>
      <x:c r="Y280" s="2" t="str">
        <x:v>https://wmo.int/topics/early-warning-system; https://wmo.int/resources/publication-series/global-status-of-multi-hazard-early-warning-systems/global-status-of-multi-hazard-early-warning-systems-2025</x:v>
      </x:c>
      <x:c r="Z280" s="2" t="str">
        <x:v>Technology-specific analytical synthesis. The CTCN hierarchy is retained; classifications and component dependencies require validation against the selected design, site and supplier documentation before investment or policy use.</x:v>
      </x:c>
      <x:c r="AA280" s="2" t="str">
        <x:v>Physical deployment of Landslide and mudflow warning systems requires observation network, telecommunications, data centre or cloud, operations room, redundant power and multiple dissemination channels; interfaces, foundations, access and environmental protection are sized to the specific resource and design load.</x:v>
      </x:c>
      <x:c r="AB280" s="2" t="str">
        <x:v>For Landslide and mudflow warning systems,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80" s="2" t="str">
        <x:v>Construction and operation use electronics, semiconductors, copper cabling, batteries, antenna and mast materials, optical components, enclosures and calibration standards. For Landslide and mudflow warning systems, specifications must include durability, compatibility, recycled content and recoverability.</x:v>
      </x:c>
      <x:c r="AD280" s="2" t="str">
        <x:v>Maintenance of Landslide and mudflow warning systems depends on sensor heads, batteries, solar modules, data loggers, modems, cables, connectors, storage media, calibration equipment and siren parts; critical spares are selected from failure-mode, lead-time and safety analysis for its installed configuration.</x:v>
      </x:c>
      <x:c r="AE280" s="2" t="str">
        <x:v>The software stack for Landslide and mudflow warning systems requires databases, secure communications, version-controlled models, computing, backup and interfaces with field or operational systems.</x:v>
      </x:c>
      <x:c r="AF280" s="2" t="str">
        <x:v>For Landslide and mudflow warning systems, software-related energy is electricity for sensing, computing, storage, communication and cooling; it is normally secondary but must be included for data-intensive or continuous services.</x:v>
      </x:c>
      <x:c r="AG280" s="2" t="str">
        <x:v>The non-physical inputs are calibrated data, metadata, algorithms, boundary conditions, emission or hazard factors, manuals and validation records specific to Landslide and mudflow warning systems.</x:v>
      </x:c>
      <x:c r="AH280" s="2" t="str">
        <x:v>Software continuity for Landslide and mudflow warning systems requires licences where applicable, updates, cybersecurity patches, backups, calibration files, model validation and technical support.</x:v>
      </x:c>
      <x:c r="AI280" s="2" t="str">
        <x:v>Orgware depends on the institutions, laboratories, training providers, regulators, operators and community interfaces needed to govern Landslide and mudflow warning systems.</x:v>
      </x:c>
      <x:c r="AJ280" s="2" t="str">
        <x:v>The orgware supporting Landslide and mudflow warning systems has mainly indirect energy use from offices, meetings, training and information systems; travel and field supervision may be material at dispersed sites.</x:v>
      </x:c>
      <x:c r="AK280" s="2" t="str">
        <x:v>Its organisational inputs are permits, budgets, trained staff, competence records, contracts, procedures, safeguards, monitoring evidence and stakeholder agreements tailored to Landslide and mudflow warning systems.</x:v>
      </x:c>
      <x:c r="AL280" s="2" t="str">
        <x:v>Sustained implementation of Landslide and mudflow warning systems requires procurement and service contracts, audit protocols, training material, reporting templates, insurance or guarantees and periodic independent review.</x:v>
      </x:c>
      <x:c r="AM280" s="2" t="str">
        <x:v>Iron ore / steel inputs</x:v>
      </x:c>
      <x:c r="AN280" s="2" t="str">
        <x:v>Australia; Brazil; China</x:v>
      </x:c>
      <x:c r="AO280" s="2" t="str">
        <x:v>China; India; Japan</x:v>
      </x:c>
      <x:c r="AP280" s="2" t="str">
        <x:v>Landslide and mudflow warning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0" s="2" t="str">
        <x:v>2024–2025</x:v>
      </x:c>
      <x:c r="AR280" s="2" t="str">
        <x:v>https://pubs.usgs.gov/periodicals/mcs2026/mcs2026.pdf</x:v>
      </x:c>
    </x:row>
    <x:row r="281" ht="240" customHeight="1">
      <x:c r="A281" s="2" t="str">
        <x:v>ADP-0011</x:v>
      </x:c>
      <x:c r="B281" s="2" t="str">
        <x:v>Adaptation</x:v>
      </x:c>
      <x:c r="C281" s="2" t="str">
        <x:v>Early Warning and Environmental Assesment</x:v>
      </x:c>
      <x:c r="D281" s="2" t="str">
        <x:v>Monitoring systems</x:v>
      </x:c>
      <x:c r="E281" s="2" t="str">
        <x:v>Monitoring of invasive species</x:v>
      </x:c>
      <x:c r="F281" s="2" t="str">
        <x:v>Monitoring of invasive species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Monitoring of invasive species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81" s="2" t="str">
        <x:v>Mixed: adaptable design, site-specific implementation</x:v>
      </x:c>
      <x:c r="H281" s="2" t="str">
        <x:v>Monitoring of invasive species is adaptable in capacity and configuration but site-specific in final engineering. Its principle remains the same, but resource quality, climate, scale, interfaces and safety constraints must be recalculated for each deployment.</x:v>
      </x:c>
      <x:c r="I281" s="2" t="str">
        <x:v>Hard and soft</x:v>
      </x:c>
      <x:c r="J281" s="2" t="str">
        <x:v>Monitoring of invasive species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81" s="2" t="str">
        <x:v>Operation and information service</x:v>
      </x:c>
      <x:c r="L281" s="2" t="str">
        <x:v>Monitoring of invasive species is embodied mainly as an information and decision service. The deliverable is accepted only when measurable service, quality, safety and climate-performance criteria are met under real conditions.</x:v>
      </x:c>
      <x:c r="M281" s="2" t="str">
        <x:v>Yes, subject to life-cycle safeguards</x:v>
      </x:c>
      <x:c r="N281" s="2" t="str">
        <x:v>Monitoring of invasive species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81" s="2" t="str">
        <x:v>Monitoring of invasive species: in-situ stations, remote sensors, radar or lidar, satellites or receivers, telemetry, servers, backup power, sirens and communication terminals.</x:v>
      </x:c>
      <x:c r="P281" s="2" t="str">
        <x:v>Monitoring of invasive species: quality control, geospatial processing, data assimilation, forecasting, downscaling, hazard and impact models, uncertainty treatment, alert logic and visualisation.</x:v>
      </x:c>
      <x:c r="Q281" s="2" t="str">
        <x:v>Monitoring of invasive species: institutional mandates, data-sharing agreements, warning authority, standard operating procedures, last-mile communication, accessibility, drills and feedback.</x:v>
      </x:c>
      <x:c r="R281" s="2" t="str">
        <x:v>Monitoring of invasive species: observation network, telecommunications, data centre or cloud, operations room, redundant power and multiple dissemination channels.</x:v>
      </x:c>
      <x:c r="S281" s="2" t="str">
        <x:v>Monitoring of invasive species: electricity for sensing, communications, computing, cooling and warning devices, with batteries or generators for continuity during emergencies.</x:v>
      </x:c>
      <x:c r="T281" s="2" t="str">
        <x:v>Monitoring of invasive species: electronics, semiconductors, copper cabling, batteries, antenna and mast materials, optical components, enclosures and calibration standards.</x:v>
      </x:c>
      <x:c r="U281" s="2" t="str">
        <x:v>Monitoring of invasive species: sensor heads, batteries, solar modules, data loggers, modems, cables, connectors, storage media, calibration equipment and siren parts.</x:v>
      </x:c>
      <x:c r="V281" s="2" t="str">
        <x:v>https://www.ctc-n.org/sites/default/files/resources/ctcn_taxonomy_0.pdf</x:v>
      </x:c>
      <x:c r="W281" s="2" t="str">
        <x:v>https://institutoagricoladepueblobello.edu.co/colegiapp/archivostemas/GUIA%209.%5B25%5D.pdf</x:v>
      </x:c>
      <x:c r="X281" s="2" t="str">
        <x:v>https://iiasa.ac.at/what-is-technology</x:v>
      </x:c>
      <x:c r="Y281" s="2" t="str">
        <x:v>https://wmo.int/topics/early-warning-system; https://wmo.int/resources/publication-series/global-status-of-multi-hazard-early-warning-systems/global-status-of-multi-hazard-early-warning-systems-2025</x:v>
      </x:c>
      <x:c r="Z281" s="2" t="str">
        <x:v>Technology-specific analytical synthesis. The CTCN hierarchy is retained; classifications and component dependencies require validation against the selected design, site and supplier documentation before investment or policy use.</x:v>
      </x:c>
      <x:c r="AA281" s="2" t="str">
        <x:v>Physical deployment of Monitoring of invasive species requires observation network, telecommunications, data centre or cloud, operations room, redundant power and multiple dissemination channels; interfaces, foundations, access and environmental protection are sized to the specific resource and design load.</x:v>
      </x:c>
      <x:c r="AB281" s="2" t="str">
        <x:v>For Monitoring of invasive species,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81" s="2" t="str">
        <x:v>Construction and operation use electronics, semiconductors, copper cabling, batteries, antenna and mast materials, optical components, enclosures and calibration standards. For Monitoring of invasive species, specifications must include durability, compatibility, recycled content and recoverability.</x:v>
      </x:c>
      <x:c r="AD281" s="2" t="str">
        <x:v>Maintenance of Monitoring of invasive species depends on sensor heads, batteries, solar modules, data loggers, modems, cables, connectors, storage media, calibration equipment and siren parts; critical spares are selected from failure-mode, lead-time and safety analysis for its installed configuration.</x:v>
      </x:c>
      <x:c r="AE281" s="2" t="str">
        <x:v>The software stack for Monitoring of invasive species requires databases, secure communications, version-controlled models, computing, backup and interfaces with field or operational systems.</x:v>
      </x:c>
      <x:c r="AF281" s="2" t="str">
        <x:v>For Monitoring of invasive species, software-related energy is electricity for sensing, computing, storage, communication and cooling; it is normally secondary but must be included for data-intensive or continuous services.</x:v>
      </x:c>
      <x:c r="AG281" s="2" t="str">
        <x:v>The non-physical inputs are calibrated data, metadata, algorithms, boundary conditions, emission or hazard factors, manuals and validation records specific to Monitoring of invasive species.</x:v>
      </x:c>
      <x:c r="AH281" s="2" t="str">
        <x:v>Software continuity for Monitoring of invasive species requires licences where applicable, updates, cybersecurity patches, backups, calibration files, model validation and technical support.</x:v>
      </x:c>
      <x:c r="AI281" s="2" t="str">
        <x:v>Orgware depends on the institutions, laboratories, training providers, regulators, operators and community interfaces needed to govern Monitoring of invasive species.</x:v>
      </x:c>
      <x:c r="AJ281" s="2" t="str">
        <x:v>The orgware supporting Monitoring of invasive species has mainly indirect energy use from offices, meetings, training and information systems; travel and field supervision may be material at dispersed sites.</x:v>
      </x:c>
      <x:c r="AK281" s="2" t="str">
        <x:v>Its organisational inputs are permits, budgets, trained staff, competence records, contracts, procedures, safeguards, monitoring evidence and stakeholder agreements tailored to Monitoring of invasive species.</x:v>
      </x:c>
      <x:c r="AL281" s="2" t="str">
        <x:v>Sustained implementation of Monitoring of invasive species requires procurement and service contracts, audit protocols, training material, reporting templates, insurance or guarantees and periodic independent review.</x:v>
      </x:c>
      <x:c r="AM281" s="2" t="str">
        <x:v>Iron ore / steel inputs; Copper; Tin</x:v>
      </x:c>
      <x:c r="AN281" s="2" t="str">
        <x:v>Australia; Brazil; China; Chile; Democratic Republic of the Congo; Peru; Indonesia; Myanmar</x:v>
      </x:c>
      <x:c r="AO281" s="2" t="str">
        <x:v>China; India; Japan; Chile; Democratic Republic of the Congo; Indonesia; Malaysia</x:v>
      </x:c>
      <x:c r="AP281" s="2" t="str">
        <x:v>Monitoring of invasive species: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1" s="2" t="str">
        <x:v>2024–2025</x:v>
      </x:c>
      <x:c r="AR281" s="2" t="str">
        <x:v>https://pubs.usgs.gov/periodicals/mcs2026/mcs2026.pdf</x:v>
      </x:c>
    </x:row>
    <x:row r="282" ht="240" customHeight="1">
      <x:c r="A282" s="2" t="str">
        <x:v>ADP-0012</x:v>
      </x:c>
      <x:c r="B282" s="2" t="str">
        <x:v>Adaptation</x:v>
      </x:c>
      <x:c r="C282" s="2" t="str">
        <x:v>Early Warning and Environmental Assesment</x:v>
      </x:c>
      <x:c r="D282" s="2" t="str">
        <x:v>Monitoring systems</x:v>
      </x:c>
      <x:c r="E282" s="2" t="str">
        <x:v>Climate change monitoring</x:v>
      </x:c>
      <x:c r="F282" s="2" t="str">
        <x:v>Climate change monitoring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Climate change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82" s="2" t="str">
        <x:v>Mixed: adaptable design, site-specific implementation</x:v>
      </x:c>
      <x:c r="H282" s="2" t="str">
        <x:v>Climate change monitoring is adaptable in capacity and configuration but site-specific in final engineering. Its principle remains the same, but resource quality, climate, scale, interfaces and safety constraints must be recalculated for each deployment.</x:v>
      </x:c>
      <x:c r="I282" s="2" t="str">
        <x:v>Hard and soft</x:v>
      </x:c>
      <x:c r="J282" s="2" t="str">
        <x:v>Climate change monitoring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82" s="2" t="str">
        <x:v>Operation and information service</x:v>
      </x:c>
      <x:c r="L282" s="2" t="str">
        <x:v>Climate change monitoring is embodied mainly as an information and decision service. The deliverable is accepted only when measurable service, quality, safety and climate-performance criteria are met under real conditions.</x:v>
      </x:c>
      <x:c r="M282" s="2" t="str">
        <x:v>Yes, subject to life-cycle safeguards</x:v>
      </x:c>
      <x:c r="N282" s="2" t="str">
        <x:v>Climate change monitoring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82" s="2" t="str">
        <x:v>Climate change monitoring: in-situ stations, remote sensors, radar or lidar, satellites or receivers, telemetry, servers, backup power, sirens and communication terminals.</x:v>
      </x:c>
      <x:c r="P282" s="2" t="str">
        <x:v>Climate change monitoring: quality control, geospatial processing, data assimilation, forecasting, downscaling, hazard and impact models, uncertainty treatment, alert logic and visualisation.</x:v>
      </x:c>
      <x:c r="Q282" s="2" t="str">
        <x:v>Climate change monitoring: institutional mandates, data-sharing agreements, warning authority, standard operating procedures, last-mile communication, accessibility, drills and feedback.</x:v>
      </x:c>
      <x:c r="R282" s="2" t="str">
        <x:v>Climate change monitoring: observation network, telecommunications, data centre or cloud, operations room, redundant power and multiple dissemination channels.</x:v>
      </x:c>
      <x:c r="S282" s="2" t="str">
        <x:v>Climate change monitoring: electricity for sensing, communications, computing, cooling and warning devices, with batteries or generators for continuity during emergencies.</x:v>
      </x:c>
      <x:c r="T282" s="2" t="str">
        <x:v>Climate change monitoring: electronics, semiconductors, copper cabling, batteries, antenna and mast materials, optical components, enclosures and calibration standards.</x:v>
      </x:c>
      <x:c r="U282" s="2" t="str">
        <x:v>Climate change monitoring: sensor heads, batteries, solar modules, data loggers, modems, cables, connectors, storage media, calibration equipment and siren parts.</x:v>
      </x:c>
      <x:c r="V282" s="2" t="str">
        <x:v>https://www.ctc-n.org/sites/default/files/resources/ctcn_taxonomy_0.pdf</x:v>
      </x:c>
      <x:c r="W282" s="2" t="str">
        <x:v>https://institutoagricoladepueblobello.edu.co/colegiapp/archivostemas/GUIA%209.%5B25%5D.pdf</x:v>
      </x:c>
      <x:c r="X282" s="2" t="str">
        <x:v>https://iiasa.ac.at/what-is-technology</x:v>
      </x:c>
      <x:c r="Y282" s="2" t="str">
        <x:v>https://wmo.int/topics/early-warning-system; https://wmo.int/resources/publication-series/global-status-of-multi-hazard-early-warning-systems/global-status-of-multi-hazard-early-warning-systems-2025</x:v>
      </x:c>
      <x:c r="Z282" s="2" t="str">
        <x:v>Technology-specific analytical synthesis. The CTCN hierarchy is retained; classifications and component dependencies require validation against the selected design, site and supplier documentation before investment or policy use.</x:v>
      </x:c>
      <x:c r="AA282" s="2" t="str">
        <x:v>Physical deployment of Climate change monitoring requires observation network, telecommunications, data centre or cloud, operations room, redundant power and multiple dissemination channels; interfaces, foundations, access and environmental protection are sized to the specific resource and design load.</x:v>
      </x:c>
      <x:c r="AB282" s="2" t="str">
        <x:v>For Climate change monitoring,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82" s="2" t="str">
        <x:v>Construction and operation use electronics, semiconductors, copper cabling, batteries, antenna and mast materials, optical components, enclosures and calibration standards. For Climate change monitoring, specifications must include durability, compatibility, recycled content and recoverability.</x:v>
      </x:c>
      <x:c r="AD282" s="2" t="str">
        <x:v>Maintenance of Climate change monitoring depends on sensor heads, batteries, solar modules, data loggers, modems, cables, connectors, storage media, calibration equipment and siren parts; critical spares are selected from failure-mode, lead-time and safety analysis for its installed configuration.</x:v>
      </x:c>
      <x:c r="AE282" s="2" t="str">
        <x:v>The software stack for Climate change monitoring requires databases, secure communications, version-controlled models, computing, backup and interfaces with field or operational systems.</x:v>
      </x:c>
      <x:c r="AF282" s="2" t="str">
        <x:v>For Climate change monitoring, software-related energy is electricity for sensing, computing, storage, communication and cooling; it is normally secondary but must be included for data-intensive or continuous services.</x:v>
      </x:c>
      <x:c r="AG282" s="2" t="str">
        <x:v>The non-physical inputs are calibrated data, metadata, algorithms, boundary conditions, emission or hazard factors, manuals and validation records specific to Climate change monitoring.</x:v>
      </x:c>
      <x:c r="AH282" s="2" t="str">
        <x:v>Software continuity for Climate change monitoring requires licences where applicable, updates, cybersecurity patches, backups, calibration files, model validation and technical support.</x:v>
      </x:c>
      <x:c r="AI282" s="2" t="str">
        <x:v>Orgware depends on the institutions, laboratories, training providers, regulators, operators and community interfaces needed to govern Climate change monitoring.</x:v>
      </x:c>
      <x:c r="AJ282" s="2" t="str">
        <x:v>The orgware supporting Climate change monitoring has mainly indirect energy use from offices, meetings, training and information systems; travel and field supervision may be material at dispersed sites.</x:v>
      </x:c>
      <x:c r="AK282" s="2" t="str">
        <x:v>Its organisational inputs are permits, budgets, trained staff, competence records, contracts, procedures, safeguards, monitoring evidence and stakeholder agreements tailored to Climate change monitoring.</x:v>
      </x:c>
      <x:c r="AL282" s="2" t="str">
        <x:v>Sustained implementation of Climate change monitoring requires procurement and service contracts, audit protocols, training material, reporting templates, insurance or guarantees and periodic independent review.</x:v>
      </x:c>
      <x:c r="AM282" s="2" t="str">
        <x:v>Iron ore / steel inputs; Copper; Tin</x:v>
      </x:c>
      <x:c r="AN282" s="2" t="str">
        <x:v>Australia; Brazil; China; Chile; Democratic Republic of the Congo; Peru; Indonesia; Myanmar</x:v>
      </x:c>
      <x:c r="AO282" s="2" t="str">
        <x:v>China; India; Japan; Chile; Democratic Republic of the Congo; Indonesia; Malaysia</x:v>
      </x:c>
      <x:c r="AP282" s="2" t="str">
        <x:v>Climate change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2" s="2" t="str">
        <x:v>2024–2025</x:v>
      </x:c>
      <x:c r="AR282" s="2" t="str">
        <x:v>https://pubs.usgs.gov/periodicals/mcs2026/mcs2026.pdf</x:v>
      </x:c>
    </x:row>
    <x:row r="283" ht="240" customHeight="1">
      <x:c r="A283" s="2" t="str">
        <x:v>ADP-0013</x:v>
      </x:c>
      <x:c r="B283" s="2" t="str">
        <x:v>Adaptation</x:v>
      </x:c>
      <x:c r="C283" s="2" t="str">
        <x:v>Early Warning and Environmental Assesment</x:v>
      </x:c>
      <x:c r="D283" s="2" t="str">
        <x:v>Monitoring systems</x:v>
      </x:c>
      <x:c r="E283" s="2" t="str">
        <x:v>Light detection and ranging</x:v>
      </x:c>
      <x:c r="F283" s="2" t="str">
        <x:v>Light detection and ranging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measures reflected or emitted electromagnetic energy—or laser travel time—to derive georeferenced surface, vegetation, moisture or elevation variables over areas that cannot be sampled continuously on the ground.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83" s="2" t="str">
        <x:v>Mixed: adaptable design, site-specific implementation</x:v>
      </x:c>
      <x:c r="H283" s="2" t="str">
        <x:v>Light detection and ranging is adaptable in capacity and configuration but site-specific in final engineering. Its principle remains the same, but resource quality, climate, scale, interfaces and safety constraints must be recalculated for each deployment.</x:v>
      </x:c>
      <x:c r="I283" s="2" t="str">
        <x:v>Hard and soft</x:v>
      </x:c>
      <x:c r="J283" s="2" t="str">
        <x:v>Light detection and ranging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83" s="2" t="str">
        <x:v>Operation and information service</x:v>
      </x:c>
      <x:c r="L283" s="2" t="str">
        <x:v>Light detection and ranging is embodied mainly as an information and decision service. The deliverable is accepted only when measurable service, quality, safety and climate-performance criteria are met under real conditions.</x:v>
      </x:c>
      <x:c r="M283" s="2" t="str">
        <x:v>Yes, subject to life-cycle safeguards</x:v>
      </x:c>
      <x:c r="N283" s="2" t="str">
        <x:v>Light detection and ranging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83" s="2" t="str">
        <x:v>Light detection and ranging: in-situ stations, remote sensors, radar or lidar, satellites or receivers, telemetry, servers, backup power, sirens and communication terminals.</x:v>
      </x:c>
      <x:c r="P283" s="2" t="str">
        <x:v>Light detection and ranging: quality control, geospatial processing, data assimilation, forecasting, downscaling, hazard and impact models, uncertainty treatment, alert logic and visualisation.</x:v>
      </x:c>
      <x:c r="Q283" s="2" t="str">
        <x:v>Light detection and ranging: institutional mandates, data-sharing agreements, warning authority, standard operating procedures, last-mile communication, accessibility, drills and feedback.</x:v>
      </x:c>
      <x:c r="R283" s="2" t="str">
        <x:v>Light detection and ranging: observation network, telecommunications, data centre or cloud, operations room, redundant power and multiple dissemination channels.</x:v>
      </x:c>
      <x:c r="S283" s="2" t="str">
        <x:v>Light detection and ranging: electricity for sensing, communications, computing, cooling and warning devices, with batteries or generators for continuity during emergencies.</x:v>
      </x:c>
      <x:c r="T283" s="2" t="str">
        <x:v>Light detection and ranging: electronics, semiconductors, copper cabling, batteries, antenna and mast materials, optical components, enclosures and calibration standards.</x:v>
      </x:c>
      <x:c r="U283" s="2" t="str">
        <x:v>Light detection and ranging: sensor heads, batteries, solar modules, data loggers, modems, cables, connectors, storage media, calibration equipment and siren parts.</x:v>
      </x:c>
      <x:c r="V283" s="2" t="str">
        <x:v>https://www.ctc-n.org/sites/default/files/resources/ctcn_taxonomy_0.pdf</x:v>
      </x:c>
      <x:c r="W283" s="2" t="str">
        <x:v>https://institutoagricoladepueblobello.edu.co/colegiapp/archivostemas/GUIA%209.%5B25%5D.pdf</x:v>
      </x:c>
      <x:c r="X283" s="2" t="str">
        <x:v>https://iiasa.ac.at/what-is-technology</x:v>
      </x:c>
      <x:c r="Y283" s="2" t="str">
        <x:v>https://wmo.int/topics/early-warning-system; https://wmo.int/resources/publication-series/global-status-of-multi-hazard-early-warning-systems/global-status-of-multi-hazard-early-warning-systems-2025</x:v>
      </x:c>
      <x:c r="Z283" s="2" t="str">
        <x:v>Technology-specific analytical synthesis. The CTCN hierarchy is retained; classifications and component dependencies require validation against the selected design, site and supplier documentation before investment or policy use.</x:v>
      </x:c>
      <x:c r="AA283" s="2" t="str">
        <x:v>Physical deployment of Light detection and ranging requires observation network, telecommunications, data centre or cloud, operations room, redundant power and multiple dissemination channels; interfaces, foundations, access and environmental protection are sized to the specific resource and design load.</x:v>
      </x:c>
      <x:c r="AB283" s="2" t="str">
        <x:v>For Light detection and ranging,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83" s="2" t="str">
        <x:v>Construction and operation use electronics, semiconductors, copper cabling, batteries, antenna and mast materials, optical components, enclosures and calibration standards. For Light detection and ranging, specifications must include durability, compatibility, recycled content and recoverability.</x:v>
      </x:c>
      <x:c r="AD283" s="2" t="str">
        <x:v>Maintenance of Light detection and ranging depends on sensor heads, batteries, solar modules, data loggers, modems, cables, connectors, storage media, calibration equipment and siren parts; critical spares are selected from failure-mode, lead-time and safety analysis for its installed configuration.</x:v>
      </x:c>
      <x:c r="AE283" s="2" t="str">
        <x:v>The software stack for Light detection and ranging requires databases, secure communications, version-controlled models, computing, backup and interfaces with field or operational systems.</x:v>
      </x:c>
      <x:c r="AF283" s="2" t="str">
        <x:v>For Light detection and ranging, software-related energy is electricity for sensing, computing, storage, communication and cooling; it is normally secondary but must be included for data-intensive or continuous services.</x:v>
      </x:c>
      <x:c r="AG283" s="2" t="str">
        <x:v>The non-physical inputs are calibrated data, metadata, algorithms, boundary conditions, emission or hazard factors, manuals and validation records specific to Light detection and ranging.</x:v>
      </x:c>
      <x:c r="AH283" s="2" t="str">
        <x:v>Software continuity for Light detection and ranging requires licences where applicable, updates, cybersecurity patches, backups, calibration files, model validation and technical support.</x:v>
      </x:c>
      <x:c r="AI283" s="2" t="str">
        <x:v>Orgware depends on the institutions, laboratories, training providers, regulators, operators and community interfaces needed to govern Light detection and ranging.</x:v>
      </x:c>
      <x:c r="AJ283" s="2" t="str">
        <x:v>The orgware supporting Light detection and ranging has mainly indirect energy use from offices, meetings, training and information systems; travel and field supervision may be material at dispersed sites.</x:v>
      </x:c>
      <x:c r="AK283" s="2" t="str">
        <x:v>Its organisational inputs are permits, budgets, trained staff, competence records, contracts, procedures, safeguards, monitoring evidence and stakeholder agreements tailored to Light detection and ranging.</x:v>
      </x:c>
      <x:c r="AL283" s="2" t="str">
        <x:v>Sustained implementation of Light detection and ranging requires procurement and service contracts, audit protocols, training material, reporting templates, insurance or guarantees and periodic independent review.</x:v>
      </x:c>
      <x:c r="AM283" s="2" t="str">
        <x:v>Iron ore / steel inputs; Copper; Tin</x:v>
      </x:c>
      <x:c r="AN283" s="2" t="str">
        <x:v>Australia; Brazil; China; Chile; Democratic Republic of the Congo; Peru; Indonesia; Myanmar</x:v>
      </x:c>
      <x:c r="AO283" s="2" t="str">
        <x:v>China; India; Japan; Chile; Democratic Republic of the Congo; Indonesia; Malaysia</x:v>
      </x:c>
      <x:c r="AP283" s="2" t="str">
        <x:v>Light detection and ranging: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3" s="2" t="str">
        <x:v>2024–2025</x:v>
      </x:c>
      <x:c r="AR283" s="2" t="str">
        <x:v>https://pubs.usgs.gov/periodicals/mcs2026/mcs2026.pdf</x:v>
      </x:c>
    </x:row>
    <x:row r="284" ht="240" customHeight="1">
      <x:c r="A284" s="2" t="str">
        <x:v>ADP-0014</x:v>
      </x:c>
      <x:c r="B284" s="2" t="str">
        <x:v>Adaptation</x:v>
      </x:c>
      <x:c r="C284" s="2" t="str">
        <x:v>Early Warning and Environmental Assesment</x:v>
      </x:c>
      <x:c r="D284" s="2" t="str">
        <x:v>Monitoring systems</x:v>
      </x:c>
      <x:c r="E284" s="2" t="str">
        <x:v>Water resource assessment</x:v>
      </x:c>
      <x:c r="F284" s="2" t="str">
        <x:v>Water resource assessment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Water resource assessment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84" s="2" t="str">
        <x:v>Flexible</x:v>
      </x:c>
      <x:c r="H284" s="2" t="str">
        <x:v>Water resource assessment is transferable through configurable methods, rules and operating parameters. Its principle remains the same, but resource quality, climate, scale, interfaces and safety constraints must be recalculated for each deployment.</x:v>
      </x:c>
      <x:c r="I284" s="2" t="str">
        <x:v>Hard and soft</x:v>
      </x:c>
      <x:c r="J284" s="2" t="str">
        <x:v>Water resource assessment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84" s="2" t="str">
        <x:v>Operation and information service</x:v>
      </x:c>
      <x:c r="L284" s="2" t="str">
        <x:v>Water resource assessment is embodied mainly as an information and decision service. The deliverable is accepted only when measurable service, quality, safety and climate-performance criteria are met under real conditions.</x:v>
      </x:c>
      <x:c r="M284" s="2" t="str">
        <x:v>Yes, subject to life-cycle safeguards</x:v>
      </x:c>
      <x:c r="N284" s="2" t="str">
        <x:v>Water resource assessment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84" s="2" t="str">
        <x:v>Water resource assessment: in-situ stations, remote sensors, radar or lidar, satellites or receivers, telemetry, servers, backup power, sirens and communication terminals.</x:v>
      </x:c>
      <x:c r="P284" s="2" t="str">
        <x:v>Water resource assessment: quality control, geospatial processing, data assimilation, forecasting, downscaling, hazard and impact models, uncertainty treatment, alert logic and visualisation.</x:v>
      </x:c>
      <x:c r="Q284" s="2" t="str">
        <x:v>Water resource assessment: institutional mandates, data-sharing agreements, warning authority, standard operating procedures, last-mile communication, accessibility, drills and feedback.</x:v>
      </x:c>
      <x:c r="R284" s="2" t="str">
        <x:v>Water resource assessment: observation network, telecommunications, data centre or cloud, operations room, redundant power and multiple dissemination channels.</x:v>
      </x:c>
      <x:c r="S284" s="2" t="str">
        <x:v>Water resource assessment: electricity for sensing, communications, computing, cooling and warning devices, with batteries or generators for continuity during emergencies.</x:v>
      </x:c>
      <x:c r="T284" s="2" t="str">
        <x:v>Water resource assessment: electronics, semiconductors, copper cabling, batteries, antenna and mast materials, optical components, enclosures and calibration standards.</x:v>
      </x:c>
      <x:c r="U284" s="2" t="str">
        <x:v>Water resource assessment: sensor heads, batteries, solar modules, data loggers, modems, cables, connectors, storage media, calibration equipment and siren parts.</x:v>
      </x:c>
      <x:c r="V284" s="2" t="str">
        <x:v>https://www.ctc-n.org/sites/default/files/resources/ctcn_taxonomy_0.pdf</x:v>
      </x:c>
      <x:c r="W284" s="2" t="str">
        <x:v>https://institutoagricoladepueblobello.edu.co/colegiapp/archivostemas/GUIA%209.%5B25%5D.pdf</x:v>
      </x:c>
      <x:c r="X284" s="2" t="str">
        <x:v>https://iiasa.ac.at/what-is-technology</x:v>
      </x:c>
      <x:c r="Y284" s="2" t="str">
        <x:v>https://wmo.int/topics/early-warning-system; https://wmo.int/resources/publication-series/global-status-of-multi-hazard-early-warning-systems/global-status-of-multi-hazard-early-warning-systems-2025</x:v>
      </x:c>
      <x:c r="Z284" s="2" t="str">
        <x:v>Technology-specific analytical synthesis. The CTCN hierarchy is retained; classifications and component dependencies require validation against the selected design, site and supplier documentation before investment or policy use.</x:v>
      </x:c>
      <x:c r="AA284" s="2" t="str">
        <x:v>Physical deployment of Water resource assessment requires observation network, telecommunications, data centre or cloud, operations room, redundant power and multiple dissemination channels; interfaces, foundations, access and environmental protection are sized to the specific resource and design load.</x:v>
      </x:c>
      <x:c r="AB284" s="2" t="str">
        <x:v>For Water resource assessment,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84" s="2" t="str">
        <x:v>Construction and operation use electronics, semiconductors, copper cabling, batteries, antenna and mast materials, optical components, enclosures and calibration standards. For Water resource assessment, specifications must include durability, compatibility, recycled content and recoverability.</x:v>
      </x:c>
      <x:c r="AD284" s="2" t="str">
        <x:v>Maintenance of Water resource assessment depends on sensor heads, batteries, solar modules, data loggers, modems, cables, connectors, storage media, calibration equipment and siren parts; critical spares are selected from failure-mode, lead-time and safety analysis for its installed configuration.</x:v>
      </x:c>
      <x:c r="AE284" s="2" t="str">
        <x:v>The software stack for Water resource assessment requires databases, secure communications, version-controlled models, computing, backup and interfaces with field or operational systems.</x:v>
      </x:c>
      <x:c r="AF284" s="2" t="str">
        <x:v>For Water resource assessment, software-related energy is electricity for sensing, computing, storage, communication and cooling; it is normally secondary but must be included for data-intensive or continuous services.</x:v>
      </x:c>
      <x:c r="AG284" s="2" t="str">
        <x:v>The non-physical inputs are calibrated data, metadata, algorithms, boundary conditions, emission or hazard factors, manuals and validation records specific to Water resource assessment.</x:v>
      </x:c>
      <x:c r="AH284" s="2" t="str">
        <x:v>Software continuity for Water resource assessment requires licences where applicable, updates, cybersecurity patches, backups, calibration files, model validation and technical support.</x:v>
      </x:c>
      <x:c r="AI284" s="2" t="str">
        <x:v>Orgware depends on the institutions, laboratories, training providers, regulators, operators and community interfaces needed to govern Water resource assessment.</x:v>
      </x:c>
      <x:c r="AJ284" s="2" t="str">
        <x:v>The orgware supporting Water resource assessment has mainly indirect energy use from offices, meetings, training and information systems; travel and field supervision may be material at dispersed sites.</x:v>
      </x:c>
      <x:c r="AK284" s="2" t="str">
        <x:v>Its organisational inputs are permits, budgets, trained staff, competence records, contracts, procedures, safeguards, monitoring evidence and stakeholder agreements tailored to Water resource assessment.</x:v>
      </x:c>
      <x:c r="AL284" s="2" t="str">
        <x:v>Sustained implementation of Water resource assessment requires procurement and service contracts, audit protocols, training material, reporting templates, insurance or guarantees and periodic independent review.</x:v>
      </x:c>
      <x:c r="AM284" s="2" t="str">
        <x:v>Iron ore / steel inputs; Copper; Tin</x:v>
      </x:c>
      <x:c r="AN284" s="2" t="str">
        <x:v>Australia; Brazil; China; Chile; Democratic Republic of the Congo; Peru; Indonesia; Myanmar</x:v>
      </x:c>
      <x:c r="AO284" s="2" t="str">
        <x:v>China; India; Japan; Chile; Democratic Republic of the Congo; Indonesia; Malaysia</x:v>
      </x:c>
      <x:c r="AP284" s="2" t="str">
        <x:v>Water resource assessment: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4" s="2" t="str">
        <x:v>2024–2025</x:v>
      </x:c>
      <x:c r="AR284" s="2" t="str">
        <x:v>https://pubs.usgs.gov/periodicals/mcs2026/mcs2026.pdf</x:v>
      </x:c>
    </x:row>
    <x:row r="285" ht="240" customHeight="1">
      <x:c r="A285" s="2" t="str">
        <x:v>ADP-0015</x:v>
      </x:c>
      <x:c r="B285" s="2" t="str">
        <x:v>Adaptation</x:v>
      </x:c>
      <x:c r="C285" s="2" t="str">
        <x:v>Early Warning and Environmental Assesment</x:v>
      </x:c>
      <x:c r="D285" s="2" t="str">
        <x:v>Monitoring systems</x:v>
      </x:c>
      <x:c r="E285" s="2" t="str">
        <x:v>Ecosystem monitoring</x:v>
      </x:c>
      <x:c r="F285" s="2" t="str">
        <x:v>Ecosystem monitoring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Ecosystem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85" s="2" t="str">
        <x:v>Mixed: adaptable design, site-specific implementation</x:v>
      </x:c>
      <x:c r="H285" s="2" t="str">
        <x:v>Ecosystem monitoring is adaptable in capacity and configuration but site-specific in final engineering. Its principle remains the same, but resource quality, climate, scale, interfaces and safety constraints must be recalculated for each deployment.</x:v>
      </x:c>
      <x:c r="I285" s="2" t="str">
        <x:v>Hard and soft</x:v>
      </x:c>
      <x:c r="J285" s="2" t="str">
        <x:v>Ecosystem monitoring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85" s="2" t="str">
        <x:v>Operation and information service</x:v>
      </x:c>
      <x:c r="L285" s="2" t="str">
        <x:v>Ecosystem monitoring is embodied mainly as an information and decision service. The deliverable is accepted only when measurable service, quality, safety and climate-performance criteria are met under real conditions.</x:v>
      </x:c>
      <x:c r="M285" s="2" t="str">
        <x:v>Yes, subject to life-cycle safeguards</x:v>
      </x:c>
      <x:c r="N285" s="2" t="str">
        <x:v>Ecosystem monitoring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85" s="2" t="str">
        <x:v>Ecosystem monitoring: in-situ stations, remote sensors, radar or lidar, satellites or receivers, telemetry, servers, backup power, sirens and communication terminals.</x:v>
      </x:c>
      <x:c r="P285" s="2" t="str">
        <x:v>Ecosystem monitoring: quality control, geospatial processing, data assimilation, forecasting, downscaling, hazard and impact models, uncertainty treatment, alert logic and visualisation.</x:v>
      </x:c>
      <x:c r="Q285" s="2" t="str">
        <x:v>Ecosystem monitoring: institutional mandates, data-sharing agreements, warning authority, standard operating procedures, last-mile communication, accessibility, drills and feedback.</x:v>
      </x:c>
      <x:c r="R285" s="2" t="str">
        <x:v>Ecosystem monitoring: observation network, telecommunications, data centre or cloud, operations room, redundant power and multiple dissemination channels.</x:v>
      </x:c>
      <x:c r="S285" s="2" t="str">
        <x:v>Ecosystem monitoring: electricity for sensing, communications, computing, cooling and warning devices, with batteries or generators for continuity during emergencies.</x:v>
      </x:c>
      <x:c r="T285" s="2" t="str">
        <x:v>Ecosystem monitoring: electronics, semiconductors, copper cabling, batteries, antenna and mast materials, optical components, enclosures and calibration standards.</x:v>
      </x:c>
      <x:c r="U285" s="2" t="str">
        <x:v>Ecosystem monitoring: sensor heads, batteries, solar modules, data loggers, modems, cables, connectors, storage media, calibration equipment and siren parts.</x:v>
      </x:c>
      <x:c r="V285" s="2" t="str">
        <x:v>https://www.ctc-n.org/sites/default/files/resources/ctcn_taxonomy_0.pdf</x:v>
      </x:c>
      <x:c r="W285" s="2" t="str">
        <x:v>https://institutoagricoladepueblobello.edu.co/colegiapp/archivostemas/GUIA%209.%5B25%5D.pdf</x:v>
      </x:c>
      <x:c r="X285" s="2" t="str">
        <x:v>https://iiasa.ac.at/what-is-technology</x:v>
      </x:c>
      <x:c r="Y285" s="2" t="str">
        <x:v>https://wmo.int/topics/early-warning-system; https://wmo.int/resources/publication-series/global-status-of-multi-hazard-early-warning-systems/global-status-of-multi-hazard-early-warning-systems-2025</x:v>
      </x:c>
      <x:c r="Z285" s="2" t="str">
        <x:v>Technology-specific analytical synthesis. The CTCN hierarchy is retained; classifications and component dependencies require validation against the selected design, site and supplier documentation before investment or policy use.</x:v>
      </x:c>
      <x:c r="AA285" s="2" t="str">
        <x:v>Physical deployment of Ecosystem monitoring requires observation network, telecommunications, data centre or cloud, operations room, redundant power and multiple dissemination channels; interfaces, foundations, access and environmental protection are sized to the specific resource and design load.</x:v>
      </x:c>
      <x:c r="AB285" s="2" t="str">
        <x:v>For Ecosystem monitoring,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85" s="2" t="str">
        <x:v>Construction and operation use electronics, semiconductors, copper cabling, batteries, antenna and mast materials, optical components, enclosures and calibration standards. For Ecosystem monitoring, specifications must include durability, compatibility, recycled content and recoverability.</x:v>
      </x:c>
      <x:c r="AD285" s="2" t="str">
        <x:v>Maintenance of Ecosystem monitoring depends on sensor heads, batteries, solar modules, data loggers, modems, cables, connectors, storage media, calibration equipment and siren parts; critical spares are selected from failure-mode, lead-time and safety analysis for its installed configuration.</x:v>
      </x:c>
      <x:c r="AE285" s="2" t="str">
        <x:v>The software stack for Ecosystem monitoring requires databases, secure communications, version-controlled models, computing, backup and interfaces with field or operational systems.</x:v>
      </x:c>
      <x:c r="AF285" s="2" t="str">
        <x:v>For Ecosystem monitoring, software-related energy is electricity for sensing, computing, storage, communication and cooling; it is normally secondary but must be included for data-intensive or continuous services.</x:v>
      </x:c>
      <x:c r="AG285" s="2" t="str">
        <x:v>The non-physical inputs are calibrated data, metadata, algorithms, boundary conditions, emission or hazard factors, manuals and validation records specific to Ecosystem monitoring.</x:v>
      </x:c>
      <x:c r="AH285" s="2" t="str">
        <x:v>Software continuity for Ecosystem monitoring requires licences where applicable, updates, cybersecurity patches, backups, calibration files, model validation and technical support.</x:v>
      </x:c>
      <x:c r="AI285" s="2" t="str">
        <x:v>Orgware depends on the institutions, laboratories, training providers, regulators, operators and community interfaces needed to govern Ecosystem monitoring.</x:v>
      </x:c>
      <x:c r="AJ285" s="2" t="str">
        <x:v>The orgware supporting Ecosystem monitoring has mainly indirect energy use from offices, meetings, training and information systems; travel and field supervision may be material at dispersed sites.</x:v>
      </x:c>
      <x:c r="AK285" s="2" t="str">
        <x:v>Its organisational inputs are permits, budgets, trained staff, competence records, contracts, procedures, safeguards, monitoring evidence and stakeholder agreements tailored to Ecosystem monitoring.</x:v>
      </x:c>
      <x:c r="AL285" s="2" t="str">
        <x:v>Sustained implementation of Ecosystem monitoring requires procurement and service contracts, audit protocols, training material, reporting templates, insurance or guarantees and periodic independent review.</x:v>
      </x:c>
      <x:c r="AM285" s="2" t="str">
        <x:v>Iron ore / steel inputs; Copper; Tin</x:v>
      </x:c>
      <x:c r="AN285" s="2" t="str">
        <x:v>Australia; Brazil; China; Chile; Democratic Republic of the Congo; Peru; Indonesia; Myanmar</x:v>
      </x:c>
      <x:c r="AO285" s="2" t="str">
        <x:v>China; India; Japan; Chile; Democratic Republic of the Congo; Indonesia; Malaysia</x:v>
      </x:c>
      <x:c r="AP285" s="2" t="str">
        <x:v>Ecosystem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5" s="2" t="str">
        <x:v>2024–2025</x:v>
      </x:c>
      <x:c r="AR285" s="2" t="str">
        <x:v>https://pubs.usgs.gov/periodicals/mcs2026/mcs2026.pdf</x:v>
      </x:c>
    </x:row>
    <x:row r="286" ht="240" customHeight="1">
      <x:c r="A286" s="2" t="str">
        <x:v>ADP-0016</x:v>
      </x:c>
      <x:c r="B286" s="2" t="str">
        <x:v>Adaptation</x:v>
      </x:c>
      <x:c r="C286" s="2" t="str">
        <x:v>Early Warning and Environmental Assesment</x:v>
      </x:c>
      <x:c r="D286" s="2" t="str">
        <x:v>Improved weather forecasting &amp; hydrometeorological networks</x:v>
      </x:c>
      <x:c r="E286" s="2" t="str">
        <x:v>Improved weather forecasting &amp; hydrometeorological networks</x:v>
      </x:c>
      <x:c r="F286" s="2" t="str">
        <x:v>Improved weather forecasting &amp; hydrometeorological networks is a adaptation technology in the Early Warning and Environmental Assesment sector and the Improved weather forecasting &amp; hydrometeorological networks technology group. It is defined as a combined hardware–software–orgware system that converts a renewable solar, wind, water, ocean, geothermal or chemical resource into electricity, heat or mechanical work while controlling variability and conversion losses.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286" s="2" t="str">
        <x:v>Mixed: adaptable design, site-specific implementation</x:v>
      </x:c>
      <x:c r="H286" s="2" t="str">
        <x:v>Improved weather forecasting &amp; hydrometeorological networks is adaptable in capacity and configuration but site-specific in final engineering. Its principle remains the same, but resource quality, climate, scale, interfaces and safety constraints must be recalculated for each deployment.</x:v>
      </x:c>
      <x:c r="I286" s="2" t="str">
        <x:v>Hard and soft</x:v>
      </x:c>
      <x:c r="J286" s="2" t="str">
        <x:v>Improved weather forecasting &amp; hydrometeorological networks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286" s="2" t="str">
        <x:v>Operation and information service</x:v>
      </x:c>
      <x:c r="L286" s="2" t="str">
        <x:v>Improved weather forecasting &amp; hydrometeorological networks is embodied mainly as an information and decision service. The deliverable is accepted only when measurable service, quality, safety and climate-performance criteria are met under real conditions.</x:v>
      </x:c>
      <x:c r="M286" s="2" t="str">
        <x:v>Yes, subject to life-cycle safeguards</x:v>
      </x:c>
      <x:c r="N286" s="2" t="str">
        <x:v>Improved weather forecasting &amp; hydrometeorological networks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286" s="2" t="str">
        <x:v>Improved weather forecasting &amp; hydrometeorological networks: resource collector or prime mover, generator or heat exchanger, support structure, power conversion, protection, metering and connection equipment.</x:v>
      </x:c>
      <x:c r="P286" s="2" t="str">
        <x:v>Improved weather forecasting &amp; hydrometeorological networks: resource assessment, energy-yield modelling, forecasting, maximum-power or process control, dispatch, condition monitoring and maintenance planning.</x:v>
      </x:c>
      <x:c r="Q286" s="2" t="str">
        <x:v>Improved weather forecasting &amp; hydrometeorological networks: resource and land or sea rights, environmental licensing, grid code, safety, community participation, revenue contract and decommissioning plan.</x:v>
      </x:c>
      <x:c r="R286" s="2" t="str">
        <x:v>Improved weather forecasting &amp; hydrometeorological networks: foundations, access, electrical or thermal network, substation, control and communications, drainage and construction or marine logistics.</x:v>
      </x:c>
      <x:c r="S286" s="2" t="str">
        <x:v>Improved weather forecasting &amp; hydrometeorological networks: the renewable resource is the primary input; auxiliary electricity, start-up fuel, pumping or thermal energy may be required depending on the design.</x:v>
      </x:c>
      <x:c r="T286" s="2" t="str">
        <x:v>Improved weather forecasting &amp; hydrometeorological networks: steel, concrete, copper, aluminium, polymers, glass and technology-specific materials such as silicon, magnets, coatings, catalysts or working fluids.</x:v>
      </x:c>
      <x:c r="U286" s="2" t="str">
        <x:v>Improved weather forecasting &amp; hydrometeorological networks: bearings, seals, filters, lubricants, sensors, converter parts, cables, fasteners, coatings and replaceable collector or heat-exchanger components.</x:v>
      </x:c>
      <x:c r="V286" s="2" t="str">
        <x:v>https://www.ctc-n.org/sites/default/files/resources/ctcn_taxonomy_0.pdf</x:v>
      </x:c>
      <x:c r="W286" s="2" t="str">
        <x:v>https://institutoagricoladepueblobello.edu.co/colegiapp/archivostemas/GUIA%209.%5B25%5D.pdf</x:v>
      </x:c>
      <x:c r="X286" s="2" t="str">
        <x:v>https://iiasa.ac.at/what-is-technology</x:v>
      </x:c>
      <x:c r="Y286" s="2" t="str">
        <x:v>https://wmo.int/topics/early-warning-system; https://www.iea.org/data-and-statistics/data-tools/etp-clean-energy-technology-guide</x:v>
      </x:c>
      <x:c r="Z286" s="2" t="str">
        <x:v>Technology-specific analytical synthesis. The CTCN hierarchy is retained; classifications and component dependencies require validation against the selected design, site and supplier documentation before investment or policy use.</x:v>
      </x:c>
      <x:c r="AA286" s="2" t="str">
        <x:v>Physical deployment of Improved weather forecasting &amp; hydrometeorological networks requires foundations, access, electrical or thermal network, substation, control and communications, drainage and construction or marine logistics; interfaces, foundations, access and environmental protection are sized to the specific resource and design load.</x:v>
      </x:c>
      <x:c r="AB286" s="2" t="str">
        <x:v>For Improved weather forecasting &amp; hydrometeorological networks,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286" s="2" t="str">
        <x:v>Construction and operation use steel, concrete, copper, aluminium, polymers, glass and technology-specific materials such as silicon, magnets, coatings, catalysts or working fluids. For Improved weather forecasting &amp; hydrometeorological networks, specifications must include durability, compatibility, recycled content and recoverability.</x:v>
      </x:c>
      <x:c r="AD286" s="2" t="str">
        <x:v>Maintenance of Improved weather forecasting &amp; hydrometeorological networks depends on bearings, seals, filters, lubricants, sensors, converter parts, cables, fasteners, coatings and replaceable collector or heat-exchanger components; critical spares are selected from failure-mode, lead-time and safety analysis for its installed configuration.</x:v>
      </x:c>
      <x:c r="AE286" s="2" t="str">
        <x:v>The software stack for Improved weather forecasting &amp; hydrometeorological networks requires databases, secure communications, version-controlled models, computing, backup and interfaces with field or operational systems.</x:v>
      </x:c>
      <x:c r="AF286" s="2" t="str">
        <x:v>For Improved weather forecasting &amp; hydrometeorological networks, software-related energy is electricity for sensing, computing, storage, communication and cooling; it is normally secondary but must be included for data-intensive or continuous services.</x:v>
      </x:c>
      <x:c r="AG286" s="2" t="str">
        <x:v>The non-physical inputs are calibrated data, metadata, algorithms, boundary conditions, emission or hazard factors, manuals and validation records specific to Improved weather forecasting &amp; hydrometeorological networks.</x:v>
      </x:c>
      <x:c r="AH286" s="2" t="str">
        <x:v>Software continuity for Improved weather forecasting &amp; hydrometeorological networks requires licences where applicable, updates, cybersecurity patches, backups, calibration files, model validation and technical support.</x:v>
      </x:c>
      <x:c r="AI286" s="2" t="str">
        <x:v>Orgware depends on the institutions, laboratories, training providers, regulators, operators and community interfaces needed to govern Improved weather forecasting &amp; hydrometeorological networks.</x:v>
      </x:c>
      <x:c r="AJ286" s="2" t="str">
        <x:v>The orgware supporting Improved weather forecasting &amp; hydrometeorological networks has mainly indirect energy use from offices, meetings, training and information systems; travel and field supervision may be material at dispersed sites.</x:v>
      </x:c>
      <x:c r="AK286" s="2" t="str">
        <x:v>Its organisational inputs are permits, budgets, trained staff, competence records, contracts, procedures, safeguards, monitoring evidence and stakeholder agreements tailored to Improved weather forecasting &amp; hydrometeorological networks.</x:v>
      </x:c>
      <x:c r="AL286" s="2" t="str">
        <x:v>Sustained implementation of Improved weather forecasting &amp; hydrometeorological networks requires procurement and service contracts, audit protocols, training material, reporting templates, insurance or guarantees and periodic independent review.</x:v>
      </x:c>
      <x:c r="AM286" s="2" t="str">
        <x:v>Iron ore / steel inputs; Copper; Tin</x:v>
      </x:c>
      <x:c r="AN286" s="2" t="str">
        <x:v>Australia; Brazil; China; Chile; Democratic Republic of the Congo; Peru; Indonesia; Myanmar</x:v>
      </x:c>
      <x:c r="AO286" s="2" t="str">
        <x:v>China; India; Japan; Chile; Democratic Republic of the Congo; Indonesia; Malaysia</x:v>
      </x:c>
      <x:c r="AP286" s="2" t="str">
        <x:v>Improved weather forecasting &amp; hydrometeorological networks: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6" s="2" t="str">
        <x:v>2024–2025</x:v>
      </x:c>
      <x:c r="AR286" s="2" t="str">
        <x:v>https://pubs.usgs.gov/periodicals/mcs2026/mcs2026.pdf</x:v>
      </x:c>
    </x:row>
    <x:row r="287" ht="240" customHeight="1">
      <x:c r="A287" s="2" t="str">
        <x:v>ADP-0017</x:v>
      </x:c>
      <x:c r="B287" s="2" t="str">
        <x:v>Adaptation</x:v>
      </x:c>
      <x:c r="C287" s="2" t="str">
        <x:v>Agriculture and Forestry</x:v>
      </x:c>
      <x:c r="D287" s="2" t="str">
        <x:v>Terrestrial ecosystems management</x:v>
      </x:c>
      <x:c r="E287" s="2" t="str">
        <x:v>Ecological corridors</x:v>
      </x:c>
      <x:c r="F287" s="2" t="str">
        <x:v>Ecological corridors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Ecological corridors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87" s="2" t="str">
        <x:v>Flexible</x:v>
      </x:c>
      <x:c r="H287" s="2" t="str">
        <x:v>Ecological corridors is transferable through configurable methods, rules and operating parameters. Its principle remains the same, but resource quality, climate, scale, interfaces and safety constraints must be recalculated for each deployment.</x:v>
      </x:c>
      <x:c r="I287" s="2" t="str">
        <x:v>Primarily soft, with physical support</x:v>
      </x:c>
      <x:c r="J287" s="2" t="str">
        <x:v>Ecological corridors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87" s="2" t="str">
        <x:v>Operation</x:v>
      </x:c>
      <x:c r="L287" s="2" t="str">
        <x:v>Ecological corridors is embodied mainly as an operating practice. The deliverable is accepted only when measurable service, quality, safety and climate-performance criteria are met under real conditions.</x:v>
      </x:c>
      <x:c r="M287" s="2" t="str">
        <x:v>Yes, subject to life-cycle safeguards</x:v>
      </x:c>
      <x:c r="N287" s="2" t="str">
        <x:v>Ecological corridors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87" s="2" t="str">
        <x:v>Ecological corridors: field or forest implements, planting and irrigation equipment, storage or livestock facilities, sampling tools, sensors and protective structures as required.</x:v>
      </x:c>
      <x:c r="P287" s="2" t="str">
        <x:v>Ecological corridors: soil–crop–livestock knowledge, nutrient and water budgets, emission factors, carbon accounting, climate services, monitoring protocols and adaptive management.</x:v>
      </x:c>
      <x:c r="Q287" s="2" t="str">
        <x:v>Ecological corridors: land tenure, extension, producer organisations, veterinary or phytosanitary services, incentives, safeguards, certification and monitoring arrangements.</x:v>
      </x:c>
      <x:c r="R287" s="2" t="str">
        <x:v>Ecological corridors: nurseries or seed banks, field access, water and storage systems, laboratories, extension centres, monitoring plots and processing or market facilities.</x:v>
      </x:c>
      <x:c r="S287" s="2" t="str">
        <x:v>Ecological corridors: human and mechanical work, electricity or fuel for machinery, pumping, cooling and processing; biological energy and solar radiation dominate field processes.</x:v>
      </x:c>
      <x:c r="T287" s="2" t="str">
        <x:v>Ecological corridors: seed or planting stock, organic matter, fertilisers, soil amendments, water, fencing or structural materials, veterinary inputs and monitoring consumables.</x:v>
      </x:c>
      <x:c r="U287" s="2" t="str">
        <x:v>Ecological corridors: seed, inoculants, filters, drip lines, nozzles, tool parts, sampling containers, sensor batteries, veterinary supplies and protective equipment.</x:v>
      </x:c>
      <x:c r="V287" s="2" t="str">
        <x:v>https://www.ctc-n.org/sites/default/files/resources/ctcn_taxonomy_0.pdf</x:v>
      </x:c>
      <x:c r="W287" s="2" t="str">
        <x:v>https://institutoagricoladepueblobello.edu.co/colegiapp/archivostemas/GUIA%209.%5B25%5D.pdf</x:v>
      </x:c>
      <x:c r="X287" s="2" t="str">
        <x:v>https://iiasa.ac.at/what-is-technology</x:v>
      </x:c>
      <x:c r="Y287" s="2" t="str">
        <x:v>https://www.fao.org/climate-change/en; https://www.ipcc.ch/report/ar6/wg3/chapter/chapter-7/; https://openknowledge.fao.org/server/api/core/bitstreams/b21f2087-f398-4718-8461-b92afc82e617/content</x:v>
      </x:c>
      <x:c r="Z287" s="2" t="str">
        <x:v>Technology-specific analytical synthesis. The CTCN hierarchy is retained; classifications and component dependencies require validation against the selected design, site and supplier documentation before investment or policy use.</x:v>
      </x:c>
      <x:c r="AA287" s="2" t="str">
        <x:v>Physical deployment of Ecological corridors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87" s="2" t="str">
        <x:v>For Ecological corridors,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87" s="2" t="str">
        <x:v>Construction and operation use seed or planting stock, organic matter, fertilisers, soil amendments, water, fencing or structural materials, veterinary inputs and monitoring consumables. For Ecological corridors, specifications must include durability, compatibility, recycled content and recoverability.</x:v>
      </x:c>
      <x:c r="AD287" s="2" t="str">
        <x:v>Maintenance of Ecological corridors depends on seed, inoculants, filters, drip lines, nozzles, tool parts, sampling containers, sensor batteries, veterinary supplies and protective equipment; critical spares are selected from failure-mode, lead-time and safety analysis for its installed configuration.</x:v>
      </x:c>
      <x:c r="AE287" s="2" t="str">
        <x:v>The software stack for Ecological corridors requires databases, secure communications, version-controlled models, computing, backup and interfaces with field or operational systems.</x:v>
      </x:c>
      <x:c r="AF287" s="2" t="str">
        <x:v>For Ecological corridors, software-related energy is electricity for sensing, computing, storage, communication and cooling; it is normally secondary but must be included for data-intensive or continuous services.</x:v>
      </x:c>
      <x:c r="AG287" s="2" t="str">
        <x:v>The non-physical inputs are calibrated data, metadata, algorithms, boundary conditions, emission or hazard factors, manuals and validation records specific to Ecological corridors.</x:v>
      </x:c>
      <x:c r="AH287" s="2" t="str">
        <x:v>Software continuity for Ecological corridors requires licences where applicable, updates, cybersecurity patches, backups, calibration files, model validation and technical support.</x:v>
      </x:c>
      <x:c r="AI287" s="2" t="str">
        <x:v>Orgware depends on the institutions, laboratories, training providers, regulators, operators and community interfaces needed to govern Ecological corridors.</x:v>
      </x:c>
      <x:c r="AJ287" s="2" t="str">
        <x:v>The orgware supporting Ecological corridors has mainly indirect energy use from offices, meetings, training and information systems; travel and field supervision may be material at dispersed sites.</x:v>
      </x:c>
      <x:c r="AK287" s="2" t="str">
        <x:v>Its organisational inputs are permits, budgets, trained staff, competence records, contracts, procedures, safeguards, monitoring evidence and stakeholder agreements tailored to Ecological corridors.</x:v>
      </x:c>
      <x:c r="AL287" s="2" t="str">
        <x:v>Sustained implementation of Ecological corridors requires procurement and service contracts, audit protocols, training material, reporting templates, insurance or guarantees and periodic independent review.</x:v>
      </x:c>
      <x:c r="AM287" s="2" t="str">
        <x:v>No critical or strategic raw material is identifiable at taxonomy level; site-specific bulk materials may still be required.</x:v>
      </x:c>
      <x:c r="AN287" s="2" t="str"/>
      <x:c r="AO287" s="2" t="str"/>
      <x:c r="AP287" s="2" t="str">
        <x:v>Ecological corridors: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7" s="2" t="str">
        <x:v>2024–2025</x:v>
      </x:c>
      <x:c r="AR287" s="2" t="str">
        <x:v>https://pubs.usgs.gov/periodicals/mcs2026/mcs2026.pdf</x:v>
      </x:c>
    </x:row>
    <x:row r="288" ht="240" customHeight="1">
      <x:c r="A288" s="2" t="str">
        <x:v>ADP-0018</x:v>
      </x:c>
      <x:c r="B288" s="2" t="str">
        <x:v>Adaptation</x:v>
      </x:c>
      <x:c r="C288" s="2" t="str">
        <x:v>Agriculture and Forestry</x:v>
      </x:c>
      <x:c r="D288" s="2" t="str">
        <x:v>Terrestrial ecosystems management</x:v>
      </x:c>
      <x:c r="E288" s="2" t="str">
        <x:v>Ecological buffer zones</x:v>
      </x:c>
      <x:c r="F288" s="2" t="str">
        <x:v>Ecological buffer zones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Ecological buffer zones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88" s="2" t="str">
        <x:v>Flexible</x:v>
      </x:c>
      <x:c r="H288" s="2" t="str">
        <x:v>Ecological buffer zones is transferable through configurable methods, rules and operating parameters. Its principle remains the same, but resource quality, climate, scale, interfaces and safety constraints must be recalculated for each deployment.</x:v>
      </x:c>
      <x:c r="I288" s="2" t="str">
        <x:v>Primarily soft, with physical support</x:v>
      </x:c>
      <x:c r="J288" s="2" t="str">
        <x:v>Ecological buffer zones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88" s="2" t="str">
        <x:v>Operation</x:v>
      </x:c>
      <x:c r="L288" s="2" t="str">
        <x:v>Ecological buffer zones is embodied mainly as an operating practice. The deliverable is accepted only when measurable service, quality, safety and climate-performance criteria are met under real conditions.</x:v>
      </x:c>
      <x:c r="M288" s="2" t="str">
        <x:v>Yes, subject to life-cycle safeguards</x:v>
      </x:c>
      <x:c r="N288" s="2" t="str">
        <x:v>Ecological buffer zones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88" s="2" t="str">
        <x:v>Ecological buffer zones: field or forest implements, planting and irrigation equipment, storage or livestock facilities, sampling tools, sensors and protective structures as required.</x:v>
      </x:c>
      <x:c r="P288" s="2" t="str">
        <x:v>Ecological buffer zones: soil–crop–livestock knowledge, nutrient and water budgets, emission factors, carbon accounting, climate services, monitoring protocols and adaptive management.</x:v>
      </x:c>
      <x:c r="Q288" s="2" t="str">
        <x:v>Ecological buffer zones: land tenure, extension, producer organisations, veterinary or phytosanitary services, incentives, safeguards, certification and monitoring arrangements.</x:v>
      </x:c>
      <x:c r="R288" s="2" t="str">
        <x:v>Ecological buffer zones: nurseries or seed banks, field access, water and storage systems, laboratories, extension centres, monitoring plots and processing or market facilities.</x:v>
      </x:c>
      <x:c r="S288" s="2" t="str">
        <x:v>Ecological buffer zones: human and mechanical work, electricity or fuel for machinery, pumping, cooling and processing; biological energy and solar radiation dominate field processes.</x:v>
      </x:c>
      <x:c r="T288" s="2" t="str">
        <x:v>Ecological buffer zones: seed or planting stock, organic matter, fertilisers, soil amendments, water, fencing or structural materials, veterinary inputs and monitoring consumables.</x:v>
      </x:c>
      <x:c r="U288" s="2" t="str">
        <x:v>Ecological buffer zones: seed, inoculants, filters, drip lines, nozzles, tool parts, sampling containers, sensor batteries, veterinary supplies and protective equipment.</x:v>
      </x:c>
      <x:c r="V288" s="2" t="str">
        <x:v>https://www.ctc-n.org/sites/default/files/resources/ctcn_taxonomy_0.pdf</x:v>
      </x:c>
      <x:c r="W288" s="2" t="str">
        <x:v>https://institutoagricoladepueblobello.edu.co/colegiapp/archivostemas/GUIA%209.%5B25%5D.pdf</x:v>
      </x:c>
      <x:c r="X288" s="2" t="str">
        <x:v>https://iiasa.ac.at/what-is-technology</x:v>
      </x:c>
      <x:c r="Y288" s="2" t="str">
        <x:v>https://www.fao.org/climate-change/en; https://www.ipcc.ch/report/ar6/wg3/chapter/chapter-7/; https://openknowledge.fao.org/server/api/core/bitstreams/b21f2087-f398-4718-8461-b92afc82e617/content</x:v>
      </x:c>
      <x:c r="Z288" s="2" t="str">
        <x:v>Technology-specific analytical synthesis. The CTCN hierarchy is retained; classifications and component dependencies require validation against the selected design, site and supplier documentation before investment or policy use.</x:v>
      </x:c>
      <x:c r="AA288" s="2" t="str">
        <x:v>Physical deployment of Ecological buffer zones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88" s="2" t="str">
        <x:v>For Ecological buffer zones,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88" s="2" t="str">
        <x:v>Construction and operation use seed or planting stock, organic matter, fertilisers, soil amendments, water, fencing or structural materials, veterinary inputs and monitoring consumables. For Ecological buffer zones, specifications must include durability, compatibility, recycled content and recoverability.</x:v>
      </x:c>
      <x:c r="AD288" s="2" t="str">
        <x:v>Maintenance of Ecological buffer zones depends on seed, inoculants, filters, drip lines, nozzles, tool parts, sampling containers, sensor batteries, veterinary supplies and protective equipment; critical spares are selected from failure-mode, lead-time and safety analysis for its installed configuration.</x:v>
      </x:c>
      <x:c r="AE288" s="2" t="str">
        <x:v>The software stack for Ecological buffer zones requires databases, secure communications, version-controlled models, computing, backup and interfaces with field or operational systems.</x:v>
      </x:c>
      <x:c r="AF288" s="2" t="str">
        <x:v>For Ecological buffer zones, software-related energy is electricity for sensing, computing, storage, communication and cooling; it is normally secondary but must be included for data-intensive or continuous services.</x:v>
      </x:c>
      <x:c r="AG288" s="2" t="str">
        <x:v>The non-physical inputs are calibrated data, metadata, algorithms, boundary conditions, emission or hazard factors, manuals and validation records specific to Ecological buffer zones.</x:v>
      </x:c>
      <x:c r="AH288" s="2" t="str">
        <x:v>Software continuity for Ecological buffer zones requires licences where applicable, updates, cybersecurity patches, backups, calibration files, model validation and technical support.</x:v>
      </x:c>
      <x:c r="AI288" s="2" t="str">
        <x:v>Orgware depends on the institutions, laboratories, training providers, regulators, operators and community interfaces needed to govern Ecological buffer zones.</x:v>
      </x:c>
      <x:c r="AJ288" s="2" t="str">
        <x:v>The orgware supporting Ecological buffer zones has mainly indirect energy use from offices, meetings, training and information systems; travel and field supervision may be material at dispersed sites.</x:v>
      </x:c>
      <x:c r="AK288" s="2" t="str">
        <x:v>Its organisational inputs are permits, budgets, trained staff, competence records, contracts, procedures, safeguards, monitoring evidence and stakeholder agreements tailored to Ecological buffer zones.</x:v>
      </x:c>
      <x:c r="AL288" s="2" t="str">
        <x:v>Sustained implementation of Ecological buffer zones requires procurement and service contracts, audit protocols, training material, reporting templates, insurance or guarantees and periodic independent review.</x:v>
      </x:c>
      <x:c r="AM288" s="2" t="str">
        <x:v>No critical or strategic raw material is identifiable at taxonomy level; site-specific bulk materials may still be required.</x:v>
      </x:c>
      <x:c r="AN288" s="2" t="str"/>
      <x:c r="AO288" s="2" t="str"/>
      <x:c r="AP288" s="2" t="str">
        <x:v>Ecological buffer zones: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8" s="2" t="str">
        <x:v>2024–2025</x:v>
      </x:c>
      <x:c r="AR288" s="2" t="str">
        <x:v>https://pubs.usgs.gov/periodicals/mcs2026/mcs2026.pdf</x:v>
      </x:c>
    </x:row>
    <x:row r="289" ht="240" customHeight="1">
      <x:c r="A289" s="2" t="str">
        <x:v>ADP-0019</x:v>
      </x:c>
      <x:c r="B289" s="2" t="str">
        <x:v>Adaptation</x:v>
      </x:c>
      <x:c r="C289" s="2" t="str">
        <x:v>Agriculture and Forestry</x:v>
      </x:c>
      <x:c r="D289" s="2" t="str">
        <x:v>Terrestrial ecosystems management</x:v>
      </x:c>
      <x:c r="E289" s="2" t="str">
        <x:v>Bushfire reduction and prescribed fire</x:v>
      </x:c>
      <x:c r="F289" s="2" t="str">
        <x:v>Bushfire reduction and prescribed fire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Bushfire reduction and prescribed fire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89" s="2" t="str">
        <x:v>Flexible</x:v>
      </x:c>
      <x:c r="H289" s="2" t="str">
        <x:v>Bushfire reduction and prescribed fire is transferable through configurable methods, rules and operating parameters. Its principle remains the same, but resource quality, climate, scale, interfaces and safety constraints must be recalculated for each deployment.</x:v>
      </x:c>
      <x:c r="I289" s="2" t="str">
        <x:v>Primarily soft, with physical support</x:v>
      </x:c>
      <x:c r="J289" s="2" t="str">
        <x:v>Bushfire reduction and prescribed fire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89" s="2" t="str">
        <x:v>Operation</x:v>
      </x:c>
      <x:c r="L289" s="2" t="str">
        <x:v>Bushfire reduction and prescribed fire is embodied mainly as an operating practice. The deliverable is accepted only when measurable service, quality, safety and climate-performance criteria are met under real conditions.</x:v>
      </x:c>
      <x:c r="M289" s="2" t="str">
        <x:v>Yes, subject to life-cycle safeguards</x:v>
      </x:c>
      <x:c r="N289" s="2" t="str">
        <x:v>Bushfire reduction and prescribed fire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89" s="2" t="str">
        <x:v>Bushfire reduction and prescribed fire: field or forest implements, planting and irrigation equipment, storage or livestock facilities, sampling tools, sensors and protective structures as required.</x:v>
      </x:c>
      <x:c r="P289" s="2" t="str">
        <x:v>Bushfire reduction and prescribed fire: soil–crop–livestock knowledge, nutrient and water budgets, emission factors, carbon accounting, climate services, monitoring protocols and adaptive management.</x:v>
      </x:c>
      <x:c r="Q289" s="2" t="str">
        <x:v>Bushfire reduction and prescribed fire: land tenure, extension, producer organisations, veterinary or phytosanitary services, incentives, safeguards, certification and monitoring arrangements.</x:v>
      </x:c>
      <x:c r="R289" s="2" t="str">
        <x:v>Bushfire reduction and prescribed fire: nurseries or seed banks, field access, water and storage systems, laboratories, extension centres, monitoring plots and processing or market facilities.</x:v>
      </x:c>
      <x:c r="S289" s="2" t="str">
        <x:v>Bushfire reduction and prescribed fire: human and mechanical work, electricity or fuel for machinery, pumping, cooling and processing; biological energy and solar radiation dominate field processes.</x:v>
      </x:c>
      <x:c r="T289" s="2" t="str">
        <x:v>Bushfire reduction and prescribed fire: seed or planting stock, organic matter, fertilisers, soil amendments, water, fencing or structural materials, veterinary inputs and monitoring consumables.</x:v>
      </x:c>
      <x:c r="U289" s="2" t="str">
        <x:v>Bushfire reduction and prescribed fire: seed, inoculants, filters, drip lines, nozzles, tool parts, sampling containers, sensor batteries, veterinary supplies and protective equipment.</x:v>
      </x:c>
      <x:c r="V289" s="2" t="str">
        <x:v>https://www.ctc-n.org/sites/default/files/resources/ctcn_taxonomy_0.pdf</x:v>
      </x:c>
      <x:c r="W289" s="2" t="str">
        <x:v>https://institutoagricoladepueblobello.edu.co/colegiapp/archivostemas/GUIA%209.%5B25%5D.pdf</x:v>
      </x:c>
      <x:c r="X289" s="2" t="str">
        <x:v>https://iiasa.ac.at/what-is-technology</x:v>
      </x:c>
      <x:c r="Y289" s="2" t="str">
        <x:v>https://www.fao.org/climate-change/en; https://www.ipcc.ch/report/ar6/wg3/chapter/chapter-7/; https://openknowledge.fao.org/server/api/core/bitstreams/b21f2087-f398-4718-8461-b92afc82e617/content</x:v>
      </x:c>
      <x:c r="Z289" s="2" t="str">
        <x:v>Technology-specific analytical synthesis. The CTCN hierarchy is retained; classifications and component dependencies require validation against the selected design, site and supplier documentation before investment or policy use.</x:v>
      </x:c>
      <x:c r="AA289" s="2" t="str">
        <x:v>Physical deployment of Bushfire reduction and prescribed fire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289" s="2" t="str">
        <x:v>For Bushfire reduction and prescribed fire,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89" s="2" t="str">
        <x:v>Construction and operation use seed or planting stock, organic matter, fertilisers, soil amendments, water, fencing or structural materials, veterinary inputs and monitoring consumables. For Bushfire reduction and prescribed fire, specifications must include durability, compatibility, recycled content and recoverability.</x:v>
      </x:c>
      <x:c r="AD289" s="2" t="str">
        <x:v>Maintenance of Bushfire reduction and prescribed fire depends on seed, inoculants, filters, drip lines, nozzles, tool parts, sampling containers, sensor batteries, veterinary supplies and protective equipment; critical spares are selected from failure-mode, lead-time and safety analysis for its installed configuration.</x:v>
      </x:c>
      <x:c r="AE289" s="2" t="str">
        <x:v>The software stack for Bushfire reduction and prescribed fire requires databases, secure communications, version-controlled models, computing, backup and interfaces with field or operational systems.</x:v>
      </x:c>
      <x:c r="AF289" s="2" t="str">
        <x:v>For Bushfire reduction and prescribed fire, software-related energy is electricity for sensing, computing, storage, communication and cooling; it is normally secondary but must be included for data-intensive or continuous services.</x:v>
      </x:c>
      <x:c r="AG289" s="2" t="str">
        <x:v>The non-physical inputs are calibrated data, metadata, algorithms, boundary conditions, emission or hazard factors, manuals and validation records specific to Bushfire reduction and prescribed fire.</x:v>
      </x:c>
      <x:c r="AH289" s="2" t="str">
        <x:v>Software continuity for Bushfire reduction and prescribed fire requires licences where applicable, updates, cybersecurity patches, backups, calibration files, model validation and technical support.</x:v>
      </x:c>
      <x:c r="AI289" s="2" t="str">
        <x:v>Orgware depends on the institutions, laboratories, training providers, regulators, operators and community interfaces needed to govern Bushfire reduction and prescribed fire.</x:v>
      </x:c>
      <x:c r="AJ289" s="2" t="str">
        <x:v>The orgware supporting Bushfire reduction and prescribed fire has mainly indirect energy use from offices, meetings, training and information systems; travel and field supervision may be material at dispersed sites.</x:v>
      </x:c>
      <x:c r="AK289" s="2" t="str">
        <x:v>Its organisational inputs are permits, budgets, trained staff, competence records, contracts, procedures, safeguards, monitoring evidence and stakeholder agreements tailored to Bushfire reduction and prescribed fire.</x:v>
      </x:c>
      <x:c r="AL289" s="2" t="str">
        <x:v>Sustained implementation of Bushfire reduction and prescribed fire requires procurement and service contracts, audit protocols, training material, reporting templates, insurance or guarantees and periodic independent review.</x:v>
      </x:c>
      <x:c r="AM289" s="2" t="str">
        <x:v>No critical or strategic raw material is identifiable at taxonomy level; site-specific bulk materials may still be required.</x:v>
      </x:c>
      <x:c r="AN289" s="2" t="str"/>
      <x:c r="AO289" s="2" t="str"/>
      <x:c r="AP289" s="2" t="str">
        <x:v>Bushfire reduction and prescribed fire: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9" s="2" t="str">
        <x:v>2024–2025</x:v>
      </x:c>
      <x:c r="AR289" s="2" t="str">
        <x:v>https://pubs.usgs.gov/periodicals/mcs2026/mcs2026.pdf</x:v>
      </x:c>
    </x:row>
    <x:row r="290" ht="240" customHeight="1">
      <x:c r="A290" s="2" t="str">
        <x:v>ADP-0020</x:v>
      </x:c>
      <x:c r="B290" s="2" t="str">
        <x:v>Adaptation</x:v>
      </x:c>
      <x:c r="C290" s="2" t="str">
        <x:v>Agriculture and Forestry</x:v>
      </x:c>
      <x:c r="D290" s="2" t="str">
        <x:v>Terrestrial ecosystems management</x:v>
      </x:c>
      <x:c r="E290" s="2" t="str">
        <x:v>Wetland restoration and rehabilitation</x:v>
      </x:c>
      <x:c r="F290" s="2" t="str">
        <x:v>Wetland restoration and rehabilitation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0" s="2" t="str">
        <x:v>Flexible</x:v>
      </x:c>
      <x:c r="H290" s="2" t="str">
        <x:v>Wetland restoration and rehabilitation is transferable through configurable methods, rules and operating parameters. Its principle remains the same, but resource quality, climate, scale, interfaces and safety constraints must be recalculated for each deployment.</x:v>
      </x:c>
      <x:c r="I290" s="2" t="str">
        <x:v>Primarily soft, with physical support</x:v>
      </x:c>
      <x:c r="J290" s="2" t="str">
        <x:v>Wetland restoration and rehabilitation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0" s="2" t="str">
        <x:v>Operation</x:v>
      </x:c>
      <x:c r="L290" s="2" t="str">
        <x:v>Wetland restoration and rehabilitation is embodied mainly as an operating practice. The deliverable is accepted only when measurable service, quality, safety and climate-performance criteria are met under real conditions.</x:v>
      </x:c>
      <x:c r="M290" s="2" t="str">
        <x:v>Yes, subject to life-cycle safeguards</x:v>
      </x:c>
      <x:c r="N290" s="2" t="str">
        <x:v>Wetland restoration and rehabilitation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0" s="2" t="str">
        <x:v>Wetland restoration and rehabilitation: field or forest implements, planting and irrigation equipment, storage or livestock facilities, sampling tools, sensors and protective structures as required.</x:v>
      </x:c>
      <x:c r="P290" s="2" t="str">
        <x:v>Wetland restoration and rehabilitation: soil–crop–livestock knowledge, nutrient and water budgets, emission factors, carbon accounting, climate services, monitoring protocols and adaptive management.</x:v>
      </x:c>
      <x:c r="Q290" s="2" t="str">
        <x:v>Wetland restoration and rehabilitation: land tenure, extension, producer organisations, veterinary or phytosanitary services, incentives, safeguards, certification and monitoring arrangements.</x:v>
      </x:c>
      <x:c r="R290" s="2" t="str">
        <x:v>Wetland restoration and rehabilitation: nurseries or seed banks, field access, water and storage systems, laboratories, extension centres, monitoring plots and processing or market facilities.</x:v>
      </x:c>
      <x:c r="S290" s="2" t="str">
        <x:v>Wetland restoration and rehabilitation: human and mechanical work, electricity or fuel for machinery, pumping, cooling and processing; biological energy and solar radiation dominate field processes.</x:v>
      </x:c>
      <x:c r="T290" s="2" t="str">
        <x:v>Wetland restoration and rehabilitation: seed or planting stock, organic matter, fertilisers, soil amendments, water, fencing or structural materials, veterinary inputs and monitoring consumables.</x:v>
      </x:c>
      <x:c r="U290" s="2" t="str">
        <x:v>Wetland restoration and rehabilitation: seed, inoculants, filters, drip lines, nozzles, tool parts, sampling containers, sensor batteries, veterinary supplies and protective equipment.</x:v>
      </x:c>
      <x:c r="V290" s="2" t="str">
        <x:v>https://www.ctc-n.org/sites/default/files/resources/ctcn_taxonomy_0.pdf</x:v>
      </x:c>
      <x:c r="W290" s="2" t="str">
        <x:v>https://institutoagricoladepueblobello.edu.co/colegiapp/archivostemas/GUIA%209.%5B25%5D.pdf</x:v>
      </x:c>
      <x:c r="X290" s="2" t="str">
        <x:v>https://iiasa.ac.at/what-is-technology</x:v>
      </x:c>
      <x:c r="Y290" s="2" t="str">
        <x:v>https://www.fao.org/climate-change/en; https://www.ipcc.ch/report/ar6/wg3/chapter/chapter-7/; https://openknowledge.fao.org/server/api/core/bitstreams/b21f2087-f398-4718-8461-b92afc82e617/content</x:v>
      </x:c>
      <x:c r="Z290" s="2" t="str">
        <x:v>Technology-specific analytical synthesis. The CTCN hierarchy is retained; classifications and component dependencies require validation against the selected design, site and supplier documentation before investment or policy use.</x:v>
      </x:c>
      <x:c r="AA290" s="2" t="str">
        <x:v>Physical deployment of Wetland restoration and rehabilitation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0" s="2" t="str">
        <x:v>For Wetland restoration and rehabilitation,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0" s="2" t="str">
        <x:v>Construction and operation use seed or planting stock, organic matter, fertilisers, soil amendments, water, fencing or structural materials, veterinary inputs and monitoring consumables. For Wetland restoration and rehabilitation, specifications must include durability, compatibility, recycled content and recoverability.</x:v>
      </x:c>
      <x:c r="AD290" s="2" t="str">
        <x:v>Maintenance of Wetland restoration and rehabilitation depends on seed, inoculants, filters, drip lines, nozzles, tool parts, sampling containers, sensor batteries, veterinary supplies and protective equipment; critical spares are selected from failure-mode, lead-time and safety analysis for its installed configuration.</x:v>
      </x:c>
      <x:c r="AE290" s="2" t="str">
        <x:v>The software stack for Wetland restoration and rehabilitation requires databases, secure communications, version-controlled models, computing, backup and interfaces with field or operational systems.</x:v>
      </x:c>
      <x:c r="AF290" s="2" t="str">
        <x:v>For Wetland restoration and rehabilitation, software-related energy is electricity for sensing, computing, storage, communication and cooling; it is normally secondary but must be included for data-intensive or continuous services.</x:v>
      </x:c>
      <x:c r="AG290" s="2" t="str">
        <x:v>The non-physical inputs are calibrated data, metadata, algorithms, boundary conditions, emission or hazard factors, manuals and validation records specific to Wetland restoration and rehabilitation.</x:v>
      </x:c>
      <x:c r="AH290" s="2" t="str">
        <x:v>Software continuity for Wetland restoration and rehabilitation requires licences where applicable, updates, cybersecurity patches, backups, calibration files, model validation and technical support.</x:v>
      </x:c>
      <x:c r="AI290" s="2" t="str">
        <x:v>Orgware depends on the institutions, laboratories, training providers, regulators, operators and community interfaces needed to govern Wetland restoration and rehabilitation.</x:v>
      </x:c>
      <x:c r="AJ290" s="2" t="str">
        <x:v>The orgware supporting Wetland restoration and rehabilitation has mainly indirect energy use from offices, meetings, training and information systems; travel and field supervision may be material at dispersed sites.</x:v>
      </x:c>
      <x:c r="AK290" s="2" t="str">
        <x:v>Its organisational inputs are permits, budgets, trained staff, competence records, contracts, procedures, safeguards, monitoring evidence and stakeholder agreements tailored to Wetland restoration and rehabilitation.</x:v>
      </x:c>
      <x:c r="AL290" s="2" t="str">
        <x:v>Sustained implementation of Wetland restoration and rehabilitation requires procurement and service contracts, audit protocols, training material, reporting templates, insurance or guarantees and periodic independent review.</x:v>
      </x:c>
      <x:c r="AM290" s="2" t="str">
        <x:v>No critical or strategic raw material is identifiable at taxonomy level; site-specific bulk materials may still be required.</x:v>
      </x:c>
      <x:c r="AN290" s="2" t="str"/>
      <x:c r="AO290" s="2" t="str"/>
      <x:c r="AP290" s="2" t="str">
        <x:v>Wetland restoration and rehabilitation: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0" s="2" t="str">
        <x:v>2024–2025</x:v>
      </x:c>
      <x:c r="AR290" s="2" t="str">
        <x:v>https://pubs.usgs.gov/periodicals/mcs2026/mcs2026.pdf</x:v>
      </x:c>
    </x:row>
    <x:row r="291" ht="240" customHeight="1">
      <x:c r="A291" s="2" t="str">
        <x:v>ADP-0021</x:v>
      </x:c>
      <x:c r="B291" s="2" t="str">
        <x:v>Adaptation</x:v>
      </x:c>
      <x:c r="C291" s="2" t="str">
        <x:v>Agriculture and Forestry</x:v>
      </x:c>
      <x:c r="D291" s="2" t="str">
        <x:v>Terrestrial ecosystems management</x:v>
      </x:c>
      <x:c r="E291" s="2" t="str">
        <x:v>Control of sand encroachment</x:v>
      </x:c>
      <x:c r="F291" s="2" t="str">
        <x:v>Control of sand encroachment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Control of sand encroachment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1" s="2" t="str">
        <x:v>Flexible</x:v>
      </x:c>
      <x:c r="H291" s="2" t="str">
        <x:v>Control of sand encroachment is transferable through configurable methods, rules and operating parameters. Its principle remains the same, but resource quality, climate, scale, interfaces and safety constraints must be recalculated for each deployment.</x:v>
      </x:c>
      <x:c r="I291" s="2" t="str">
        <x:v>Primarily soft, with physical support</x:v>
      </x:c>
      <x:c r="J291" s="2" t="str">
        <x:v>Control of sand encroachment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1" s="2" t="str">
        <x:v>Operation</x:v>
      </x:c>
      <x:c r="L291" s="2" t="str">
        <x:v>Control of sand encroachment is embodied mainly as an operating practice. The deliverable is accepted only when measurable service, quality, safety and climate-performance criteria are met under real conditions.</x:v>
      </x:c>
      <x:c r="M291" s="2" t="str">
        <x:v>Yes, subject to life-cycle safeguards</x:v>
      </x:c>
      <x:c r="N291" s="2" t="str">
        <x:v>Control of sand encroachment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1" s="2" t="str">
        <x:v>Control of sand encroachment: field or forest implements, planting and irrigation equipment, storage or livestock facilities, sampling tools, sensors and protective structures as required.</x:v>
      </x:c>
      <x:c r="P291" s="2" t="str">
        <x:v>Control of sand encroachment: soil–crop–livestock knowledge, nutrient and water budgets, emission factors, carbon accounting, climate services, monitoring protocols and adaptive management.</x:v>
      </x:c>
      <x:c r="Q291" s="2" t="str">
        <x:v>Control of sand encroachment: land tenure, extension, producer organisations, veterinary or phytosanitary services, incentives, safeguards, certification and monitoring arrangements.</x:v>
      </x:c>
      <x:c r="R291" s="2" t="str">
        <x:v>Control of sand encroachment: nurseries or seed banks, field access, water and storage systems, laboratories, extension centres, monitoring plots and processing or market facilities.</x:v>
      </x:c>
      <x:c r="S291" s="2" t="str">
        <x:v>Control of sand encroachment: human and mechanical work, electricity or fuel for machinery, pumping, cooling and processing; biological energy and solar radiation dominate field processes.</x:v>
      </x:c>
      <x:c r="T291" s="2" t="str">
        <x:v>Control of sand encroachment: seed or planting stock, organic matter, fertilisers, soil amendments, water, fencing or structural materials, veterinary inputs and monitoring consumables.</x:v>
      </x:c>
      <x:c r="U291" s="2" t="str">
        <x:v>Control of sand encroachment: seed, inoculants, filters, drip lines, nozzles, tool parts, sampling containers, sensor batteries, veterinary supplies and protective equipment.</x:v>
      </x:c>
      <x:c r="V291" s="2" t="str">
        <x:v>https://www.ctc-n.org/sites/default/files/resources/ctcn_taxonomy_0.pdf</x:v>
      </x:c>
      <x:c r="W291" s="2" t="str">
        <x:v>https://institutoagricoladepueblobello.edu.co/colegiapp/archivostemas/GUIA%209.%5B25%5D.pdf</x:v>
      </x:c>
      <x:c r="X291" s="2" t="str">
        <x:v>https://iiasa.ac.at/what-is-technology</x:v>
      </x:c>
      <x:c r="Y291" s="2" t="str">
        <x:v>https://www.fao.org/climate-change/en; https://www.ipcc.ch/report/ar6/wg3/chapter/chapter-7/; https://openknowledge.fao.org/server/api/core/bitstreams/b21f2087-f398-4718-8461-b92afc82e617/content</x:v>
      </x:c>
      <x:c r="Z291" s="2" t="str">
        <x:v>Technology-specific analytical synthesis. The CTCN hierarchy is retained; classifications and component dependencies require validation against the selected design, site and supplier documentation before investment or policy use.</x:v>
      </x:c>
      <x:c r="AA291" s="2" t="str">
        <x:v>Physical deployment of Control of sand encroachment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1" s="2" t="str">
        <x:v>For Control of sand encroachment,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1" s="2" t="str">
        <x:v>Construction and operation use seed or planting stock, organic matter, fertilisers, soil amendments, water, fencing or structural materials, veterinary inputs and monitoring consumables. For Control of sand encroachment, specifications must include durability, compatibility, recycled content and recoverability.</x:v>
      </x:c>
      <x:c r="AD291" s="2" t="str">
        <x:v>Maintenance of Control of sand encroachment depends on seed, inoculants, filters, drip lines, nozzles, tool parts, sampling containers, sensor batteries, veterinary supplies and protective equipment; critical spares are selected from failure-mode, lead-time and safety analysis for its installed configuration.</x:v>
      </x:c>
      <x:c r="AE291" s="2" t="str">
        <x:v>The software stack for Control of sand encroachment requires databases, secure communications, version-controlled models, computing, backup and interfaces with field or operational systems.</x:v>
      </x:c>
      <x:c r="AF291" s="2" t="str">
        <x:v>For Control of sand encroachment, software-related energy is electricity for sensing, computing, storage, communication and cooling; it is normally secondary but must be included for data-intensive or continuous services.</x:v>
      </x:c>
      <x:c r="AG291" s="2" t="str">
        <x:v>The non-physical inputs are calibrated data, metadata, algorithms, boundary conditions, emission or hazard factors, manuals and validation records specific to Control of sand encroachment.</x:v>
      </x:c>
      <x:c r="AH291" s="2" t="str">
        <x:v>Software continuity for Control of sand encroachment requires licences where applicable, updates, cybersecurity patches, backups, calibration files, model validation and technical support.</x:v>
      </x:c>
      <x:c r="AI291" s="2" t="str">
        <x:v>Orgware depends on the institutions, laboratories, training providers, regulators, operators and community interfaces needed to govern Control of sand encroachment.</x:v>
      </x:c>
      <x:c r="AJ291" s="2" t="str">
        <x:v>The orgware supporting Control of sand encroachment has mainly indirect energy use from offices, meetings, training and information systems; travel and field supervision may be material at dispersed sites.</x:v>
      </x:c>
      <x:c r="AK291" s="2" t="str">
        <x:v>Its organisational inputs are permits, budgets, trained staff, competence records, contracts, procedures, safeguards, monitoring evidence and stakeholder agreements tailored to Control of sand encroachment.</x:v>
      </x:c>
      <x:c r="AL291" s="2" t="str">
        <x:v>Sustained implementation of Control of sand encroachment requires procurement and service contracts, audit protocols, training material, reporting templates, insurance or guarantees and periodic independent review.</x:v>
      </x:c>
      <x:c r="AM291" s="2" t="str">
        <x:v>Copper; Tin</x:v>
      </x:c>
      <x:c r="AN291" s="2" t="str">
        <x:v>Chile; Democratic Republic of the Congo; Peru; China; Indonesia; Myanmar</x:v>
      </x:c>
      <x:c r="AO291" s="2" t="str">
        <x:v>China; Chile; Democratic Republic of the Congo; Indonesia; Malaysia</x:v>
      </x:c>
      <x:c r="AP291" s="2" t="str">
        <x:v>Control of sand encroachment: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1" s="2" t="str">
        <x:v>2024–2025</x:v>
      </x:c>
      <x:c r="AR291" s="2" t="str">
        <x:v>https://pubs.usgs.gov/periodicals/mcs2026/mcs2026.pdf</x:v>
      </x:c>
    </x:row>
    <x:row r="292" ht="240" customHeight="1">
      <x:c r="A292" s="2" t="str">
        <x:v>ADP-0022</x:v>
      </x:c>
      <x:c r="B292" s="2" t="str">
        <x:v>Adaptation</x:v>
      </x:c>
      <x:c r="C292" s="2" t="str">
        <x:v>Agriculture and Forestry</x:v>
      </x:c>
      <x:c r="D292" s="2" t="str">
        <x:v>Terrestrial ecosystems management</x:v>
      </x:c>
      <x:c r="E292" s="2" t="str">
        <x:v>Biodiversity management systems</x:v>
      </x:c>
      <x:c r="F292" s="2" t="str">
        <x:v>Biodiversity management systems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Biodiversity management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2" s="2" t="str">
        <x:v>Flexible</x:v>
      </x:c>
      <x:c r="H292" s="2" t="str">
        <x:v>Biodiversity management systems is transferable through configurable methods, rules and operating parameters. Its principle remains the same, but resource quality, climate, scale, interfaces and safety constraints must be recalculated for each deployment.</x:v>
      </x:c>
      <x:c r="I292" s="2" t="str">
        <x:v>Primarily soft, with physical support</x:v>
      </x:c>
      <x:c r="J292" s="2" t="str">
        <x:v>Biodiversity management systems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2" s="2" t="str">
        <x:v>Operation</x:v>
      </x:c>
      <x:c r="L292" s="2" t="str">
        <x:v>Biodiversity management systems is embodied mainly as an operating practice. The deliverable is accepted only when measurable service, quality, safety and climate-performance criteria are met under real conditions.</x:v>
      </x:c>
      <x:c r="M292" s="2" t="str">
        <x:v>Yes, subject to life-cycle safeguards</x:v>
      </x:c>
      <x:c r="N292" s="2" t="str">
        <x:v>Biodiversity management systems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2" s="2" t="str">
        <x:v>Biodiversity management systems: field or forest implements, planting and irrigation equipment, storage or livestock facilities, sampling tools, sensors and protective structures as required.</x:v>
      </x:c>
      <x:c r="P292" s="2" t="str">
        <x:v>Biodiversity management systems: soil–crop–livestock knowledge, nutrient and water budgets, emission factors, carbon accounting, climate services, monitoring protocols and adaptive management.</x:v>
      </x:c>
      <x:c r="Q292" s="2" t="str">
        <x:v>Biodiversity management systems: land tenure, extension, producer organisations, veterinary or phytosanitary services, incentives, safeguards, certification and monitoring arrangements.</x:v>
      </x:c>
      <x:c r="R292" s="2" t="str">
        <x:v>Biodiversity management systems: nurseries or seed banks, field access, water and storage systems, laboratories, extension centres, monitoring plots and processing or market facilities.</x:v>
      </x:c>
      <x:c r="S292" s="2" t="str">
        <x:v>Biodiversity management systems: human and mechanical work, electricity or fuel for machinery, pumping, cooling and processing; biological energy and solar radiation dominate field processes.</x:v>
      </x:c>
      <x:c r="T292" s="2" t="str">
        <x:v>Biodiversity management systems: seed or planting stock, organic matter, fertilisers, soil amendments, water, fencing or structural materials, veterinary inputs and monitoring consumables.</x:v>
      </x:c>
      <x:c r="U292" s="2" t="str">
        <x:v>Biodiversity management systems: seed, inoculants, filters, drip lines, nozzles, tool parts, sampling containers, sensor batteries, veterinary supplies and protective equipment.</x:v>
      </x:c>
      <x:c r="V292" s="2" t="str">
        <x:v>https://www.ctc-n.org/sites/default/files/resources/ctcn_taxonomy_0.pdf</x:v>
      </x:c>
      <x:c r="W292" s="2" t="str">
        <x:v>https://institutoagricoladepueblobello.edu.co/colegiapp/archivostemas/GUIA%209.%5B25%5D.pdf</x:v>
      </x:c>
      <x:c r="X292" s="2" t="str">
        <x:v>https://iiasa.ac.at/what-is-technology</x:v>
      </x:c>
      <x:c r="Y292" s="2" t="str">
        <x:v>https://www.fao.org/climate-change/en; https://www.ipcc.ch/report/ar6/wg3/chapter/chapter-7/; https://openknowledge.fao.org/server/api/core/bitstreams/b21f2087-f398-4718-8461-b92afc82e617/content</x:v>
      </x:c>
      <x:c r="Z292" s="2" t="str">
        <x:v>Technology-specific analytical synthesis. The CTCN hierarchy is retained; classifications and component dependencies require validation against the selected design, site and supplier documentation before investment or policy use.</x:v>
      </x:c>
      <x:c r="AA292" s="2" t="str">
        <x:v>Physical deployment of Biodiversity management systems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2" s="2" t="str">
        <x:v>For Biodiversity management systems,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2" s="2" t="str">
        <x:v>Construction and operation use seed or planting stock, organic matter, fertilisers, soil amendments, water, fencing or structural materials, veterinary inputs and monitoring consumables. For Biodiversity management systems, specifications must include durability, compatibility, recycled content and recoverability.</x:v>
      </x:c>
      <x:c r="AD292" s="2" t="str">
        <x:v>Maintenance of Biodiversity management systems depends on seed, inoculants, filters, drip lines, nozzles, tool parts, sampling containers, sensor batteries, veterinary supplies and protective equipment; critical spares are selected from failure-mode, lead-time and safety analysis for its installed configuration.</x:v>
      </x:c>
      <x:c r="AE292" s="2" t="str">
        <x:v>The software stack for Biodiversity management systems requires databases, secure communications, version-controlled models, computing, backup and interfaces with field or operational systems.</x:v>
      </x:c>
      <x:c r="AF292" s="2" t="str">
        <x:v>For Biodiversity management systems, software-related energy is electricity for sensing, computing, storage, communication and cooling; it is normally secondary but must be included for data-intensive or continuous services.</x:v>
      </x:c>
      <x:c r="AG292" s="2" t="str">
        <x:v>The non-physical inputs are calibrated data, metadata, algorithms, boundary conditions, emission or hazard factors, manuals and validation records specific to Biodiversity management systems.</x:v>
      </x:c>
      <x:c r="AH292" s="2" t="str">
        <x:v>Software continuity for Biodiversity management systems requires licences where applicable, updates, cybersecurity patches, backups, calibration files, model validation and technical support.</x:v>
      </x:c>
      <x:c r="AI292" s="2" t="str">
        <x:v>Orgware depends on the institutions, laboratories, training providers, regulators, operators and community interfaces needed to govern Biodiversity management systems.</x:v>
      </x:c>
      <x:c r="AJ292" s="2" t="str">
        <x:v>The orgware supporting Biodiversity management systems has mainly indirect energy use from offices, meetings, training and information systems; travel and field supervision may be material at dispersed sites.</x:v>
      </x:c>
      <x:c r="AK292" s="2" t="str">
        <x:v>Its organisational inputs are permits, budgets, trained staff, competence records, contracts, procedures, safeguards, monitoring evidence and stakeholder agreements tailored to Biodiversity management systems.</x:v>
      </x:c>
      <x:c r="AL292" s="2" t="str">
        <x:v>Sustained implementation of Biodiversity management systems requires procurement and service contracts, audit protocols, training material, reporting templates, insurance or guarantees and periodic independent review.</x:v>
      </x:c>
      <x:c r="AM292" s="2" t="str">
        <x:v>No critical or strategic raw material is identifiable at taxonomy level; site-specific bulk materials may still be required.</x:v>
      </x:c>
      <x:c r="AN292" s="2" t="str"/>
      <x:c r="AO292" s="2" t="str"/>
      <x:c r="AP292" s="2" t="str">
        <x:v>Biodiversity management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2" s="2" t="str">
        <x:v>2024–2025</x:v>
      </x:c>
      <x:c r="AR292" s="2" t="str">
        <x:v>https://pubs.usgs.gov/periodicals/mcs2026/mcs2026.pdf</x:v>
      </x:c>
    </x:row>
    <x:row r="293" ht="240" customHeight="1">
      <x:c r="A293" s="2" t="str">
        <x:v>ADP-0023</x:v>
      </x:c>
      <x:c r="B293" s="2" t="str">
        <x:v>Adaptation</x:v>
      </x:c>
      <x:c r="C293" s="2" t="str">
        <x:v>Agriculture and Forestry</x:v>
      </x:c>
      <x:c r="D293" s="2" t="str">
        <x:v>Terrestrial ecosystems management</x:v>
      </x:c>
      <x:c r="E293" s="2" t="str">
        <x:v>Forest fire control</x:v>
      </x:c>
      <x:c r="F293" s="2" t="str">
        <x:v>Forest fire control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Forest fire control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3" s="2" t="str">
        <x:v>Flexible</x:v>
      </x:c>
      <x:c r="H293" s="2" t="str">
        <x:v>Forest fire control is transferable through configurable methods, rules and operating parameters. Its principle remains the same, but resource quality, climate, scale, interfaces and safety constraints must be recalculated for each deployment.</x:v>
      </x:c>
      <x:c r="I293" s="2" t="str">
        <x:v>Primarily soft, with physical support</x:v>
      </x:c>
      <x:c r="J293" s="2" t="str">
        <x:v>Forest fire control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3" s="2" t="str">
        <x:v>Operation</x:v>
      </x:c>
      <x:c r="L293" s="2" t="str">
        <x:v>Forest fire control is embodied mainly as an operating practice. The deliverable is accepted only when measurable service, quality, safety and climate-performance criteria are met under real conditions.</x:v>
      </x:c>
      <x:c r="M293" s="2" t="str">
        <x:v>Yes, subject to life-cycle safeguards</x:v>
      </x:c>
      <x:c r="N293" s="2" t="str">
        <x:v>Forest fire control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3" s="2" t="str">
        <x:v>Forest fire control: field or forest implements, planting and irrigation equipment, storage or livestock facilities, sampling tools, sensors and protective structures as required.</x:v>
      </x:c>
      <x:c r="P293" s="2" t="str">
        <x:v>Forest fire control: soil–crop–livestock knowledge, nutrient and water budgets, emission factors, carbon accounting, climate services, monitoring protocols and adaptive management.</x:v>
      </x:c>
      <x:c r="Q293" s="2" t="str">
        <x:v>Forest fire control: land tenure, extension, producer organisations, veterinary or phytosanitary services, incentives, safeguards, certification and monitoring arrangements.</x:v>
      </x:c>
      <x:c r="R293" s="2" t="str">
        <x:v>Forest fire control: nurseries or seed banks, field access, water and storage systems, laboratories, extension centres, monitoring plots and processing or market facilities.</x:v>
      </x:c>
      <x:c r="S293" s="2" t="str">
        <x:v>Forest fire control: human and mechanical work, electricity or fuel for machinery, pumping, cooling and processing; biological energy and solar radiation dominate field processes.</x:v>
      </x:c>
      <x:c r="T293" s="2" t="str">
        <x:v>Forest fire control: seed or planting stock, organic matter, fertilisers, soil amendments, water, fencing or structural materials, veterinary inputs and monitoring consumables.</x:v>
      </x:c>
      <x:c r="U293" s="2" t="str">
        <x:v>Forest fire control: seed, inoculants, filters, drip lines, nozzles, tool parts, sampling containers, sensor batteries, veterinary supplies and protective equipment.</x:v>
      </x:c>
      <x:c r="V293" s="2" t="str">
        <x:v>https://www.ctc-n.org/sites/default/files/resources/ctcn_taxonomy_0.pdf</x:v>
      </x:c>
      <x:c r="W293" s="2" t="str">
        <x:v>https://institutoagricoladepueblobello.edu.co/colegiapp/archivostemas/GUIA%209.%5B25%5D.pdf</x:v>
      </x:c>
      <x:c r="X293" s="2" t="str">
        <x:v>https://iiasa.ac.at/what-is-technology</x:v>
      </x:c>
      <x:c r="Y293" s="2" t="str">
        <x:v>https://www.fao.org/climate-change/en; https://www.ipcc.ch/report/ar6/wg3/chapter/chapter-7/; https://openknowledge.fao.org/server/api/core/bitstreams/b21f2087-f398-4718-8461-b92afc82e617/content</x:v>
      </x:c>
      <x:c r="Z293" s="2" t="str">
        <x:v>Technology-specific analytical synthesis. The CTCN hierarchy is retained; classifications and component dependencies require validation against the selected design, site and supplier documentation before investment or policy use.</x:v>
      </x:c>
      <x:c r="AA293" s="2" t="str">
        <x:v>Physical deployment of Forest fire control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3" s="2" t="str">
        <x:v>For Forest fire control,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3" s="2" t="str">
        <x:v>Construction and operation use seed or planting stock, organic matter, fertilisers, soil amendments, water, fencing or structural materials, veterinary inputs and monitoring consumables. For Forest fire control, specifications must include durability, compatibility, recycled content and recoverability.</x:v>
      </x:c>
      <x:c r="AD293" s="2" t="str">
        <x:v>Maintenance of Forest fire control depends on seed, inoculants, filters, drip lines, nozzles, tool parts, sampling containers, sensor batteries, veterinary supplies and protective equipment; critical spares are selected from failure-mode, lead-time and safety analysis for its installed configuration.</x:v>
      </x:c>
      <x:c r="AE293" s="2" t="str">
        <x:v>The software stack for Forest fire control requires databases, secure communications, version-controlled models, computing, backup and interfaces with field or operational systems.</x:v>
      </x:c>
      <x:c r="AF293" s="2" t="str">
        <x:v>For Forest fire control, software-related energy is electricity for sensing, computing, storage, communication and cooling; it is normally secondary but must be included for data-intensive or continuous services.</x:v>
      </x:c>
      <x:c r="AG293" s="2" t="str">
        <x:v>The non-physical inputs are calibrated data, metadata, algorithms, boundary conditions, emission or hazard factors, manuals and validation records specific to Forest fire control.</x:v>
      </x:c>
      <x:c r="AH293" s="2" t="str">
        <x:v>Software continuity for Forest fire control requires licences where applicable, updates, cybersecurity patches, backups, calibration files, model validation and technical support.</x:v>
      </x:c>
      <x:c r="AI293" s="2" t="str">
        <x:v>Orgware depends on the institutions, laboratories, training providers, regulators, operators and community interfaces needed to govern Forest fire control.</x:v>
      </x:c>
      <x:c r="AJ293" s="2" t="str">
        <x:v>The orgware supporting Forest fire control has mainly indirect energy use from offices, meetings, training and information systems; travel and field supervision may be material at dispersed sites.</x:v>
      </x:c>
      <x:c r="AK293" s="2" t="str">
        <x:v>Its organisational inputs are permits, budgets, trained staff, competence records, contracts, procedures, safeguards, monitoring evidence and stakeholder agreements tailored to Forest fire control.</x:v>
      </x:c>
      <x:c r="AL293" s="2" t="str">
        <x:v>Sustained implementation of Forest fire control requires procurement and service contracts, audit protocols, training material, reporting templates, insurance or guarantees and periodic independent review.</x:v>
      </x:c>
      <x:c r="AM293" s="2" t="str">
        <x:v>Copper; Tin</x:v>
      </x:c>
      <x:c r="AN293" s="2" t="str">
        <x:v>Chile; Democratic Republic of the Congo; Peru; China; Indonesia; Myanmar</x:v>
      </x:c>
      <x:c r="AO293" s="2" t="str">
        <x:v>China; Chile; Democratic Republic of the Congo; Indonesia; Malaysia</x:v>
      </x:c>
      <x:c r="AP293" s="2" t="str">
        <x:v>Forest fire control: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3" s="2" t="str">
        <x:v>2024–2025</x:v>
      </x:c>
      <x:c r="AR293" s="2" t="str">
        <x:v>https://pubs.usgs.gov/periodicals/mcs2026/mcs2026.pdf</x:v>
      </x:c>
    </x:row>
    <x:row r="294" ht="240" customHeight="1">
      <x:c r="A294" s="2" t="str">
        <x:v>ADP-0024</x:v>
      </x:c>
      <x:c r="B294" s="2" t="str">
        <x:v>Adaptation</x:v>
      </x:c>
      <x:c r="C294" s="2" t="str">
        <x:v>Agriculture and Forestry</x:v>
      </x:c>
      <x:c r="D294" s="2" t="str">
        <x:v>Agro-forestry, Silviculture &amp; Mixed farming</x:v>
      </x:c>
      <x:c r="E294" s="2" t="str">
        <x:v>Rainguard for rubber trees</x:v>
      </x:c>
      <x:c r="F294" s="2" t="str">
        <x:v>Rainguard for rubber trees is a adaptation technology in the Agriculture and Forestry sector and the Agro-forestry, Silviculture &amp; Mixed farming technology group. It is defined as a combined hardware–software–orgware system that changes vegetation, soil, nutrient, water, crop or livestock management to protect carbon stocks, increase resilience and productivity, and reduce CO₂, CH₄ or N₂O emissions. Rainguard for rubber trees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4" s="2" t="str">
        <x:v>Mixed: adaptable design, site-specific implementation</x:v>
      </x:c>
      <x:c r="H294" s="2" t="str">
        <x:v>Rainguard for rubber trees is adaptable in capacity and configuration but site-specific in final engineering. Its principle remains the same, but resource quality, climate, scale, interfaces and safety constraints must be recalculated for each deployment.</x:v>
      </x:c>
      <x:c r="I294" s="2" t="str">
        <x:v>Primarily hard, with a soft component</x:v>
      </x:c>
      <x:c r="J294" s="2" t="str">
        <x:v>Rainguard for rubber trees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4" s="2" t="str">
        <x:v>Operation</x:v>
      </x:c>
      <x:c r="L294" s="2" t="str">
        <x:v>Rainguard for rubber trees is embodied mainly as an operating practice. The deliverable is accepted only when measurable service, quality, safety and climate-performance criteria are met under real conditions.</x:v>
      </x:c>
      <x:c r="M294" s="2" t="str">
        <x:v>Yes, subject to life-cycle safeguards</x:v>
      </x:c>
      <x:c r="N294" s="2" t="str">
        <x:v>Rainguard for rubber trees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4" s="2" t="str">
        <x:v>Rainguard for rubber trees: field or forest implements, planting and irrigation equipment, storage or livestock facilities, sampling tools, sensors and protective structures as required.</x:v>
      </x:c>
      <x:c r="P294" s="2" t="str">
        <x:v>Rainguard for rubber trees: soil–crop–livestock knowledge, nutrient and water budgets, emission factors, carbon accounting, climate services, monitoring protocols and adaptive management.</x:v>
      </x:c>
      <x:c r="Q294" s="2" t="str">
        <x:v>Rainguard for rubber trees: land tenure, extension, producer organisations, veterinary or phytosanitary services, incentives, safeguards, certification and monitoring arrangements.</x:v>
      </x:c>
      <x:c r="R294" s="2" t="str">
        <x:v>Rainguard for rubber trees: nurseries or seed banks, field access, water and storage systems, laboratories, extension centres, monitoring plots and processing or market facilities.</x:v>
      </x:c>
      <x:c r="S294" s="2" t="str">
        <x:v>Rainguard for rubber trees: human and mechanical work, electricity or fuel for machinery, pumping, cooling and processing; biological energy and solar radiation dominate field processes.</x:v>
      </x:c>
      <x:c r="T294" s="2" t="str">
        <x:v>Rainguard for rubber trees: seed or planting stock, organic matter, fertilisers, soil amendments, water, fencing or structural materials, veterinary inputs and monitoring consumables.</x:v>
      </x:c>
      <x:c r="U294" s="2" t="str">
        <x:v>Rainguard for rubber trees: seed, inoculants, filters, drip lines, nozzles, tool parts, sampling containers, sensor batteries, veterinary supplies and protective equipment.</x:v>
      </x:c>
      <x:c r="V294" s="2" t="str">
        <x:v>https://www.ctc-n.org/sites/default/files/resources/ctcn_taxonomy_0.pdf</x:v>
      </x:c>
      <x:c r="W294" s="2" t="str">
        <x:v>https://institutoagricoladepueblobello.edu.co/colegiapp/archivostemas/GUIA%209.%5B25%5D.pdf</x:v>
      </x:c>
      <x:c r="X294" s="2" t="str">
        <x:v>https://iiasa.ac.at/what-is-technology</x:v>
      </x:c>
      <x:c r="Y294" s="2" t="str">
        <x:v>https://www.fao.org/climate-change/en; https://www.ipcc.ch/report/ar6/wg3/chapter/chapter-7/; https://openknowledge.fao.org/server/api/core/bitstreams/b21f2087-f398-4718-8461-b92afc82e617/content</x:v>
      </x:c>
      <x:c r="Z294" s="2" t="str">
        <x:v>Technology-specific analytical synthesis. The CTCN hierarchy is retained; classifications and component dependencies require validation against the selected design, site and supplier documentation before investment or policy use.</x:v>
      </x:c>
      <x:c r="AA294" s="2" t="str">
        <x:v>Physical deployment of Rainguard for rubber trees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4" s="2" t="str">
        <x:v>For Rainguard for rubber trees,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4" s="2" t="str">
        <x:v>Construction and operation use seed or planting stock, organic matter, fertilisers, soil amendments, water, fencing or structural materials, veterinary inputs and monitoring consumables. For Rainguard for rubber trees, specifications must include durability, compatibility, recycled content and recoverability.</x:v>
      </x:c>
      <x:c r="AD294" s="2" t="str">
        <x:v>Maintenance of Rainguard for rubber trees depends on seed, inoculants, filters, drip lines, nozzles, tool parts, sampling containers, sensor batteries, veterinary supplies and protective equipment; critical spares are selected from failure-mode, lead-time and safety analysis for its installed configuration.</x:v>
      </x:c>
      <x:c r="AE294" s="2" t="str">
        <x:v>The software stack for Rainguard for rubber trees requires databases, secure communications, version-controlled models, computing, backup and interfaces with field or operational systems.</x:v>
      </x:c>
      <x:c r="AF294" s="2" t="str">
        <x:v>For Rainguard for rubber trees, software-related energy is electricity for sensing, computing, storage, communication and cooling; it is normally secondary but must be included for data-intensive or continuous services.</x:v>
      </x:c>
      <x:c r="AG294" s="2" t="str">
        <x:v>The non-physical inputs are calibrated data, metadata, algorithms, boundary conditions, emission or hazard factors, manuals and validation records specific to Rainguard for rubber trees.</x:v>
      </x:c>
      <x:c r="AH294" s="2" t="str">
        <x:v>Software continuity for Rainguard for rubber trees requires licences where applicable, updates, cybersecurity patches, backups, calibration files, model validation and technical support.</x:v>
      </x:c>
      <x:c r="AI294" s="2" t="str">
        <x:v>Orgware depends on the institutions, laboratories, training providers, regulators, operators and community interfaces needed to govern Rainguard for rubber trees.</x:v>
      </x:c>
      <x:c r="AJ294" s="2" t="str">
        <x:v>The orgware supporting Rainguard for rubber trees has mainly indirect energy use from offices, meetings, training and information systems; travel and field supervision may be material at dispersed sites.</x:v>
      </x:c>
      <x:c r="AK294" s="2" t="str">
        <x:v>Its organisational inputs are permits, budgets, trained staff, competence records, contracts, procedures, safeguards, monitoring evidence and stakeholder agreements tailored to Rainguard for rubber trees.</x:v>
      </x:c>
      <x:c r="AL294" s="2" t="str">
        <x:v>Sustained implementation of Rainguard for rubber trees requires procurement and service contracts, audit protocols, training material, reporting templates, insurance or guarantees and periodic independent review.</x:v>
      </x:c>
      <x:c r="AM294" s="2" t="str">
        <x:v>No critical or strategic raw material is identifiable at taxonomy level; site-specific bulk materials may still be required.</x:v>
      </x:c>
      <x:c r="AN294" s="2" t="str"/>
      <x:c r="AO294" s="2" t="str"/>
      <x:c r="AP294" s="2" t="str">
        <x:v>Rainguard for rubber trees: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4" s="2" t="str">
        <x:v>2024–2025</x:v>
      </x:c>
      <x:c r="AR294" s="2" t="str">
        <x:v>https://pubs.usgs.gov/periodicals/mcs2026/mcs2026.pdf; https://www.iea.org/reports/global-critical-minerals-outlook-2025</x:v>
      </x:c>
    </x:row>
    <x:row r="295" ht="240" customHeight="1">
      <x:c r="A295" s="2" t="str">
        <x:v>ADP-0025</x:v>
      </x:c>
      <x:c r="B295" s="2" t="str">
        <x:v>Adaptation</x:v>
      </x:c>
      <x:c r="C295" s="2" t="str">
        <x:v>Agriculture and Forestry</x:v>
      </x:c>
      <x:c r="D295" s="2" t="str">
        <x:v>Agro-forestry, Silviculture &amp; Mixed farming</x:v>
      </x:c>
      <x:c r="E295" s="2" t="str">
        <x:v>General agro-forestry - silviculture and mixed farming solutions</x:v>
      </x:c>
      <x:c r="F295" s="2" t="str">
        <x:v>General agro-forestry - silviculture and mixed farming solutions is a adaptation technology in the Agriculture and Forestry sector and the Agro-forestry, Silviculture &amp; Mixed farming technology group. It is defined as a combined hardware–software–orgware system that changes vegetation, soil, nutrient, water, crop or livestock management to protect carbon stocks, increase resilience and productivity, and reduce CO₂, CH₄ or N₂O emissions. General agro-forestry - silviculture and mixed farming solutions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5" s="2" t="str">
        <x:v>Mixed: adaptable design, site-specific implementation</x:v>
      </x:c>
      <x:c r="H295" s="2" t="str">
        <x:v>General agro-forestry - silviculture and mixed farming solutions is adaptable in capacity and configuration but site-specific in final engineering. Its principle remains the same, but resource quality, climate, scale, interfaces and safety constraints must be recalculated for each deployment.</x:v>
      </x:c>
      <x:c r="I295" s="2" t="str">
        <x:v>Primarily hard, with a soft component</x:v>
      </x:c>
      <x:c r="J295" s="2" t="str">
        <x:v>General agro-forestry - silviculture and mixed farming solutions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5" s="2" t="str">
        <x:v>Operation</x:v>
      </x:c>
      <x:c r="L295" s="2" t="str">
        <x:v>General agro-forestry - silviculture and mixed farming solutions is embodied mainly as an operating practice. The deliverable is accepted only when measurable service, quality, safety and climate-performance criteria are met under real conditions.</x:v>
      </x:c>
      <x:c r="M295" s="2" t="str">
        <x:v>Yes, subject to life-cycle safeguards</x:v>
      </x:c>
      <x:c r="N295" s="2" t="str">
        <x:v>General agro-forestry - silviculture and mixed farming solutions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5" s="2" t="str">
        <x:v>General agro-forestry - silviculture and mixed farming solutions: field or forest implements, planting and irrigation equipment, storage or livestock facilities, sampling tools, sensors and protective structures as required.</x:v>
      </x:c>
      <x:c r="P295" s="2" t="str">
        <x:v>General agro-forestry - silviculture and mixed farming solutions: soil–crop–livestock knowledge, nutrient and water budgets, emission factors, carbon accounting, climate services, monitoring protocols and adaptive management.</x:v>
      </x:c>
      <x:c r="Q295" s="2" t="str">
        <x:v>General agro-forestry - silviculture and mixed farming solutions: land tenure, extension, producer organisations, veterinary or phytosanitary services, incentives, safeguards, certification and monitoring arrangements.</x:v>
      </x:c>
      <x:c r="R295" s="2" t="str">
        <x:v>General agro-forestry - silviculture and mixed farming solutions: nurseries or seed banks, field access, water and storage systems, laboratories, extension centres, monitoring plots and processing or market facilities.</x:v>
      </x:c>
      <x:c r="S295" s="2" t="str">
        <x:v>General agro-forestry - silviculture and mixed farming solutions: human and mechanical work, electricity or fuel for machinery, pumping, cooling and processing; biological energy and solar radiation dominate field processes.</x:v>
      </x:c>
      <x:c r="T295" s="2" t="str">
        <x:v>General agro-forestry - silviculture and mixed farming solutions: seed or planting stock, organic matter, fertilisers, soil amendments, water, fencing or structural materials, veterinary inputs and monitoring consumables.</x:v>
      </x:c>
      <x:c r="U295" s="2" t="str">
        <x:v>General agro-forestry - silviculture and mixed farming solutions: seed, inoculants, filters, drip lines, nozzles, tool parts, sampling containers, sensor batteries, veterinary supplies and protective equipment.</x:v>
      </x:c>
      <x:c r="V295" s="2" t="str">
        <x:v>https://www.ctc-n.org/sites/default/files/resources/ctcn_taxonomy_0.pdf</x:v>
      </x:c>
      <x:c r="W295" s="2" t="str">
        <x:v>https://institutoagricoladepueblobello.edu.co/colegiapp/archivostemas/GUIA%209.%5B25%5D.pdf</x:v>
      </x:c>
      <x:c r="X295" s="2" t="str">
        <x:v>https://iiasa.ac.at/what-is-technology</x:v>
      </x:c>
      <x:c r="Y295" s="2" t="str">
        <x:v>https://www.fao.org/climate-change/en; https://www.ipcc.ch/report/ar6/wg3/chapter/chapter-7/; https://openknowledge.fao.org/server/api/core/bitstreams/b21f2087-f398-4718-8461-b92afc82e617/content</x:v>
      </x:c>
      <x:c r="Z295" s="2" t="str">
        <x:v>Technology-specific analytical synthesis. The CTCN hierarchy is retained; classifications and component dependencies require validation against the selected design, site and supplier documentation before investment or policy use.</x:v>
      </x:c>
      <x:c r="AA295" s="2" t="str">
        <x:v>Physical deployment of General agro-forestry - silviculture and mixed farming solutions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5" s="2" t="str">
        <x:v>For General agro-forestry - silviculture and mixed farming solutions,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5" s="2" t="str">
        <x:v>Construction and operation use seed or planting stock, organic matter, fertilisers, soil amendments, water, fencing or structural materials, veterinary inputs and monitoring consumables. For General agro-forestry - silviculture and mixed farming solutions, specifications must include durability, compatibility, recycled content and recoverability.</x:v>
      </x:c>
      <x:c r="AD295" s="2" t="str">
        <x:v>Maintenance of General agro-forestry - silviculture and mixed farming solutions depends on seed, inoculants, filters, drip lines, nozzles, tool parts, sampling containers, sensor batteries, veterinary supplies and protective equipment; critical spares are selected from failure-mode, lead-time and safety analysis for its installed configuration.</x:v>
      </x:c>
      <x:c r="AE295" s="2" t="str">
        <x:v>The software stack for General agro-forestry - silviculture and mixed farming solutions requires databases, secure communications, version-controlled models, computing, backup and interfaces with field or operational systems.</x:v>
      </x:c>
      <x:c r="AF295" s="2" t="str">
        <x:v>For General agro-forestry - silviculture and mixed farming solutions, software-related energy is electricity for sensing, computing, storage, communication and cooling; it is normally secondary but must be included for data-intensive or continuous services.</x:v>
      </x:c>
      <x:c r="AG295" s="2" t="str">
        <x:v>The non-physical inputs are calibrated data, metadata, algorithms, boundary conditions, emission or hazard factors, manuals and validation records specific to General agro-forestry - silviculture and mixed farming solutions.</x:v>
      </x:c>
      <x:c r="AH295" s="2" t="str">
        <x:v>Software continuity for General agro-forestry - silviculture and mixed farming solutions requires licences where applicable, updates, cybersecurity patches, backups, calibration files, model validation and technical support.</x:v>
      </x:c>
      <x:c r="AI295" s="2" t="str">
        <x:v>Orgware depends on the institutions, laboratories, training providers, regulators, operators and community interfaces needed to govern General agro-forestry - silviculture and mixed farming solutions.</x:v>
      </x:c>
      <x:c r="AJ295" s="2" t="str">
        <x:v>The orgware supporting General agro-forestry - silviculture and mixed farming solutions has mainly indirect energy use from offices, meetings, training and information systems; travel and field supervision may be material at dispersed sites.</x:v>
      </x:c>
      <x:c r="AK295" s="2" t="str">
        <x:v>Its organisational inputs are permits, budgets, trained staff, competence records, contracts, procedures, safeguards, monitoring evidence and stakeholder agreements tailored to General agro-forestry - silviculture and mixed farming solutions.</x:v>
      </x:c>
      <x:c r="AL295" s="2" t="str">
        <x:v>Sustained implementation of General agro-forestry - silviculture and mixed farming solutions requires procurement and service contracts, audit protocols, training material, reporting templates, insurance or guarantees and periodic independent review.</x:v>
      </x:c>
      <x:c r="AM295" s="2" t="str">
        <x:v>No critical or strategic raw material is identifiable at taxonomy level; site-specific bulk materials may still be required.</x:v>
      </x:c>
      <x:c r="AN295" s="2" t="str"/>
      <x:c r="AO295" s="2" t="str"/>
      <x:c r="AP295" s="2" t="str">
        <x:v>General agro-forestry - silviculture and mixed farming solutions: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5" s="2" t="str">
        <x:v>2024–2025</x:v>
      </x:c>
      <x:c r="AR295" s="2" t="str">
        <x:v>https://pubs.usgs.gov/periodicals/mcs2026/mcs2026.pdf; https://www.iea.org/reports/global-critical-minerals-outlook-2025</x:v>
      </x:c>
    </x:row>
    <x:row r="296" ht="240" customHeight="1">
      <x:c r="A296" s="2" t="str">
        <x:v>ADP-0026</x:v>
      </x:c>
      <x:c r="B296" s="2" t="str">
        <x:v>Adaptation</x:v>
      </x:c>
      <x:c r="C296" s="2" t="str">
        <x:v>Agriculture and Forestry</x:v>
      </x:c>
      <x:c r="D296" s="2" t="str">
        <x:v>Agro-forestry, Silviculture &amp; Mixed farming</x:v>
      </x:c>
      <x:c r="E296" s="2" t="str">
        <x:v>Agroforestry</x:v>
      </x:c>
      <x:c r="F296" s="2" t="str">
        <x:v>Agroforestry is a adaptation technology in the Agriculture and Forestry sector and the Agro-forestry, Silviculture &amp; Mixed farming technology group. It is defined as a combined hardware–software–orgware system that changes vegetation, soil, nutrient, water, crop or livestock management to protect carbon stocks, increase resilience and productivity, and reduce CO₂, CH₄ or N₂O emissions. Agroforestry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6" s="2" t="str">
        <x:v>Mixed: adaptable design, site-specific implementation</x:v>
      </x:c>
      <x:c r="H296" s="2" t="str">
        <x:v>Agroforestry is adaptable in capacity and configuration but site-specific in final engineering. Its principle remains the same, but resource quality, climate, scale, interfaces and safety constraints must be recalculated for each deployment.</x:v>
      </x:c>
      <x:c r="I296" s="2" t="str">
        <x:v>Primarily hard, with a soft component</x:v>
      </x:c>
      <x:c r="J296" s="2" t="str">
        <x:v>Agroforestry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6" s="2" t="str">
        <x:v>Operation</x:v>
      </x:c>
      <x:c r="L296" s="2" t="str">
        <x:v>Agroforestry is embodied mainly as an operating practice. The deliverable is accepted only when measurable service, quality, safety and climate-performance criteria are met under real conditions.</x:v>
      </x:c>
      <x:c r="M296" s="2" t="str">
        <x:v>Yes, subject to life-cycle safeguards</x:v>
      </x:c>
      <x:c r="N296" s="2" t="str">
        <x:v>Agroforestry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6" s="2" t="str">
        <x:v>Agroforestry: field or forest implements, planting and irrigation equipment, storage or livestock facilities, sampling tools, sensors and protective structures as required.</x:v>
      </x:c>
      <x:c r="P296" s="2" t="str">
        <x:v>Agroforestry: soil–crop–livestock knowledge, nutrient and water budgets, emission factors, carbon accounting, climate services, monitoring protocols and adaptive management.</x:v>
      </x:c>
      <x:c r="Q296" s="2" t="str">
        <x:v>Agroforestry: land tenure, extension, producer organisations, veterinary or phytosanitary services, incentives, safeguards, certification and monitoring arrangements.</x:v>
      </x:c>
      <x:c r="R296" s="2" t="str">
        <x:v>Agroforestry: nurseries or seed banks, field access, water and storage systems, laboratories, extension centres, monitoring plots and processing or market facilities.</x:v>
      </x:c>
      <x:c r="S296" s="2" t="str">
        <x:v>Agroforestry: human and mechanical work, electricity or fuel for machinery, pumping, cooling and processing; biological energy and solar radiation dominate field processes.</x:v>
      </x:c>
      <x:c r="T296" s="2" t="str">
        <x:v>Agroforestry: seed or planting stock, organic matter, fertilisers, soil amendments, water, fencing or structural materials, veterinary inputs and monitoring consumables.</x:v>
      </x:c>
      <x:c r="U296" s="2" t="str">
        <x:v>Agroforestry: seed, inoculants, filters, drip lines, nozzles, tool parts, sampling containers, sensor batteries, veterinary supplies and protective equipment.</x:v>
      </x:c>
      <x:c r="V296" s="2" t="str">
        <x:v>https://www.ctc-n.org/sites/default/files/resources/ctcn_taxonomy_0.pdf</x:v>
      </x:c>
      <x:c r="W296" s="2" t="str">
        <x:v>https://institutoagricoladepueblobello.edu.co/colegiapp/archivostemas/GUIA%209.%5B25%5D.pdf</x:v>
      </x:c>
      <x:c r="X296" s="2" t="str">
        <x:v>https://iiasa.ac.at/what-is-technology</x:v>
      </x:c>
      <x:c r="Y296" s="2" t="str">
        <x:v>https://www.fao.org/climate-change/en; https://www.ipcc.ch/report/ar6/wg3/chapter/chapter-7/; https://openknowledge.fao.org/server/api/core/bitstreams/b21f2087-f398-4718-8461-b92afc82e617/content</x:v>
      </x:c>
      <x:c r="Z296" s="2" t="str">
        <x:v>Technology-specific analytical synthesis. The CTCN hierarchy is retained; classifications and component dependencies require validation against the selected design, site and supplier documentation before investment or policy use.</x:v>
      </x:c>
      <x:c r="AA296" s="2" t="str">
        <x:v>Physical deployment of Agroforestry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6" s="2" t="str">
        <x:v>For Agroforestry,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6" s="2" t="str">
        <x:v>Construction and operation use seed or planting stock, organic matter, fertilisers, soil amendments, water, fencing or structural materials, veterinary inputs and monitoring consumables. For Agroforestry, specifications must include durability, compatibility, recycled content and recoverability.</x:v>
      </x:c>
      <x:c r="AD296" s="2" t="str">
        <x:v>Maintenance of Agroforestry depends on seed, inoculants, filters, drip lines, nozzles, tool parts, sampling containers, sensor batteries, veterinary supplies and protective equipment; critical spares are selected from failure-mode, lead-time and safety analysis for its installed configuration.</x:v>
      </x:c>
      <x:c r="AE296" s="2" t="str">
        <x:v>The software stack for Agroforestry requires databases, secure communications, version-controlled models, computing, backup and interfaces with field or operational systems.</x:v>
      </x:c>
      <x:c r="AF296" s="2" t="str">
        <x:v>For Agroforestry, software-related energy is electricity for sensing, computing, storage, communication and cooling; it is normally secondary but must be included for data-intensive or continuous services.</x:v>
      </x:c>
      <x:c r="AG296" s="2" t="str">
        <x:v>The non-physical inputs are calibrated data, metadata, algorithms, boundary conditions, emission or hazard factors, manuals and validation records specific to Agroforestry.</x:v>
      </x:c>
      <x:c r="AH296" s="2" t="str">
        <x:v>Software continuity for Agroforestry requires licences where applicable, updates, cybersecurity patches, backups, calibration files, model validation and technical support.</x:v>
      </x:c>
      <x:c r="AI296" s="2" t="str">
        <x:v>Orgware depends on the institutions, laboratories, training providers, regulators, operators and community interfaces needed to govern Agroforestry.</x:v>
      </x:c>
      <x:c r="AJ296" s="2" t="str">
        <x:v>The orgware supporting Agroforestry has mainly indirect energy use from offices, meetings, training and information systems; travel and field supervision may be material at dispersed sites.</x:v>
      </x:c>
      <x:c r="AK296" s="2" t="str">
        <x:v>Its organisational inputs are permits, budgets, trained staff, competence records, contracts, procedures, safeguards, monitoring evidence and stakeholder agreements tailored to Agroforestry.</x:v>
      </x:c>
      <x:c r="AL296" s="2" t="str">
        <x:v>Sustained implementation of Agroforestry requires procurement and service contracts, audit protocols, training material, reporting templates, insurance or guarantees and periodic independent review.</x:v>
      </x:c>
      <x:c r="AM296" s="2" t="str">
        <x:v>No critical or strategic raw material is identifiable at taxonomy level; site-specific bulk materials may still be required.</x:v>
      </x:c>
      <x:c r="AN296" s="2" t="str"/>
      <x:c r="AO296" s="2" t="str"/>
      <x:c r="AP296" s="2" t="str">
        <x:v>Agroforestry: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6" s="2" t="str">
        <x:v>2024–2025</x:v>
      </x:c>
      <x:c r="AR296" s="2" t="str">
        <x:v>https://pubs.usgs.gov/periodicals/mcs2026/mcs2026.pdf; https://www.iea.org/reports/global-critical-minerals-outlook-2025</x:v>
      </x:c>
    </x:row>
    <x:row r="297" ht="240" customHeight="1">
      <x:c r="A297" s="2" t="str">
        <x:v>ADP-0027</x:v>
      </x:c>
      <x:c r="B297" s="2" t="str">
        <x:v>Adaptation</x:v>
      </x:c>
      <x:c r="C297" s="2" t="str">
        <x:v>Agriculture and Forestry</x:v>
      </x:c>
      <x:c r="D297" s="2" t="str">
        <x:v>Seed, grain &amp; food storage</x:v>
      </x:c>
      <x:c r="E297" s="2" t="str">
        <x:v>Crop storage</x:v>
      </x:c>
      <x:c r="F297" s="2" t="str">
        <x:v>Crop storage is a adaptation technology in the Agriculture and Forestry sector and the Seed, grain &amp; food storage technology group. It is defined as a combined hardware–software–orgware system that changes vegetation, soil, nutrient, water, crop or livestock management to protect carbon stocks, increase resilience and productivity, and reduce CO₂, CH₄ or N₂O emissions. Crop storage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7" s="2" t="str">
        <x:v>Mixed: adaptable design, site-specific implementation</x:v>
      </x:c>
      <x:c r="H297" s="2" t="str">
        <x:v>Crop storage is adaptable in capacity and configuration but site-specific in final engineering. Its principle remains the same, but resource quality, climate, scale, interfaces and safety constraints must be recalculated for each deployment.</x:v>
      </x:c>
      <x:c r="I297" s="2" t="str">
        <x:v>Primarily hard, with a soft component</x:v>
      </x:c>
      <x:c r="J297" s="2" t="str">
        <x:v>Crop storage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7" s="2" t="str">
        <x:v>Operation</x:v>
      </x:c>
      <x:c r="L297" s="2" t="str">
        <x:v>Crop storage is embodied mainly as an operating practice. The deliverable is accepted only when measurable service, quality, safety and climate-performance criteria are met under real conditions.</x:v>
      </x:c>
      <x:c r="M297" s="2" t="str">
        <x:v>Yes, subject to life-cycle safeguards</x:v>
      </x:c>
      <x:c r="N297" s="2" t="str">
        <x:v>Crop storage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7" s="2" t="str">
        <x:v>Crop storage: field or forest implements, planting and irrigation equipment, storage or livestock facilities, sampling tools, sensors and protective structures as required.</x:v>
      </x:c>
      <x:c r="P297" s="2" t="str">
        <x:v>Crop storage: soil–crop–livestock knowledge, nutrient and water budgets, emission factors, carbon accounting, climate services, monitoring protocols and adaptive management.</x:v>
      </x:c>
      <x:c r="Q297" s="2" t="str">
        <x:v>Crop storage: land tenure, extension, producer organisations, veterinary or phytosanitary services, incentives, safeguards, certification and monitoring arrangements.</x:v>
      </x:c>
      <x:c r="R297" s="2" t="str">
        <x:v>Crop storage: nurseries or seed banks, field access, water and storage systems, laboratories, extension centres, monitoring plots and processing or market facilities.</x:v>
      </x:c>
      <x:c r="S297" s="2" t="str">
        <x:v>Crop storage: human and mechanical work, electricity or fuel for machinery, pumping, cooling and processing; biological energy and solar radiation dominate field processes.</x:v>
      </x:c>
      <x:c r="T297" s="2" t="str">
        <x:v>Crop storage: seed or planting stock, organic matter, fertilisers, soil amendments, water, fencing or structural materials, veterinary inputs and monitoring consumables.</x:v>
      </x:c>
      <x:c r="U297" s="2" t="str">
        <x:v>Crop storage: seed, inoculants, filters, drip lines, nozzles, tool parts, sampling containers, sensor batteries, veterinary supplies and protective equipment.</x:v>
      </x:c>
      <x:c r="V297" s="2" t="str">
        <x:v>https://www.ctc-n.org/sites/default/files/resources/ctcn_taxonomy_0.pdf</x:v>
      </x:c>
      <x:c r="W297" s="2" t="str">
        <x:v>https://institutoagricoladepueblobello.edu.co/colegiapp/archivostemas/GUIA%209.%5B25%5D.pdf</x:v>
      </x:c>
      <x:c r="X297" s="2" t="str">
        <x:v>https://iiasa.ac.at/what-is-technology</x:v>
      </x:c>
      <x:c r="Y297" s="2" t="str">
        <x:v>https://www.fao.org/climate-change/en; https://www.ipcc.ch/report/ar6/wg3/chapter/chapter-7/; https://openknowledge.fao.org/server/api/core/bitstreams/b21f2087-f398-4718-8461-b92afc82e617/content</x:v>
      </x:c>
      <x:c r="Z297" s="2" t="str">
        <x:v>Technology-specific analytical synthesis. The CTCN hierarchy is retained; classifications and component dependencies require validation against the selected design, site and supplier documentation before investment or policy use.</x:v>
      </x:c>
      <x:c r="AA297" s="2" t="str">
        <x:v>Physical deployment of Crop storage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7" s="2" t="str">
        <x:v>For Crop storage,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7" s="2" t="str">
        <x:v>Construction and operation use seed or planting stock, organic matter, fertilisers, soil amendments, water, fencing or structural materials, veterinary inputs and monitoring consumables. For Crop storage, specifications must include durability, compatibility, recycled content and recoverability.</x:v>
      </x:c>
      <x:c r="AD297" s="2" t="str">
        <x:v>Maintenance of Crop storage depends on seed, inoculants, filters, drip lines, nozzles, tool parts, sampling containers, sensor batteries, veterinary supplies and protective equipment; critical spares are selected from failure-mode, lead-time and safety analysis for its installed configuration.</x:v>
      </x:c>
      <x:c r="AE297" s="2" t="str">
        <x:v>The software stack for Crop storage requires databases, secure communications, version-controlled models, computing, backup and interfaces with field or operational systems.</x:v>
      </x:c>
      <x:c r="AF297" s="2" t="str">
        <x:v>For Crop storage, software-related energy is electricity for sensing, computing, storage, communication and cooling; it is normally secondary but must be included for data-intensive or continuous services.</x:v>
      </x:c>
      <x:c r="AG297" s="2" t="str">
        <x:v>The non-physical inputs are calibrated data, metadata, algorithms, boundary conditions, emission or hazard factors, manuals and validation records specific to Crop storage.</x:v>
      </x:c>
      <x:c r="AH297" s="2" t="str">
        <x:v>Software continuity for Crop storage requires licences where applicable, updates, cybersecurity patches, backups, calibration files, model validation and technical support.</x:v>
      </x:c>
      <x:c r="AI297" s="2" t="str">
        <x:v>Orgware depends on the institutions, laboratories, training providers, regulators, operators and community interfaces needed to govern Crop storage.</x:v>
      </x:c>
      <x:c r="AJ297" s="2" t="str">
        <x:v>The orgware supporting Crop storage has mainly indirect energy use from offices, meetings, training and information systems; travel and field supervision may be material at dispersed sites.</x:v>
      </x:c>
      <x:c r="AK297" s="2" t="str">
        <x:v>Its organisational inputs are permits, budgets, trained staff, competence records, contracts, procedures, safeguards, monitoring evidence and stakeholder agreements tailored to Crop storage.</x:v>
      </x:c>
      <x:c r="AL297" s="2" t="str">
        <x:v>Sustained implementation of Crop storage requires procurement and service contracts, audit protocols, training material, reporting templates, insurance or guarantees and periodic independent review.</x:v>
      </x:c>
      <x:c r="AM297" s="2" t="str">
        <x:v>Phosphate rock; Potash</x:v>
      </x:c>
      <x:c r="AN297" s="2" t="str">
        <x:v>China; Morocco; United States; Canada; Russia; Belarus</x:v>
      </x:c>
      <x:c r="AO297" s="2" t="str">
        <x:v>China; Morocco; United States; Canada; Russia; Belarus</x:v>
      </x:c>
      <x:c r="AP297" s="2" t="str">
        <x:v>Crop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7" s="2" t="str">
        <x:v>2024–2025</x:v>
      </x:c>
      <x:c r="AR297" s="2" t="str">
        <x:v>https://pubs.usgs.gov/periodicals/mcs2026/mcs2026.pdf</x:v>
      </x:c>
    </x:row>
    <x:row r="298" ht="240" customHeight="1">
      <x:c r="A298" s="2" t="str">
        <x:v>ADP-0028</x:v>
      </x:c>
      <x:c r="B298" s="2" t="str">
        <x:v>Adaptation</x:v>
      </x:c>
      <x:c r="C298" s="2" t="str">
        <x:v>Agriculture and Forestry</x:v>
      </x:c>
      <x:c r="D298" s="2" t="str">
        <x:v>Seed, grain &amp; food storage</x:v>
      </x:c>
      <x:c r="E298" s="2" t="str">
        <x:v>Ex situ conservation and seed banks</x:v>
      </x:c>
      <x:c r="F298" s="2" t="str">
        <x:v>Ex situ conservation and seed banks is a adaptation technology in the Agriculture and Forestry sector and the Seed, grain &amp; food storage technology group. It is defined as a combined hardware–software–orgware system that changes vegetation, soil, nutrient, water, crop or livestock management to protect carbon stocks, increase resilience and productivity, and reduce CO₂, CH₄ or N₂O emissions. Ex situ conservation and seed banks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8" s="2" t="str">
        <x:v>Mixed: adaptable design, site-specific implementation</x:v>
      </x:c>
      <x:c r="H298" s="2" t="str">
        <x:v>Ex situ conservation and seed banks is adaptable in capacity and configuration but site-specific in final engineering. Its principle remains the same, but resource quality, climate, scale, interfaces and safety constraints must be recalculated for each deployment.</x:v>
      </x:c>
      <x:c r="I298" s="2" t="str">
        <x:v>Primarily hard, with a soft component</x:v>
      </x:c>
      <x:c r="J298" s="2" t="str">
        <x:v>Ex situ conservation and seed banks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8" s="2" t="str">
        <x:v>Operation</x:v>
      </x:c>
      <x:c r="L298" s="2" t="str">
        <x:v>Ex situ conservation and seed banks is embodied mainly as an operating practice. The deliverable is accepted only when measurable service, quality, safety and climate-performance criteria are met under real conditions.</x:v>
      </x:c>
      <x:c r="M298" s="2" t="str">
        <x:v>Yes, subject to life-cycle safeguards</x:v>
      </x:c>
      <x:c r="N298" s="2" t="str">
        <x:v>Ex situ conservation and seed banks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8" s="2" t="str">
        <x:v>Ex situ conservation and seed banks: field or forest implements, planting and irrigation equipment, storage or livestock facilities, sampling tools, sensors and protective structures as required.</x:v>
      </x:c>
      <x:c r="P298" s="2" t="str">
        <x:v>Ex situ conservation and seed banks: soil–crop–livestock knowledge, nutrient and water budgets, emission factors, carbon accounting, climate services, monitoring protocols and adaptive management.</x:v>
      </x:c>
      <x:c r="Q298" s="2" t="str">
        <x:v>Ex situ conservation and seed banks: land tenure, extension, producer organisations, veterinary or phytosanitary services, incentives, safeguards, certification and monitoring arrangements.</x:v>
      </x:c>
      <x:c r="R298" s="2" t="str">
        <x:v>Ex situ conservation and seed banks: nurseries or seed banks, field access, water and storage systems, laboratories, extension centres, monitoring plots and processing or market facilities.</x:v>
      </x:c>
      <x:c r="S298" s="2" t="str">
        <x:v>Ex situ conservation and seed banks: human and mechanical work, electricity or fuel for machinery, pumping, cooling and processing; biological energy and solar radiation dominate field processes.</x:v>
      </x:c>
      <x:c r="T298" s="2" t="str">
        <x:v>Ex situ conservation and seed banks: seed or planting stock, organic matter, fertilisers, soil amendments, water, fencing or structural materials, veterinary inputs and monitoring consumables.</x:v>
      </x:c>
      <x:c r="U298" s="2" t="str">
        <x:v>Ex situ conservation and seed banks: seed, inoculants, filters, drip lines, nozzles, tool parts, sampling containers, sensor batteries, veterinary supplies and protective equipment.</x:v>
      </x:c>
      <x:c r="V298" s="2" t="str">
        <x:v>https://www.ctc-n.org/sites/default/files/resources/ctcn_taxonomy_0.pdf</x:v>
      </x:c>
      <x:c r="W298" s="2" t="str">
        <x:v>https://institutoagricoladepueblobello.edu.co/colegiapp/archivostemas/GUIA%209.%5B25%5D.pdf</x:v>
      </x:c>
      <x:c r="X298" s="2" t="str">
        <x:v>https://iiasa.ac.at/what-is-technology</x:v>
      </x:c>
      <x:c r="Y298" s="2" t="str">
        <x:v>https://www.fao.org/climate-change/en; https://www.ipcc.ch/report/ar6/wg3/chapter/chapter-7/; https://openknowledge.fao.org/server/api/core/bitstreams/b21f2087-f398-4718-8461-b92afc82e617/content</x:v>
      </x:c>
      <x:c r="Z298" s="2" t="str">
        <x:v>Technology-specific analytical synthesis. The CTCN hierarchy is retained; classifications and component dependencies require validation against the selected design, site and supplier documentation before investment or policy use.</x:v>
      </x:c>
      <x:c r="AA298" s="2" t="str">
        <x:v>Physical deployment of Ex situ conservation and seed banks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8" s="2" t="str">
        <x:v>For Ex situ conservation and seed banks,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8" s="2" t="str">
        <x:v>Construction and operation use seed or planting stock, organic matter, fertilisers, soil amendments, water, fencing or structural materials, veterinary inputs and monitoring consumables. For Ex situ conservation and seed banks, specifications must include durability, compatibility, recycled content and recoverability.</x:v>
      </x:c>
      <x:c r="AD298" s="2" t="str">
        <x:v>Maintenance of Ex situ conservation and seed banks depends on seed, inoculants, filters, drip lines, nozzles, tool parts, sampling containers, sensor batteries, veterinary supplies and protective equipment; critical spares are selected from failure-mode, lead-time and safety analysis for its installed configuration.</x:v>
      </x:c>
      <x:c r="AE298" s="2" t="str">
        <x:v>The software stack for Ex situ conservation and seed banks requires databases, secure communications, version-controlled models, computing, backup and interfaces with field or operational systems.</x:v>
      </x:c>
      <x:c r="AF298" s="2" t="str">
        <x:v>For Ex situ conservation and seed banks, software-related energy is electricity for sensing, computing, storage, communication and cooling; it is normally secondary but must be included for data-intensive or continuous services.</x:v>
      </x:c>
      <x:c r="AG298" s="2" t="str">
        <x:v>The non-physical inputs are calibrated data, metadata, algorithms, boundary conditions, emission or hazard factors, manuals and validation records specific to Ex situ conservation and seed banks.</x:v>
      </x:c>
      <x:c r="AH298" s="2" t="str">
        <x:v>Software continuity for Ex situ conservation and seed banks requires licences where applicable, updates, cybersecurity patches, backups, calibration files, model validation and technical support.</x:v>
      </x:c>
      <x:c r="AI298" s="2" t="str">
        <x:v>Orgware depends on the institutions, laboratories, training providers, regulators, operators and community interfaces needed to govern Ex situ conservation and seed banks.</x:v>
      </x:c>
      <x:c r="AJ298" s="2" t="str">
        <x:v>The orgware supporting Ex situ conservation and seed banks has mainly indirect energy use from offices, meetings, training and information systems; travel and field supervision may be material at dispersed sites.</x:v>
      </x:c>
      <x:c r="AK298" s="2" t="str">
        <x:v>Its organisational inputs are permits, budgets, trained staff, competence records, contracts, procedures, safeguards, monitoring evidence and stakeholder agreements tailored to Ex situ conservation and seed banks.</x:v>
      </x:c>
      <x:c r="AL298" s="2" t="str">
        <x:v>Sustained implementation of Ex situ conservation and seed banks requires procurement and service contracts, audit protocols, training material, reporting templates, insurance or guarantees and periodic independent review.</x:v>
      </x:c>
      <x:c r="AM298" s="2" t="str">
        <x:v>No critical or strategic raw material is identifiable at taxonomy level; site-specific bulk materials may still be required.</x:v>
      </x:c>
      <x:c r="AN298" s="2" t="str"/>
      <x:c r="AO298" s="2" t="str"/>
      <x:c r="AP298" s="2" t="str">
        <x:v>Ex situ conservation and seed banks: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8" s="2" t="str">
        <x:v>2024–2025</x:v>
      </x:c>
      <x:c r="AR298" s="2" t="str">
        <x:v>https://pubs.usgs.gov/periodicals/mcs2026/mcs2026.pdf</x:v>
      </x:c>
    </x:row>
    <x:row r="299" ht="240" customHeight="1">
      <x:c r="A299" s="2" t="str">
        <x:v>ADP-0029</x:v>
      </x:c>
      <x:c r="B299" s="2" t="str">
        <x:v>Adaptation</x:v>
      </x:c>
      <x:c r="C299" s="2" t="str">
        <x:v>Agriculture and Forestry</x:v>
      </x:c>
      <x:c r="D299" s="2" t="str">
        <x:v>Seed, grain &amp; food storage</x:v>
      </x:c>
      <x:c r="E299" s="2" t="str">
        <x:v>Food banks and distribution of food surplus</x:v>
      </x:c>
      <x:c r="F299" s="2" t="str">
        <x:v>Food banks and distribution of food surplus is a adaptation technology in the Agriculture and Forestry sector and the Seed, grain &amp; food storage technology group. It is defined as a combined hardware–software–orgware system that changes vegetation, soil, nutrient, water, crop or livestock management to protect carbon stocks, increase resilience and productivity, and reduce CO₂, CH₄ or N₂O emissions. Food banks and distribution of food surplus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9" s="2" t="str">
        <x:v>Mixed: adaptable design, site-specific implementation</x:v>
      </x:c>
      <x:c r="H299" s="2" t="str">
        <x:v>Food banks and distribution of food surplus is adaptable in capacity and configuration but site-specific in final engineering. Its principle remains the same, but resource quality, climate, scale, interfaces and safety constraints must be recalculated for each deployment.</x:v>
      </x:c>
      <x:c r="I299" s="2" t="str">
        <x:v>Primarily hard, with a soft component</x:v>
      </x:c>
      <x:c r="J299" s="2" t="str">
        <x:v>Food banks and distribution of food surplus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9" s="2" t="str">
        <x:v>Operation</x:v>
      </x:c>
      <x:c r="L299" s="2" t="str">
        <x:v>Food banks and distribution of food surplus is embodied mainly as an operating practice. The deliverable is accepted only when measurable service, quality, safety and climate-performance criteria are met under real conditions.</x:v>
      </x:c>
      <x:c r="M299" s="2" t="str">
        <x:v>Yes, subject to life-cycle safeguards</x:v>
      </x:c>
      <x:c r="N299" s="2" t="str">
        <x:v>Food banks and distribution of food surplus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9" s="2" t="str">
        <x:v>Food banks and distribution of food surplus: field or forest implements, planting and irrigation equipment, storage or livestock facilities, sampling tools, sensors and protective structures as required.</x:v>
      </x:c>
      <x:c r="P299" s="2" t="str">
        <x:v>Food banks and distribution of food surplus: soil–crop–livestock knowledge, nutrient and water budgets, emission factors, carbon accounting, climate services, monitoring protocols and adaptive management.</x:v>
      </x:c>
      <x:c r="Q299" s="2" t="str">
        <x:v>Food banks and distribution of food surplus: land tenure, extension, producer organisations, veterinary or phytosanitary services, incentives, safeguards, certification and monitoring arrangements.</x:v>
      </x:c>
      <x:c r="R299" s="2" t="str">
        <x:v>Food banks and distribution of food surplus: nurseries or seed banks, field access, water and storage systems, laboratories, extension centres, monitoring plots and processing or market facilities.</x:v>
      </x:c>
      <x:c r="S299" s="2" t="str">
        <x:v>Food banks and distribution of food surplus: human and mechanical work, electricity or fuel for machinery, pumping, cooling and processing; biological energy and solar radiation dominate field processes.</x:v>
      </x:c>
      <x:c r="T299" s="2" t="str">
        <x:v>Food banks and distribution of food surplus: seed or planting stock, organic matter, fertilisers, soil amendments, water, fencing or structural materials, veterinary inputs and monitoring consumables.</x:v>
      </x:c>
      <x:c r="U299" s="2" t="str">
        <x:v>Food banks and distribution of food surplus: seed, inoculants, filters, drip lines, nozzles, tool parts, sampling containers, sensor batteries, veterinary supplies and protective equipment.</x:v>
      </x:c>
      <x:c r="V299" s="2" t="str">
        <x:v>https://www.ctc-n.org/sites/default/files/resources/ctcn_taxonomy_0.pdf</x:v>
      </x:c>
      <x:c r="W299" s="2" t="str">
        <x:v>https://institutoagricoladepueblobello.edu.co/colegiapp/archivostemas/GUIA%209.%5B25%5D.pdf</x:v>
      </x:c>
      <x:c r="X299" s="2" t="str">
        <x:v>https://iiasa.ac.at/what-is-technology</x:v>
      </x:c>
      <x:c r="Y299" s="2" t="str">
        <x:v>https://www.fao.org/climate-change/en; https://www.ipcc.ch/report/ar6/wg3/chapter/chapter-7/; https://openknowledge.fao.org/server/api/core/bitstreams/b21f2087-f398-4718-8461-b92afc82e617/content</x:v>
      </x:c>
      <x:c r="Z299" s="2" t="str">
        <x:v>Technology-specific analytical synthesis. The CTCN hierarchy is retained; classifications and component dependencies require validation against the selected design, site and supplier documentation before investment or policy use.</x:v>
      </x:c>
      <x:c r="AA299" s="2" t="str">
        <x:v>Physical deployment of Food banks and distribution of food surplus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9" s="2" t="str">
        <x:v>For Food banks and distribution of food surplus,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9" s="2" t="str">
        <x:v>Construction and operation use seed or planting stock, organic matter, fertilisers, soil amendments, water, fencing or structural materials, veterinary inputs and monitoring consumables. For Food banks and distribution of food surplus, specifications must include durability, compatibility, recycled content and recoverability.</x:v>
      </x:c>
      <x:c r="AD299" s="2" t="str">
        <x:v>Maintenance of Food banks and distribution of food surplus depends on seed, inoculants, filters, drip lines, nozzles, tool parts, sampling containers, sensor batteries, veterinary supplies and protective equipment; critical spares are selected from failure-mode, lead-time and safety analysis for its installed configuration.</x:v>
      </x:c>
      <x:c r="AE299" s="2" t="str">
        <x:v>The software stack for Food banks and distribution of food surplus requires databases, secure communications, version-controlled models, computing, backup and interfaces with field or operational systems.</x:v>
      </x:c>
      <x:c r="AF299" s="2" t="str">
        <x:v>For Food banks and distribution of food surplus, software-related energy is electricity for sensing, computing, storage, communication and cooling; it is normally secondary but must be included for data-intensive or continuous services.</x:v>
      </x:c>
      <x:c r="AG299" s="2" t="str">
        <x:v>The non-physical inputs are calibrated data, metadata, algorithms, boundary conditions, emission or hazard factors, manuals and validation records specific to Food banks and distribution of food surplus.</x:v>
      </x:c>
      <x:c r="AH299" s="2" t="str">
        <x:v>Software continuity for Food banks and distribution of food surplus requires licences where applicable, updates, cybersecurity patches, backups, calibration files, model validation and technical support.</x:v>
      </x:c>
      <x:c r="AI299" s="2" t="str">
        <x:v>Orgware depends on the institutions, laboratories, training providers, regulators, operators and community interfaces needed to govern Food banks and distribution of food surplus.</x:v>
      </x:c>
      <x:c r="AJ299" s="2" t="str">
        <x:v>The orgware supporting Food banks and distribution of food surplus has mainly indirect energy use from offices, meetings, training and information systems; travel and field supervision may be material at dispersed sites.</x:v>
      </x:c>
      <x:c r="AK299" s="2" t="str">
        <x:v>Its organisational inputs are permits, budgets, trained staff, competence records, contracts, procedures, safeguards, monitoring evidence and stakeholder agreements tailored to Food banks and distribution of food surplus.</x:v>
      </x:c>
      <x:c r="AL299" s="2" t="str">
        <x:v>Sustained implementation of Food banks and distribution of food surplus requires procurement and service contracts, audit protocols, training material, reporting templates, insurance or guarantees and periodic independent review.</x:v>
      </x:c>
      <x:c r="AM299" s="2" t="str">
        <x:v>No critical or strategic raw material is identifiable at taxonomy level; site-specific bulk materials may still be required.</x:v>
      </x:c>
      <x:c r="AN299" s="2" t="str"/>
      <x:c r="AO299" s="2" t="str"/>
      <x:c r="AP299" s="2" t="str">
        <x:v>Food banks and distribution of food surplus: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9" s="2" t="str">
        <x:v>2024–2025</x:v>
      </x:c>
      <x:c r="AR299" s="2" t="str">
        <x:v>https://pubs.usgs.gov/periodicals/mcs2026/mcs2026.pdf</x:v>
      </x:c>
    </x:row>
    <x:row r="300" ht="240" customHeight="1">
      <x:c r="A300" s="2" t="str">
        <x:v>ADP-0030</x:v>
      </x:c>
      <x:c r="B300" s="2" t="str">
        <x:v>Adaptation</x:v>
      </x:c>
      <x:c r="C300" s="2" t="str">
        <x:v>Agriculture and Forestry</x:v>
      </x:c>
      <x:c r="D300" s="2" t="str">
        <x:v>Increasing crop resilience and productivity</x:v>
      </x:c>
      <x:c r="E300" s="2" t="str">
        <x:v>Sustainable fertilizers</x:v>
      </x:c>
      <x:c r="F300" s="2" t="str">
        <x:v>Sustainable fertilizers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Sustainable fertilizers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0" s="2" t="str">
        <x:v>Mixed: adaptable design, site-specific implementation</x:v>
      </x:c>
      <x:c r="H300" s="2" t="str">
        <x:v>Sustainable fertilizers is adaptable in capacity and configuration but site-specific in final engineering. Its principle remains the same, but resource quality, climate, scale, interfaces and safety constraints must be recalculated for each deployment.</x:v>
      </x:c>
      <x:c r="I300" s="2" t="str">
        <x:v>Primarily hard, with a soft component</x:v>
      </x:c>
      <x:c r="J300" s="2" t="str">
        <x:v>Sustainable fertilizers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0" s="2" t="str">
        <x:v>Operation</x:v>
      </x:c>
      <x:c r="L300" s="2" t="str">
        <x:v>Sustainable fertilizers is embodied mainly as an operating practice. The deliverable is accepted only when measurable service, quality, safety and climate-performance criteria are met under real conditions.</x:v>
      </x:c>
      <x:c r="M300" s="2" t="str">
        <x:v>Yes, subject to life-cycle safeguards</x:v>
      </x:c>
      <x:c r="N300" s="2" t="str">
        <x:v>Sustainable fertilizers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0" s="2" t="str">
        <x:v>Sustainable fertilizers: field or forest implements, planting and irrigation equipment, storage or livestock facilities, sampling tools, sensors and protective structures as required.</x:v>
      </x:c>
      <x:c r="P300" s="2" t="str">
        <x:v>Sustainable fertilizers: soil–crop–livestock knowledge, nutrient and water budgets, emission factors, carbon accounting, climate services, monitoring protocols and adaptive management.</x:v>
      </x:c>
      <x:c r="Q300" s="2" t="str">
        <x:v>Sustainable fertilizers: land tenure, extension, producer organisations, veterinary or phytosanitary services, incentives, safeguards, certification and monitoring arrangements.</x:v>
      </x:c>
      <x:c r="R300" s="2" t="str">
        <x:v>Sustainable fertilizers: nurseries or seed banks, field access, water and storage systems, laboratories, extension centres, monitoring plots and processing or market facilities.</x:v>
      </x:c>
      <x:c r="S300" s="2" t="str">
        <x:v>Sustainable fertilizers: human and mechanical work, electricity or fuel for machinery, pumping, cooling and processing; biological energy and solar radiation dominate field processes.</x:v>
      </x:c>
      <x:c r="T300" s="2" t="str">
        <x:v>Sustainable fertilizers: seed or planting stock, organic matter, fertilisers, soil amendments, water, fencing or structural materials, veterinary inputs and monitoring consumables.</x:v>
      </x:c>
      <x:c r="U300" s="2" t="str">
        <x:v>Sustainable fertilizers: seed, inoculants, filters, drip lines, nozzles, tool parts, sampling containers, sensor batteries, veterinary supplies and protective equipment.</x:v>
      </x:c>
      <x:c r="V300" s="2" t="str">
        <x:v>https://www.ctc-n.org/sites/default/files/resources/ctcn_taxonomy_0.pdf</x:v>
      </x:c>
      <x:c r="W300" s="2" t="str">
        <x:v>https://institutoagricoladepueblobello.edu.co/colegiapp/archivostemas/GUIA%209.%5B25%5D.pdf</x:v>
      </x:c>
      <x:c r="X300" s="2" t="str">
        <x:v>https://iiasa.ac.at/what-is-technology</x:v>
      </x:c>
      <x:c r="Y300" s="2" t="str">
        <x:v>https://www.fao.org/climate-change/en; https://www.ipcc.ch/report/ar6/wg3/chapter/chapter-7/; https://openknowledge.fao.org/server/api/core/bitstreams/b21f2087-f398-4718-8461-b92afc82e617/content</x:v>
      </x:c>
      <x:c r="Z300" s="2" t="str">
        <x:v>Technology-specific analytical synthesis. The CTCN hierarchy is retained; classifications and component dependencies require validation against the selected design, site and supplier documentation before investment or policy use.</x:v>
      </x:c>
      <x:c r="AA300" s="2" t="str">
        <x:v>Physical deployment of Sustainable fertilizers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0" s="2" t="str">
        <x:v>For Sustainable fertilizers,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0" s="2" t="str">
        <x:v>Construction and operation use seed or planting stock, organic matter, fertilisers, soil amendments, water, fencing or structural materials, veterinary inputs and monitoring consumables. For Sustainable fertilizers, specifications must include durability, compatibility, recycled content and recoverability.</x:v>
      </x:c>
      <x:c r="AD300" s="2" t="str">
        <x:v>Maintenance of Sustainable fertilizers depends on seed, inoculants, filters, drip lines, nozzles, tool parts, sampling containers, sensor batteries, veterinary supplies and protective equipment; critical spares are selected from failure-mode, lead-time and safety analysis for its installed configuration.</x:v>
      </x:c>
      <x:c r="AE300" s="2" t="str">
        <x:v>The software stack for Sustainable fertilizers requires databases, secure communications, version-controlled models, computing, backup and interfaces with field or operational systems.</x:v>
      </x:c>
      <x:c r="AF300" s="2" t="str">
        <x:v>For Sustainable fertilizers, software-related energy is electricity for sensing, computing, storage, communication and cooling; it is normally secondary but must be included for data-intensive or continuous services.</x:v>
      </x:c>
      <x:c r="AG300" s="2" t="str">
        <x:v>The non-physical inputs are calibrated data, metadata, algorithms, boundary conditions, emission or hazard factors, manuals and validation records specific to Sustainable fertilizers.</x:v>
      </x:c>
      <x:c r="AH300" s="2" t="str">
        <x:v>Software continuity for Sustainable fertilizers requires licences where applicable, updates, cybersecurity patches, backups, calibration files, model validation and technical support.</x:v>
      </x:c>
      <x:c r="AI300" s="2" t="str">
        <x:v>Orgware depends on the institutions, laboratories, training providers, regulators, operators and community interfaces needed to govern Sustainable fertilizers.</x:v>
      </x:c>
      <x:c r="AJ300" s="2" t="str">
        <x:v>The orgware supporting Sustainable fertilizers has mainly indirect energy use from offices, meetings, training and information systems; travel and field supervision may be material at dispersed sites.</x:v>
      </x:c>
      <x:c r="AK300" s="2" t="str">
        <x:v>Its organisational inputs are permits, budgets, trained staff, competence records, contracts, procedures, safeguards, monitoring evidence and stakeholder agreements tailored to Sustainable fertilizers.</x:v>
      </x:c>
      <x:c r="AL300" s="2" t="str">
        <x:v>Sustained implementation of Sustainable fertilizers requires procurement and service contracts, audit protocols, training material, reporting templates, insurance or guarantees and periodic independent review.</x:v>
      </x:c>
      <x:c r="AM300" s="2" t="str">
        <x:v>Phosphate rock; Potash</x:v>
      </x:c>
      <x:c r="AN300" s="2" t="str">
        <x:v>China; Morocco; United States; Canada; Russia; Belarus</x:v>
      </x:c>
      <x:c r="AO300" s="2" t="str">
        <x:v>China; Morocco; United States; Canada; Russia; Belarus</x:v>
      </x:c>
      <x:c r="AP300" s="2" t="str">
        <x:v>Sustainable fertilizers: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0" s="2" t="str">
        <x:v>2024–2025</x:v>
      </x:c>
      <x:c r="AR300" s="2" t="str">
        <x:v>https://pubs.usgs.gov/periodicals/mcs2026/mcs2026.pdf</x:v>
      </x:c>
    </x:row>
    <x:row r="301" ht="240" customHeight="1">
      <x:c r="A301" s="2" t="str">
        <x:v>ADP-0031</x:v>
      </x:c>
      <x:c r="B301" s="2" t="str">
        <x:v>Adaptation</x:v>
      </x:c>
      <x:c r="C301" s="2" t="str">
        <x:v>Agriculture and Forestry</x:v>
      </x:c>
      <x:c r="D301" s="2" t="str">
        <x:v>Increasing crop resilience and productivity</x:v>
      </x:c>
      <x:c r="E301" s="2" t="str">
        <x:v>Terracing</x:v>
      </x:c>
      <x:c r="F301" s="2" t="str">
        <x:v>Terracing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Terracing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1" s="2" t="str">
        <x:v>Mixed: adaptable design, site-specific implementation</x:v>
      </x:c>
      <x:c r="H301" s="2" t="str">
        <x:v>Terracing is adaptable in capacity and configuration but site-specific in final engineering. Its principle remains the same, but resource quality, climate, scale, interfaces and safety constraints must be recalculated for each deployment.</x:v>
      </x:c>
      <x:c r="I301" s="2" t="str">
        <x:v>Primarily hard, with a soft component</x:v>
      </x:c>
      <x:c r="J301" s="2" t="str">
        <x:v>Terracing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1" s="2" t="str">
        <x:v>Operation</x:v>
      </x:c>
      <x:c r="L301" s="2" t="str">
        <x:v>Terracing is embodied mainly as an operating practice. The deliverable is accepted only when measurable service, quality, safety and climate-performance criteria are met under real conditions.</x:v>
      </x:c>
      <x:c r="M301" s="2" t="str">
        <x:v>Yes, subject to life-cycle safeguards</x:v>
      </x:c>
      <x:c r="N301" s="2" t="str">
        <x:v>Terracing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1" s="2" t="str">
        <x:v>Terracing: field or forest implements, planting and irrigation equipment, storage or livestock facilities, sampling tools, sensors and protective structures as required.</x:v>
      </x:c>
      <x:c r="P301" s="2" t="str">
        <x:v>Terracing: soil–crop–livestock knowledge, nutrient and water budgets, emission factors, carbon accounting, climate services, monitoring protocols and adaptive management.</x:v>
      </x:c>
      <x:c r="Q301" s="2" t="str">
        <x:v>Terracing: land tenure, extension, producer organisations, veterinary or phytosanitary services, incentives, safeguards, certification and monitoring arrangements.</x:v>
      </x:c>
      <x:c r="R301" s="2" t="str">
        <x:v>Terracing: nurseries or seed banks, field access, water and storage systems, laboratories, extension centres, monitoring plots and processing or market facilities.</x:v>
      </x:c>
      <x:c r="S301" s="2" t="str">
        <x:v>Terracing: human and mechanical work, electricity or fuel for machinery, pumping, cooling and processing; biological energy and solar radiation dominate field processes.</x:v>
      </x:c>
      <x:c r="T301" s="2" t="str">
        <x:v>Terracing: seed or planting stock, organic matter, fertilisers, soil amendments, water, fencing or structural materials, veterinary inputs and monitoring consumables.</x:v>
      </x:c>
      <x:c r="U301" s="2" t="str">
        <x:v>Terracing: seed, inoculants, filters, drip lines, nozzles, tool parts, sampling containers, sensor batteries, veterinary supplies and protective equipment.</x:v>
      </x:c>
      <x:c r="V301" s="2" t="str">
        <x:v>https://www.ctc-n.org/sites/default/files/resources/ctcn_taxonomy_0.pdf</x:v>
      </x:c>
      <x:c r="W301" s="2" t="str">
        <x:v>https://institutoagricoladepueblobello.edu.co/colegiapp/archivostemas/GUIA%209.%5B25%5D.pdf</x:v>
      </x:c>
      <x:c r="X301" s="2" t="str">
        <x:v>https://iiasa.ac.at/what-is-technology</x:v>
      </x:c>
      <x:c r="Y301" s="2" t="str">
        <x:v>https://www.fao.org/climate-change/en; https://www.ipcc.ch/report/ar6/wg3/chapter/chapter-7/; https://openknowledge.fao.org/server/api/core/bitstreams/b21f2087-f398-4718-8461-b92afc82e617/content</x:v>
      </x:c>
      <x:c r="Z301" s="2" t="str">
        <x:v>Technology-specific analytical synthesis. The CTCN hierarchy is retained; classifications and component dependencies require validation against the selected design, site and supplier documentation before investment or policy use.</x:v>
      </x:c>
      <x:c r="AA301" s="2" t="str">
        <x:v>Physical deployment of Terracing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1" s="2" t="str">
        <x:v>For Terracing,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1" s="2" t="str">
        <x:v>Construction and operation use seed or planting stock, organic matter, fertilisers, soil amendments, water, fencing or structural materials, veterinary inputs and monitoring consumables. For Terracing, specifications must include durability, compatibility, recycled content and recoverability.</x:v>
      </x:c>
      <x:c r="AD301" s="2" t="str">
        <x:v>Maintenance of Terracing depends on seed, inoculants, filters, drip lines, nozzles, tool parts, sampling containers, sensor batteries, veterinary supplies and protective equipment; critical spares are selected from failure-mode, lead-time and safety analysis for its installed configuration.</x:v>
      </x:c>
      <x:c r="AE301" s="2" t="str">
        <x:v>The software stack for Terracing requires databases, secure communications, version-controlled models, computing, backup and interfaces with field or operational systems.</x:v>
      </x:c>
      <x:c r="AF301" s="2" t="str">
        <x:v>For Terracing, software-related energy is electricity for sensing, computing, storage, communication and cooling; it is normally secondary but must be included for data-intensive or continuous services.</x:v>
      </x:c>
      <x:c r="AG301" s="2" t="str">
        <x:v>The non-physical inputs are calibrated data, metadata, algorithms, boundary conditions, emission or hazard factors, manuals and validation records specific to Terracing.</x:v>
      </x:c>
      <x:c r="AH301" s="2" t="str">
        <x:v>Software continuity for Terracing requires licences where applicable, updates, cybersecurity patches, backups, calibration files, model validation and technical support.</x:v>
      </x:c>
      <x:c r="AI301" s="2" t="str">
        <x:v>Orgware depends on the institutions, laboratories, training providers, regulators, operators and community interfaces needed to govern Terracing.</x:v>
      </x:c>
      <x:c r="AJ301" s="2" t="str">
        <x:v>The orgware supporting Terracing has mainly indirect energy use from offices, meetings, training and information systems; travel and field supervision may be material at dispersed sites.</x:v>
      </x:c>
      <x:c r="AK301" s="2" t="str">
        <x:v>Its organisational inputs are permits, budgets, trained staff, competence records, contracts, procedures, safeguards, monitoring evidence and stakeholder agreements tailored to Terracing.</x:v>
      </x:c>
      <x:c r="AL301" s="2" t="str">
        <x:v>Sustained implementation of Terracing requires procurement and service contracts, audit protocols, training material, reporting templates, insurance or guarantees and periodic independent review.</x:v>
      </x:c>
      <x:c r="AM301" s="2" t="str">
        <x:v>Phosphate rock; Potash</x:v>
      </x:c>
      <x:c r="AN301" s="2" t="str">
        <x:v>China; Morocco; United States; Canada; Russia; Belarus</x:v>
      </x:c>
      <x:c r="AO301" s="2" t="str">
        <x:v>China; Morocco; United States; Canada; Russia; Belarus</x:v>
      </x:c>
      <x:c r="AP301" s="2" t="str">
        <x:v>Terracing: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1" s="2" t="str">
        <x:v>2024–2025</x:v>
      </x:c>
      <x:c r="AR301" s="2" t="str">
        <x:v>https://pubs.usgs.gov/periodicals/mcs2026/mcs2026.pdf</x:v>
      </x:c>
    </x:row>
    <x:row r="302" ht="240" customHeight="1">
      <x:c r="A302" s="2" t="str">
        <x:v>ADP-0032</x:v>
      </x:c>
      <x:c r="B302" s="2" t="str">
        <x:v>Adaptation</x:v>
      </x:c>
      <x:c r="C302" s="2" t="str">
        <x:v>Agriculture and Forestry</x:v>
      </x:c>
      <x:c r="D302" s="2" t="str">
        <x:v>Increasing crop resilience and productivity</x:v>
      </x:c>
      <x:c r="E302" s="2" t="str">
        <x:v>Integrated nutrient management</x:v>
      </x:c>
      <x:c r="F302" s="2" t="str">
        <x:v>Integrated nutrient management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Integrated nutrient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2" s="2" t="str">
        <x:v>Flexible</x:v>
      </x:c>
      <x:c r="H302" s="2" t="str">
        <x:v>Integrated nutrient management is transferable through configurable methods, rules and operating parameters. Its principle remains the same, but resource quality, climate, scale, interfaces and safety constraints must be recalculated for each deployment.</x:v>
      </x:c>
      <x:c r="I302" s="2" t="str">
        <x:v>Primarily soft, with physical support</x:v>
      </x:c>
      <x:c r="J302" s="2" t="str">
        <x:v>Integrated nutrient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2" s="2" t="str">
        <x:v>Operation</x:v>
      </x:c>
      <x:c r="L302" s="2" t="str">
        <x:v>Integrated nutrient management is embodied mainly as an operating practice. The deliverable is accepted only when measurable service, quality, safety and climate-performance criteria are met under real conditions.</x:v>
      </x:c>
      <x:c r="M302" s="2" t="str">
        <x:v>Yes, subject to life-cycle safeguards</x:v>
      </x:c>
      <x:c r="N302" s="2" t="str">
        <x:v>Integrated nutrient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2" s="2" t="str">
        <x:v>Integrated nutrient management: field or forest implements, planting and irrigation equipment, storage or livestock facilities, sampling tools, sensors and protective structures as required.</x:v>
      </x:c>
      <x:c r="P302" s="2" t="str">
        <x:v>Integrated nutrient management: soil–crop–livestock knowledge, nutrient and water budgets, emission factors, carbon accounting, climate services, monitoring protocols and adaptive management.</x:v>
      </x:c>
      <x:c r="Q302" s="2" t="str">
        <x:v>Integrated nutrient management: land tenure, extension, producer organisations, veterinary or phytosanitary services, incentives, safeguards, certification and monitoring arrangements.</x:v>
      </x:c>
      <x:c r="R302" s="2" t="str">
        <x:v>Integrated nutrient management: nurseries or seed banks, field access, water and storage systems, laboratories, extension centres, monitoring plots and processing or market facilities.</x:v>
      </x:c>
      <x:c r="S302" s="2" t="str">
        <x:v>Integrated nutrient management: human and mechanical work, electricity or fuel for machinery, pumping, cooling and processing; biological energy and solar radiation dominate field processes.</x:v>
      </x:c>
      <x:c r="T302" s="2" t="str">
        <x:v>Integrated nutrient management: seed or planting stock, organic matter, fertilisers, soil amendments, water, fencing or structural materials, veterinary inputs and monitoring consumables.</x:v>
      </x:c>
      <x:c r="U302" s="2" t="str">
        <x:v>Integrated nutrient management: seed, inoculants, filters, drip lines, nozzles, tool parts, sampling containers, sensor batteries, veterinary supplies and protective equipment.</x:v>
      </x:c>
      <x:c r="V302" s="2" t="str">
        <x:v>https://www.ctc-n.org/sites/default/files/resources/ctcn_taxonomy_0.pdf</x:v>
      </x:c>
      <x:c r="W302" s="2" t="str">
        <x:v>https://institutoagricoladepueblobello.edu.co/colegiapp/archivostemas/GUIA%209.%5B25%5D.pdf</x:v>
      </x:c>
      <x:c r="X302" s="2" t="str">
        <x:v>https://iiasa.ac.at/what-is-technology</x:v>
      </x:c>
      <x:c r="Y302" s="2" t="str">
        <x:v>https://www.fao.org/climate-change/en; https://www.ipcc.ch/report/ar6/wg3/chapter/chapter-7/; https://openknowledge.fao.org/server/api/core/bitstreams/b21f2087-f398-4718-8461-b92afc82e617/content</x:v>
      </x:c>
      <x:c r="Z302" s="2" t="str">
        <x:v>Technology-specific analytical synthesis. The CTCN hierarchy is retained; classifications and component dependencies require validation against the selected design, site and supplier documentation before investment or policy use.</x:v>
      </x:c>
      <x:c r="AA302" s="2" t="str">
        <x:v>Physical deployment of Integrated nutrient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2" s="2" t="str">
        <x:v>For Integrated nutrient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2" s="2" t="str">
        <x:v>Construction and operation use seed or planting stock, organic matter, fertilisers, soil amendments, water, fencing or structural materials, veterinary inputs and monitoring consumables. For Integrated nutrient management, specifications must include durability, compatibility, recycled content and recoverability.</x:v>
      </x:c>
      <x:c r="AD302" s="2" t="str">
        <x:v>Maintenance of Integrated nutrient management depends on seed, inoculants, filters, drip lines, nozzles, tool parts, sampling containers, sensor batteries, veterinary supplies and protective equipment; critical spares are selected from failure-mode, lead-time and safety analysis for its installed configuration.</x:v>
      </x:c>
      <x:c r="AE302" s="2" t="str">
        <x:v>The software stack for Integrated nutrient management requires databases, secure communications, version-controlled models, computing, backup and interfaces with field or operational systems.</x:v>
      </x:c>
      <x:c r="AF302" s="2" t="str">
        <x:v>For Integrated nutrient management, software-related energy is electricity for sensing, computing, storage, communication and cooling; it is normally secondary but must be included for data-intensive or continuous services.</x:v>
      </x:c>
      <x:c r="AG302" s="2" t="str">
        <x:v>The non-physical inputs are calibrated data, metadata, algorithms, boundary conditions, emission or hazard factors, manuals and validation records specific to Integrated nutrient management.</x:v>
      </x:c>
      <x:c r="AH302" s="2" t="str">
        <x:v>Software continuity for Integrated nutrient management requires licences where applicable, updates, cybersecurity patches, backups, calibration files, model validation and technical support.</x:v>
      </x:c>
      <x:c r="AI302" s="2" t="str">
        <x:v>Orgware depends on the institutions, laboratories, training providers, regulators, operators and community interfaces needed to govern Integrated nutrient management.</x:v>
      </x:c>
      <x:c r="AJ302" s="2" t="str">
        <x:v>The orgware supporting Integrated nutrient management has mainly indirect energy use from offices, meetings, training and information systems; travel and field supervision may be material at dispersed sites.</x:v>
      </x:c>
      <x:c r="AK302" s="2" t="str">
        <x:v>Its organisational inputs are permits, budgets, trained staff, competence records, contracts, procedures, safeguards, monitoring evidence and stakeholder agreements tailored to Integrated nutrient management.</x:v>
      </x:c>
      <x:c r="AL302" s="2" t="str">
        <x:v>Sustained implementation of Integrated nutrient management requires procurement and service contracts, audit protocols, training material, reporting templates, insurance or guarantees and periodic independent review.</x:v>
      </x:c>
      <x:c r="AM302" s="2" t="str">
        <x:v>Phosphate rock; Potash</x:v>
      </x:c>
      <x:c r="AN302" s="2" t="str">
        <x:v>China; Morocco; United States; Canada; Russia; Belarus</x:v>
      </x:c>
      <x:c r="AO302" s="2" t="str">
        <x:v>China; Morocco; United States; Canada; Russia; Belarus</x:v>
      </x:c>
      <x:c r="AP302" s="2" t="str">
        <x:v>Integrated nutrient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2" s="2" t="str">
        <x:v>2024–2025</x:v>
      </x:c>
      <x:c r="AR302" s="2" t="str">
        <x:v>https://pubs.usgs.gov/periodicals/mcs2026/mcs2026.pdf</x:v>
      </x:c>
    </x:row>
    <x:row r="303" ht="240" customHeight="1">
      <x:c r="A303" s="2" t="str">
        <x:v>ADP-0033</x:v>
      </x:c>
      <x:c r="B303" s="2" t="str">
        <x:v>Adaptation</x:v>
      </x:c>
      <x:c r="C303" s="2" t="str">
        <x:v>Agriculture and Forestry</x:v>
      </x:c>
      <x:c r="D303" s="2" t="str">
        <x:v>Increasing crop resilience and productivity</x:v>
      </x:c>
      <x:c r="E303" s="2" t="str">
        <x:v>Soil moisture monitoring</x:v>
      </x:c>
      <x:c r="F303" s="2" t="str">
        <x:v>Soil moisture monitoring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Soil moisture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3" s="2" t="str">
        <x:v>Mixed: adaptable design, site-specific implementation</x:v>
      </x:c>
      <x:c r="H303" s="2" t="str">
        <x:v>Soil moisture monitoring is adaptable in capacity and configuration but site-specific in final engineering. Its principle remains the same, but resource quality, climate, scale, interfaces and safety constraints must be recalculated for each deployment.</x:v>
      </x:c>
      <x:c r="I303" s="2" t="str">
        <x:v>Hard and soft</x:v>
      </x:c>
      <x:c r="J303" s="2" t="str">
        <x:v>Soil moisture monitoring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3" s="2" t="str">
        <x:v>Operation and information service</x:v>
      </x:c>
      <x:c r="L303" s="2" t="str">
        <x:v>Soil moisture monitoring is embodied mainly as an information and decision service. The deliverable is accepted only when measurable service, quality, safety and climate-performance criteria are met under real conditions.</x:v>
      </x:c>
      <x:c r="M303" s="2" t="str">
        <x:v>Yes, subject to life-cycle safeguards</x:v>
      </x:c>
      <x:c r="N303" s="2" t="str">
        <x:v>Soil moisture monitoring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3" s="2" t="str">
        <x:v>Soil moisture monitoring: field or forest implements, planting and irrigation equipment, storage or livestock facilities, sampling tools, sensors and protective structures as required.</x:v>
      </x:c>
      <x:c r="P303" s="2" t="str">
        <x:v>Soil moisture monitoring: soil–crop–livestock knowledge, nutrient and water budgets, emission factors, carbon accounting, climate services, monitoring protocols and adaptive management.</x:v>
      </x:c>
      <x:c r="Q303" s="2" t="str">
        <x:v>Soil moisture monitoring: land tenure, extension, producer organisations, veterinary or phytosanitary services, incentives, safeguards, certification and monitoring arrangements.</x:v>
      </x:c>
      <x:c r="R303" s="2" t="str">
        <x:v>Soil moisture monitoring: nurseries or seed banks, field access, water and storage systems, laboratories, extension centres, monitoring plots and processing or market facilities.</x:v>
      </x:c>
      <x:c r="S303" s="2" t="str">
        <x:v>Soil moisture monitoring: human and mechanical work, electricity or fuel for machinery, pumping, cooling and processing; biological energy and solar radiation dominate field processes.</x:v>
      </x:c>
      <x:c r="T303" s="2" t="str">
        <x:v>Soil moisture monitoring: seed or planting stock, organic matter, fertilisers, soil amendments, water, fencing or structural materials, veterinary inputs and monitoring consumables.</x:v>
      </x:c>
      <x:c r="U303" s="2" t="str">
        <x:v>Soil moisture monitoring: seed, inoculants, filters, drip lines, nozzles, tool parts, sampling containers, sensor batteries, veterinary supplies and protective equipment.</x:v>
      </x:c>
      <x:c r="V303" s="2" t="str">
        <x:v>https://www.ctc-n.org/sites/default/files/resources/ctcn_taxonomy_0.pdf</x:v>
      </x:c>
      <x:c r="W303" s="2" t="str">
        <x:v>https://institutoagricoladepueblobello.edu.co/colegiapp/archivostemas/GUIA%209.%5B25%5D.pdf</x:v>
      </x:c>
      <x:c r="X303" s="2" t="str">
        <x:v>https://iiasa.ac.at/what-is-technology</x:v>
      </x:c>
      <x:c r="Y303" s="2" t="str">
        <x:v>https://www.fao.org/climate-change/en; https://www.ipcc.ch/report/ar6/wg3/chapter/chapter-7/; https://openknowledge.fao.org/server/api/core/bitstreams/b21f2087-f398-4718-8461-b92afc82e617/content</x:v>
      </x:c>
      <x:c r="Z303" s="2" t="str">
        <x:v>Technology-specific analytical synthesis. The CTCN hierarchy is retained; classifications and component dependencies require validation against the selected design, site and supplier documentation before investment or policy use.</x:v>
      </x:c>
      <x:c r="AA303" s="2" t="str">
        <x:v>Physical deployment of Soil moisture monitoring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3" s="2" t="str">
        <x:v>For Soil moisture monitoring,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3" s="2" t="str">
        <x:v>Construction and operation use seed or planting stock, organic matter, fertilisers, soil amendments, water, fencing or structural materials, veterinary inputs and monitoring consumables. For Soil moisture monitoring, specifications must include durability, compatibility, recycled content and recoverability.</x:v>
      </x:c>
      <x:c r="AD303" s="2" t="str">
        <x:v>Maintenance of Soil moisture monitoring depends on seed, inoculants, filters, drip lines, nozzles, tool parts, sampling containers, sensor batteries, veterinary supplies and protective equipment; critical spares are selected from failure-mode, lead-time and safety analysis for its installed configuration.</x:v>
      </x:c>
      <x:c r="AE303" s="2" t="str">
        <x:v>The software stack for Soil moisture monitoring requires databases, secure communications, version-controlled models, computing, backup and interfaces with field or operational systems.</x:v>
      </x:c>
      <x:c r="AF303" s="2" t="str">
        <x:v>For Soil moisture monitoring, software-related energy is electricity for sensing, computing, storage, communication and cooling; it is normally secondary but must be included for data-intensive or continuous services.</x:v>
      </x:c>
      <x:c r="AG303" s="2" t="str">
        <x:v>The non-physical inputs are calibrated data, metadata, algorithms, boundary conditions, emission or hazard factors, manuals and validation records specific to Soil moisture monitoring.</x:v>
      </x:c>
      <x:c r="AH303" s="2" t="str">
        <x:v>Software continuity for Soil moisture monitoring requires licences where applicable, updates, cybersecurity patches, backups, calibration files, model validation and technical support.</x:v>
      </x:c>
      <x:c r="AI303" s="2" t="str">
        <x:v>Orgware depends on the institutions, laboratories, training providers, regulators, operators and community interfaces needed to govern Soil moisture monitoring.</x:v>
      </x:c>
      <x:c r="AJ303" s="2" t="str">
        <x:v>The orgware supporting Soil moisture monitoring has mainly indirect energy use from offices, meetings, training and information systems; travel and field supervision may be material at dispersed sites.</x:v>
      </x:c>
      <x:c r="AK303" s="2" t="str">
        <x:v>Its organisational inputs are permits, budgets, trained staff, competence records, contracts, procedures, safeguards, monitoring evidence and stakeholder agreements tailored to Soil moisture monitoring.</x:v>
      </x:c>
      <x:c r="AL303" s="2" t="str">
        <x:v>Sustained implementation of Soil moisture monitoring requires procurement and service contracts, audit protocols, training material, reporting templates, insurance or guarantees and periodic independent review.</x:v>
      </x:c>
      <x:c r="AM303" s="2" t="str">
        <x:v>Copper; Tin; Phosphate rock; Potash</x:v>
      </x:c>
      <x:c r="AN303" s="2" t="str">
        <x:v>Chile; Democratic Republic of the Congo; Peru; China; Indonesia; Myanmar; Morocco; United States; Canada; Russia; Belarus</x:v>
      </x:c>
      <x:c r="AO303" s="2" t="str">
        <x:v>China; Chile; Democratic Republic of the Congo; Indonesia; Malaysia; Morocco; United States; Canada; Russia; Belarus</x:v>
      </x:c>
      <x:c r="AP303" s="2" t="str">
        <x:v>Soil moisture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3" s="2" t="str">
        <x:v>2024–2025</x:v>
      </x:c>
      <x:c r="AR303" s="2" t="str">
        <x:v>https://pubs.usgs.gov/periodicals/mcs2026/mcs2026.pdf</x:v>
      </x:c>
    </x:row>
    <x:row r="304" ht="240" customHeight="1">
      <x:c r="A304" s="2" t="str">
        <x:v>ADP-0034</x:v>
      </x:c>
      <x:c r="B304" s="2" t="str">
        <x:v>Adaptation</x:v>
      </x:c>
      <x:c r="C304" s="2" t="str">
        <x:v>Agriculture and Forestry</x:v>
      </x:c>
      <x:c r="D304" s="2" t="str">
        <x:v>Increasing crop resilience and productivity</x:v>
      </x:c>
      <x:c r="E304" s="2" t="str">
        <x:v>Soilless agriculture</x:v>
      </x:c>
      <x:c r="F304" s="2" t="str">
        <x:v>Soilless agriculture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Soilless agriculture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4" s="2" t="str">
        <x:v>Mixed: adaptable design, site-specific implementation</x:v>
      </x:c>
      <x:c r="H304" s="2" t="str">
        <x:v>Soilless agriculture is adaptable in capacity and configuration but site-specific in final engineering. Its principle remains the same, but resource quality, climate, scale, interfaces and safety constraints must be recalculated for each deployment.</x:v>
      </x:c>
      <x:c r="I304" s="2" t="str">
        <x:v>Primarily hard, with a soft component</x:v>
      </x:c>
      <x:c r="J304" s="2" t="str">
        <x:v>Soilless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4" s="2" t="str">
        <x:v>Operation</x:v>
      </x:c>
      <x:c r="L304" s="2" t="str">
        <x:v>Soilless agriculture is embodied mainly as an operating practice. The deliverable is accepted only when measurable service, quality, safety and climate-performance criteria are met under real conditions.</x:v>
      </x:c>
      <x:c r="M304" s="2" t="str">
        <x:v>Yes, subject to life-cycle safeguards</x:v>
      </x:c>
      <x:c r="N304" s="2" t="str">
        <x:v>Soilless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4" s="2" t="str">
        <x:v>Soilless agriculture: field or forest implements, planting and irrigation equipment, storage or livestock facilities, sampling tools, sensors and protective structures as required.</x:v>
      </x:c>
      <x:c r="P304" s="2" t="str">
        <x:v>Soilless agriculture: soil–crop–livestock knowledge, nutrient and water budgets, emission factors, carbon accounting, climate services, monitoring protocols and adaptive management.</x:v>
      </x:c>
      <x:c r="Q304" s="2" t="str">
        <x:v>Soilless agriculture: land tenure, extension, producer organisations, veterinary or phytosanitary services, incentives, safeguards, certification and monitoring arrangements.</x:v>
      </x:c>
      <x:c r="R304" s="2" t="str">
        <x:v>Soilless agriculture: nurseries or seed banks, field access, water and storage systems, laboratories, extension centres, monitoring plots and processing or market facilities.</x:v>
      </x:c>
      <x:c r="S304" s="2" t="str">
        <x:v>Soilless agriculture: human and mechanical work, electricity or fuel for machinery, pumping, cooling and processing; biological energy and solar radiation dominate field processes.</x:v>
      </x:c>
      <x:c r="T304" s="2" t="str">
        <x:v>Soilless agriculture: seed or planting stock, organic matter, fertilisers, soil amendments, water, fencing or structural materials, veterinary inputs and monitoring consumables.</x:v>
      </x:c>
      <x:c r="U304" s="2" t="str">
        <x:v>Soilless agriculture: seed, inoculants, filters, drip lines, nozzles, tool parts, sampling containers, sensor batteries, veterinary supplies and protective equipment.</x:v>
      </x:c>
      <x:c r="V304" s="2" t="str">
        <x:v>https://www.ctc-n.org/sites/default/files/resources/ctcn_taxonomy_0.pdf</x:v>
      </x:c>
      <x:c r="W304" s="2" t="str">
        <x:v>https://institutoagricoladepueblobello.edu.co/colegiapp/archivostemas/GUIA%209.%5B25%5D.pdf</x:v>
      </x:c>
      <x:c r="X304" s="2" t="str">
        <x:v>https://iiasa.ac.at/what-is-technology</x:v>
      </x:c>
      <x:c r="Y304" s="2" t="str">
        <x:v>https://www.fao.org/climate-change/en; https://www.ipcc.ch/report/ar6/wg3/chapter/chapter-7/; https://openknowledge.fao.org/server/api/core/bitstreams/b21f2087-f398-4718-8461-b92afc82e617/content</x:v>
      </x:c>
      <x:c r="Z304" s="2" t="str">
        <x:v>Technology-specific analytical synthesis. The CTCN hierarchy is retained; classifications and component dependencies require validation against the selected design, site and supplier documentation before investment or policy use.</x:v>
      </x:c>
      <x:c r="AA304" s="2" t="str">
        <x:v>Physical deployment of Soilless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4" s="2" t="str">
        <x:v>For Soilless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4" s="2" t="str">
        <x:v>Construction and operation use seed or planting stock, organic matter, fertilisers, soil amendments, water, fencing or structural materials, veterinary inputs and monitoring consumables. For Soilless agriculture, specifications must include durability, compatibility, recycled content and recoverability.</x:v>
      </x:c>
      <x:c r="AD304" s="2" t="str">
        <x:v>Maintenance of Soilless agriculture depends on seed, inoculants, filters, drip lines, nozzles, tool parts, sampling containers, sensor batteries, veterinary supplies and protective equipment; critical spares are selected from failure-mode, lead-time and safety analysis for its installed configuration.</x:v>
      </x:c>
      <x:c r="AE304" s="2" t="str">
        <x:v>The software stack for Soilless agriculture requires databases, secure communications, version-controlled models, computing, backup and interfaces with field or operational systems.</x:v>
      </x:c>
      <x:c r="AF304" s="2" t="str">
        <x:v>For Soilless agriculture, software-related energy is electricity for sensing, computing, storage, communication and cooling; it is normally secondary but must be included for data-intensive or continuous services.</x:v>
      </x:c>
      <x:c r="AG304" s="2" t="str">
        <x:v>The non-physical inputs are calibrated data, metadata, algorithms, boundary conditions, emission or hazard factors, manuals and validation records specific to Soilless agriculture.</x:v>
      </x:c>
      <x:c r="AH304" s="2" t="str">
        <x:v>Software continuity for Soilless agriculture requires licences where applicable, updates, cybersecurity patches, backups, calibration files, model validation and technical support.</x:v>
      </x:c>
      <x:c r="AI304" s="2" t="str">
        <x:v>Orgware depends on the institutions, laboratories, training providers, regulators, operators and community interfaces needed to govern Soilless agriculture.</x:v>
      </x:c>
      <x:c r="AJ304" s="2" t="str">
        <x:v>The orgware supporting Soilless agriculture has mainly indirect energy use from offices, meetings, training and information systems; travel and field supervision may be material at dispersed sites.</x:v>
      </x:c>
      <x:c r="AK304" s="2" t="str">
        <x:v>Its organisational inputs are permits, budgets, trained staff, competence records, contracts, procedures, safeguards, monitoring evidence and stakeholder agreements tailored to Soilless agriculture.</x:v>
      </x:c>
      <x:c r="AL304" s="2" t="str">
        <x:v>Sustained implementation of Soilless agriculture requires procurement and service contracts, audit protocols, training material, reporting templates, insurance or guarantees and periodic independent review.</x:v>
      </x:c>
      <x:c r="AM304" s="2" t="str">
        <x:v>Phosphate rock; Potash</x:v>
      </x:c>
      <x:c r="AN304" s="2" t="str">
        <x:v>China; Morocco; United States; Canada; Russia; Belarus</x:v>
      </x:c>
      <x:c r="AO304" s="2" t="str">
        <x:v>China; Morocco; United States; Canada; Russia; Belarus</x:v>
      </x:c>
      <x:c r="AP304" s="2" t="str">
        <x:v>Soilless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4" s="2" t="str">
        <x:v>2024–2025</x:v>
      </x:c>
      <x:c r="AR304" s="2" t="str">
        <x:v>https://pubs.usgs.gov/periodicals/mcs2026/mcs2026.pdf</x:v>
      </x:c>
    </x:row>
    <x:row r="305" ht="240" customHeight="1">
      <x:c r="A305" s="2" t="str">
        <x:v>ADP-0035</x:v>
      </x:c>
      <x:c r="B305" s="2" t="str">
        <x:v>Adaptation</x:v>
      </x:c>
      <x:c r="C305" s="2" t="str">
        <x:v>Agriculture and Forestry</x:v>
      </x:c>
      <x:c r="D305" s="2" t="str">
        <x:v>Increasing crop resilience and productivity</x:v>
      </x:c>
      <x:c r="E305" s="2" t="str">
        <x:v>Fodder crops</x:v>
      </x:c>
      <x:c r="F305" s="2" t="str">
        <x:v>Fodder crops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Fodder crops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5" s="2" t="str">
        <x:v>Mixed: adaptable design, site-specific implementation</x:v>
      </x:c>
      <x:c r="H305" s="2" t="str">
        <x:v>Fodder crops is adaptable in capacity and configuration but site-specific in final engineering. Its principle remains the same, but resource quality, climate, scale, interfaces and safety constraints must be recalculated for each deployment.</x:v>
      </x:c>
      <x:c r="I305" s="2" t="str">
        <x:v>Primarily hard, with a soft component</x:v>
      </x:c>
      <x:c r="J305" s="2" t="str">
        <x:v>Fodder crops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5" s="2" t="str">
        <x:v>Operation</x:v>
      </x:c>
      <x:c r="L305" s="2" t="str">
        <x:v>Fodder crops is embodied mainly as an operating practice. The deliverable is accepted only when measurable service, quality, safety and climate-performance criteria are met under real conditions.</x:v>
      </x:c>
      <x:c r="M305" s="2" t="str">
        <x:v>Yes, subject to life-cycle safeguards</x:v>
      </x:c>
      <x:c r="N305" s="2" t="str">
        <x:v>Fodder crops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5" s="2" t="str">
        <x:v>Fodder crops: field or forest implements, planting and irrigation equipment, storage or livestock facilities, sampling tools, sensors and protective structures as required.</x:v>
      </x:c>
      <x:c r="P305" s="2" t="str">
        <x:v>Fodder crops: soil–crop–livestock knowledge, nutrient and water budgets, emission factors, carbon accounting, climate services, monitoring protocols and adaptive management.</x:v>
      </x:c>
      <x:c r="Q305" s="2" t="str">
        <x:v>Fodder crops: land tenure, extension, producer organisations, veterinary or phytosanitary services, incentives, safeguards, certification and monitoring arrangements.</x:v>
      </x:c>
      <x:c r="R305" s="2" t="str">
        <x:v>Fodder crops: nurseries or seed banks, field access, water and storage systems, laboratories, extension centres, monitoring plots and processing or market facilities.</x:v>
      </x:c>
      <x:c r="S305" s="2" t="str">
        <x:v>Fodder crops: human and mechanical work, electricity or fuel for machinery, pumping, cooling and processing; biological energy and solar radiation dominate field processes.</x:v>
      </x:c>
      <x:c r="T305" s="2" t="str">
        <x:v>Fodder crops: seed or planting stock, organic matter, fertilisers, soil amendments, water, fencing or structural materials, veterinary inputs and monitoring consumables.</x:v>
      </x:c>
      <x:c r="U305" s="2" t="str">
        <x:v>Fodder crops: seed, inoculants, filters, drip lines, nozzles, tool parts, sampling containers, sensor batteries, veterinary supplies and protective equipment.</x:v>
      </x:c>
      <x:c r="V305" s="2" t="str">
        <x:v>https://www.ctc-n.org/sites/default/files/resources/ctcn_taxonomy_0.pdf</x:v>
      </x:c>
      <x:c r="W305" s="2" t="str">
        <x:v>https://institutoagricoladepueblobello.edu.co/colegiapp/archivostemas/GUIA%209.%5B25%5D.pdf</x:v>
      </x:c>
      <x:c r="X305" s="2" t="str">
        <x:v>https://iiasa.ac.at/what-is-technology</x:v>
      </x:c>
      <x:c r="Y305" s="2" t="str">
        <x:v>https://www.fao.org/climate-change/en; https://www.ipcc.ch/report/ar6/wg3/chapter/chapter-7/; https://openknowledge.fao.org/server/api/core/bitstreams/b21f2087-f398-4718-8461-b92afc82e617/content</x:v>
      </x:c>
      <x:c r="Z305" s="2" t="str">
        <x:v>Technology-specific analytical synthesis. The CTCN hierarchy is retained; classifications and component dependencies require validation against the selected design, site and supplier documentation before investment or policy use.</x:v>
      </x:c>
      <x:c r="AA305" s="2" t="str">
        <x:v>Physical deployment of Fodder crops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5" s="2" t="str">
        <x:v>For Fodder crops,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5" s="2" t="str">
        <x:v>Construction and operation use seed or planting stock, organic matter, fertilisers, soil amendments, water, fencing or structural materials, veterinary inputs and monitoring consumables. For Fodder crops, specifications must include durability, compatibility, recycled content and recoverability.</x:v>
      </x:c>
      <x:c r="AD305" s="2" t="str">
        <x:v>Maintenance of Fodder crops depends on seed, inoculants, filters, drip lines, nozzles, tool parts, sampling containers, sensor batteries, veterinary supplies and protective equipment; critical spares are selected from failure-mode, lead-time and safety analysis for its installed configuration.</x:v>
      </x:c>
      <x:c r="AE305" s="2" t="str">
        <x:v>The software stack for Fodder crops requires databases, secure communications, version-controlled models, computing, backup and interfaces with field or operational systems.</x:v>
      </x:c>
      <x:c r="AF305" s="2" t="str">
        <x:v>For Fodder crops, software-related energy is electricity for sensing, computing, storage, communication and cooling; it is normally secondary but must be included for data-intensive or continuous services.</x:v>
      </x:c>
      <x:c r="AG305" s="2" t="str">
        <x:v>The non-physical inputs are calibrated data, metadata, algorithms, boundary conditions, emission or hazard factors, manuals and validation records specific to Fodder crops.</x:v>
      </x:c>
      <x:c r="AH305" s="2" t="str">
        <x:v>Software continuity for Fodder crops requires licences where applicable, updates, cybersecurity patches, backups, calibration files, model validation and technical support.</x:v>
      </x:c>
      <x:c r="AI305" s="2" t="str">
        <x:v>Orgware depends on the institutions, laboratories, training providers, regulators, operators and community interfaces needed to govern Fodder crops.</x:v>
      </x:c>
      <x:c r="AJ305" s="2" t="str">
        <x:v>The orgware supporting Fodder crops has mainly indirect energy use from offices, meetings, training and information systems; travel and field supervision may be material at dispersed sites.</x:v>
      </x:c>
      <x:c r="AK305" s="2" t="str">
        <x:v>Its organisational inputs are permits, budgets, trained staff, competence records, contracts, procedures, safeguards, monitoring evidence and stakeholder agreements tailored to Fodder crops.</x:v>
      </x:c>
      <x:c r="AL305" s="2" t="str">
        <x:v>Sustained implementation of Fodder crops requires procurement and service contracts, audit protocols, training material, reporting templates, insurance or guarantees and periodic independent review.</x:v>
      </x:c>
      <x:c r="AM305" s="2" t="str">
        <x:v>Phosphate rock; Potash</x:v>
      </x:c>
      <x:c r="AN305" s="2" t="str">
        <x:v>China; Morocco; United States; Canada; Russia; Belarus</x:v>
      </x:c>
      <x:c r="AO305" s="2" t="str">
        <x:v>China; Morocco; United States; Canada; Russia; Belarus</x:v>
      </x:c>
      <x:c r="AP305" s="2" t="str">
        <x:v>Fodder crops: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5" s="2" t="str">
        <x:v>2024–2025</x:v>
      </x:c>
      <x:c r="AR305" s="2" t="str">
        <x:v>https://pubs.usgs.gov/periodicals/mcs2026/mcs2026.pdf</x:v>
      </x:c>
    </x:row>
    <x:row r="306" ht="240" customHeight="1">
      <x:c r="A306" s="2" t="str">
        <x:v>ADP-0036</x:v>
      </x:c>
      <x:c r="B306" s="2" t="str">
        <x:v>Adaptation</x:v>
      </x:c>
      <x:c r="C306" s="2" t="str">
        <x:v>Agriculture and Forestry</x:v>
      </x:c>
      <x:c r="D306" s="2" t="str">
        <x:v>Increasing crop resilience and productivity</x:v>
      </x:c>
      <x:c r="E306" s="2" t="str">
        <x:v>Wind breaks</x:v>
      </x:c>
      <x:c r="F306" s="2" t="str">
        <x:v>Wind breaks is a adaptation technology in the Agriculture and Forestry sector and the Increasing crop resilience and productivity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306" s="2" t="str">
        <x:v>Mixed: adaptable design, site-specific implementation</x:v>
      </x:c>
      <x:c r="H306" s="2" t="str">
        <x:v>Wind breaks is adaptable in capacity and configuration but site-specific in final engineering. Its principle remains the same, but resource quality, climate, scale, interfaces and safety constraints must be recalculated for each deployment.</x:v>
      </x:c>
      <x:c r="I306" s="2" t="str">
        <x:v>Primarily hard, with a soft component</x:v>
      </x:c>
      <x:c r="J306" s="2" t="str">
        <x:v>Wind breaks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306" s="2" t="str">
        <x:v>Equipment and operation</x:v>
      </x:c>
      <x:c r="L306" s="2" t="str">
        <x:v>Wind breaks is embodied mainly as an equipment-and-operation system. The deliverable is accepted only when measurable service, quality, safety and climate-performance criteria are met under real conditions.</x:v>
      </x:c>
      <x:c r="M306" s="2" t="str">
        <x:v>Yes, subject to life-cycle safeguards</x:v>
      </x:c>
      <x:c r="N306" s="2" t="str">
        <x:v>Wind breaks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306" s="2" t="str">
        <x:v>Wind breaks: resource collector or prime mover, generator or heat exchanger, support structure, power conversion, protection, metering and connection equipment.</x:v>
      </x:c>
      <x:c r="P306" s="2" t="str">
        <x:v>Wind breaks: resource assessment, energy-yield modelling, forecasting, maximum-power or process control, dispatch, condition monitoring and maintenance planning.</x:v>
      </x:c>
      <x:c r="Q306" s="2" t="str">
        <x:v>Wind breaks: resource and land or sea rights, environmental licensing, grid code, safety, community participation, revenue contract and decommissioning plan.</x:v>
      </x:c>
      <x:c r="R306" s="2" t="str">
        <x:v>Wind breaks: foundations, access, electrical or thermal network, substation, control and communications, drainage and construction or marine logistics.</x:v>
      </x:c>
      <x:c r="S306" s="2" t="str">
        <x:v>Wind breaks: the renewable resource is the primary input; auxiliary electricity, start-up fuel, pumping or thermal energy may be required depending on the design.</x:v>
      </x:c>
      <x:c r="T306" s="2" t="str">
        <x:v>Wind breaks: steel, concrete, copper, aluminium, polymers, glass and technology-specific materials such as silicon, magnets, coatings, catalysts or working fluids.</x:v>
      </x:c>
      <x:c r="U306" s="2" t="str">
        <x:v>Wind breaks: bearings, seals, filters, lubricants, sensors, converter parts, cables, fasteners, coatings and replaceable collector or heat-exchanger components.</x:v>
      </x:c>
      <x:c r="V306" s="2" t="str">
        <x:v>https://www.ctc-n.org/sites/default/files/resources/ctcn_taxonomy_0.pdf</x:v>
      </x:c>
      <x:c r="W306" s="2" t="str">
        <x:v>https://institutoagricoladepueblobello.edu.co/colegiapp/archivostemas/GUIA%209.%5B25%5D.pdf</x:v>
      </x:c>
      <x:c r="X306" s="2" t="str">
        <x:v>https://iiasa.ac.at/what-is-technology</x:v>
      </x:c>
      <x:c r="Y306" s="2" t="str">
        <x:v>https://www.fao.org/climate-change/en; https://www.iea.org/data-and-statistics/data-tools/etp-clean-energy-technology-guide</x:v>
      </x:c>
      <x:c r="Z306" s="2" t="str">
        <x:v>Technology-specific analytical synthesis. The CTCN hierarchy is retained; classifications and component dependencies require validation against the selected design, site and supplier documentation before investment or policy use.</x:v>
      </x:c>
      <x:c r="AA306" s="2" t="str">
        <x:v>Physical deployment of Wind breaks requires foundations, access, electrical or thermal network, substation, control and communications, drainage and construction or marine logistics; interfaces, foundations, access and environmental protection are sized to the specific resource and design load.</x:v>
      </x:c>
      <x:c r="AB306" s="2" t="str">
        <x:v>For Wind breaks,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306" s="2" t="str">
        <x:v>Construction and operation use steel, concrete, copper, aluminium, polymers, glass and technology-specific materials such as silicon, magnets, coatings, catalysts or working fluids. For Wind breaks, specifications must include durability, compatibility, recycled content and recoverability.</x:v>
      </x:c>
      <x:c r="AD306" s="2" t="str">
        <x:v>Maintenance of Wind breaks depends on bearings, seals, filters, lubricants, sensors, converter parts, cables, fasteners, coatings and replaceable collector or heat-exchanger components; critical spares are selected from failure-mode, lead-time and safety analysis for its installed configuration.</x:v>
      </x:c>
      <x:c r="AE306" s="2" t="str">
        <x:v>The software stack for Wind breaks requires databases, secure communications, version-controlled models, computing, backup and interfaces with field or operational systems.</x:v>
      </x:c>
      <x:c r="AF306" s="2" t="str">
        <x:v>For Wind breaks, software-related energy is electricity for sensing, computing, storage, communication and cooling; it is normally secondary but must be included for data-intensive or continuous services.</x:v>
      </x:c>
      <x:c r="AG306" s="2" t="str">
        <x:v>The non-physical inputs are calibrated data, metadata, algorithms, boundary conditions, emission or hazard factors, manuals and validation records specific to Wind breaks.</x:v>
      </x:c>
      <x:c r="AH306" s="2" t="str">
        <x:v>Software continuity for Wind breaks requires licences where applicable, updates, cybersecurity patches, backups, calibration files, model validation and technical support.</x:v>
      </x:c>
      <x:c r="AI306" s="2" t="str">
        <x:v>Orgware depends on the institutions, laboratories, training providers, regulators, operators and community interfaces needed to govern Wind breaks.</x:v>
      </x:c>
      <x:c r="AJ306" s="2" t="str">
        <x:v>The orgware supporting Wind breaks has mainly indirect energy use from offices, meetings, training and information systems; travel and field supervision may be material at dispersed sites.</x:v>
      </x:c>
      <x:c r="AK306" s="2" t="str">
        <x:v>Its organisational inputs are permits, budgets, trained staff, competence records, contracts, procedures, safeguards, monitoring evidence and stakeholder agreements tailored to Wind breaks.</x:v>
      </x:c>
      <x:c r="AL306" s="2" t="str">
        <x:v>Sustained implementation of Wind breaks requires procurement and service contracts, audit protocols, training material, reporting templates, insurance or guarantees and periodic independent review.</x:v>
      </x:c>
      <x:c r="AM306" s="2" t="str">
        <x:v>Iron ore / steel inputs; Copper; Tin; Rare earth elements; Phosphate rock; Potash; Zinc; Bauxite / aluminium</x:v>
      </x:c>
      <x:c r="AN306" s="2" t="str">
        <x:v>Australia; Brazil; China; Chile; Democratic Republic of the Congo; Peru; Indonesia; Myanmar; United States; Morocco; Canada; Russia; Belarus; Guinea</x:v>
      </x:c>
      <x:c r="AO306" s="2" t="str">
        <x:v>China; India; Japan; Chile; Democratic Republic of the Congo; Indonesia; Malaysia; Estonia; Morocco; United States; Canada; Russia; Belarus; South Korea</x:v>
      </x:c>
      <x:c r="AP306" s="2" t="str">
        <x:v>Wind breaks: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6" s="2" t="str">
        <x:v>2024–2025</x:v>
      </x:c>
      <x:c r="AR306" s="2" t="str">
        <x:v>https://pubs.usgs.gov/periodicals/mcs2026/mcs2026.pdf; https://www.iea.org/reports/global-critical-minerals-outlook-2025</x:v>
      </x:c>
    </x:row>
    <x:row r="307" ht="240" customHeight="1">
      <x:c r="A307" s="2" t="str">
        <x:v>ADP-0037</x:v>
      </x:c>
      <x:c r="B307" s="2" t="str">
        <x:v>Adaptation</x:v>
      </x:c>
      <x:c r="C307" s="2" t="str">
        <x:v>Agriculture and Forestry</x:v>
      </x:c>
      <x:c r="D307" s="2" t="str">
        <x:v>Increasing crop resilience and productivity</x:v>
      </x:c>
      <x:c r="E307" s="2" t="str">
        <x:v>Greenhouse crop management</x:v>
      </x:c>
      <x:c r="F307" s="2" t="str">
        <x:v>Greenhouse crop management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Greenhouse crop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7" s="2" t="str">
        <x:v>Flexible</x:v>
      </x:c>
      <x:c r="H307" s="2" t="str">
        <x:v>Greenhouse crop management is transferable through configurable methods, rules and operating parameters. Its principle remains the same, but resource quality, climate, scale, interfaces and safety constraints must be recalculated for each deployment.</x:v>
      </x:c>
      <x:c r="I307" s="2" t="str">
        <x:v>Primarily soft, with physical support</x:v>
      </x:c>
      <x:c r="J307" s="2" t="str">
        <x:v>Greenhouse crop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7" s="2" t="str">
        <x:v>Operation</x:v>
      </x:c>
      <x:c r="L307" s="2" t="str">
        <x:v>Greenhouse crop management is embodied mainly as an operating practice. The deliverable is accepted only when measurable service, quality, safety and climate-performance criteria are met under real conditions.</x:v>
      </x:c>
      <x:c r="M307" s="2" t="str">
        <x:v>Yes, subject to life-cycle safeguards</x:v>
      </x:c>
      <x:c r="N307" s="2" t="str">
        <x:v>Greenhouse crop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7" s="2" t="str">
        <x:v>Greenhouse crop management: field or forest implements, planting and irrigation equipment, storage or livestock facilities, sampling tools, sensors and protective structures as required.</x:v>
      </x:c>
      <x:c r="P307" s="2" t="str">
        <x:v>Greenhouse crop management: soil–crop–livestock knowledge, nutrient and water budgets, emission factors, carbon accounting, climate services, monitoring protocols and adaptive management.</x:v>
      </x:c>
      <x:c r="Q307" s="2" t="str">
        <x:v>Greenhouse crop management: land tenure, extension, producer organisations, veterinary or phytosanitary services, incentives, safeguards, certification and monitoring arrangements.</x:v>
      </x:c>
      <x:c r="R307" s="2" t="str">
        <x:v>Greenhouse crop management: nurseries or seed banks, field access, water and storage systems, laboratories, extension centres, monitoring plots and processing or market facilities.</x:v>
      </x:c>
      <x:c r="S307" s="2" t="str">
        <x:v>Greenhouse crop management: human and mechanical work, electricity or fuel for machinery, pumping, cooling and processing; biological energy and solar radiation dominate field processes.</x:v>
      </x:c>
      <x:c r="T307" s="2" t="str">
        <x:v>Greenhouse crop management: seed or planting stock, organic matter, fertilisers, soil amendments, water, fencing or structural materials, veterinary inputs and monitoring consumables.</x:v>
      </x:c>
      <x:c r="U307" s="2" t="str">
        <x:v>Greenhouse crop management: seed, inoculants, filters, drip lines, nozzles, tool parts, sampling containers, sensor batteries, veterinary supplies and protective equipment.</x:v>
      </x:c>
      <x:c r="V307" s="2" t="str">
        <x:v>https://www.ctc-n.org/sites/default/files/resources/ctcn_taxonomy_0.pdf</x:v>
      </x:c>
      <x:c r="W307" s="2" t="str">
        <x:v>https://institutoagricoladepueblobello.edu.co/colegiapp/archivostemas/GUIA%209.%5B25%5D.pdf</x:v>
      </x:c>
      <x:c r="X307" s="2" t="str">
        <x:v>https://iiasa.ac.at/what-is-technology</x:v>
      </x:c>
      <x:c r="Y307" s="2" t="str">
        <x:v>https://www.fao.org/climate-change/en; https://www.ipcc.ch/report/ar6/wg3/chapter/chapter-7/; https://openknowledge.fao.org/server/api/core/bitstreams/b21f2087-f398-4718-8461-b92afc82e617/content</x:v>
      </x:c>
      <x:c r="Z307" s="2" t="str">
        <x:v>Technology-specific analytical synthesis. The CTCN hierarchy is retained; classifications and component dependencies require validation against the selected design, site and supplier documentation before investment or policy use.</x:v>
      </x:c>
      <x:c r="AA307" s="2" t="str">
        <x:v>Physical deployment of Greenhouse crop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7" s="2" t="str">
        <x:v>For Greenhouse crop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7" s="2" t="str">
        <x:v>Construction and operation use seed or planting stock, organic matter, fertilisers, soil amendments, water, fencing or structural materials, veterinary inputs and monitoring consumables. For Greenhouse crop management, specifications must include durability, compatibility, recycled content and recoverability.</x:v>
      </x:c>
      <x:c r="AD307" s="2" t="str">
        <x:v>Maintenance of Greenhouse crop management depends on seed, inoculants, filters, drip lines, nozzles, tool parts, sampling containers, sensor batteries, veterinary supplies and protective equipment; critical spares are selected from failure-mode, lead-time and safety analysis for its installed configuration.</x:v>
      </x:c>
      <x:c r="AE307" s="2" t="str">
        <x:v>The software stack for Greenhouse crop management requires databases, secure communications, version-controlled models, computing, backup and interfaces with field or operational systems.</x:v>
      </x:c>
      <x:c r="AF307" s="2" t="str">
        <x:v>For Greenhouse crop management, software-related energy is electricity for sensing, computing, storage, communication and cooling; it is normally secondary but must be included for data-intensive or continuous services.</x:v>
      </x:c>
      <x:c r="AG307" s="2" t="str">
        <x:v>The non-physical inputs are calibrated data, metadata, algorithms, boundary conditions, emission or hazard factors, manuals and validation records specific to Greenhouse crop management.</x:v>
      </x:c>
      <x:c r="AH307" s="2" t="str">
        <x:v>Software continuity for Greenhouse crop management requires licences where applicable, updates, cybersecurity patches, backups, calibration files, model validation and technical support.</x:v>
      </x:c>
      <x:c r="AI307" s="2" t="str">
        <x:v>Orgware depends on the institutions, laboratories, training providers, regulators, operators and community interfaces needed to govern Greenhouse crop management.</x:v>
      </x:c>
      <x:c r="AJ307" s="2" t="str">
        <x:v>The orgware supporting Greenhouse crop management has mainly indirect energy use from offices, meetings, training and information systems; travel and field supervision may be material at dispersed sites.</x:v>
      </x:c>
      <x:c r="AK307" s="2" t="str">
        <x:v>Its organisational inputs are permits, budgets, trained staff, competence records, contracts, procedures, safeguards, monitoring evidence and stakeholder agreements tailored to Greenhouse crop management.</x:v>
      </x:c>
      <x:c r="AL307" s="2" t="str">
        <x:v>Sustained implementation of Greenhouse crop management requires procurement and service contracts, audit protocols, training material, reporting templates, insurance or guarantees and periodic independent review.</x:v>
      </x:c>
      <x:c r="AM307" s="2" t="str">
        <x:v>Phosphate rock; Potash</x:v>
      </x:c>
      <x:c r="AN307" s="2" t="str">
        <x:v>China; Morocco; United States; Canada; Russia; Belarus</x:v>
      </x:c>
      <x:c r="AO307" s="2" t="str">
        <x:v>China; Morocco; United States; Canada; Russia; Belarus</x:v>
      </x:c>
      <x:c r="AP307" s="2" t="str">
        <x:v>Greenhouse crop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7" s="2" t="str">
        <x:v>2024–2025</x:v>
      </x:c>
      <x:c r="AR307" s="2" t="str">
        <x:v>https://pubs.usgs.gov/periodicals/mcs2026/mcs2026.pdf</x:v>
      </x:c>
    </x:row>
    <x:row r="308" ht="240" customHeight="1">
      <x:c r="A308" s="2" t="str">
        <x:v>ADP-0038</x:v>
      </x:c>
      <x:c r="B308" s="2" t="str">
        <x:v>Adaptation</x:v>
      </x:c>
      <x:c r="C308" s="2" t="str">
        <x:v>Agriculture and Forestry</x:v>
      </x:c>
      <x:c r="D308" s="2" t="str">
        <x:v>Increasing crop resilience and productivity</x:v>
      </x:c>
      <x:c r="E308" s="2" t="str">
        <x:v>Organic agriculture</x:v>
      </x:c>
      <x:c r="F308" s="2" t="str">
        <x:v>Organic agriculture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Organic agriculture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8" s="2" t="str">
        <x:v>Mixed: adaptable design, site-specific implementation</x:v>
      </x:c>
      <x:c r="H308" s="2" t="str">
        <x:v>Organic agriculture is adaptable in capacity and configuration but site-specific in final engineering. Its principle remains the same, but resource quality, climate, scale, interfaces and safety constraints must be recalculated for each deployment.</x:v>
      </x:c>
      <x:c r="I308" s="2" t="str">
        <x:v>Primarily hard, with a soft component</x:v>
      </x:c>
      <x:c r="J308" s="2" t="str">
        <x:v>Organic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8" s="2" t="str">
        <x:v>Operation</x:v>
      </x:c>
      <x:c r="L308" s="2" t="str">
        <x:v>Organic agriculture is embodied mainly as an operating practice. The deliverable is accepted only when measurable service, quality, safety and climate-performance criteria are met under real conditions.</x:v>
      </x:c>
      <x:c r="M308" s="2" t="str">
        <x:v>Yes, subject to life-cycle safeguards</x:v>
      </x:c>
      <x:c r="N308" s="2" t="str">
        <x:v>Organic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8" s="2" t="str">
        <x:v>Organic agriculture: field or forest implements, planting and irrigation equipment, storage or livestock facilities, sampling tools, sensors and protective structures as required.</x:v>
      </x:c>
      <x:c r="P308" s="2" t="str">
        <x:v>Organic agriculture: soil–crop–livestock knowledge, nutrient and water budgets, emission factors, carbon accounting, climate services, monitoring protocols and adaptive management.</x:v>
      </x:c>
      <x:c r="Q308" s="2" t="str">
        <x:v>Organic agriculture: land tenure, extension, producer organisations, veterinary or phytosanitary services, incentives, safeguards, certification and monitoring arrangements.</x:v>
      </x:c>
      <x:c r="R308" s="2" t="str">
        <x:v>Organic agriculture: nurseries or seed banks, field access, water and storage systems, laboratories, extension centres, monitoring plots and processing or market facilities.</x:v>
      </x:c>
      <x:c r="S308" s="2" t="str">
        <x:v>Organic agriculture: human and mechanical work, electricity or fuel for machinery, pumping, cooling and processing; biological energy and solar radiation dominate field processes.</x:v>
      </x:c>
      <x:c r="T308" s="2" t="str">
        <x:v>Organic agriculture: seed or planting stock, organic matter, fertilisers, soil amendments, water, fencing or structural materials, veterinary inputs and monitoring consumables.</x:v>
      </x:c>
      <x:c r="U308" s="2" t="str">
        <x:v>Organic agriculture: seed, inoculants, filters, drip lines, nozzles, tool parts, sampling containers, sensor batteries, veterinary supplies and protective equipment.</x:v>
      </x:c>
      <x:c r="V308" s="2" t="str">
        <x:v>https://www.ctc-n.org/sites/default/files/resources/ctcn_taxonomy_0.pdf</x:v>
      </x:c>
      <x:c r="W308" s="2" t="str">
        <x:v>https://institutoagricoladepueblobello.edu.co/colegiapp/archivostemas/GUIA%209.%5B25%5D.pdf</x:v>
      </x:c>
      <x:c r="X308" s="2" t="str">
        <x:v>https://iiasa.ac.at/what-is-technology</x:v>
      </x:c>
      <x:c r="Y308" s="2" t="str">
        <x:v>https://www.fao.org/climate-change/en; https://www.ipcc.ch/report/ar6/wg3/chapter/chapter-7/; https://openknowledge.fao.org/server/api/core/bitstreams/b21f2087-f398-4718-8461-b92afc82e617/content</x:v>
      </x:c>
      <x:c r="Z308" s="2" t="str">
        <x:v>Technology-specific analytical synthesis. The CTCN hierarchy is retained; classifications and component dependencies require validation against the selected design, site and supplier documentation before investment or policy use.</x:v>
      </x:c>
      <x:c r="AA308" s="2" t="str">
        <x:v>Physical deployment of Organic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8" s="2" t="str">
        <x:v>For Organic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8" s="2" t="str">
        <x:v>Construction and operation use seed or planting stock, organic matter, fertilisers, soil amendments, water, fencing or structural materials, veterinary inputs and monitoring consumables. For Organic agriculture, specifications must include durability, compatibility, recycled content and recoverability.</x:v>
      </x:c>
      <x:c r="AD308" s="2" t="str">
        <x:v>Maintenance of Organic agriculture depends on seed, inoculants, filters, drip lines, nozzles, tool parts, sampling containers, sensor batteries, veterinary supplies and protective equipment; critical spares are selected from failure-mode, lead-time and safety analysis for its installed configuration.</x:v>
      </x:c>
      <x:c r="AE308" s="2" t="str">
        <x:v>The software stack for Organic agriculture requires databases, secure communications, version-controlled models, computing, backup and interfaces with field or operational systems.</x:v>
      </x:c>
      <x:c r="AF308" s="2" t="str">
        <x:v>For Organic agriculture, software-related energy is electricity for sensing, computing, storage, communication and cooling; it is normally secondary but must be included for data-intensive or continuous services.</x:v>
      </x:c>
      <x:c r="AG308" s="2" t="str">
        <x:v>The non-physical inputs are calibrated data, metadata, algorithms, boundary conditions, emission or hazard factors, manuals and validation records specific to Organic agriculture.</x:v>
      </x:c>
      <x:c r="AH308" s="2" t="str">
        <x:v>Software continuity for Organic agriculture requires licences where applicable, updates, cybersecurity patches, backups, calibration files, model validation and technical support.</x:v>
      </x:c>
      <x:c r="AI308" s="2" t="str">
        <x:v>Orgware depends on the institutions, laboratories, training providers, regulators, operators and community interfaces needed to govern Organic agriculture.</x:v>
      </x:c>
      <x:c r="AJ308" s="2" t="str">
        <x:v>The orgware supporting Organic agriculture has mainly indirect energy use from offices, meetings, training and information systems; travel and field supervision may be material at dispersed sites.</x:v>
      </x:c>
      <x:c r="AK308" s="2" t="str">
        <x:v>Its organisational inputs are permits, budgets, trained staff, competence records, contracts, procedures, safeguards, monitoring evidence and stakeholder agreements tailored to Organic agriculture.</x:v>
      </x:c>
      <x:c r="AL308" s="2" t="str">
        <x:v>Sustained implementation of Organic agriculture requires procurement and service contracts, audit protocols, training material, reporting templates, insurance or guarantees and periodic independent review.</x:v>
      </x:c>
      <x:c r="AM308" s="2" t="str">
        <x:v>Phosphate rock; Potash</x:v>
      </x:c>
      <x:c r="AN308" s="2" t="str">
        <x:v>China; Morocco; United States; Canada; Russia; Belarus</x:v>
      </x:c>
      <x:c r="AO308" s="2" t="str">
        <x:v>China; Morocco; United States; Canada; Russia; Belarus</x:v>
      </x:c>
      <x:c r="AP308" s="2" t="str">
        <x:v>Organic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8" s="2" t="str">
        <x:v>2024–2025</x:v>
      </x:c>
      <x:c r="AR308" s="2" t="str">
        <x:v>https://pubs.usgs.gov/periodicals/mcs2026/mcs2026.pdf</x:v>
      </x:c>
    </x:row>
    <x:row r="309" ht="240" customHeight="1">
      <x:c r="A309" s="2" t="str">
        <x:v>ADP-0039</x:v>
      </x:c>
      <x:c r="B309" s="2" t="str">
        <x:v>Adaptation</x:v>
      </x:c>
      <x:c r="C309" s="2" t="str">
        <x:v>Agriculture and Forestry</x:v>
      </x:c>
      <x:c r="D309" s="2" t="str">
        <x:v>Increasing crop resilience and productivity</x:v>
      </x:c>
      <x:c r="E309" s="2" t="str">
        <x:v>Fertilizer management</x:v>
      </x:c>
      <x:c r="F309" s="2" t="str">
        <x:v>Fertilizer management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Fertilizer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9" s="2" t="str">
        <x:v>Flexible</x:v>
      </x:c>
      <x:c r="H309" s="2" t="str">
        <x:v>Fertilizer management is transferable through configurable methods, rules and operating parameters. Its principle remains the same, but resource quality, climate, scale, interfaces and safety constraints must be recalculated for each deployment.</x:v>
      </x:c>
      <x:c r="I309" s="2" t="str">
        <x:v>Primarily soft, with physical support</x:v>
      </x:c>
      <x:c r="J309" s="2" t="str">
        <x:v>Fertilizer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9" s="2" t="str">
        <x:v>Operation</x:v>
      </x:c>
      <x:c r="L309" s="2" t="str">
        <x:v>Fertilizer management is embodied mainly as an operating practice. The deliverable is accepted only when measurable service, quality, safety and climate-performance criteria are met under real conditions.</x:v>
      </x:c>
      <x:c r="M309" s="2" t="str">
        <x:v>Yes, subject to life-cycle safeguards</x:v>
      </x:c>
      <x:c r="N309" s="2" t="str">
        <x:v>Fertilizer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9" s="2" t="str">
        <x:v>Fertilizer management: field or forest implements, planting and irrigation equipment, storage or livestock facilities, sampling tools, sensors and protective structures as required.</x:v>
      </x:c>
      <x:c r="P309" s="2" t="str">
        <x:v>Fertilizer management: soil–crop–livestock knowledge, nutrient and water budgets, emission factors, carbon accounting, climate services, monitoring protocols and adaptive management.</x:v>
      </x:c>
      <x:c r="Q309" s="2" t="str">
        <x:v>Fertilizer management: land tenure, extension, producer organisations, veterinary or phytosanitary services, incentives, safeguards, certification and monitoring arrangements.</x:v>
      </x:c>
      <x:c r="R309" s="2" t="str">
        <x:v>Fertilizer management: nurseries or seed banks, field access, water and storage systems, laboratories, extension centres, monitoring plots and processing or market facilities.</x:v>
      </x:c>
      <x:c r="S309" s="2" t="str">
        <x:v>Fertilizer management: human and mechanical work, electricity or fuel for machinery, pumping, cooling and processing; biological energy and solar radiation dominate field processes.</x:v>
      </x:c>
      <x:c r="T309" s="2" t="str">
        <x:v>Fertilizer management: seed or planting stock, organic matter, fertilisers, soil amendments, water, fencing or structural materials, veterinary inputs and monitoring consumables.</x:v>
      </x:c>
      <x:c r="U309" s="2" t="str">
        <x:v>Fertilizer management: seed, inoculants, filters, drip lines, nozzles, tool parts, sampling containers, sensor batteries, veterinary supplies and protective equipment.</x:v>
      </x:c>
      <x:c r="V309" s="2" t="str">
        <x:v>https://www.ctc-n.org/sites/default/files/resources/ctcn_taxonomy_0.pdf</x:v>
      </x:c>
      <x:c r="W309" s="2" t="str">
        <x:v>https://institutoagricoladepueblobello.edu.co/colegiapp/archivostemas/GUIA%209.%5B25%5D.pdf</x:v>
      </x:c>
      <x:c r="X309" s="2" t="str">
        <x:v>https://iiasa.ac.at/what-is-technology</x:v>
      </x:c>
      <x:c r="Y309" s="2" t="str">
        <x:v>https://www.fao.org/climate-change/en; https://www.ipcc.ch/report/ar6/wg3/chapter/chapter-7/; https://openknowledge.fao.org/server/api/core/bitstreams/b21f2087-f398-4718-8461-b92afc82e617/content</x:v>
      </x:c>
      <x:c r="Z309" s="2" t="str">
        <x:v>Technology-specific analytical synthesis. The CTCN hierarchy is retained; classifications and component dependencies require validation against the selected design, site and supplier documentation before investment or policy use.</x:v>
      </x:c>
      <x:c r="AA309" s="2" t="str">
        <x:v>Physical deployment of Fertilizer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9" s="2" t="str">
        <x:v>For Fertilizer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9" s="2" t="str">
        <x:v>Construction and operation use seed or planting stock, organic matter, fertilisers, soil amendments, water, fencing or structural materials, veterinary inputs and monitoring consumables. For Fertilizer management, specifications must include durability, compatibility, recycled content and recoverability.</x:v>
      </x:c>
      <x:c r="AD309" s="2" t="str">
        <x:v>Maintenance of Fertilizer management depends on seed, inoculants, filters, drip lines, nozzles, tool parts, sampling containers, sensor batteries, veterinary supplies and protective equipment; critical spares are selected from failure-mode, lead-time and safety analysis for its installed configuration.</x:v>
      </x:c>
      <x:c r="AE309" s="2" t="str">
        <x:v>The software stack for Fertilizer management requires databases, secure communications, version-controlled models, computing, backup and interfaces with field or operational systems.</x:v>
      </x:c>
      <x:c r="AF309" s="2" t="str">
        <x:v>For Fertilizer management, software-related energy is electricity for sensing, computing, storage, communication and cooling; it is normally secondary but must be included for data-intensive or continuous services.</x:v>
      </x:c>
      <x:c r="AG309" s="2" t="str">
        <x:v>The non-physical inputs are calibrated data, metadata, algorithms, boundary conditions, emission or hazard factors, manuals and validation records specific to Fertilizer management.</x:v>
      </x:c>
      <x:c r="AH309" s="2" t="str">
        <x:v>Software continuity for Fertilizer management requires licences where applicable, updates, cybersecurity patches, backups, calibration files, model validation and technical support.</x:v>
      </x:c>
      <x:c r="AI309" s="2" t="str">
        <x:v>Orgware depends on the institutions, laboratories, training providers, regulators, operators and community interfaces needed to govern Fertilizer management.</x:v>
      </x:c>
      <x:c r="AJ309" s="2" t="str">
        <x:v>The orgware supporting Fertilizer management has mainly indirect energy use from offices, meetings, training and information systems; travel and field supervision may be material at dispersed sites.</x:v>
      </x:c>
      <x:c r="AK309" s="2" t="str">
        <x:v>Its organisational inputs are permits, budgets, trained staff, competence records, contracts, procedures, safeguards, monitoring evidence and stakeholder agreements tailored to Fertilizer management.</x:v>
      </x:c>
      <x:c r="AL309" s="2" t="str">
        <x:v>Sustained implementation of Fertilizer management requires procurement and service contracts, audit protocols, training material, reporting templates, insurance or guarantees and periodic independent review.</x:v>
      </x:c>
      <x:c r="AM309" s="2" t="str">
        <x:v>Phosphate rock; Potash</x:v>
      </x:c>
      <x:c r="AN309" s="2" t="str">
        <x:v>China; Morocco; United States; Canada; Russia; Belarus</x:v>
      </x:c>
      <x:c r="AO309" s="2" t="str">
        <x:v>China; Morocco; United States; Canada; Russia; Belarus</x:v>
      </x:c>
      <x:c r="AP309" s="2" t="str">
        <x:v>Fertilizer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9" s="2" t="str">
        <x:v>2024–2025</x:v>
      </x:c>
      <x:c r="AR309" s="2" t="str">
        <x:v>https://pubs.usgs.gov/periodicals/mcs2026/mcs2026.pdf</x:v>
      </x:c>
    </x:row>
    <x:row r="310" ht="240" customHeight="1">
      <x:c r="A310" s="2" t="str">
        <x:v>ADP-0040</x:v>
      </x:c>
      <x:c r="B310" s="2" t="str">
        <x:v>Adaptation</x:v>
      </x:c>
      <x:c r="C310" s="2" t="str">
        <x:v>Agriculture and Forestry</x:v>
      </x:c>
      <x:c r="D310" s="2" t="str">
        <x:v>Increasing crop resilience and productivity</x:v>
      </x:c>
      <x:c r="E310" s="2" t="str">
        <x:v>Fungal symbioses</x:v>
      </x:c>
      <x:c r="F310" s="2" t="str">
        <x:v>Fungal symbioses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Fungal symbioses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0" s="2" t="str">
        <x:v>Mixed: adaptable design, site-specific implementation</x:v>
      </x:c>
      <x:c r="H310" s="2" t="str">
        <x:v>Fungal symbioses is adaptable in capacity and configuration but site-specific in final engineering. Its principle remains the same, but resource quality, climate, scale, interfaces and safety constraints must be recalculated for each deployment.</x:v>
      </x:c>
      <x:c r="I310" s="2" t="str">
        <x:v>Primarily hard, with a soft component</x:v>
      </x:c>
      <x:c r="J310" s="2" t="str">
        <x:v>Fungal symbioses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0" s="2" t="str">
        <x:v>Operation</x:v>
      </x:c>
      <x:c r="L310" s="2" t="str">
        <x:v>Fungal symbioses is embodied mainly as an operating practice. The deliverable is accepted only when measurable service, quality, safety and climate-performance criteria are met under real conditions.</x:v>
      </x:c>
      <x:c r="M310" s="2" t="str">
        <x:v>Yes, subject to life-cycle safeguards</x:v>
      </x:c>
      <x:c r="N310" s="2" t="str">
        <x:v>Fungal symbioses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0" s="2" t="str">
        <x:v>Fungal symbioses: field or forest implements, planting and irrigation equipment, storage or livestock facilities, sampling tools, sensors and protective structures as required.</x:v>
      </x:c>
      <x:c r="P310" s="2" t="str">
        <x:v>Fungal symbioses: soil–crop–livestock knowledge, nutrient and water budgets, emission factors, carbon accounting, climate services, monitoring protocols and adaptive management.</x:v>
      </x:c>
      <x:c r="Q310" s="2" t="str">
        <x:v>Fungal symbioses: land tenure, extension, producer organisations, veterinary or phytosanitary services, incentives, safeguards, certification and monitoring arrangements.</x:v>
      </x:c>
      <x:c r="R310" s="2" t="str">
        <x:v>Fungal symbioses: nurseries or seed banks, field access, water and storage systems, laboratories, extension centres, monitoring plots and processing or market facilities.</x:v>
      </x:c>
      <x:c r="S310" s="2" t="str">
        <x:v>Fungal symbioses: human and mechanical work, electricity or fuel for machinery, pumping, cooling and processing; biological energy and solar radiation dominate field processes.</x:v>
      </x:c>
      <x:c r="T310" s="2" t="str">
        <x:v>Fungal symbioses: seed or planting stock, organic matter, fertilisers, soil amendments, water, fencing or structural materials, veterinary inputs and monitoring consumables.</x:v>
      </x:c>
      <x:c r="U310" s="2" t="str">
        <x:v>Fungal symbioses: seed, inoculants, filters, drip lines, nozzles, tool parts, sampling containers, sensor batteries, veterinary supplies and protective equipment.</x:v>
      </x:c>
      <x:c r="V310" s="2" t="str">
        <x:v>https://www.ctc-n.org/sites/default/files/resources/ctcn_taxonomy_0.pdf</x:v>
      </x:c>
      <x:c r="W310" s="2" t="str">
        <x:v>https://institutoagricoladepueblobello.edu.co/colegiapp/archivostemas/GUIA%209.%5B25%5D.pdf</x:v>
      </x:c>
      <x:c r="X310" s="2" t="str">
        <x:v>https://iiasa.ac.at/what-is-technology</x:v>
      </x:c>
      <x:c r="Y310" s="2" t="str">
        <x:v>https://www.fao.org/climate-change/en; https://www.ipcc.ch/report/ar6/wg3/chapter/chapter-7/; https://openknowledge.fao.org/server/api/core/bitstreams/b21f2087-f398-4718-8461-b92afc82e617/content</x:v>
      </x:c>
      <x:c r="Z310" s="2" t="str">
        <x:v>Technology-specific analytical synthesis. The CTCN hierarchy is retained; classifications and component dependencies require validation against the selected design, site and supplier documentation before investment or policy use.</x:v>
      </x:c>
      <x:c r="AA310" s="2" t="str">
        <x:v>Physical deployment of Fungal symbioses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0" s="2" t="str">
        <x:v>For Fungal symbioses,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0" s="2" t="str">
        <x:v>Construction and operation use seed or planting stock, organic matter, fertilisers, soil amendments, water, fencing or structural materials, veterinary inputs and monitoring consumables. For Fungal symbioses, specifications must include durability, compatibility, recycled content and recoverability.</x:v>
      </x:c>
      <x:c r="AD310" s="2" t="str">
        <x:v>Maintenance of Fungal symbioses depends on seed, inoculants, filters, drip lines, nozzles, tool parts, sampling containers, sensor batteries, veterinary supplies and protective equipment; critical spares are selected from failure-mode, lead-time and safety analysis for its installed configuration.</x:v>
      </x:c>
      <x:c r="AE310" s="2" t="str">
        <x:v>The software stack for Fungal symbioses requires databases, secure communications, version-controlled models, computing, backup and interfaces with field or operational systems.</x:v>
      </x:c>
      <x:c r="AF310" s="2" t="str">
        <x:v>For Fungal symbioses, software-related energy is electricity for sensing, computing, storage, communication and cooling; it is normally secondary but must be included for data-intensive or continuous services.</x:v>
      </x:c>
      <x:c r="AG310" s="2" t="str">
        <x:v>The non-physical inputs are calibrated data, metadata, algorithms, boundary conditions, emission or hazard factors, manuals and validation records specific to Fungal symbioses.</x:v>
      </x:c>
      <x:c r="AH310" s="2" t="str">
        <x:v>Software continuity for Fungal symbioses requires licences where applicable, updates, cybersecurity patches, backups, calibration files, model validation and technical support.</x:v>
      </x:c>
      <x:c r="AI310" s="2" t="str">
        <x:v>Orgware depends on the institutions, laboratories, training providers, regulators, operators and community interfaces needed to govern Fungal symbioses.</x:v>
      </x:c>
      <x:c r="AJ310" s="2" t="str">
        <x:v>The orgware supporting Fungal symbioses has mainly indirect energy use from offices, meetings, training and information systems; travel and field supervision may be material at dispersed sites.</x:v>
      </x:c>
      <x:c r="AK310" s="2" t="str">
        <x:v>Its organisational inputs are permits, budgets, trained staff, competence records, contracts, procedures, safeguards, monitoring evidence and stakeholder agreements tailored to Fungal symbioses.</x:v>
      </x:c>
      <x:c r="AL310" s="2" t="str">
        <x:v>Sustained implementation of Fungal symbioses requires procurement and service contracts, audit protocols, training material, reporting templates, insurance or guarantees and periodic independent review.</x:v>
      </x:c>
      <x:c r="AM310" s="2" t="str">
        <x:v>Phosphate rock; Potash</x:v>
      </x:c>
      <x:c r="AN310" s="2" t="str">
        <x:v>China; Morocco; United States; Canada; Russia; Belarus</x:v>
      </x:c>
      <x:c r="AO310" s="2" t="str">
        <x:v>China; Morocco; United States; Canada; Russia; Belarus</x:v>
      </x:c>
      <x:c r="AP310" s="2" t="str">
        <x:v>Fungal symbioses: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0" s="2" t="str">
        <x:v>2024–2025</x:v>
      </x:c>
      <x:c r="AR310" s="2" t="str">
        <x:v>https://pubs.usgs.gov/periodicals/mcs2026/mcs2026.pdf</x:v>
      </x:c>
    </x:row>
    <x:row r="311" ht="240" customHeight="1">
      <x:c r="A311" s="2" t="str">
        <x:v>ADP-0041</x:v>
      </x:c>
      <x:c r="B311" s="2" t="str">
        <x:v>Adaptation</x:v>
      </x:c>
      <x:c r="C311" s="2" t="str">
        <x:v>Agriculture and Forestry</x:v>
      </x:c>
      <x:c r="D311" s="2" t="str">
        <x:v>Increasing crop resilience and productivity</x:v>
      </x:c>
      <x:c r="E311" s="2" t="str">
        <x:v>Precision agriculture</x:v>
      </x:c>
      <x:c r="F311" s="2" t="str">
        <x:v>Precision agriculture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Georeferenced sensing and variable-rate control apply water, seed, fertiliser or crop protection only where and when required, reducing over-application and improving input-use efficiency.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1" s="2" t="str">
        <x:v>Mixed: adaptable design, site-specific implementation</x:v>
      </x:c>
      <x:c r="H311" s="2" t="str">
        <x:v>Precision agriculture is adaptable in capacity and configuration but site-specific in final engineering. Its principle remains the same, but resource quality, climate, scale, interfaces and safety constraints must be recalculated for each deployment.</x:v>
      </x:c>
      <x:c r="I311" s="2" t="str">
        <x:v>Primarily hard, with a soft component</x:v>
      </x:c>
      <x:c r="J311" s="2" t="str">
        <x:v>Precision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1" s="2" t="str">
        <x:v>Operation</x:v>
      </x:c>
      <x:c r="L311" s="2" t="str">
        <x:v>Precision agriculture is embodied mainly as an operating practice. The deliverable is accepted only when measurable service, quality, safety and climate-performance criteria are met under real conditions.</x:v>
      </x:c>
      <x:c r="M311" s="2" t="str">
        <x:v>Yes, subject to life-cycle safeguards</x:v>
      </x:c>
      <x:c r="N311" s="2" t="str">
        <x:v>Precision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1" s="2" t="str">
        <x:v>Precision agriculture: field or forest implements, planting and irrigation equipment, storage or livestock facilities, sampling tools, sensors and protective structures as required.</x:v>
      </x:c>
      <x:c r="P311" s="2" t="str">
        <x:v>Precision agriculture: soil–crop–livestock knowledge, nutrient and water budgets, emission factors, carbon accounting, climate services, monitoring protocols and adaptive management.</x:v>
      </x:c>
      <x:c r="Q311" s="2" t="str">
        <x:v>Precision agriculture: land tenure, extension, producer organisations, veterinary or phytosanitary services, incentives, safeguards, certification and monitoring arrangements.</x:v>
      </x:c>
      <x:c r="R311" s="2" t="str">
        <x:v>Precision agriculture: nurseries or seed banks, field access, water and storage systems, laboratories, extension centres, monitoring plots and processing or market facilities.</x:v>
      </x:c>
      <x:c r="S311" s="2" t="str">
        <x:v>Precision agriculture: human and mechanical work, electricity or fuel for machinery, pumping, cooling and processing; biological energy and solar radiation dominate field processes.</x:v>
      </x:c>
      <x:c r="T311" s="2" t="str">
        <x:v>Precision agriculture: seed or planting stock, organic matter, fertilisers, soil amendments, water, fencing or structural materials, veterinary inputs and monitoring consumables.</x:v>
      </x:c>
      <x:c r="U311" s="2" t="str">
        <x:v>Precision agriculture: seed, inoculants, filters, drip lines, nozzles, tool parts, sampling containers, sensor batteries, veterinary supplies and protective equipment.</x:v>
      </x:c>
      <x:c r="V311" s="2" t="str">
        <x:v>https://www.ctc-n.org/sites/default/files/resources/ctcn_taxonomy_0.pdf</x:v>
      </x:c>
      <x:c r="W311" s="2" t="str">
        <x:v>https://institutoagricoladepueblobello.edu.co/colegiapp/archivostemas/GUIA%209.%5B25%5D.pdf</x:v>
      </x:c>
      <x:c r="X311" s="2" t="str">
        <x:v>https://iiasa.ac.at/what-is-technology</x:v>
      </x:c>
      <x:c r="Y311" s="2" t="str">
        <x:v>https://www.fao.org/climate-change/en; https://www.ipcc.ch/report/ar6/wg3/chapter/chapter-7/; https://openknowledge.fao.org/server/api/core/bitstreams/b21f2087-f398-4718-8461-b92afc82e617/content</x:v>
      </x:c>
      <x:c r="Z311" s="2" t="str">
        <x:v>Technology-specific analytical synthesis. The CTCN hierarchy is retained; classifications and component dependencies require validation against the selected design, site and supplier documentation before investment or policy use.</x:v>
      </x:c>
      <x:c r="AA311" s="2" t="str">
        <x:v>Physical deployment of Precision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1" s="2" t="str">
        <x:v>For Precision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1" s="2" t="str">
        <x:v>Construction and operation use seed or planting stock, organic matter, fertilisers, soil amendments, water, fencing or structural materials, veterinary inputs and monitoring consumables. For Precision agriculture, specifications must include durability, compatibility, recycled content and recoverability.</x:v>
      </x:c>
      <x:c r="AD311" s="2" t="str">
        <x:v>Maintenance of Precision agriculture depends on seed, inoculants, filters, drip lines, nozzles, tool parts, sampling containers, sensor batteries, veterinary supplies and protective equipment; critical spares are selected from failure-mode, lead-time and safety analysis for its installed configuration.</x:v>
      </x:c>
      <x:c r="AE311" s="2" t="str">
        <x:v>The software stack for Precision agriculture requires databases, secure communications, version-controlled models, computing, backup and interfaces with field or operational systems.</x:v>
      </x:c>
      <x:c r="AF311" s="2" t="str">
        <x:v>For Precision agriculture, software-related energy is electricity for sensing, computing, storage, communication and cooling; it is normally secondary but must be included for data-intensive or continuous services.</x:v>
      </x:c>
      <x:c r="AG311" s="2" t="str">
        <x:v>The non-physical inputs are calibrated data, metadata, algorithms, boundary conditions, emission or hazard factors, manuals and validation records specific to Precision agriculture.</x:v>
      </x:c>
      <x:c r="AH311" s="2" t="str">
        <x:v>Software continuity for Precision agriculture requires licences where applicable, updates, cybersecurity patches, backups, calibration files, model validation and technical support.</x:v>
      </x:c>
      <x:c r="AI311" s="2" t="str">
        <x:v>Orgware depends on the institutions, laboratories, training providers, regulators, operators and community interfaces needed to govern Precision agriculture.</x:v>
      </x:c>
      <x:c r="AJ311" s="2" t="str">
        <x:v>The orgware supporting Precision agriculture has mainly indirect energy use from offices, meetings, training and information systems; travel and field supervision may be material at dispersed sites.</x:v>
      </x:c>
      <x:c r="AK311" s="2" t="str">
        <x:v>Its organisational inputs are permits, budgets, trained staff, competence records, contracts, procedures, safeguards, monitoring evidence and stakeholder agreements tailored to Precision agriculture.</x:v>
      </x:c>
      <x:c r="AL311" s="2" t="str">
        <x:v>Sustained implementation of Precision agriculture requires procurement and service contracts, audit protocols, training material, reporting templates, insurance or guarantees and periodic independent review.</x:v>
      </x:c>
      <x:c r="AM311" s="2" t="str">
        <x:v>Phosphate rock; Potash</x:v>
      </x:c>
      <x:c r="AN311" s="2" t="str">
        <x:v>China; Morocco; United States; Canada; Russia; Belarus</x:v>
      </x:c>
      <x:c r="AO311" s="2" t="str">
        <x:v>China; Morocco; United States; Canada; Russia; Belarus</x:v>
      </x:c>
      <x:c r="AP311" s="2" t="str">
        <x:v>Precision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1" s="2" t="str">
        <x:v>2024–2025</x:v>
      </x:c>
      <x:c r="AR311" s="2" t="str">
        <x:v>https://pubs.usgs.gov/periodicals/mcs2026/mcs2026.pdf</x:v>
      </x:c>
    </x:row>
    <x:row r="312" ht="240" customHeight="1">
      <x:c r="A312" s="2" t="str">
        <x:v>ADP-0042</x:v>
      </x:c>
      <x:c r="B312" s="2" t="str">
        <x:v>Adaptation</x:v>
      </x:c>
      <x:c r="C312" s="2" t="str">
        <x:v>Agriculture and Forestry</x:v>
      </x:c>
      <x:c r="D312" s="2" t="str">
        <x:v>Increasing crop resilience and productivity</x:v>
      </x:c>
      <x:c r="E312" s="2" t="str">
        <x:v>Biochar technology</x:v>
      </x:c>
      <x:c r="F312" s="2" t="str">
        <x:v>Biochar technology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Biomass is heated under limited oxygen to form a carbon-rich, relatively stable solid that can amend soil; net benefit depends on feedstock, pyrolysis conditions, avoided decay and permanence.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2" s="2" t="str">
        <x:v>Mixed: adaptable design, site-specific implementation</x:v>
      </x:c>
      <x:c r="H312" s="2" t="str">
        <x:v>Biochar technology is adaptable in capacity and configuration but site-specific in final engineering. Its principle remains the same, but resource quality, climate, scale, interfaces and safety constraints must be recalculated for each deployment.</x:v>
      </x:c>
      <x:c r="I312" s="2" t="str">
        <x:v>Primarily hard, with a soft component</x:v>
      </x:c>
      <x:c r="J312" s="2" t="str">
        <x:v>Biochar technology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2" s="2" t="str">
        <x:v>Product and equipment; complementary operation</x:v>
      </x:c>
      <x:c r="L312" s="2" t="str">
        <x:v>Biochar technology is embodied mainly as a product/equipment package. The deliverable is accepted only when measurable service, quality, safety and climate-performance criteria are met under real conditions.</x:v>
      </x:c>
      <x:c r="M312" s="2" t="str">
        <x:v>Yes, subject to life-cycle safeguards</x:v>
      </x:c>
      <x:c r="N312" s="2" t="str">
        <x:v>Biochar technology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2" s="2" t="str">
        <x:v>Biochar technology: field or forest implements, planting and irrigation equipment, storage or livestock facilities, sampling tools, sensors and protective structures as required.</x:v>
      </x:c>
      <x:c r="P312" s="2" t="str">
        <x:v>Biochar technology: soil–crop–livestock knowledge, nutrient and water budgets, emission factors, carbon accounting, climate services, monitoring protocols and adaptive management.</x:v>
      </x:c>
      <x:c r="Q312" s="2" t="str">
        <x:v>Biochar technology: land tenure, extension, producer organisations, veterinary or phytosanitary services, incentives, safeguards, certification and monitoring arrangements.</x:v>
      </x:c>
      <x:c r="R312" s="2" t="str">
        <x:v>Biochar technology: nurseries or seed banks, field access, water and storage systems, laboratories, extension centres, monitoring plots and processing or market facilities.</x:v>
      </x:c>
      <x:c r="S312" s="2" t="str">
        <x:v>Biochar technology: human and mechanical work, electricity or fuel for machinery, pumping, cooling and processing; biological energy and solar radiation dominate field processes.</x:v>
      </x:c>
      <x:c r="T312" s="2" t="str">
        <x:v>Biochar technology: seed or planting stock, organic matter, fertilisers, soil amendments, water, fencing or structural materials, veterinary inputs and monitoring consumables.</x:v>
      </x:c>
      <x:c r="U312" s="2" t="str">
        <x:v>Biochar technology: seed, inoculants, filters, drip lines, nozzles, tool parts, sampling containers, sensor batteries, veterinary supplies and protective equipment.</x:v>
      </x:c>
      <x:c r="V312" s="2" t="str">
        <x:v>https://www.ctc-n.org/sites/default/files/resources/ctcn_taxonomy_0.pdf</x:v>
      </x:c>
      <x:c r="W312" s="2" t="str">
        <x:v>https://institutoagricoladepueblobello.edu.co/colegiapp/archivostemas/GUIA%209.%5B25%5D.pdf</x:v>
      </x:c>
      <x:c r="X312" s="2" t="str">
        <x:v>https://iiasa.ac.at/what-is-technology</x:v>
      </x:c>
      <x:c r="Y312" s="2" t="str">
        <x:v>https://www.fao.org/climate-change/en; https://www.ipcc.ch/report/ar6/wg3/chapter/chapter-7/; https://openknowledge.fao.org/server/api/core/bitstreams/b21f2087-f398-4718-8461-b92afc82e617/content</x:v>
      </x:c>
      <x:c r="Z312" s="2" t="str">
        <x:v>Technology-specific analytical synthesis. The CTCN hierarchy is retained; classifications and component dependencies require validation against the selected design, site and supplier documentation before investment or policy use.</x:v>
      </x:c>
      <x:c r="AA312" s="2" t="str">
        <x:v>Physical deployment of Biochar technology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2" s="2" t="str">
        <x:v>For Biochar technology,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2" s="2" t="str">
        <x:v>Construction and operation use seed or planting stock, organic matter, fertilisers, soil amendments, water, fencing or structural materials, veterinary inputs and monitoring consumables. For Biochar technology, specifications must include durability, compatibility, recycled content and recoverability.</x:v>
      </x:c>
      <x:c r="AD312" s="2" t="str">
        <x:v>Maintenance of Biochar technology depends on seed, inoculants, filters, drip lines, nozzles, tool parts, sampling containers, sensor batteries, veterinary supplies and protective equipment; critical spares are selected from failure-mode, lead-time and safety analysis for its installed configuration.</x:v>
      </x:c>
      <x:c r="AE312" s="2" t="str">
        <x:v>The software stack for Biochar technology requires databases, secure communications, version-controlled models, computing, backup and interfaces with field or operational systems.</x:v>
      </x:c>
      <x:c r="AF312" s="2" t="str">
        <x:v>For Biochar technology, software-related energy is electricity for sensing, computing, storage, communication and cooling; it is normally secondary but must be included for data-intensive or continuous services.</x:v>
      </x:c>
      <x:c r="AG312" s="2" t="str">
        <x:v>The non-physical inputs are calibrated data, metadata, algorithms, boundary conditions, emission or hazard factors, manuals and validation records specific to Biochar technology.</x:v>
      </x:c>
      <x:c r="AH312" s="2" t="str">
        <x:v>Software continuity for Biochar technology requires licences where applicable, updates, cybersecurity patches, backups, calibration files, model validation and technical support.</x:v>
      </x:c>
      <x:c r="AI312" s="2" t="str">
        <x:v>Orgware depends on the institutions, laboratories, training providers, regulators, operators and community interfaces needed to govern Biochar technology.</x:v>
      </x:c>
      <x:c r="AJ312" s="2" t="str">
        <x:v>The orgware supporting Biochar technology has mainly indirect energy use from offices, meetings, training and information systems; travel and field supervision may be material at dispersed sites.</x:v>
      </x:c>
      <x:c r="AK312" s="2" t="str">
        <x:v>Its organisational inputs are permits, budgets, trained staff, competence records, contracts, procedures, safeguards, monitoring evidence and stakeholder agreements tailored to Biochar technology.</x:v>
      </x:c>
      <x:c r="AL312" s="2" t="str">
        <x:v>Sustained implementation of Biochar technology requires procurement and service contracts, audit protocols, training material, reporting templates, insurance or guarantees and periodic independent review.</x:v>
      </x:c>
      <x:c r="AM312" s="2" t="str">
        <x:v>Phosphate rock; Potash</x:v>
      </x:c>
      <x:c r="AN312" s="2" t="str">
        <x:v>China; Morocco; United States; Canada; Russia; Belarus</x:v>
      </x:c>
      <x:c r="AO312" s="2" t="str">
        <x:v>China; Morocco; United States; Canada; Russia; Belarus</x:v>
      </x:c>
      <x:c r="AP312" s="2" t="str">
        <x:v>Biochar technology: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2" s="2" t="str">
        <x:v>2024–2025</x:v>
      </x:c>
      <x:c r="AR312" s="2" t="str">
        <x:v>https://pubs.usgs.gov/periodicals/mcs2026/mcs2026.pdf</x:v>
      </x:c>
    </x:row>
    <x:row r="313" ht="240" customHeight="1">
      <x:c r="A313" s="2" t="str">
        <x:v>ADP-0043</x:v>
      </x:c>
      <x:c r="B313" s="2" t="str">
        <x:v>Adaptation</x:v>
      </x:c>
      <x:c r="C313" s="2" t="str">
        <x:v>Agriculture and Forestry</x:v>
      </x:c>
      <x:c r="D313" s="2" t="str">
        <x:v>Increasing crop resilience and productivity</x:v>
      </x:c>
      <x:c r="E313" s="2" t="str">
        <x:v>Pest and insect control</x:v>
      </x:c>
      <x:c r="F313" s="2" t="str">
        <x:v>Pest and insect control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Pest and insect control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3" s="2" t="str">
        <x:v>Mixed: adaptable design, site-specific implementation</x:v>
      </x:c>
      <x:c r="H313" s="2" t="str">
        <x:v>Pest and insect control is adaptable in capacity and configuration but site-specific in final engineering. Its principle remains the same, but resource quality, climate, scale, interfaces and safety constraints must be recalculated for each deployment.</x:v>
      </x:c>
      <x:c r="I313" s="2" t="str">
        <x:v>Primarily hard, with a soft component</x:v>
      </x:c>
      <x:c r="J313" s="2" t="str">
        <x:v>Pest and insect control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3" s="2" t="str">
        <x:v>Operation</x:v>
      </x:c>
      <x:c r="L313" s="2" t="str">
        <x:v>Pest and insect control is embodied mainly as an operating practice. The deliverable is accepted only when measurable service, quality, safety and climate-performance criteria are met under real conditions.</x:v>
      </x:c>
      <x:c r="M313" s="2" t="str">
        <x:v>Yes, subject to life-cycle safeguards</x:v>
      </x:c>
      <x:c r="N313" s="2" t="str">
        <x:v>Pest and insect control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3" s="2" t="str">
        <x:v>Pest and insect control: field or forest implements, planting and irrigation equipment, storage or livestock facilities, sampling tools, sensors and protective structures as required.</x:v>
      </x:c>
      <x:c r="P313" s="2" t="str">
        <x:v>Pest and insect control: soil–crop–livestock knowledge, nutrient and water budgets, emission factors, carbon accounting, climate services, monitoring protocols and adaptive management.</x:v>
      </x:c>
      <x:c r="Q313" s="2" t="str">
        <x:v>Pest and insect control: land tenure, extension, producer organisations, veterinary or phytosanitary services, incentives, safeguards, certification and monitoring arrangements.</x:v>
      </x:c>
      <x:c r="R313" s="2" t="str">
        <x:v>Pest and insect control: nurseries or seed banks, field access, water and storage systems, laboratories, extension centres, monitoring plots and processing or market facilities.</x:v>
      </x:c>
      <x:c r="S313" s="2" t="str">
        <x:v>Pest and insect control: human and mechanical work, electricity or fuel for machinery, pumping, cooling and processing; biological energy and solar radiation dominate field processes.</x:v>
      </x:c>
      <x:c r="T313" s="2" t="str">
        <x:v>Pest and insect control: seed or planting stock, organic matter, fertilisers, soil amendments, water, fencing or structural materials, veterinary inputs and monitoring consumables.</x:v>
      </x:c>
      <x:c r="U313" s="2" t="str">
        <x:v>Pest and insect control: seed, inoculants, filters, drip lines, nozzles, tool parts, sampling containers, sensor batteries, veterinary supplies and protective equipment.</x:v>
      </x:c>
      <x:c r="V313" s="2" t="str">
        <x:v>https://www.ctc-n.org/sites/default/files/resources/ctcn_taxonomy_0.pdf</x:v>
      </x:c>
      <x:c r="W313" s="2" t="str">
        <x:v>https://institutoagricoladepueblobello.edu.co/colegiapp/archivostemas/GUIA%209.%5B25%5D.pdf</x:v>
      </x:c>
      <x:c r="X313" s="2" t="str">
        <x:v>https://iiasa.ac.at/what-is-technology</x:v>
      </x:c>
      <x:c r="Y313" s="2" t="str">
        <x:v>https://www.fao.org/climate-change/en; https://www.ipcc.ch/report/ar6/wg3/chapter/chapter-7/; https://openknowledge.fao.org/server/api/core/bitstreams/b21f2087-f398-4718-8461-b92afc82e617/content</x:v>
      </x:c>
      <x:c r="Z313" s="2" t="str">
        <x:v>Technology-specific analytical synthesis. The CTCN hierarchy is retained; classifications and component dependencies require validation against the selected design, site and supplier documentation before investment or policy use.</x:v>
      </x:c>
      <x:c r="AA313" s="2" t="str">
        <x:v>Physical deployment of Pest and insect control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3" s="2" t="str">
        <x:v>For Pest and insect control,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3" s="2" t="str">
        <x:v>Construction and operation use seed or planting stock, organic matter, fertilisers, soil amendments, water, fencing or structural materials, veterinary inputs and monitoring consumables. For Pest and insect control, specifications must include durability, compatibility, recycled content and recoverability.</x:v>
      </x:c>
      <x:c r="AD313" s="2" t="str">
        <x:v>Maintenance of Pest and insect control depends on seed, inoculants, filters, drip lines, nozzles, tool parts, sampling containers, sensor batteries, veterinary supplies and protective equipment; critical spares are selected from failure-mode, lead-time and safety analysis for its installed configuration.</x:v>
      </x:c>
      <x:c r="AE313" s="2" t="str">
        <x:v>The software stack for Pest and insect control requires databases, secure communications, version-controlled models, computing, backup and interfaces with field or operational systems.</x:v>
      </x:c>
      <x:c r="AF313" s="2" t="str">
        <x:v>For Pest and insect control, software-related energy is electricity for sensing, computing, storage, communication and cooling; it is normally secondary but must be included for data-intensive or continuous services.</x:v>
      </x:c>
      <x:c r="AG313" s="2" t="str">
        <x:v>The non-physical inputs are calibrated data, metadata, algorithms, boundary conditions, emission or hazard factors, manuals and validation records specific to Pest and insect control.</x:v>
      </x:c>
      <x:c r="AH313" s="2" t="str">
        <x:v>Software continuity for Pest and insect control requires licences where applicable, updates, cybersecurity patches, backups, calibration files, model validation and technical support.</x:v>
      </x:c>
      <x:c r="AI313" s="2" t="str">
        <x:v>Orgware depends on the institutions, laboratories, training providers, regulators, operators and community interfaces needed to govern Pest and insect control.</x:v>
      </x:c>
      <x:c r="AJ313" s="2" t="str">
        <x:v>The orgware supporting Pest and insect control has mainly indirect energy use from offices, meetings, training and information systems; travel and field supervision may be material at dispersed sites.</x:v>
      </x:c>
      <x:c r="AK313" s="2" t="str">
        <x:v>Its organisational inputs are permits, budgets, trained staff, competence records, contracts, procedures, safeguards, monitoring evidence and stakeholder agreements tailored to Pest and insect control.</x:v>
      </x:c>
      <x:c r="AL313" s="2" t="str">
        <x:v>Sustained implementation of Pest and insect control requires procurement and service contracts, audit protocols, training material, reporting templates, insurance or guarantees and periodic independent review.</x:v>
      </x:c>
      <x:c r="AM313" s="2" t="str">
        <x:v>Copper; Tin; Phosphate rock; Potash</x:v>
      </x:c>
      <x:c r="AN313" s="2" t="str">
        <x:v>Chile; Democratic Republic of the Congo; Peru; China; Indonesia; Myanmar; Morocco; United States; Canada; Russia; Belarus</x:v>
      </x:c>
      <x:c r="AO313" s="2" t="str">
        <x:v>China; Chile; Democratic Republic of the Congo; Indonesia; Malaysia; Morocco; United States; Canada; Russia; Belarus</x:v>
      </x:c>
      <x:c r="AP313" s="2" t="str">
        <x:v>Pest and insect control: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3" s="2" t="str">
        <x:v>2024–2025</x:v>
      </x:c>
      <x:c r="AR313" s="2" t="str">
        <x:v>https://pubs.usgs.gov/periodicals/mcs2026/mcs2026.pdf</x:v>
      </x:c>
    </x:row>
    <x:row r="314" ht="240" customHeight="1">
      <x:c r="A314" s="2" t="str">
        <x:v>ADP-0044</x:v>
      </x:c>
      <x:c r="B314" s="2" t="str">
        <x:v>Adaptation</x:v>
      </x:c>
      <x:c r="C314" s="2" t="str">
        <x:v>Agriculture and Forestry</x:v>
      </x:c>
      <x:c r="D314" s="2" t="str">
        <x:v>Increasing crop resilience and productivity</x:v>
      </x:c>
      <x:c r="E314" s="2" t="str">
        <x:v>Biotechnology for crop adaptation</x:v>
      </x:c>
      <x:c r="F314" s="2" t="str">
        <x:v>Biotechnology for crop adaptation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Biotechnology for crop adaptation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4" s="2" t="str">
        <x:v>Mixed: adaptable design, site-specific implementation</x:v>
      </x:c>
      <x:c r="H314" s="2" t="str">
        <x:v>Biotechnology for crop adaptation is adaptable in capacity and configuration but site-specific in final engineering. Its principle remains the same, but resource quality, climate, scale, interfaces and safety constraints must be recalculated for each deployment.</x:v>
      </x:c>
      <x:c r="I314" s="2" t="str">
        <x:v>Primarily hard, with a soft component</x:v>
      </x:c>
      <x:c r="J314" s="2" t="str">
        <x:v>Biotechnology for crop adaptation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4" s="2" t="str">
        <x:v>Operation</x:v>
      </x:c>
      <x:c r="L314" s="2" t="str">
        <x:v>Biotechnology for crop adaptation is embodied mainly as an operating practice. The deliverable is accepted only when measurable service, quality, safety and climate-performance criteria are met under real conditions.</x:v>
      </x:c>
      <x:c r="M314" s="2" t="str">
        <x:v>Yes, subject to life-cycle safeguards</x:v>
      </x:c>
      <x:c r="N314" s="2" t="str">
        <x:v>Biotechnology for crop adaptation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4" s="2" t="str">
        <x:v>Biotechnology for crop adaptation: field or forest implements, planting and irrigation equipment, storage or livestock facilities, sampling tools, sensors and protective structures as required.</x:v>
      </x:c>
      <x:c r="P314" s="2" t="str">
        <x:v>Biotechnology for crop adaptation: soil–crop–livestock knowledge, nutrient and water budgets, emission factors, carbon accounting, climate services, monitoring protocols and adaptive management.</x:v>
      </x:c>
      <x:c r="Q314" s="2" t="str">
        <x:v>Biotechnology for crop adaptation: land tenure, extension, producer organisations, veterinary or phytosanitary services, incentives, safeguards, certification and monitoring arrangements.</x:v>
      </x:c>
      <x:c r="R314" s="2" t="str">
        <x:v>Biotechnology for crop adaptation: nurseries or seed banks, field access, water and storage systems, laboratories, extension centres, monitoring plots and processing or market facilities.</x:v>
      </x:c>
      <x:c r="S314" s="2" t="str">
        <x:v>Biotechnology for crop adaptation: human and mechanical work, electricity or fuel for machinery, pumping, cooling and processing; biological energy and solar radiation dominate field processes.</x:v>
      </x:c>
      <x:c r="T314" s="2" t="str">
        <x:v>Biotechnology for crop adaptation: seed or planting stock, organic matter, fertilisers, soil amendments, water, fencing or structural materials, veterinary inputs and monitoring consumables.</x:v>
      </x:c>
      <x:c r="U314" s="2" t="str">
        <x:v>Biotechnology for crop adaptation: seed, inoculants, filters, drip lines, nozzles, tool parts, sampling containers, sensor batteries, veterinary supplies and protective equipment.</x:v>
      </x:c>
      <x:c r="V314" s="2" t="str">
        <x:v>https://www.ctc-n.org/sites/default/files/resources/ctcn_taxonomy_0.pdf</x:v>
      </x:c>
      <x:c r="W314" s="2" t="str">
        <x:v>https://institutoagricoladepueblobello.edu.co/colegiapp/archivostemas/GUIA%209.%5B25%5D.pdf</x:v>
      </x:c>
      <x:c r="X314" s="2" t="str">
        <x:v>https://iiasa.ac.at/what-is-technology</x:v>
      </x:c>
      <x:c r="Y314" s="2" t="str">
        <x:v>https://www.fao.org/climate-change/en; https://www.ipcc.ch/report/ar6/wg3/chapter/chapter-7/; https://openknowledge.fao.org/server/api/core/bitstreams/b21f2087-f398-4718-8461-b92afc82e617/content</x:v>
      </x:c>
      <x:c r="Z314" s="2" t="str">
        <x:v>Technology-specific analytical synthesis. The CTCN hierarchy is retained; classifications and component dependencies require validation against the selected design, site and supplier documentation before investment or policy use.</x:v>
      </x:c>
      <x:c r="AA314" s="2" t="str">
        <x:v>Physical deployment of Biotechnology for crop adaptation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4" s="2" t="str">
        <x:v>For Biotechnology for crop adaptation,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4" s="2" t="str">
        <x:v>Construction and operation use seed or planting stock, organic matter, fertilisers, soil amendments, water, fencing or structural materials, veterinary inputs and monitoring consumables. For Biotechnology for crop adaptation, specifications must include durability, compatibility, recycled content and recoverability.</x:v>
      </x:c>
      <x:c r="AD314" s="2" t="str">
        <x:v>Maintenance of Biotechnology for crop adaptation depends on seed, inoculants, filters, drip lines, nozzles, tool parts, sampling containers, sensor batteries, veterinary supplies and protective equipment; critical spares are selected from failure-mode, lead-time and safety analysis for its installed configuration.</x:v>
      </x:c>
      <x:c r="AE314" s="2" t="str">
        <x:v>The software stack for Biotechnology for crop adaptation requires databases, secure communications, version-controlled models, computing, backup and interfaces with field or operational systems.</x:v>
      </x:c>
      <x:c r="AF314" s="2" t="str">
        <x:v>For Biotechnology for crop adaptation, software-related energy is electricity for sensing, computing, storage, communication and cooling; it is normally secondary but must be included for data-intensive or continuous services.</x:v>
      </x:c>
      <x:c r="AG314" s="2" t="str">
        <x:v>The non-physical inputs are calibrated data, metadata, algorithms, boundary conditions, emission or hazard factors, manuals and validation records specific to Biotechnology for crop adaptation.</x:v>
      </x:c>
      <x:c r="AH314" s="2" t="str">
        <x:v>Software continuity for Biotechnology for crop adaptation requires licences where applicable, updates, cybersecurity patches, backups, calibration files, model validation and technical support.</x:v>
      </x:c>
      <x:c r="AI314" s="2" t="str">
        <x:v>Orgware depends on the institutions, laboratories, training providers, regulators, operators and community interfaces needed to govern Biotechnology for crop adaptation.</x:v>
      </x:c>
      <x:c r="AJ314" s="2" t="str">
        <x:v>The orgware supporting Biotechnology for crop adaptation has mainly indirect energy use from offices, meetings, training and information systems; travel and field supervision may be material at dispersed sites.</x:v>
      </x:c>
      <x:c r="AK314" s="2" t="str">
        <x:v>Its organisational inputs are permits, budgets, trained staff, competence records, contracts, procedures, safeguards, monitoring evidence and stakeholder agreements tailored to Biotechnology for crop adaptation.</x:v>
      </x:c>
      <x:c r="AL314" s="2" t="str">
        <x:v>Sustained implementation of Biotechnology for crop adaptation requires procurement and service contracts, audit protocols, training material, reporting templates, insurance or guarantees and periodic independent review.</x:v>
      </x:c>
      <x:c r="AM314" s="2" t="str">
        <x:v>Phosphate rock; Potash</x:v>
      </x:c>
      <x:c r="AN314" s="2" t="str">
        <x:v>China; Morocco; United States; Canada; Russia; Belarus</x:v>
      </x:c>
      <x:c r="AO314" s="2" t="str">
        <x:v>China; Morocco; United States; Canada; Russia; Belarus</x:v>
      </x:c>
      <x:c r="AP314" s="2" t="str">
        <x:v>Biotechnology for crop adaptation: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4" s="2" t="str">
        <x:v>2024–2025</x:v>
      </x:c>
      <x:c r="AR314" s="2" t="str">
        <x:v>https://pubs.usgs.gov/periodicals/mcs2026/mcs2026.pdf</x:v>
      </x:c>
    </x:row>
    <x:row r="315" ht="240" customHeight="1">
      <x:c r="A315" s="2" t="str">
        <x:v>ADP-0045</x:v>
      </x:c>
      <x:c r="B315" s="2" t="str">
        <x:v>Adaptation</x:v>
      </x:c>
      <x:c r="C315" s="2" t="str">
        <x:v>Agriculture and Forestry</x:v>
      </x:c>
      <x:c r="D315" s="2" t="str">
        <x:v>Increasing crop resilience and productivity</x:v>
      </x:c>
      <x:c r="E315" s="2" t="str">
        <x:v>GMO crops</x:v>
      </x:c>
      <x:c r="F315" s="2" t="str">
        <x:v>GMO crops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GMO crops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5" s="2" t="str">
        <x:v>Mixed: adaptable design, site-specific implementation</x:v>
      </x:c>
      <x:c r="H315" s="2" t="str">
        <x:v>GMO crops is adaptable in capacity and configuration but site-specific in final engineering. Its principle remains the same, but resource quality, climate, scale, interfaces and safety constraints must be recalculated for each deployment.</x:v>
      </x:c>
      <x:c r="I315" s="2" t="str">
        <x:v>Primarily hard, with a soft component</x:v>
      </x:c>
      <x:c r="J315" s="2" t="str">
        <x:v>GMO crops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5" s="2" t="str">
        <x:v>Product and equipment; complementary operation</x:v>
      </x:c>
      <x:c r="L315" s="2" t="str">
        <x:v>GMO crops is embodied mainly as a product/equipment package. The deliverable is accepted only when measurable service, quality, safety and climate-performance criteria are met under real conditions.</x:v>
      </x:c>
      <x:c r="M315" s="2" t="str">
        <x:v>Conditional on performance and life cycle</x:v>
      </x:c>
      <x:c r="N315" s="2" t="str">
        <x:v>GMO crops is classified as conditional.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5" s="2" t="str">
        <x:v>GMO crops: field or forest implements, planting and irrigation equipment, storage or livestock facilities, sampling tools, sensors and protective structures as required.</x:v>
      </x:c>
      <x:c r="P315" s="2" t="str">
        <x:v>GMO crops: soil–crop–livestock knowledge, nutrient and water budgets, emission factors, carbon accounting, climate services, monitoring protocols and adaptive management.</x:v>
      </x:c>
      <x:c r="Q315" s="2" t="str">
        <x:v>GMO crops: land tenure, extension, producer organisations, veterinary or phytosanitary services, incentives, safeguards, certification and monitoring arrangements.</x:v>
      </x:c>
      <x:c r="R315" s="2" t="str">
        <x:v>GMO crops: nurseries or seed banks, field access, water and storage systems, laboratories, extension centres, monitoring plots and processing or market facilities.</x:v>
      </x:c>
      <x:c r="S315" s="2" t="str">
        <x:v>GMO crops: human and mechanical work, electricity or fuel for machinery, pumping, cooling and processing; biological energy and solar radiation dominate field processes.</x:v>
      </x:c>
      <x:c r="T315" s="2" t="str">
        <x:v>GMO crops: seed or planting stock, organic matter, fertilisers, soil amendments, water, fencing or structural materials, veterinary inputs and monitoring consumables.</x:v>
      </x:c>
      <x:c r="U315" s="2" t="str">
        <x:v>GMO crops: seed, inoculants, filters, drip lines, nozzles, tool parts, sampling containers, sensor batteries, veterinary supplies and protective equipment.</x:v>
      </x:c>
      <x:c r="V315" s="2" t="str">
        <x:v>https://www.ctc-n.org/sites/default/files/resources/ctcn_taxonomy_0.pdf</x:v>
      </x:c>
      <x:c r="W315" s="2" t="str">
        <x:v>https://institutoagricoladepueblobello.edu.co/colegiapp/archivostemas/GUIA%209.%5B25%5D.pdf</x:v>
      </x:c>
      <x:c r="X315" s="2" t="str">
        <x:v>https://iiasa.ac.at/what-is-technology</x:v>
      </x:c>
      <x:c r="Y315" s="2" t="str">
        <x:v>https://www.fao.org/climate-change/en; https://www.ipcc.ch/report/ar6/wg3/chapter/chapter-7/; https://openknowledge.fao.org/server/api/core/bitstreams/b21f2087-f398-4718-8461-b92afc82e617/content</x:v>
      </x:c>
      <x:c r="Z315" s="2" t="str">
        <x:v>Technology-specific analytical synthesis. The CTCN hierarchy is retained; classifications and component dependencies require validation against the selected design, site and supplier documentation before investment or policy use.</x:v>
      </x:c>
      <x:c r="AA315" s="2" t="str">
        <x:v>Physical deployment of GMO crops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5" s="2" t="str">
        <x:v>For GMO crops,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5" s="2" t="str">
        <x:v>Construction and operation use seed or planting stock, organic matter, fertilisers, soil amendments, water, fencing or structural materials, veterinary inputs and monitoring consumables. For GMO crops, specifications must include durability, compatibility, recycled content and recoverability.</x:v>
      </x:c>
      <x:c r="AD315" s="2" t="str">
        <x:v>Maintenance of GMO crops depends on seed, inoculants, filters, drip lines, nozzles, tool parts, sampling containers, sensor batteries, veterinary supplies and protective equipment; critical spares are selected from failure-mode, lead-time and safety analysis for its installed configuration.</x:v>
      </x:c>
      <x:c r="AE315" s="2" t="str">
        <x:v>The software stack for GMO crops requires databases, secure communications, version-controlled models, computing, backup and interfaces with field or operational systems.</x:v>
      </x:c>
      <x:c r="AF315" s="2" t="str">
        <x:v>For GMO crops, software-related energy is electricity for sensing, computing, storage, communication and cooling; it is normally secondary but must be included for data-intensive or continuous services.</x:v>
      </x:c>
      <x:c r="AG315" s="2" t="str">
        <x:v>The non-physical inputs are calibrated data, metadata, algorithms, boundary conditions, emission or hazard factors, manuals and validation records specific to GMO crops.</x:v>
      </x:c>
      <x:c r="AH315" s="2" t="str">
        <x:v>Software continuity for GMO crops requires licences where applicable, updates, cybersecurity patches, backups, calibration files, model validation and technical support.</x:v>
      </x:c>
      <x:c r="AI315" s="2" t="str">
        <x:v>Orgware depends on the institutions, laboratories, training providers, regulators, operators and community interfaces needed to govern GMO crops.</x:v>
      </x:c>
      <x:c r="AJ315" s="2" t="str">
        <x:v>The orgware supporting GMO crops has mainly indirect energy use from offices, meetings, training and information systems; travel and field supervision may be material at dispersed sites.</x:v>
      </x:c>
      <x:c r="AK315" s="2" t="str">
        <x:v>Its organisational inputs are permits, budgets, trained staff, competence records, contracts, procedures, safeguards, monitoring evidence and stakeholder agreements tailored to GMO crops.</x:v>
      </x:c>
      <x:c r="AL315" s="2" t="str">
        <x:v>Sustained implementation of GMO crops requires procurement and service contracts, audit protocols, training material, reporting templates, insurance or guarantees and periodic independent review.</x:v>
      </x:c>
      <x:c r="AM315" s="2" t="str">
        <x:v>Phosphate rock; Potash</x:v>
      </x:c>
      <x:c r="AN315" s="2" t="str">
        <x:v>China; Morocco; United States; Canada; Russia; Belarus</x:v>
      </x:c>
      <x:c r="AO315" s="2" t="str">
        <x:v>China; Morocco; United States; Canada; Russia; Belarus</x:v>
      </x:c>
      <x:c r="AP315" s="2" t="str">
        <x:v>GMO crops: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5" s="2" t="str">
        <x:v>2024–2025</x:v>
      </x:c>
      <x:c r="AR315" s="2" t="str">
        <x:v>https://pubs.usgs.gov/periodicals/mcs2026/mcs2026.pdf</x:v>
      </x:c>
    </x:row>
    <x:row r="316" ht="240" customHeight="1">
      <x:c r="A316" s="2" t="str">
        <x:v>ADP-0046</x:v>
      </x:c>
      <x:c r="B316" s="2" t="str">
        <x:v>Adaptation</x:v>
      </x:c>
      <x:c r="C316" s="2" t="str">
        <x:v>Agriculture and Forestry</x:v>
      </x:c>
      <x:c r="D316" s="2" t="str">
        <x:v>Increasing crop resilience and productivity</x:v>
      </x:c>
      <x:c r="E316" s="2" t="str">
        <x:v>Conservation tillage</x:v>
      </x:c>
      <x:c r="F316" s="2" t="str">
        <x:v>Conservation tillage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It limits soil disturbance and retains crop residues, reducing oxidation and erosion while improving infiltration and, under suitable conditions, soil-carbon retention.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6" s="2" t="str">
        <x:v>Mixed: adaptable design, site-specific implementation</x:v>
      </x:c>
      <x:c r="H316" s="2" t="str">
        <x:v>Conservation tillage is adaptable in capacity and configuration but site-specific in final engineering. Its principle remains the same, but resource quality, climate, scale, interfaces and safety constraints must be recalculated for each deployment.</x:v>
      </x:c>
      <x:c r="I316" s="2" t="str">
        <x:v>Primarily hard, with a soft component</x:v>
      </x:c>
      <x:c r="J316" s="2" t="str">
        <x:v>Conservation tillage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6" s="2" t="str">
        <x:v>Operation</x:v>
      </x:c>
      <x:c r="L316" s="2" t="str">
        <x:v>Conservation tillage is embodied mainly as an operating practice. The deliverable is accepted only when measurable service, quality, safety and climate-performance criteria are met under real conditions.</x:v>
      </x:c>
      <x:c r="M316" s="2" t="str">
        <x:v>Yes, subject to life-cycle safeguards</x:v>
      </x:c>
      <x:c r="N316" s="2" t="str">
        <x:v>Conservation tillage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6" s="2" t="str">
        <x:v>Conservation tillage: field or forest implements, planting and irrigation equipment, storage or livestock facilities, sampling tools, sensors and protective structures as required.</x:v>
      </x:c>
      <x:c r="P316" s="2" t="str">
        <x:v>Conservation tillage: soil–crop–livestock knowledge, nutrient and water budgets, emission factors, carbon accounting, climate services, monitoring protocols and adaptive management.</x:v>
      </x:c>
      <x:c r="Q316" s="2" t="str">
        <x:v>Conservation tillage: land tenure, extension, producer organisations, veterinary or phytosanitary services, incentives, safeguards, certification and monitoring arrangements.</x:v>
      </x:c>
      <x:c r="R316" s="2" t="str">
        <x:v>Conservation tillage: nurseries or seed banks, field access, water and storage systems, laboratories, extension centres, monitoring plots and processing or market facilities.</x:v>
      </x:c>
      <x:c r="S316" s="2" t="str">
        <x:v>Conservation tillage: human and mechanical work, electricity or fuel for machinery, pumping, cooling and processing; biological energy and solar radiation dominate field processes.</x:v>
      </x:c>
      <x:c r="T316" s="2" t="str">
        <x:v>Conservation tillage: seed or planting stock, organic matter, fertilisers, soil amendments, water, fencing or structural materials, veterinary inputs and monitoring consumables.</x:v>
      </x:c>
      <x:c r="U316" s="2" t="str">
        <x:v>Conservation tillage: seed, inoculants, filters, drip lines, nozzles, tool parts, sampling containers, sensor batteries, veterinary supplies and protective equipment.</x:v>
      </x:c>
      <x:c r="V316" s="2" t="str">
        <x:v>https://www.ctc-n.org/sites/default/files/resources/ctcn_taxonomy_0.pdf</x:v>
      </x:c>
      <x:c r="W316" s="2" t="str">
        <x:v>https://institutoagricoladepueblobello.edu.co/colegiapp/archivostemas/GUIA%209.%5B25%5D.pdf</x:v>
      </x:c>
      <x:c r="X316" s="2" t="str">
        <x:v>https://iiasa.ac.at/what-is-technology</x:v>
      </x:c>
      <x:c r="Y316" s="2" t="str">
        <x:v>https://www.fao.org/climate-change/en; https://www.ipcc.ch/report/ar6/wg3/chapter/chapter-7/; https://openknowledge.fao.org/server/api/core/bitstreams/b21f2087-f398-4718-8461-b92afc82e617/content</x:v>
      </x:c>
      <x:c r="Z316" s="2" t="str">
        <x:v>Technology-specific analytical synthesis. The CTCN hierarchy is retained; classifications and component dependencies require validation against the selected design, site and supplier documentation before investment or policy use.</x:v>
      </x:c>
      <x:c r="AA316" s="2" t="str">
        <x:v>Physical deployment of Conservation tillage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6" s="2" t="str">
        <x:v>For Conservation tillage,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6" s="2" t="str">
        <x:v>Construction and operation use seed or planting stock, organic matter, fertilisers, soil amendments, water, fencing or structural materials, veterinary inputs and monitoring consumables. For Conservation tillage, specifications must include durability, compatibility, recycled content and recoverability.</x:v>
      </x:c>
      <x:c r="AD316" s="2" t="str">
        <x:v>Maintenance of Conservation tillage depends on seed, inoculants, filters, drip lines, nozzles, tool parts, sampling containers, sensor batteries, veterinary supplies and protective equipment; critical spares are selected from failure-mode, lead-time and safety analysis for its installed configuration.</x:v>
      </x:c>
      <x:c r="AE316" s="2" t="str">
        <x:v>The software stack for Conservation tillage requires databases, secure communications, version-controlled models, computing, backup and interfaces with field or operational systems.</x:v>
      </x:c>
      <x:c r="AF316" s="2" t="str">
        <x:v>For Conservation tillage, software-related energy is electricity for sensing, computing, storage, communication and cooling; it is normally secondary but must be included for data-intensive or continuous services.</x:v>
      </x:c>
      <x:c r="AG316" s="2" t="str">
        <x:v>The non-physical inputs are calibrated data, metadata, algorithms, boundary conditions, emission or hazard factors, manuals and validation records specific to Conservation tillage.</x:v>
      </x:c>
      <x:c r="AH316" s="2" t="str">
        <x:v>Software continuity for Conservation tillage requires licences where applicable, updates, cybersecurity patches, backups, calibration files, model validation and technical support.</x:v>
      </x:c>
      <x:c r="AI316" s="2" t="str">
        <x:v>Orgware depends on the institutions, laboratories, training providers, regulators, operators and community interfaces needed to govern Conservation tillage.</x:v>
      </x:c>
      <x:c r="AJ316" s="2" t="str">
        <x:v>The orgware supporting Conservation tillage has mainly indirect energy use from offices, meetings, training and information systems; travel and field supervision may be material at dispersed sites.</x:v>
      </x:c>
      <x:c r="AK316" s="2" t="str">
        <x:v>Its organisational inputs are permits, budgets, trained staff, competence records, contracts, procedures, safeguards, monitoring evidence and stakeholder agreements tailored to Conservation tillage.</x:v>
      </x:c>
      <x:c r="AL316" s="2" t="str">
        <x:v>Sustained implementation of Conservation tillage requires procurement and service contracts, audit protocols, training material, reporting templates, insurance or guarantees and periodic independent review.</x:v>
      </x:c>
      <x:c r="AM316" s="2" t="str">
        <x:v>Phosphate rock; Potash</x:v>
      </x:c>
      <x:c r="AN316" s="2" t="str">
        <x:v>China; Morocco; United States; Canada; Russia; Belarus</x:v>
      </x:c>
      <x:c r="AO316" s="2" t="str">
        <x:v>China; Morocco; United States; Canada; Russia; Belarus</x:v>
      </x:c>
      <x:c r="AP316" s="2" t="str">
        <x:v>Conservation tillage: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6" s="2" t="str">
        <x:v>2024–2025</x:v>
      </x:c>
      <x:c r="AR316" s="2" t="str">
        <x:v>https://pubs.usgs.gov/periodicals/mcs2026/mcs2026.pdf</x:v>
      </x:c>
    </x:row>
    <x:row r="317" ht="240" customHeight="1">
      <x:c r="A317" s="2" t="str">
        <x:v>ADP-0047</x:v>
      </x:c>
      <x:c r="B317" s="2" t="str">
        <x:v>Adaptation</x:v>
      </x:c>
      <x:c r="C317" s="2" t="str">
        <x:v>Agriculture and Forestry</x:v>
      </x:c>
      <x:c r="D317" s="2" t="str">
        <x:v>Increasing crop resilience and productivity</x:v>
      </x:c>
      <x:c r="E317" s="2" t="str">
        <x:v>Improved cultivation techniques</x:v>
      </x:c>
      <x:c r="F317" s="2" t="str">
        <x:v>Improved cultivation techniques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Improved cultivation techniques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7" s="2" t="str">
        <x:v>Mixed: adaptable design, site-specific implementation</x:v>
      </x:c>
      <x:c r="H317" s="2" t="str">
        <x:v>Improved cultivation techniques is adaptable in capacity and configuration but site-specific in final engineering. Its principle remains the same, but resource quality, climate, scale, interfaces and safety constraints must be recalculated for each deployment.</x:v>
      </x:c>
      <x:c r="I317" s="2" t="str">
        <x:v>Primarily hard, with a soft component</x:v>
      </x:c>
      <x:c r="J317" s="2" t="str">
        <x:v>Improved cultivation techniques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7" s="2" t="str">
        <x:v>Operation</x:v>
      </x:c>
      <x:c r="L317" s="2" t="str">
        <x:v>Improved cultivation techniques is embodied mainly as an operating practice. The deliverable is accepted only when measurable service, quality, safety and climate-performance criteria are met under real conditions.</x:v>
      </x:c>
      <x:c r="M317" s="2" t="str">
        <x:v>Yes, subject to life-cycle safeguards</x:v>
      </x:c>
      <x:c r="N317" s="2" t="str">
        <x:v>Improved cultivation techniques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7" s="2" t="str">
        <x:v>Improved cultivation techniques: field or forest implements, planting and irrigation equipment, storage or livestock facilities, sampling tools, sensors and protective structures as required.</x:v>
      </x:c>
      <x:c r="P317" s="2" t="str">
        <x:v>Improved cultivation techniques: soil–crop–livestock knowledge, nutrient and water budgets, emission factors, carbon accounting, climate services, monitoring protocols and adaptive management.</x:v>
      </x:c>
      <x:c r="Q317" s="2" t="str">
        <x:v>Improved cultivation techniques: land tenure, extension, producer organisations, veterinary or phytosanitary services, incentives, safeguards, certification and monitoring arrangements.</x:v>
      </x:c>
      <x:c r="R317" s="2" t="str">
        <x:v>Improved cultivation techniques: nurseries or seed banks, field access, water and storage systems, laboratories, extension centres, monitoring plots and processing or market facilities.</x:v>
      </x:c>
      <x:c r="S317" s="2" t="str">
        <x:v>Improved cultivation techniques: human and mechanical work, electricity or fuel for machinery, pumping, cooling and processing; biological energy and solar radiation dominate field processes.</x:v>
      </x:c>
      <x:c r="T317" s="2" t="str">
        <x:v>Improved cultivation techniques: seed or planting stock, organic matter, fertilisers, soil amendments, water, fencing or structural materials, veterinary inputs and monitoring consumables.</x:v>
      </x:c>
      <x:c r="U317" s="2" t="str">
        <x:v>Improved cultivation techniques: seed, inoculants, filters, drip lines, nozzles, tool parts, sampling containers, sensor batteries, veterinary supplies and protective equipment.</x:v>
      </x:c>
      <x:c r="V317" s="2" t="str">
        <x:v>https://www.ctc-n.org/sites/default/files/resources/ctcn_taxonomy_0.pdf</x:v>
      </x:c>
      <x:c r="W317" s="2" t="str">
        <x:v>https://institutoagricoladepueblobello.edu.co/colegiapp/archivostemas/GUIA%209.%5B25%5D.pdf</x:v>
      </x:c>
      <x:c r="X317" s="2" t="str">
        <x:v>https://iiasa.ac.at/what-is-technology</x:v>
      </x:c>
      <x:c r="Y317" s="2" t="str">
        <x:v>https://www.fao.org/climate-change/en; https://www.ipcc.ch/report/ar6/wg3/chapter/chapter-7/; https://openknowledge.fao.org/server/api/core/bitstreams/b21f2087-f398-4718-8461-b92afc82e617/content</x:v>
      </x:c>
      <x:c r="Z317" s="2" t="str">
        <x:v>Technology-specific analytical synthesis. The CTCN hierarchy is retained; classifications and component dependencies require validation against the selected design, site and supplier documentation before investment or policy use.</x:v>
      </x:c>
      <x:c r="AA317" s="2" t="str">
        <x:v>Physical deployment of Improved cultivation techniques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7" s="2" t="str">
        <x:v>For Improved cultivation techniques,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7" s="2" t="str">
        <x:v>Construction and operation use seed or planting stock, organic matter, fertilisers, soil amendments, water, fencing or structural materials, veterinary inputs and monitoring consumables. For Improved cultivation techniques, specifications must include durability, compatibility, recycled content and recoverability.</x:v>
      </x:c>
      <x:c r="AD317" s="2" t="str">
        <x:v>Maintenance of Improved cultivation techniques depends on seed, inoculants, filters, drip lines, nozzles, tool parts, sampling containers, sensor batteries, veterinary supplies and protective equipment; critical spares are selected from failure-mode, lead-time and safety analysis for its installed configuration.</x:v>
      </x:c>
      <x:c r="AE317" s="2" t="str">
        <x:v>The software stack for Improved cultivation techniques requires databases, secure communications, version-controlled models, computing, backup and interfaces with field or operational systems.</x:v>
      </x:c>
      <x:c r="AF317" s="2" t="str">
        <x:v>For Improved cultivation techniques, software-related energy is electricity for sensing, computing, storage, communication and cooling; it is normally secondary but must be included for data-intensive or continuous services.</x:v>
      </x:c>
      <x:c r="AG317" s="2" t="str">
        <x:v>The non-physical inputs are calibrated data, metadata, algorithms, boundary conditions, emission or hazard factors, manuals and validation records specific to Improved cultivation techniques.</x:v>
      </x:c>
      <x:c r="AH317" s="2" t="str">
        <x:v>Software continuity for Improved cultivation techniques requires licences where applicable, updates, cybersecurity patches, backups, calibration files, model validation and technical support.</x:v>
      </x:c>
      <x:c r="AI317" s="2" t="str">
        <x:v>Orgware depends on the institutions, laboratories, training providers, regulators, operators and community interfaces needed to govern Improved cultivation techniques.</x:v>
      </x:c>
      <x:c r="AJ317" s="2" t="str">
        <x:v>The orgware supporting Improved cultivation techniques has mainly indirect energy use from offices, meetings, training and information systems; travel and field supervision may be material at dispersed sites.</x:v>
      </x:c>
      <x:c r="AK317" s="2" t="str">
        <x:v>Its organisational inputs are permits, budgets, trained staff, competence records, contracts, procedures, safeguards, monitoring evidence and stakeholder agreements tailored to Improved cultivation techniques.</x:v>
      </x:c>
      <x:c r="AL317" s="2" t="str">
        <x:v>Sustained implementation of Improved cultivation techniques requires procurement and service contracts, audit protocols, training material, reporting templates, insurance or guarantees and periodic independent review.</x:v>
      </x:c>
      <x:c r="AM317" s="2" t="str">
        <x:v>Phosphate rock; Potash</x:v>
      </x:c>
      <x:c r="AN317" s="2" t="str">
        <x:v>China; Morocco; United States; Canada; Russia; Belarus</x:v>
      </x:c>
      <x:c r="AO317" s="2" t="str">
        <x:v>China; Morocco; United States; Canada; Russia; Belarus</x:v>
      </x:c>
      <x:c r="AP317" s="2" t="str">
        <x:v>Improved cultivation techniques: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7" s="2" t="str">
        <x:v>2024–2025</x:v>
      </x:c>
      <x:c r="AR317" s="2" t="str">
        <x:v>https://pubs.usgs.gov/periodicals/mcs2026/mcs2026.pdf</x:v>
      </x:c>
    </x:row>
    <x:row r="318" ht="240" customHeight="1">
      <x:c r="A318" s="2" t="str">
        <x:v>ADP-0048</x:v>
      </x:c>
      <x:c r="B318" s="2" t="str">
        <x:v>Adaptation</x:v>
      </x:c>
      <x:c r="C318" s="2" t="str">
        <x:v>Agriculture and Forestry</x:v>
      </x:c>
      <x:c r="D318" s="2" t="str">
        <x:v>Increasing crop resilience and productivity</x:v>
      </x:c>
      <x:c r="E318" s="2" t="str">
        <x:v>Crop diversification and new varieties</x:v>
      </x:c>
      <x:c r="F318" s="2" t="str">
        <x:v>Crop diversification and new varieties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Crop diversification and new varieties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8" s="2" t="str">
        <x:v>Mixed: adaptable design, site-specific implementation</x:v>
      </x:c>
      <x:c r="H318" s="2" t="str">
        <x:v>Crop diversification and new varieties is adaptable in capacity and configuration but site-specific in final engineering. Its principle remains the same, but resource quality, climate, scale, interfaces and safety constraints must be recalculated for each deployment.</x:v>
      </x:c>
      <x:c r="I318" s="2" t="str">
        <x:v>Primarily hard, with a soft component</x:v>
      </x:c>
      <x:c r="J318" s="2" t="str">
        <x:v>Crop diversification and new varieties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8" s="2" t="str">
        <x:v>Product and equipment; complementary operation</x:v>
      </x:c>
      <x:c r="L318" s="2" t="str">
        <x:v>Crop diversification and new varieties is embodied mainly as a product/equipment package. The deliverable is accepted only when measurable service, quality, safety and climate-performance criteria are met under real conditions.</x:v>
      </x:c>
      <x:c r="M318" s="2" t="str">
        <x:v>Yes, subject to life-cycle safeguards</x:v>
      </x:c>
      <x:c r="N318" s="2" t="str">
        <x:v>Crop diversification and new varieties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8" s="2" t="str">
        <x:v>Crop diversification and new varieties: field or forest implements, planting and irrigation equipment, storage or livestock facilities, sampling tools, sensors and protective structures as required.</x:v>
      </x:c>
      <x:c r="P318" s="2" t="str">
        <x:v>Crop diversification and new varieties: soil–crop–livestock knowledge, nutrient and water budgets, emission factors, carbon accounting, climate services, monitoring protocols and adaptive management.</x:v>
      </x:c>
      <x:c r="Q318" s="2" t="str">
        <x:v>Crop diversification and new varieties: land tenure, extension, producer organisations, veterinary or phytosanitary services, incentives, safeguards, certification and monitoring arrangements.</x:v>
      </x:c>
      <x:c r="R318" s="2" t="str">
        <x:v>Crop diversification and new varieties: nurseries or seed banks, field access, water and storage systems, laboratories, extension centres, monitoring plots and processing or market facilities.</x:v>
      </x:c>
      <x:c r="S318" s="2" t="str">
        <x:v>Crop diversification and new varieties: human and mechanical work, electricity or fuel for machinery, pumping, cooling and processing; biological energy and solar radiation dominate field processes.</x:v>
      </x:c>
      <x:c r="T318" s="2" t="str">
        <x:v>Crop diversification and new varieties: seed or planting stock, organic matter, fertilisers, soil amendments, water, fencing or structural materials, veterinary inputs and monitoring consumables.</x:v>
      </x:c>
      <x:c r="U318" s="2" t="str">
        <x:v>Crop diversification and new varieties: seed, inoculants, filters, drip lines, nozzles, tool parts, sampling containers, sensor batteries, veterinary supplies and protective equipment.</x:v>
      </x:c>
      <x:c r="V318" s="2" t="str">
        <x:v>https://www.ctc-n.org/sites/default/files/resources/ctcn_taxonomy_0.pdf</x:v>
      </x:c>
      <x:c r="W318" s="2" t="str">
        <x:v>https://institutoagricoladepueblobello.edu.co/colegiapp/archivostemas/GUIA%209.%5B25%5D.pdf</x:v>
      </x:c>
      <x:c r="X318" s="2" t="str">
        <x:v>https://iiasa.ac.at/what-is-technology</x:v>
      </x:c>
      <x:c r="Y318" s="2" t="str">
        <x:v>https://www.fao.org/climate-change/en; https://www.ipcc.ch/report/ar6/wg3/chapter/chapter-7/; https://openknowledge.fao.org/server/api/core/bitstreams/b21f2087-f398-4718-8461-b92afc82e617/content</x:v>
      </x:c>
      <x:c r="Z318" s="2" t="str">
        <x:v>Technology-specific analytical synthesis. The CTCN hierarchy is retained; classifications and component dependencies require validation against the selected design, site and supplier documentation before investment or policy use.</x:v>
      </x:c>
      <x:c r="AA318" s="2" t="str">
        <x:v>Physical deployment of Crop diversification and new varieties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8" s="2" t="str">
        <x:v>For Crop diversification and new varieties,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8" s="2" t="str">
        <x:v>Construction and operation use seed or planting stock, organic matter, fertilisers, soil amendments, water, fencing or structural materials, veterinary inputs and monitoring consumables. For Crop diversification and new varieties, specifications must include durability, compatibility, recycled content and recoverability.</x:v>
      </x:c>
      <x:c r="AD318" s="2" t="str">
        <x:v>Maintenance of Crop diversification and new varieties depends on seed, inoculants, filters, drip lines, nozzles, tool parts, sampling containers, sensor batteries, veterinary supplies and protective equipment; critical spares are selected from failure-mode, lead-time and safety analysis for its installed configuration.</x:v>
      </x:c>
      <x:c r="AE318" s="2" t="str">
        <x:v>The software stack for Crop diversification and new varieties requires databases, secure communications, version-controlled models, computing, backup and interfaces with field or operational systems.</x:v>
      </x:c>
      <x:c r="AF318" s="2" t="str">
        <x:v>For Crop diversification and new varieties, software-related energy is electricity for sensing, computing, storage, communication and cooling; it is normally secondary but must be included for data-intensive or continuous services.</x:v>
      </x:c>
      <x:c r="AG318" s="2" t="str">
        <x:v>The non-physical inputs are calibrated data, metadata, algorithms, boundary conditions, emission or hazard factors, manuals and validation records specific to Crop diversification and new varieties.</x:v>
      </x:c>
      <x:c r="AH318" s="2" t="str">
        <x:v>Software continuity for Crop diversification and new varieties requires licences where applicable, updates, cybersecurity patches, backups, calibration files, model validation and technical support.</x:v>
      </x:c>
      <x:c r="AI318" s="2" t="str">
        <x:v>Orgware depends on the institutions, laboratories, training providers, regulators, operators and community interfaces needed to govern Crop diversification and new varieties.</x:v>
      </x:c>
      <x:c r="AJ318" s="2" t="str">
        <x:v>The orgware supporting Crop diversification and new varieties has mainly indirect energy use from offices, meetings, training and information systems; travel and field supervision may be material at dispersed sites.</x:v>
      </x:c>
      <x:c r="AK318" s="2" t="str">
        <x:v>Its organisational inputs are permits, budgets, trained staff, competence records, contracts, procedures, safeguards, monitoring evidence and stakeholder agreements tailored to Crop diversification and new varieties.</x:v>
      </x:c>
      <x:c r="AL318" s="2" t="str">
        <x:v>Sustained implementation of Crop diversification and new varieties requires procurement and service contracts, audit protocols, training material, reporting templates, insurance or guarantees and periodic independent review.</x:v>
      </x:c>
      <x:c r="AM318" s="2" t="str">
        <x:v>Phosphate rock; Potash</x:v>
      </x:c>
      <x:c r="AN318" s="2" t="str">
        <x:v>China; Morocco; United States; Canada; Russia; Belarus</x:v>
      </x:c>
      <x:c r="AO318" s="2" t="str">
        <x:v>China; Morocco; United States; Canada; Russia; Belarus</x:v>
      </x:c>
      <x:c r="AP318" s="2" t="str">
        <x:v>Crop diversification and new varieties: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8" s="2" t="str">
        <x:v>2024–2025</x:v>
      </x:c>
      <x:c r="AR318" s="2" t="str">
        <x:v>https://pubs.usgs.gov/periodicals/mcs2026/mcs2026.pdf</x:v>
      </x:c>
    </x:row>
    <x:row r="319" ht="240" customHeight="1">
      <x:c r="A319" s="2" t="str">
        <x:v>ADP-0049</x:v>
      </x:c>
      <x:c r="B319" s="2" t="str">
        <x:v>Adaptation</x:v>
      </x:c>
      <x:c r="C319" s="2" t="str">
        <x:v>Agriculture and Forestry</x:v>
      </x:c>
      <x:c r="D319" s="2" t="str">
        <x:v>Increasing crop resilience and productivity</x:v>
      </x:c>
      <x:c r="E319" s="2" t="str">
        <x:v>Aeroponic seed production</x:v>
      </x:c>
      <x:c r="F319" s="2" t="str">
        <x:v>Aeroponic seed production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Aeroponic seed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9" s="2" t="str">
        <x:v>Mixed: adaptable design, site-specific implementation</x:v>
      </x:c>
      <x:c r="H319" s="2" t="str">
        <x:v>Aeroponic seed production is adaptable in capacity and configuration but site-specific in final engineering. Its principle remains the same, but resource quality, climate, scale, interfaces and safety constraints must be recalculated for each deployment.</x:v>
      </x:c>
      <x:c r="I319" s="2" t="str">
        <x:v>Primarily hard, with a soft component</x:v>
      </x:c>
      <x:c r="J319" s="2" t="str">
        <x:v>Aeroponic seed production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9" s="2" t="str">
        <x:v>Operation</x:v>
      </x:c>
      <x:c r="L319" s="2" t="str">
        <x:v>Aeroponic seed production is embodied mainly as an operating practice. The deliverable is accepted only when measurable service, quality, safety and climate-performance criteria are met under real conditions.</x:v>
      </x:c>
      <x:c r="M319" s="2" t="str">
        <x:v>Yes, subject to life-cycle safeguards</x:v>
      </x:c>
      <x:c r="N319" s="2" t="str">
        <x:v>Aeroponic seed production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9" s="2" t="str">
        <x:v>Aeroponic seed production: field or forest implements, planting and irrigation equipment, storage or livestock facilities, sampling tools, sensors and protective structures as required.</x:v>
      </x:c>
      <x:c r="P319" s="2" t="str">
        <x:v>Aeroponic seed production: soil–crop–livestock knowledge, nutrient and water budgets, emission factors, carbon accounting, climate services, monitoring protocols and adaptive management.</x:v>
      </x:c>
      <x:c r="Q319" s="2" t="str">
        <x:v>Aeroponic seed production: land tenure, extension, producer organisations, veterinary or phytosanitary services, incentives, safeguards, certification and monitoring arrangements.</x:v>
      </x:c>
      <x:c r="R319" s="2" t="str">
        <x:v>Aeroponic seed production: nurseries or seed banks, field access, water and storage systems, laboratories, extension centres, monitoring plots and processing or market facilities.</x:v>
      </x:c>
      <x:c r="S319" s="2" t="str">
        <x:v>Aeroponic seed production: human and mechanical work, electricity or fuel for machinery, pumping, cooling and processing; biological energy and solar radiation dominate field processes.</x:v>
      </x:c>
      <x:c r="T319" s="2" t="str">
        <x:v>Aeroponic seed production: seed or planting stock, organic matter, fertilisers, soil amendments, water, fencing or structural materials, veterinary inputs and monitoring consumables.</x:v>
      </x:c>
      <x:c r="U319" s="2" t="str">
        <x:v>Aeroponic seed production: seed, inoculants, filters, drip lines, nozzles, tool parts, sampling containers, sensor batteries, veterinary supplies and protective equipment.</x:v>
      </x:c>
      <x:c r="V319" s="2" t="str">
        <x:v>https://www.ctc-n.org/sites/default/files/resources/ctcn_taxonomy_0.pdf</x:v>
      </x:c>
      <x:c r="W319" s="2" t="str">
        <x:v>https://institutoagricoladepueblobello.edu.co/colegiapp/archivostemas/GUIA%209.%5B25%5D.pdf</x:v>
      </x:c>
      <x:c r="X319" s="2" t="str">
        <x:v>https://iiasa.ac.at/what-is-technology</x:v>
      </x:c>
      <x:c r="Y319" s="2" t="str">
        <x:v>https://www.fao.org/climate-change/en; https://www.ipcc.ch/report/ar6/wg3/chapter/chapter-7/; https://openknowledge.fao.org/server/api/core/bitstreams/b21f2087-f398-4718-8461-b92afc82e617/content</x:v>
      </x:c>
      <x:c r="Z319" s="2" t="str">
        <x:v>Technology-specific analytical synthesis. The CTCN hierarchy is retained; classifications and component dependencies require validation against the selected design, site and supplier documentation before investment or policy use.</x:v>
      </x:c>
      <x:c r="AA319" s="2" t="str">
        <x:v>Physical deployment of Aeroponic seed production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9" s="2" t="str">
        <x:v>For Aeroponic seed production,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9" s="2" t="str">
        <x:v>Construction and operation use seed or planting stock, organic matter, fertilisers, soil amendments, water, fencing or structural materials, veterinary inputs and monitoring consumables. For Aeroponic seed production, specifications must include durability, compatibility, recycled content and recoverability.</x:v>
      </x:c>
      <x:c r="AD319" s="2" t="str">
        <x:v>Maintenance of Aeroponic seed production depends on seed, inoculants, filters, drip lines, nozzles, tool parts, sampling containers, sensor batteries, veterinary supplies and protective equipment; critical spares are selected from failure-mode, lead-time and safety analysis for its installed configuration.</x:v>
      </x:c>
      <x:c r="AE319" s="2" t="str">
        <x:v>The software stack for Aeroponic seed production requires databases, secure communications, version-controlled models, computing, backup and interfaces with field or operational systems.</x:v>
      </x:c>
      <x:c r="AF319" s="2" t="str">
        <x:v>For Aeroponic seed production, software-related energy is electricity for sensing, computing, storage, communication and cooling; it is normally secondary but must be included for data-intensive or continuous services.</x:v>
      </x:c>
      <x:c r="AG319" s="2" t="str">
        <x:v>The non-physical inputs are calibrated data, metadata, algorithms, boundary conditions, emission or hazard factors, manuals and validation records specific to Aeroponic seed production.</x:v>
      </x:c>
      <x:c r="AH319" s="2" t="str">
        <x:v>Software continuity for Aeroponic seed production requires licences where applicable, updates, cybersecurity patches, backups, calibration files, model validation and technical support.</x:v>
      </x:c>
      <x:c r="AI319" s="2" t="str">
        <x:v>Orgware depends on the institutions, laboratories, training providers, regulators, operators and community interfaces needed to govern Aeroponic seed production.</x:v>
      </x:c>
      <x:c r="AJ319" s="2" t="str">
        <x:v>The orgware supporting Aeroponic seed production has mainly indirect energy use from offices, meetings, training and information systems; travel and field supervision may be material at dispersed sites.</x:v>
      </x:c>
      <x:c r="AK319" s="2" t="str">
        <x:v>Its organisational inputs are permits, budgets, trained staff, competence records, contracts, procedures, safeguards, monitoring evidence and stakeholder agreements tailored to Aeroponic seed production.</x:v>
      </x:c>
      <x:c r="AL319" s="2" t="str">
        <x:v>Sustained implementation of Aeroponic seed production requires procurement and service contracts, audit protocols, training material, reporting templates, insurance or guarantees and periodic independent review.</x:v>
      </x:c>
      <x:c r="AM319" s="2" t="str">
        <x:v>Phosphate rock; Potash</x:v>
      </x:c>
      <x:c r="AN319" s="2" t="str">
        <x:v>China; Morocco; United States; Canada; Russia; Belarus</x:v>
      </x:c>
      <x:c r="AO319" s="2" t="str">
        <x:v>China; Morocco; United States; Canada; Russia; Belarus</x:v>
      </x:c>
      <x:c r="AP319" s="2" t="str">
        <x:v>Aeroponic seed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9" s="2" t="str">
        <x:v>2024–2025</x:v>
      </x:c>
      <x:c r="AR319" s="2" t="str">
        <x:v>https://pubs.usgs.gov/periodicals/mcs2026/mcs2026.pdf</x:v>
      </x:c>
    </x:row>
    <x:row r="320" ht="240" customHeight="1">
      <x:c r="A320" s="2" t="str">
        <x:v>ADP-0050</x:v>
      </x:c>
      <x:c r="B320" s="2" t="str">
        <x:v>Adaptation</x:v>
      </x:c>
      <x:c r="C320" s="2" t="str">
        <x:v>Agriculture and Forestry</x:v>
      </x:c>
      <x:c r="D320" s="2" t="str">
        <x:v>Increasing crop resilience and productivity</x:v>
      </x:c>
      <x:c r="E320" s="2" t="str">
        <x:v>Crop rotation</x:v>
      </x:c>
      <x:c r="F320" s="2" t="str">
        <x:v>Crop rotation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Crop rotation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0" s="2" t="str">
        <x:v>Mixed: adaptable design, site-specific implementation</x:v>
      </x:c>
      <x:c r="H320" s="2" t="str">
        <x:v>Crop rotation is adaptable in capacity and configuration but site-specific in final engineering. Its principle remains the same, but resource quality, climate, scale, interfaces and safety constraints must be recalculated for each deployment.</x:v>
      </x:c>
      <x:c r="I320" s="2" t="str">
        <x:v>Primarily hard, with a soft component</x:v>
      </x:c>
      <x:c r="J320" s="2" t="str">
        <x:v>Crop rotation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0" s="2" t="str">
        <x:v>Operation</x:v>
      </x:c>
      <x:c r="L320" s="2" t="str">
        <x:v>Crop rotation is embodied mainly as an operating practice. The deliverable is accepted only when measurable service, quality, safety and climate-performance criteria are met under real conditions.</x:v>
      </x:c>
      <x:c r="M320" s="2" t="str">
        <x:v>Yes, subject to life-cycle safeguards</x:v>
      </x:c>
      <x:c r="N320" s="2" t="str">
        <x:v>Crop rotation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0" s="2" t="str">
        <x:v>Crop rotation: field or forest implements, planting and irrigation equipment, storage or livestock facilities, sampling tools, sensors and protective structures as required.</x:v>
      </x:c>
      <x:c r="P320" s="2" t="str">
        <x:v>Crop rotation: soil–crop–livestock knowledge, nutrient and water budgets, emission factors, carbon accounting, climate services, monitoring protocols and adaptive management.</x:v>
      </x:c>
      <x:c r="Q320" s="2" t="str">
        <x:v>Crop rotation: land tenure, extension, producer organisations, veterinary or phytosanitary services, incentives, safeguards, certification and monitoring arrangements.</x:v>
      </x:c>
      <x:c r="R320" s="2" t="str">
        <x:v>Crop rotation: nurseries or seed banks, field access, water and storage systems, laboratories, extension centres, monitoring plots and processing or market facilities.</x:v>
      </x:c>
      <x:c r="S320" s="2" t="str">
        <x:v>Crop rotation: human and mechanical work, electricity or fuel for machinery, pumping, cooling and processing; biological energy and solar radiation dominate field processes.</x:v>
      </x:c>
      <x:c r="T320" s="2" t="str">
        <x:v>Crop rotation: seed or planting stock, organic matter, fertilisers, soil amendments, water, fencing or structural materials, veterinary inputs and monitoring consumables.</x:v>
      </x:c>
      <x:c r="U320" s="2" t="str">
        <x:v>Crop rotation: seed, inoculants, filters, drip lines, nozzles, tool parts, sampling containers, sensor batteries, veterinary supplies and protective equipment.</x:v>
      </x:c>
      <x:c r="V320" s="2" t="str">
        <x:v>https://www.ctc-n.org/sites/default/files/resources/ctcn_taxonomy_0.pdf</x:v>
      </x:c>
      <x:c r="W320" s="2" t="str">
        <x:v>https://institutoagricoladepueblobello.edu.co/colegiapp/archivostemas/GUIA%209.%5B25%5D.pdf</x:v>
      </x:c>
      <x:c r="X320" s="2" t="str">
        <x:v>https://iiasa.ac.at/what-is-technology</x:v>
      </x:c>
      <x:c r="Y320" s="2" t="str">
        <x:v>https://www.fao.org/climate-change/en; https://www.ipcc.ch/report/ar6/wg3/chapter/chapter-7/; https://openknowledge.fao.org/server/api/core/bitstreams/b21f2087-f398-4718-8461-b92afc82e617/content</x:v>
      </x:c>
      <x:c r="Z320" s="2" t="str">
        <x:v>Technology-specific analytical synthesis. The CTCN hierarchy is retained; classifications and component dependencies require validation against the selected design, site and supplier documentation before investment or policy use.</x:v>
      </x:c>
      <x:c r="AA320" s="2" t="str">
        <x:v>Physical deployment of Crop rotation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0" s="2" t="str">
        <x:v>For Crop rotation,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0" s="2" t="str">
        <x:v>Construction and operation use seed or planting stock, organic matter, fertilisers, soil amendments, water, fencing or structural materials, veterinary inputs and monitoring consumables. For Crop rotation, specifications must include durability, compatibility, recycled content and recoverability.</x:v>
      </x:c>
      <x:c r="AD320" s="2" t="str">
        <x:v>Maintenance of Crop rotation depends on seed, inoculants, filters, drip lines, nozzles, tool parts, sampling containers, sensor batteries, veterinary supplies and protective equipment; critical spares are selected from failure-mode, lead-time and safety analysis for its installed configuration.</x:v>
      </x:c>
      <x:c r="AE320" s="2" t="str">
        <x:v>The software stack for Crop rotation requires databases, secure communications, version-controlled models, computing, backup and interfaces with field or operational systems.</x:v>
      </x:c>
      <x:c r="AF320" s="2" t="str">
        <x:v>For Crop rotation, software-related energy is electricity for sensing, computing, storage, communication and cooling; it is normally secondary but must be included for data-intensive or continuous services.</x:v>
      </x:c>
      <x:c r="AG320" s="2" t="str">
        <x:v>The non-physical inputs are calibrated data, metadata, algorithms, boundary conditions, emission or hazard factors, manuals and validation records specific to Crop rotation.</x:v>
      </x:c>
      <x:c r="AH320" s="2" t="str">
        <x:v>Software continuity for Crop rotation requires licences where applicable, updates, cybersecurity patches, backups, calibration files, model validation and technical support.</x:v>
      </x:c>
      <x:c r="AI320" s="2" t="str">
        <x:v>Orgware depends on the institutions, laboratories, training providers, regulators, operators and community interfaces needed to govern Crop rotation.</x:v>
      </x:c>
      <x:c r="AJ320" s="2" t="str">
        <x:v>The orgware supporting Crop rotation has mainly indirect energy use from offices, meetings, training and information systems; travel and field supervision may be material at dispersed sites.</x:v>
      </x:c>
      <x:c r="AK320" s="2" t="str">
        <x:v>Its organisational inputs are permits, budgets, trained staff, competence records, contracts, procedures, safeguards, monitoring evidence and stakeholder agreements tailored to Crop rotation.</x:v>
      </x:c>
      <x:c r="AL320" s="2" t="str">
        <x:v>Sustained implementation of Crop rotation requires procurement and service contracts, audit protocols, training material, reporting templates, insurance or guarantees and periodic independent review.</x:v>
      </x:c>
      <x:c r="AM320" s="2" t="str">
        <x:v>Phosphate rock; Potash</x:v>
      </x:c>
      <x:c r="AN320" s="2" t="str">
        <x:v>China; Morocco; United States; Canada; Russia; Belarus</x:v>
      </x:c>
      <x:c r="AO320" s="2" t="str">
        <x:v>China; Morocco; United States; Canada; Russia; Belarus</x:v>
      </x:c>
      <x:c r="AP320" s="2" t="str">
        <x:v>Crop rotation: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0" s="2" t="str">
        <x:v>2024–2025</x:v>
      </x:c>
      <x:c r="AR320" s="2" t="str">
        <x:v>https://pubs.usgs.gov/periodicals/mcs2026/mcs2026.pdf</x:v>
      </x:c>
    </x:row>
    <x:row r="321" ht="240" customHeight="1">
      <x:c r="A321" s="2" t="str">
        <x:v>ADP-0051</x:v>
      </x:c>
      <x:c r="B321" s="2" t="str">
        <x:v>Adaptation</x:v>
      </x:c>
      <x:c r="C321" s="2" t="str">
        <x:v>Agriculture and Forestry</x:v>
      </x:c>
      <x:c r="D321" s="2" t="str">
        <x:v>Livestock management</x:v>
      </x:c>
      <x:c r="E321" s="2" t="str">
        <x:v>Manure management</x:v>
      </x:c>
      <x:c r="F321" s="2" t="str">
        <x:v>Manure management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1" s="2" t="str">
        <x:v>Flexible</x:v>
      </x:c>
      <x:c r="H321" s="2" t="str">
        <x:v>Manure management is transferable through configurable methods, rules and operating parameters. Its principle remains the same, but resource quality, climate, scale, interfaces and safety constraints must be recalculated for each deployment.</x:v>
      </x:c>
      <x:c r="I321" s="2" t="str">
        <x:v>Primarily soft, with physical support</x:v>
      </x:c>
      <x:c r="J321" s="2" t="str">
        <x:v>Manure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1" s="2" t="str">
        <x:v>Operation</x:v>
      </x:c>
      <x:c r="L321" s="2" t="str">
        <x:v>Manure management is embodied mainly as an operating practice. The deliverable is accepted only when measurable service, quality, safety and climate-performance criteria are met under real conditions.</x:v>
      </x:c>
      <x:c r="M321" s="2" t="str">
        <x:v>Yes, subject to life-cycle safeguards</x:v>
      </x:c>
      <x:c r="N321" s="2" t="str">
        <x:v>Manure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1" s="2" t="str">
        <x:v>Manure management: field or forest implements, planting and irrigation equipment, storage or livestock facilities, sampling tools, sensors and protective structures as required.</x:v>
      </x:c>
      <x:c r="P321" s="2" t="str">
        <x:v>Manure management: soil–crop–livestock knowledge, nutrient and water budgets, emission factors, carbon accounting, climate services, monitoring protocols and adaptive management.</x:v>
      </x:c>
      <x:c r="Q321" s="2" t="str">
        <x:v>Manure management: land tenure, extension, producer organisations, veterinary or phytosanitary services, incentives, safeguards, certification and monitoring arrangements.</x:v>
      </x:c>
      <x:c r="R321" s="2" t="str">
        <x:v>Manure management: nurseries or seed banks, field access, water and storage systems, laboratories, extension centres, monitoring plots and processing or market facilities.</x:v>
      </x:c>
      <x:c r="S321" s="2" t="str">
        <x:v>Manure management: human and mechanical work, electricity or fuel for machinery, pumping, cooling and processing; biological energy and solar radiation dominate field processes.</x:v>
      </x:c>
      <x:c r="T321" s="2" t="str">
        <x:v>Manure management: seed or planting stock, organic matter, fertilisers, soil amendments, water, fencing or structural materials, veterinary inputs and monitoring consumables.</x:v>
      </x:c>
      <x:c r="U321" s="2" t="str">
        <x:v>Manure management: seed, inoculants, filters, drip lines, nozzles, tool parts, sampling containers, sensor batteries, veterinary supplies and protective equipment.</x:v>
      </x:c>
      <x:c r="V321" s="2" t="str">
        <x:v>https://www.ctc-n.org/sites/default/files/resources/ctcn_taxonomy_0.pdf</x:v>
      </x:c>
      <x:c r="W321" s="2" t="str">
        <x:v>https://institutoagricoladepueblobello.edu.co/colegiapp/archivostemas/GUIA%209.%5B25%5D.pdf</x:v>
      </x:c>
      <x:c r="X321" s="2" t="str">
        <x:v>https://iiasa.ac.at/what-is-technology</x:v>
      </x:c>
      <x:c r="Y321" s="2" t="str">
        <x:v>https://www.fao.org/climate-change/en; https://www.ipcc.ch/report/ar6/wg3/chapter/chapter-7/; https://openknowledge.fao.org/server/api/core/bitstreams/b21f2087-f398-4718-8461-b92afc82e617/content</x:v>
      </x:c>
      <x:c r="Z321" s="2" t="str">
        <x:v>Technology-specific analytical synthesis. The CTCN hierarchy is retained; classifications and component dependencies require validation against the selected design, site and supplier documentation before investment or policy use.</x:v>
      </x:c>
      <x:c r="AA321" s="2" t="str">
        <x:v>Physical deployment of Manure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1" s="2" t="str">
        <x:v>For Manure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1" s="2" t="str">
        <x:v>Construction and operation use seed or planting stock, organic matter, fertilisers, soil amendments, water, fencing or structural materials, veterinary inputs and monitoring consumables. For Manure management, specifications must include durability, compatibility, recycled content and recoverability.</x:v>
      </x:c>
      <x:c r="AD321" s="2" t="str">
        <x:v>Maintenance of Manure management depends on seed, inoculants, filters, drip lines, nozzles, tool parts, sampling containers, sensor batteries, veterinary supplies and protective equipment; critical spares are selected from failure-mode, lead-time and safety analysis for its installed configuration.</x:v>
      </x:c>
      <x:c r="AE321" s="2" t="str">
        <x:v>The software stack for Manure management requires databases, secure communications, version-controlled models, computing, backup and interfaces with field or operational systems.</x:v>
      </x:c>
      <x:c r="AF321" s="2" t="str">
        <x:v>For Manure management, software-related energy is electricity for sensing, computing, storage, communication and cooling; it is normally secondary but must be included for data-intensive or continuous services.</x:v>
      </x:c>
      <x:c r="AG321" s="2" t="str">
        <x:v>The non-physical inputs are calibrated data, metadata, algorithms, boundary conditions, emission or hazard factors, manuals and validation records specific to Manure management.</x:v>
      </x:c>
      <x:c r="AH321" s="2" t="str">
        <x:v>Software continuity for Manure management requires licences where applicable, updates, cybersecurity patches, backups, calibration files, model validation and technical support.</x:v>
      </x:c>
      <x:c r="AI321" s="2" t="str">
        <x:v>Orgware depends on the institutions, laboratories, training providers, regulators, operators and community interfaces needed to govern Manure management.</x:v>
      </x:c>
      <x:c r="AJ321" s="2" t="str">
        <x:v>The orgware supporting Manure management has mainly indirect energy use from offices, meetings, training and information systems; travel and field supervision may be material at dispersed sites.</x:v>
      </x:c>
      <x:c r="AK321" s="2" t="str">
        <x:v>Its organisational inputs are permits, budgets, trained staff, competence records, contracts, procedures, safeguards, monitoring evidence and stakeholder agreements tailored to Manure management.</x:v>
      </x:c>
      <x:c r="AL321" s="2" t="str">
        <x:v>Sustained implementation of Manure management requires procurement and service contracts, audit protocols, training material, reporting templates, insurance or guarantees and periodic independent review.</x:v>
      </x:c>
      <x:c r="AM321" s="2" t="str">
        <x:v>No critical or strategic raw material is identifiable at taxonomy level; site-specific bulk materials may still be required.</x:v>
      </x:c>
      <x:c r="AN321" s="2" t="str"/>
      <x:c r="AO321" s="2" t="str"/>
      <x:c r="AP321" s="2" t="str">
        <x:v>Manure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1" s="2" t="str">
        <x:v>2024–2025</x:v>
      </x:c>
      <x:c r="AR321" s="2" t="str">
        <x:v>https://pubs.usgs.gov/periodicals/mcs2026/mcs2026.pdf; https://www.iea.org/reports/global-critical-minerals-outlook-2025</x:v>
      </x:c>
    </x:row>
    <x:row r="322" ht="240" customHeight="1">
      <x:c r="A322" s="2" t="str">
        <x:v>ADP-0052</x:v>
      </x:c>
      <x:c r="B322" s="2" t="str">
        <x:v>Adaptation</x:v>
      </x:c>
      <x:c r="C322" s="2" t="str">
        <x:v>Agriculture and Forestry</x:v>
      </x:c>
      <x:c r="D322" s="2" t="str">
        <x:v>Livestock management</x:v>
      </x:c>
      <x:c r="E322" s="2" t="str">
        <x:v>Selective breeding via controlled mating</x:v>
      </x:c>
      <x:c r="F322" s="2" t="str">
        <x:v>Selective breeding via controlled mating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Selective breeding via controlled mating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2" s="2" t="str">
        <x:v>Flexible</x:v>
      </x:c>
      <x:c r="H322" s="2" t="str">
        <x:v>Selective breeding via controlled mating is transferable through configurable methods, rules and operating parameters. Its principle remains the same, but resource quality, climate, scale, interfaces and safety constraints must be recalculated for each deployment.</x:v>
      </x:c>
      <x:c r="I322" s="2" t="str">
        <x:v>Primarily soft, with physical support</x:v>
      </x:c>
      <x:c r="J322" s="2" t="str">
        <x:v>Selective breeding via controlled mating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2" s="2" t="str">
        <x:v>Operation</x:v>
      </x:c>
      <x:c r="L322" s="2" t="str">
        <x:v>Selective breeding via controlled mating is embodied mainly as an operating practice. The deliverable is accepted only when measurable service, quality, safety and climate-performance criteria are met under real conditions.</x:v>
      </x:c>
      <x:c r="M322" s="2" t="str">
        <x:v>Yes, subject to life-cycle safeguards</x:v>
      </x:c>
      <x:c r="N322" s="2" t="str">
        <x:v>Selective breeding via controlled mating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2" s="2" t="str">
        <x:v>Selective breeding via controlled mating: field or forest implements, planting and irrigation equipment, storage or livestock facilities, sampling tools, sensors and protective structures as required.</x:v>
      </x:c>
      <x:c r="P322" s="2" t="str">
        <x:v>Selective breeding via controlled mating: soil–crop–livestock knowledge, nutrient and water budgets, emission factors, carbon accounting, climate services, monitoring protocols and adaptive management.</x:v>
      </x:c>
      <x:c r="Q322" s="2" t="str">
        <x:v>Selective breeding via controlled mating: land tenure, extension, producer organisations, veterinary or phytosanitary services, incentives, safeguards, certification and monitoring arrangements.</x:v>
      </x:c>
      <x:c r="R322" s="2" t="str">
        <x:v>Selective breeding via controlled mating: nurseries or seed banks, field access, water and storage systems, laboratories, extension centres, monitoring plots and processing or market facilities.</x:v>
      </x:c>
      <x:c r="S322" s="2" t="str">
        <x:v>Selective breeding via controlled mating: human and mechanical work, electricity or fuel for machinery, pumping, cooling and processing; biological energy and solar radiation dominate field processes.</x:v>
      </x:c>
      <x:c r="T322" s="2" t="str">
        <x:v>Selective breeding via controlled mating: seed or planting stock, organic matter, fertilisers, soil amendments, water, fencing or structural materials, veterinary inputs and monitoring consumables.</x:v>
      </x:c>
      <x:c r="U322" s="2" t="str">
        <x:v>Selective breeding via controlled mating: seed, inoculants, filters, drip lines, nozzles, tool parts, sampling containers, sensor batteries, veterinary supplies and protective equipment.</x:v>
      </x:c>
      <x:c r="V322" s="2" t="str">
        <x:v>https://www.ctc-n.org/sites/default/files/resources/ctcn_taxonomy_0.pdf</x:v>
      </x:c>
      <x:c r="W322" s="2" t="str">
        <x:v>https://institutoagricoladepueblobello.edu.co/colegiapp/archivostemas/GUIA%209.%5B25%5D.pdf</x:v>
      </x:c>
      <x:c r="X322" s="2" t="str">
        <x:v>https://iiasa.ac.at/what-is-technology</x:v>
      </x:c>
      <x:c r="Y322" s="2" t="str">
        <x:v>https://www.fao.org/climate-change/en; https://www.ipcc.ch/report/ar6/wg3/chapter/chapter-7/; https://openknowledge.fao.org/server/api/core/bitstreams/b21f2087-f398-4718-8461-b92afc82e617/content</x:v>
      </x:c>
      <x:c r="Z322" s="2" t="str">
        <x:v>Technology-specific analytical synthesis. The CTCN hierarchy is retained; classifications and component dependencies require validation against the selected design, site and supplier documentation before investment or policy use.</x:v>
      </x:c>
      <x:c r="AA322" s="2" t="str">
        <x:v>Physical deployment of Selective breeding via controlled mating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2" s="2" t="str">
        <x:v>For Selective breeding via controlled mating,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2" s="2" t="str">
        <x:v>Construction and operation use seed or planting stock, organic matter, fertilisers, soil amendments, water, fencing or structural materials, veterinary inputs and monitoring consumables. For Selective breeding via controlled mating, specifications must include durability, compatibility, recycled content and recoverability.</x:v>
      </x:c>
      <x:c r="AD322" s="2" t="str">
        <x:v>Maintenance of Selective breeding via controlled mating depends on seed, inoculants, filters, drip lines, nozzles, tool parts, sampling containers, sensor batteries, veterinary supplies and protective equipment; critical spares are selected from failure-mode, lead-time and safety analysis for its installed configuration.</x:v>
      </x:c>
      <x:c r="AE322" s="2" t="str">
        <x:v>The software stack for Selective breeding via controlled mating requires databases, secure communications, version-controlled models, computing, backup and interfaces with field or operational systems.</x:v>
      </x:c>
      <x:c r="AF322" s="2" t="str">
        <x:v>For Selective breeding via controlled mating, software-related energy is electricity for sensing, computing, storage, communication and cooling; it is normally secondary but must be included for data-intensive or continuous services.</x:v>
      </x:c>
      <x:c r="AG322" s="2" t="str">
        <x:v>The non-physical inputs are calibrated data, metadata, algorithms, boundary conditions, emission or hazard factors, manuals and validation records specific to Selective breeding via controlled mating.</x:v>
      </x:c>
      <x:c r="AH322" s="2" t="str">
        <x:v>Software continuity for Selective breeding via controlled mating requires licences where applicable, updates, cybersecurity patches, backups, calibration files, model validation and technical support.</x:v>
      </x:c>
      <x:c r="AI322" s="2" t="str">
        <x:v>Orgware depends on the institutions, laboratories, training providers, regulators, operators and community interfaces needed to govern Selective breeding via controlled mating.</x:v>
      </x:c>
      <x:c r="AJ322" s="2" t="str">
        <x:v>The orgware supporting Selective breeding via controlled mating has mainly indirect energy use from offices, meetings, training and information systems; travel and field supervision may be material at dispersed sites.</x:v>
      </x:c>
      <x:c r="AK322" s="2" t="str">
        <x:v>Its organisational inputs are permits, budgets, trained staff, competence records, contracts, procedures, safeguards, monitoring evidence and stakeholder agreements tailored to Selective breeding via controlled mating.</x:v>
      </x:c>
      <x:c r="AL322" s="2" t="str">
        <x:v>Sustained implementation of Selective breeding via controlled mating requires procurement and service contracts, audit protocols, training material, reporting templates, insurance or guarantees and periodic independent review.</x:v>
      </x:c>
      <x:c r="AM322" s="2" t="str">
        <x:v>Copper; Tin</x:v>
      </x:c>
      <x:c r="AN322" s="2" t="str">
        <x:v>Chile; Democratic Republic of the Congo; Peru; China; Indonesia; Myanmar</x:v>
      </x:c>
      <x:c r="AO322" s="2" t="str">
        <x:v>China; Chile; Democratic Republic of the Congo; Indonesia; Malaysia</x:v>
      </x:c>
      <x:c r="AP322" s="2" t="str">
        <x:v>Selective breeding via controlled mating: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2" s="2" t="str">
        <x:v>2024–2025</x:v>
      </x:c>
      <x:c r="AR322" s="2" t="str">
        <x:v>https://pubs.usgs.gov/periodicals/mcs2026/mcs2026.pdf</x:v>
      </x:c>
    </x:row>
    <x:row r="323" ht="240" customHeight="1">
      <x:c r="A323" s="2" t="str">
        <x:v>ADP-0053</x:v>
      </x:c>
      <x:c r="B323" s="2" t="str">
        <x:v>Adaptation</x:v>
      </x:c>
      <x:c r="C323" s="2" t="str">
        <x:v>Agriculture and Forestry</x:v>
      </x:c>
      <x:c r="D323" s="2" t="str">
        <x:v>Livestock management</x:v>
      </x:c>
      <x:c r="E323" s="2" t="str">
        <x:v>Methane emission mitigation of ruminants</x:v>
      </x:c>
      <x:c r="F323" s="2" t="str">
        <x:v>Methane emission mitigation of ruminants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3" s="2" t="str">
        <x:v>Flexible</x:v>
      </x:c>
      <x:c r="H323" s="2" t="str">
        <x:v>Methane emission mitigation of ruminants is transferable through configurable methods, rules and operating parameters. Its principle remains the same, but resource quality, climate, scale, interfaces and safety constraints must be recalculated for each deployment.</x:v>
      </x:c>
      <x:c r="I323" s="2" t="str">
        <x:v>Primarily soft, with physical support</x:v>
      </x:c>
      <x:c r="J323" s="2" t="str">
        <x:v>Methane emission mitigation of ruminants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3" s="2" t="str">
        <x:v>Operation</x:v>
      </x:c>
      <x:c r="L323" s="2" t="str">
        <x:v>Methane emission mitigation of ruminants is embodied mainly as an operating practice. The deliverable is accepted only when measurable service, quality, safety and climate-performance criteria are met under real conditions.</x:v>
      </x:c>
      <x:c r="M323" s="2" t="str">
        <x:v>Yes, subject to life-cycle safeguards</x:v>
      </x:c>
      <x:c r="N323" s="2" t="str">
        <x:v>Methane emission mitigation of ruminants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3" s="2" t="str">
        <x:v>Methane emission mitigation of ruminants: field or forest implements, planting and irrigation equipment, storage or livestock facilities, sampling tools, sensors and protective structures as required.</x:v>
      </x:c>
      <x:c r="P323" s="2" t="str">
        <x:v>Methane emission mitigation of ruminants: soil–crop–livestock knowledge, nutrient and water budgets, emission factors, carbon accounting, climate services, monitoring protocols and adaptive management.</x:v>
      </x:c>
      <x:c r="Q323" s="2" t="str">
        <x:v>Methane emission mitigation of ruminants: land tenure, extension, producer organisations, veterinary or phytosanitary services, incentives, safeguards, certification and monitoring arrangements.</x:v>
      </x:c>
      <x:c r="R323" s="2" t="str">
        <x:v>Methane emission mitigation of ruminants: nurseries or seed banks, field access, water and storage systems, laboratories, extension centres, monitoring plots and processing or market facilities.</x:v>
      </x:c>
      <x:c r="S323" s="2" t="str">
        <x:v>Methane emission mitigation of ruminants: human and mechanical work, electricity or fuel for machinery, pumping, cooling and processing; biological energy and solar radiation dominate field processes.</x:v>
      </x:c>
      <x:c r="T323" s="2" t="str">
        <x:v>Methane emission mitigation of ruminants: seed or planting stock, organic matter, fertilisers, soil amendments, water, fencing or structural materials, veterinary inputs and monitoring consumables.</x:v>
      </x:c>
      <x:c r="U323" s="2" t="str">
        <x:v>Methane emission mitigation of ruminants: seed, inoculants, filters, drip lines, nozzles, tool parts, sampling containers, sensor batteries, veterinary supplies and protective equipment.</x:v>
      </x:c>
      <x:c r="V323" s="2" t="str">
        <x:v>https://www.ctc-n.org/sites/default/files/resources/ctcn_taxonomy_0.pdf</x:v>
      </x:c>
      <x:c r="W323" s="2" t="str">
        <x:v>https://institutoagricoladepueblobello.edu.co/colegiapp/archivostemas/GUIA%209.%5B25%5D.pdf</x:v>
      </x:c>
      <x:c r="X323" s="2" t="str">
        <x:v>https://iiasa.ac.at/what-is-technology</x:v>
      </x:c>
      <x:c r="Y323" s="2" t="str">
        <x:v>https://www.fao.org/climate-change/en; https://www.ipcc.ch/report/ar6/wg3/chapter/chapter-7/; https://openknowledge.fao.org/server/api/core/bitstreams/b21f2087-f398-4718-8461-b92afc82e617/content</x:v>
      </x:c>
      <x:c r="Z323" s="2" t="str">
        <x:v>Technology-specific analytical synthesis. The CTCN hierarchy is retained; classifications and component dependencies require validation against the selected design, site and supplier documentation before investment or policy use.</x:v>
      </x:c>
      <x:c r="AA323" s="2" t="str">
        <x:v>Physical deployment of Methane emission mitigation of ruminants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3" s="2" t="str">
        <x:v>For Methane emission mitigation of ruminants,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3" s="2" t="str">
        <x:v>Construction and operation use seed or planting stock, organic matter, fertilisers, soil amendments, water, fencing or structural materials, veterinary inputs and monitoring consumables. For Methane emission mitigation of ruminants, specifications must include durability, compatibility, recycled content and recoverability.</x:v>
      </x:c>
      <x:c r="AD323" s="2" t="str">
        <x:v>Maintenance of Methane emission mitigation of ruminants depends on seed, inoculants, filters, drip lines, nozzles, tool parts, sampling containers, sensor batteries, veterinary supplies and protective equipment; critical spares are selected from failure-mode, lead-time and safety analysis for its installed configuration.</x:v>
      </x:c>
      <x:c r="AE323" s="2" t="str">
        <x:v>The software stack for Methane emission mitigation of ruminants requires databases, secure communications, version-controlled models, computing, backup and interfaces with field or operational systems.</x:v>
      </x:c>
      <x:c r="AF323" s="2" t="str">
        <x:v>For Methane emission mitigation of ruminants, software-related energy is electricity for sensing, computing, storage, communication and cooling; it is normally secondary but must be included for data-intensive or continuous services.</x:v>
      </x:c>
      <x:c r="AG323" s="2" t="str">
        <x:v>The non-physical inputs are calibrated data, metadata, algorithms, boundary conditions, emission or hazard factors, manuals and validation records specific to Methane emission mitigation of ruminants.</x:v>
      </x:c>
      <x:c r="AH323" s="2" t="str">
        <x:v>Software continuity for Methane emission mitigation of ruminants requires licences where applicable, updates, cybersecurity patches, backups, calibration files, model validation and technical support.</x:v>
      </x:c>
      <x:c r="AI323" s="2" t="str">
        <x:v>Orgware depends on the institutions, laboratories, training providers, regulators, operators and community interfaces needed to govern Methane emission mitigation of ruminants.</x:v>
      </x:c>
      <x:c r="AJ323" s="2" t="str">
        <x:v>The orgware supporting Methane emission mitigation of ruminants has mainly indirect energy use from offices, meetings, training and information systems; travel and field supervision may be material at dispersed sites.</x:v>
      </x:c>
      <x:c r="AK323" s="2" t="str">
        <x:v>Its organisational inputs are permits, budgets, trained staff, competence records, contracts, procedures, safeguards, monitoring evidence and stakeholder agreements tailored to Methane emission mitigation of ruminants.</x:v>
      </x:c>
      <x:c r="AL323" s="2" t="str">
        <x:v>Sustained implementation of Methane emission mitigation of ruminants requires procurement and service contracts, audit protocols, training material, reporting templates, insurance or guarantees and periodic independent review.</x:v>
      </x:c>
      <x:c r="AM323" s="2" t="str">
        <x:v>No critical or strategic raw material is identifiable at taxonomy level; site-specific bulk materials may still be required.</x:v>
      </x:c>
      <x:c r="AN323" s="2" t="str"/>
      <x:c r="AO323" s="2" t="str"/>
      <x:c r="AP323" s="2" t="str">
        <x:v>Methane emission mitigation of ruminants: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3" s="2" t="str">
        <x:v>2024–2025</x:v>
      </x:c>
      <x:c r="AR323" s="2" t="str">
        <x:v>https://pubs.usgs.gov/periodicals/mcs2026/mcs2026.pdf</x:v>
      </x:c>
    </x:row>
    <x:row r="324" ht="240" customHeight="1">
      <x:c r="A324" s="2" t="str">
        <x:v>ADP-0054</x:v>
      </x:c>
      <x:c r="B324" s="2" t="str">
        <x:v>Adaptation</x:v>
      </x:c>
      <x:c r="C324" s="2" t="str">
        <x:v>Agriculture and Forestry</x:v>
      </x:c>
      <x:c r="D324" s="2" t="str">
        <x:v>Livestock management</x:v>
      </x:c>
      <x:c r="E324" s="2" t="str">
        <x:v>Straw ammoniation and silage</x:v>
      </x:c>
      <x:c r="F324" s="2" t="str">
        <x:v>Straw ammoniation and silage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Straw ammoniation and silage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4" s="2" t="str">
        <x:v>Flexible</x:v>
      </x:c>
      <x:c r="H324" s="2" t="str">
        <x:v>Straw ammoniation and silage is transferable through configurable methods, rules and operating parameters. Its principle remains the same, but resource quality, climate, scale, interfaces and safety constraints must be recalculated for each deployment.</x:v>
      </x:c>
      <x:c r="I324" s="2" t="str">
        <x:v>Primarily soft, with physical support</x:v>
      </x:c>
      <x:c r="J324" s="2" t="str">
        <x:v>Straw ammoniation and silage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4" s="2" t="str">
        <x:v>Operation</x:v>
      </x:c>
      <x:c r="L324" s="2" t="str">
        <x:v>Straw ammoniation and silage is embodied mainly as an operating practice. The deliverable is accepted only when measurable service, quality, safety and climate-performance criteria are met under real conditions.</x:v>
      </x:c>
      <x:c r="M324" s="2" t="str">
        <x:v>Yes, subject to life-cycle safeguards</x:v>
      </x:c>
      <x:c r="N324" s="2" t="str">
        <x:v>Straw ammoniation and silage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4" s="2" t="str">
        <x:v>Straw ammoniation and silage: field or forest implements, planting and irrigation equipment, storage or livestock facilities, sampling tools, sensors and protective structures as required.</x:v>
      </x:c>
      <x:c r="P324" s="2" t="str">
        <x:v>Straw ammoniation and silage: soil–crop–livestock knowledge, nutrient and water budgets, emission factors, carbon accounting, climate services, monitoring protocols and adaptive management.</x:v>
      </x:c>
      <x:c r="Q324" s="2" t="str">
        <x:v>Straw ammoniation and silage: land tenure, extension, producer organisations, veterinary or phytosanitary services, incentives, safeguards, certification and monitoring arrangements.</x:v>
      </x:c>
      <x:c r="R324" s="2" t="str">
        <x:v>Straw ammoniation and silage: nurseries or seed banks, field access, water and storage systems, laboratories, extension centres, monitoring plots and processing or market facilities.</x:v>
      </x:c>
      <x:c r="S324" s="2" t="str">
        <x:v>Straw ammoniation and silage: human and mechanical work, electricity or fuel for machinery, pumping, cooling and processing; biological energy and solar radiation dominate field processes.</x:v>
      </x:c>
      <x:c r="T324" s="2" t="str">
        <x:v>Straw ammoniation and silage: seed or planting stock, organic matter, fertilisers, soil amendments, water, fencing or structural materials, veterinary inputs and monitoring consumables.</x:v>
      </x:c>
      <x:c r="U324" s="2" t="str">
        <x:v>Straw ammoniation and silage: seed, inoculants, filters, drip lines, nozzles, tool parts, sampling containers, sensor batteries, veterinary supplies and protective equipment.</x:v>
      </x:c>
      <x:c r="V324" s="2" t="str">
        <x:v>https://www.ctc-n.org/sites/default/files/resources/ctcn_taxonomy_0.pdf</x:v>
      </x:c>
      <x:c r="W324" s="2" t="str">
        <x:v>https://institutoagricoladepueblobello.edu.co/colegiapp/archivostemas/GUIA%209.%5B25%5D.pdf</x:v>
      </x:c>
      <x:c r="X324" s="2" t="str">
        <x:v>https://iiasa.ac.at/what-is-technology</x:v>
      </x:c>
      <x:c r="Y324" s="2" t="str">
        <x:v>https://www.fao.org/climate-change/en; https://www.ipcc.ch/report/ar6/wg3/chapter/chapter-7/; https://openknowledge.fao.org/server/api/core/bitstreams/b21f2087-f398-4718-8461-b92afc82e617/content</x:v>
      </x:c>
      <x:c r="Z324" s="2" t="str">
        <x:v>Technology-specific analytical synthesis. The CTCN hierarchy is retained; classifications and component dependencies require validation against the selected design, site and supplier documentation before investment or policy use.</x:v>
      </x:c>
      <x:c r="AA324" s="2" t="str">
        <x:v>Physical deployment of Straw ammoniation and silage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4" s="2" t="str">
        <x:v>For Straw ammoniation and silage,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4" s="2" t="str">
        <x:v>Construction and operation use seed or planting stock, organic matter, fertilisers, soil amendments, water, fencing or structural materials, veterinary inputs and monitoring consumables. For Straw ammoniation and silage, specifications must include durability, compatibility, recycled content and recoverability.</x:v>
      </x:c>
      <x:c r="AD324" s="2" t="str">
        <x:v>Maintenance of Straw ammoniation and silage depends on seed, inoculants, filters, drip lines, nozzles, tool parts, sampling containers, sensor batteries, veterinary supplies and protective equipment; critical spares are selected from failure-mode, lead-time and safety analysis for its installed configuration.</x:v>
      </x:c>
      <x:c r="AE324" s="2" t="str">
        <x:v>The software stack for Straw ammoniation and silage requires databases, secure communications, version-controlled models, computing, backup and interfaces with field or operational systems.</x:v>
      </x:c>
      <x:c r="AF324" s="2" t="str">
        <x:v>For Straw ammoniation and silage, software-related energy is electricity for sensing, computing, storage, communication and cooling; it is normally secondary but must be included for data-intensive or continuous services.</x:v>
      </x:c>
      <x:c r="AG324" s="2" t="str">
        <x:v>The non-physical inputs are calibrated data, metadata, algorithms, boundary conditions, emission or hazard factors, manuals and validation records specific to Straw ammoniation and silage.</x:v>
      </x:c>
      <x:c r="AH324" s="2" t="str">
        <x:v>Software continuity for Straw ammoniation and silage requires licences where applicable, updates, cybersecurity patches, backups, calibration files, model validation and technical support.</x:v>
      </x:c>
      <x:c r="AI324" s="2" t="str">
        <x:v>Orgware depends on the institutions, laboratories, training providers, regulators, operators and community interfaces needed to govern Straw ammoniation and silage.</x:v>
      </x:c>
      <x:c r="AJ324" s="2" t="str">
        <x:v>The orgware supporting Straw ammoniation and silage has mainly indirect energy use from offices, meetings, training and information systems; travel and field supervision may be material at dispersed sites.</x:v>
      </x:c>
      <x:c r="AK324" s="2" t="str">
        <x:v>Its organisational inputs are permits, budgets, trained staff, competence records, contracts, procedures, safeguards, monitoring evidence and stakeholder agreements tailored to Straw ammoniation and silage.</x:v>
      </x:c>
      <x:c r="AL324" s="2" t="str">
        <x:v>Sustained implementation of Straw ammoniation and silage requires procurement and service contracts, audit protocols, training material, reporting templates, insurance or guarantees and periodic independent review.</x:v>
      </x:c>
      <x:c r="AM324" s="2" t="str">
        <x:v>Platinum-group metals</x:v>
      </x:c>
      <x:c r="AN324" s="2" t="str">
        <x:v>South Africa; Russia; Zimbabwe</x:v>
      </x:c>
      <x:c r="AO324" s="2" t="str">
        <x:v>South Africa; Russia; Germany</x:v>
      </x:c>
      <x:c r="AP324" s="2" t="str">
        <x:v>Straw ammoniation and silage: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4" s="2" t="str">
        <x:v>2024–2025</x:v>
      </x:c>
      <x:c r="AR324" s="2" t="str">
        <x:v>https://pubs.usgs.gov/periodicals/mcs2026/mcs2026.pdf</x:v>
      </x:c>
    </x:row>
    <x:row r="325" ht="240" customHeight="1">
      <x:c r="A325" s="2" t="str">
        <x:v>ADP-0055</x:v>
      </x:c>
      <x:c r="B325" s="2" t="str">
        <x:v>Adaptation</x:v>
      </x:c>
      <x:c r="C325" s="2" t="str">
        <x:v>Agriculture and Forestry</x:v>
      </x:c>
      <x:c r="D325" s="2" t="str">
        <x:v>Livestock management</x:v>
      </x:c>
      <x:c r="E325" s="2" t="str">
        <x:v>Temperature regulation for livestock</x:v>
      </x:c>
      <x:c r="F325" s="2" t="str">
        <x:v>Temperature regulation for livestock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Temperature regulation for livestock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5" s="2" t="str">
        <x:v>Flexible</x:v>
      </x:c>
      <x:c r="H325" s="2" t="str">
        <x:v>Temperature regulation for livestock is transferable through configurable methods, rules and operating parameters. Its principle remains the same, but resource quality, climate, scale, interfaces and safety constraints must be recalculated for each deployment.</x:v>
      </x:c>
      <x:c r="I325" s="2" t="str">
        <x:v>Primarily soft, with physical support</x:v>
      </x:c>
      <x:c r="J325" s="2" t="str">
        <x:v>Temperature regulation for livestock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5" s="2" t="str">
        <x:v>Operation</x:v>
      </x:c>
      <x:c r="L325" s="2" t="str">
        <x:v>Temperature regulation for livestock is embodied mainly as an operating practice. The deliverable is accepted only when measurable service, quality, safety and climate-performance criteria are met under real conditions.</x:v>
      </x:c>
      <x:c r="M325" s="2" t="str">
        <x:v>Yes, subject to life-cycle safeguards</x:v>
      </x:c>
      <x:c r="N325" s="2" t="str">
        <x:v>Temperature regulation for livestock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5" s="2" t="str">
        <x:v>Temperature regulation for livestock: field or forest implements, planting and irrigation equipment, storage or livestock facilities, sampling tools, sensors and protective structures as required.</x:v>
      </x:c>
      <x:c r="P325" s="2" t="str">
        <x:v>Temperature regulation for livestock: soil–crop–livestock knowledge, nutrient and water budgets, emission factors, carbon accounting, climate services, monitoring protocols and adaptive management.</x:v>
      </x:c>
      <x:c r="Q325" s="2" t="str">
        <x:v>Temperature regulation for livestock: land tenure, extension, producer organisations, veterinary or phytosanitary services, incentives, safeguards, certification and monitoring arrangements.</x:v>
      </x:c>
      <x:c r="R325" s="2" t="str">
        <x:v>Temperature regulation for livestock: nurseries or seed banks, field access, water and storage systems, laboratories, extension centres, monitoring plots and processing or market facilities.</x:v>
      </x:c>
      <x:c r="S325" s="2" t="str">
        <x:v>Temperature regulation for livestock: human and mechanical work, electricity or fuel for machinery, pumping, cooling and processing; biological energy and solar radiation dominate field processes.</x:v>
      </x:c>
      <x:c r="T325" s="2" t="str">
        <x:v>Temperature regulation for livestock: seed or planting stock, organic matter, fertilisers, soil amendments, water, fencing or structural materials, veterinary inputs and monitoring consumables.</x:v>
      </x:c>
      <x:c r="U325" s="2" t="str">
        <x:v>Temperature regulation for livestock: seed, inoculants, filters, drip lines, nozzles, tool parts, sampling containers, sensor batteries, veterinary supplies and protective equipment.</x:v>
      </x:c>
      <x:c r="V325" s="2" t="str">
        <x:v>https://www.ctc-n.org/sites/default/files/resources/ctcn_taxonomy_0.pdf</x:v>
      </x:c>
      <x:c r="W325" s="2" t="str">
        <x:v>https://institutoagricoladepueblobello.edu.co/colegiapp/archivostemas/GUIA%209.%5B25%5D.pdf</x:v>
      </x:c>
      <x:c r="X325" s="2" t="str">
        <x:v>https://iiasa.ac.at/what-is-technology</x:v>
      </x:c>
      <x:c r="Y325" s="2" t="str">
        <x:v>https://www.fao.org/climate-change/en; https://www.ipcc.ch/report/ar6/wg3/chapter/chapter-7/; https://openknowledge.fao.org/server/api/core/bitstreams/b21f2087-f398-4718-8461-b92afc82e617/content</x:v>
      </x:c>
      <x:c r="Z325" s="2" t="str">
        <x:v>Technology-specific analytical synthesis. The CTCN hierarchy is retained; classifications and component dependencies require validation against the selected design, site and supplier documentation before investment or policy use.</x:v>
      </x:c>
      <x:c r="AA325" s="2" t="str">
        <x:v>Physical deployment of Temperature regulation for livestock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5" s="2" t="str">
        <x:v>For Temperature regulation for livestock,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5" s="2" t="str">
        <x:v>Construction and operation use seed or planting stock, organic matter, fertilisers, soil amendments, water, fencing or structural materials, veterinary inputs and monitoring consumables. For Temperature regulation for livestock, specifications must include durability, compatibility, recycled content and recoverability.</x:v>
      </x:c>
      <x:c r="AD325" s="2" t="str">
        <x:v>Maintenance of Temperature regulation for livestock depends on seed, inoculants, filters, drip lines, nozzles, tool parts, sampling containers, sensor batteries, veterinary supplies and protective equipment; critical spares are selected from failure-mode, lead-time and safety analysis for its installed configuration.</x:v>
      </x:c>
      <x:c r="AE325" s="2" t="str">
        <x:v>The software stack for Temperature regulation for livestock requires databases, secure communications, version-controlled models, computing, backup and interfaces with field or operational systems.</x:v>
      </x:c>
      <x:c r="AF325" s="2" t="str">
        <x:v>For Temperature regulation for livestock, software-related energy is electricity for sensing, computing, storage, communication and cooling; it is normally secondary but must be included for data-intensive or continuous services.</x:v>
      </x:c>
      <x:c r="AG325" s="2" t="str">
        <x:v>The non-physical inputs are calibrated data, metadata, algorithms, boundary conditions, emission or hazard factors, manuals and validation records specific to Temperature regulation for livestock.</x:v>
      </x:c>
      <x:c r="AH325" s="2" t="str">
        <x:v>Software continuity for Temperature regulation for livestock requires licences where applicable, updates, cybersecurity patches, backups, calibration files, model validation and technical support.</x:v>
      </x:c>
      <x:c r="AI325" s="2" t="str">
        <x:v>Orgware depends on the institutions, laboratories, training providers, regulators, operators and community interfaces needed to govern Temperature regulation for livestock.</x:v>
      </x:c>
      <x:c r="AJ325" s="2" t="str">
        <x:v>The orgware supporting Temperature regulation for livestock has mainly indirect energy use from offices, meetings, training and information systems; travel and field supervision may be material at dispersed sites.</x:v>
      </x:c>
      <x:c r="AK325" s="2" t="str">
        <x:v>Its organisational inputs are permits, budgets, trained staff, competence records, contracts, procedures, safeguards, monitoring evidence and stakeholder agreements tailored to Temperature regulation for livestock.</x:v>
      </x:c>
      <x:c r="AL325" s="2" t="str">
        <x:v>Sustained implementation of Temperature regulation for livestock requires procurement and service contracts, audit protocols, training material, reporting templates, insurance or guarantees and periodic independent review.</x:v>
      </x:c>
      <x:c r="AM325" s="2" t="str">
        <x:v>No critical or strategic raw material is identifiable at taxonomy level; site-specific bulk materials may still be required.</x:v>
      </x:c>
      <x:c r="AN325" s="2" t="str"/>
      <x:c r="AO325" s="2" t="str"/>
      <x:c r="AP325" s="2" t="str">
        <x:v>Temperature regulation for livestock: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5" s="2" t="str">
        <x:v>2024–2025</x:v>
      </x:c>
      <x:c r="AR325" s="2" t="str">
        <x:v>https://pubs.usgs.gov/periodicals/mcs2026/mcs2026.pdf</x:v>
      </x:c>
    </x:row>
    <x:row r="326" ht="240" customHeight="1">
      <x:c r="A326" s="2" t="str">
        <x:v>ADP-0056</x:v>
      </x:c>
      <x:c r="B326" s="2" t="str">
        <x:v>Adaptation</x:v>
      </x:c>
      <x:c r="C326" s="2" t="str">
        <x:v>Agriculture and Forestry</x:v>
      </x:c>
      <x:c r="D326" s="2" t="str">
        <x:v>Livestock management</x:v>
      </x:c>
      <x:c r="E326" s="2" t="str">
        <x:v>Enteric fermentation</x:v>
      </x:c>
      <x:c r="F326" s="2" t="str">
        <x:v>Enteric fermentation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6" s="2" t="str">
        <x:v>Flexible</x:v>
      </x:c>
      <x:c r="H326" s="2" t="str">
        <x:v>Enteric fermentation is transferable through configurable methods, rules and operating parameters. Its principle remains the same, but resource quality, climate, scale, interfaces and safety constraints must be recalculated for each deployment.</x:v>
      </x:c>
      <x:c r="I326" s="2" t="str">
        <x:v>Primarily soft, with physical support</x:v>
      </x:c>
      <x:c r="J326" s="2" t="str">
        <x:v>Enteric fermentation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6" s="2" t="str">
        <x:v>Operation</x:v>
      </x:c>
      <x:c r="L326" s="2" t="str">
        <x:v>Enteric fermentation is embodied mainly as an operating practice. The deliverable is accepted only when measurable service, quality, safety and climate-performance criteria are met under real conditions.</x:v>
      </x:c>
      <x:c r="M326" s="2" t="str">
        <x:v>Yes, subject to life-cycle safeguards</x:v>
      </x:c>
      <x:c r="N326" s="2" t="str">
        <x:v>Enteric fermentation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6" s="2" t="str">
        <x:v>Enteric fermentation: field or forest implements, planting and irrigation equipment, storage or livestock facilities, sampling tools, sensors and protective structures as required.</x:v>
      </x:c>
      <x:c r="P326" s="2" t="str">
        <x:v>Enteric fermentation: soil–crop–livestock knowledge, nutrient and water budgets, emission factors, carbon accounting, climate services, monitoring protocols and adaptive management.</x:v>
      </x:c>
      <x:c r="Q326" s="2" t="str">
        <x:v>Enteric fermentation: land tenure, extension, producer organisations, veterinary or phytosanitary services, incentives, safeguards, certification and monitoring arrangements.</x:v>
      </x:c>
      <x:c r="R326" s="2" t="str">
        <x:v>Enteric fermentation: nurseries or seed banks, field access, water and storage systems, laboratories, extension centres, monitoring plots and processing or market facilities.</x:v>
      </x:c>
      <x:c r="S326" s="2" t="str">
        <x:v>Enteric fermentation: human and mechanical work, electricity or fuel for machinery, pumping, cooling and processing; biological energy and solar radiation dominate field processes.</x:v>
      </x:c>
      <x:c r="T326" s="2" t="str">
        <x:v>Enteric fermentation: seed or planting stock, organic matter, fertilisers, soil amendments, water, fencing or structural materials, veterinary inputs and monitoring consumables.</x:v>
      </x:c>
      <x:c r="U326" s="2" t="str">
        <x:v>Enteric fermentation: seed, inoculants, filters, drip lines, nozzles, tool parts, sampling containers, sensor batteries, veterinary supplies and protective equipment.</x:v>
      </x:c>
      <x:c r="V326" s="2" t="str">
        <x:v>https://www.ctc-n.org/sites/default/files/resources/ctcn_taxonomy_0.pdf</x:v>
      </x:c>
      <x:c r="W326" s="2" t="str">
        <x:v>https://institutoagricoladepueblobello.edu.co/colegiapp/archivostemas/GUIA%209.%5B25%5D.pdf</x:v>
      </x:c>
      <x:c r="X326" s="2" t="str">
        <x:v>https://iiasa.ac.at/what-is-technology</x:v>
      </x:c>
      <x:c r="Y326" s="2" t="str">
        <x:v>https://www.fao.org/climate-change/en; https://www.ipcc.ch/report/ar6/wg3/chapter/chapter-7/; https://openknowledge.fao.org/server/api/core/bitstreams/b21f2087-f398-4718-8461-b92afc82e617/content</x:v>
      </x:c>
      <x:c r="Z326" s="2" t="str">
        <x:v>Technology-specific analytical synthesis. The CTCN hierarchy is retained; classifications and component dependencies require validation against the selected design, site and supplier documentation before investment or policy use.</x:v>
      </x:c>
      <x:c r="AA326" s="2" t="str">
        <x:v>Physical deployment of Enteric fermentation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6" s="2" t="str">
        <x:v>For Enteric fermentation,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6" s="2" t="str">
        <x:v>Construction and operation use seed or planting stock, organic matter, fertilisers, soil amendments, water, fencing or structural materials, veterinary inputs and monitoring consumables. For Enteric fermentation, specifications must include durability, compatibility, recycled content and recoverability.</x:v>
      </x:c>
      <x:c r="AD326" s="2" t="str">
        <x:v>Maintenance of Enteric fermentation depends on seed, inoculants, filters, drip lines, nozzles, tool parts, sampling containers, sensor batteries, veterinary supplies and protective equipment; critical spares are selected from failure-mode, lead-time and safety analysis for its installed configuration.</x:v>
      </x:c>
      <x:c r="AE326" s="2" t="str">
        <x:v>The software stack for Enteric fermentation requires databases, secure communications, version-controlled models, computing, backup and interfaces with field or operational systems.</x:v>
      </x:c>
      <x:c r="AF326" s="2" t="str">
        <x:v>For Enteric fermentation, software-related energy is electricity for sensing, computing, storage, communication and cooling; it is normally secondary but must be included for data-intensive or continuous services.</x:v>
      </x:c>
      <x:c r="AG326" s="2" t="str">
        <x:v>The non-physical inputs are calibrated data, metadata, algorithms, boundary conditions, emission or hazard factors, manuals and validation records specific to Enteric fermentation.</x:v>
      </x:c>
      <x:c r="AH326" s="2" t="str">
        <x:v>Software continuity for Enteric fermentation requires licences where applicable, updates, cybersecurity patches, backups, calibration files, model validation and technical support.</x:v>
      </x:c>
      <x:c r="AI326" s="2" t="str">
        <x:v>Orgware depends on the institutions, laboratories, training providers, regulators, operators and community interfaces needed to govern Enteric fermentation.</x:v>
      </x:c>
      <x:c r="AJ326" s="2" t="str">
        <x:v>The orgware supporting Enteric fermentation has mainly indirect energy use from offices, meetings, training and information systems; travel and field supervision may be material at dispersed sites.</x:v>
      </x:c>
      <x:c r="AK326" s="2" t="str">
        <x:v>Its organisational inputs are permits, budgets, trained staff, competence records, contracts, procedures, safeguards, monitoring evidence and stakeholder agreements tailored to Enteric fermentation.</x:v>
      </x:c>
      <x:c r="AL326" s="2" t="str">
        <x:v>Sustained implementation of Enteric fermentation requires procurement and service contracts, audit protocols, training material, reporting templates, insurance or guarantees and periodic independent review.</x:v>
      </x:c>
      <x:c r="AM326" s="2" t="str">
        <x:v>No critical or strategic raw material is identifiable at taxonomy level; site-specific bulk materials may still be required.</x:v>
      </x:c>
      <x:c r="AN326" s="2" t="str"/>
      <x:c r="AO326" s="2" t="str"/>
      <x:c r="AP326" s="2" t="str">
        <x:v>Enteric fermentation: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6" s="2" t="str">
        <x:v>2024–2025</x:v>
      </x:c>
      <x:c r="AR326" s="2" t="str">
        <x:v>https://pubs.usgs.gov/periodicals/mcs2026/mcs2026.pdf</x:v>
      </x:c>
    </x:row>
    <x:row r="327" ht="240" customHeight="1">
      <x:c r="A327" s="2" t="str">
        <x:v>ADP-0057</x:v>
      </x:c>
      <x:c r="B327" s="2" t="str">
        <x:v>Adaptation</x:v>
      </x:c>
      <x:c r="C327" s="2" t="str">
        <x:v>Agriculture and Forestry</x:v>
      </x:c>
      <x:c r="D327" s="2" t="str">
        <x:v>Livestock management</x:v>
      </x:c>
      <x:c r="E327" s="2" t="str">
        <x:v>Livestock disease management</x:v>
      </x:c>
      <x:c r="F327" s="2" t="str">
        <x:v>Livestock disease management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Livestock disease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7" s="2" t="str">
        <x:v>Flexible</x:v>
      </x:c>
      <x:c r="H327" s="2" t="str">
        <x:v>Livestock disease management is transferable through configurable methods, rules and operating parameters. Its principle remains the same, but resource quality, climate, scale, interfaces and safety constraints must be recalculated for each deployment.</x:v>
      </x:c>
      <x:c r="I327" s="2" t="str">
        <x:v>Primarily soft, with physical support</x:v>
      </x:c>
      <x:c r="J327" s="2" t="str">
        <x:v>Livestock disease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7" s="2" t="str">
        <x:v>Operation</x:v>
      </x:c>
      <x:c r="L327" s="2" t="str">
        <x:v>Livestock disease management is embodied mainly as an operating practice. The deliverable is accepted only when measurable service, quality, safety and climate-performance criteria are met under real conditions.</x:v>
      </x:c>
      <x:c r="M327" s="2" t="str">
        <x:v>Yes, subject to life-cycle safeguards</x:v>
      </x:c>
      <x:c r="N327" s="2" t="str">
        <x:v>Livestock disease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7" s="2" t="str">
        <x:v>Livestock disease management: field or forest implements, planting and irrigation equipment, storage or livestock facilities, sampling tools, sensors and protective structures as required.</x:v>
      </x:c>
      <x:c r="P327" s="2" t="str">
        <x:v>Livestock disease management: soil–crop–livestock knowledge, nutrient and water budgets, emission factors, carbon accounting, climate services, monitoring protocols and adaptive management.</x:v>
      </x:c>
      <x:c r="Q327" s="2" t="str">
        <x:v>Livestock disease management: land tenure, extension, producer organisations, veterinary or phytosanitary services, incentives, safeguards, certification and monitoring arrangements.</x:v>
      </x:c>
      <x:c r="R327" s="2" t="str">
        <x:v>Livestock disease management: nurseries or seed banks, field access, water and storage systems, laboratories, extension centres, monitoring plots and processing or market facilities.</x:v>
      </x:c>
      <x:c r="S327" s="2" t="str">
        <x:v>Livestock disease management: human and mechanical work, electricity or fuel for machinery, pumping, cooling and processing; biological energy and solar radiation dominate field processes.</x:v>
      </x:c>
      <x:c r="T327" s="2" t="str">
        <x:v>Livestock disease management: seed or planting stock, organic matter, fertilisers, soil amendments, water, fencing or structural materials, veterinary inputs and monitoring consumables.</x:v>
      </x:c>
      <x:c r="U327" s="2" t="str">
        <x:v>Livestock disease management: seed, inoculants, filters, drip lines, nozzles, tool parts, sampling containers, sensor batteries, veterinary supplies and protective equipment.</x:v>
      </x:c>
      <x:c r="V327" s="2" t="str">
        <x:v>https://www.ctc-n.org/sites/default/files/resources/ctcn_taxonomy_0.pdf</x:v>
      </x:c>
      <x:c r="W327" s="2" t="str">
        <x:v>https://institutoagricoladepueblobello.edu.co/colegiapp/archivostemas/GUIA%209.%5B25%5D.pdf</x:v>
      </x:c>
      <x:c r="X327" s="2" t="str">
        <x:v>https://iiasa.ac.at/what-is-technology</x:v>
      </x:c>
      <x:c r="Y327" s="2" t="str">
        <x:v>https://www.fao.org/climate-change/en; https://www.ipcc.ch/report/ar6/wg3/chapter/chapter-7/; https://openknowledge.fao.org/server/api/core/bitstreams/b21f2087-f398-4718-8461-b92afc82e617/content</x:v>
      </x:c>
      <x:c r="Z327" s="2" t="str">
        <x:v>Technology-specific analytical synthesis. The CTCN hierarchy is retained; classifications and component dependencies require validation against the selected design, site and supplier documentation before investment or policy use.</x:v>
      </x:c>
      <x:c r="AA327" s="2" t="str">
        <x:v>Physical deployment of Livestock disease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7" s="2" t="str">
        <x:v>For Livestock disease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7" s="2" t="str">
        <x:v>Construction and operation use seed or planting stock, organic matter, fertilisers, soil amendments, water, fencing or structural materials, veterinary inputs and monitoring consumables. For Livestock disease management, specifications must include durability, compatibility, recycled content and recoverability.</x:v>
      </x:c>
      <x:c r="AD327" s="2" t="str">
        <x:v>Maintenance of Livestock disease management depends on seed, inoculants, filters, drip lines, nozzles, tool parts, sampling containers, sensor batteries, veterinary supplies and protective equipment; critical spares are selected from failure-mode, lead-time and safety analysis for its installed configuration.</x:v>
      </x:c>
      <x:c r="AE327" s="2" t="str">
        <x:v>The software stack for Livestock disease management requires databases, secure communications, version-controlled models, computing, backup and interfaces with field or operational systems.</x:v>
      </x:c>
      <x:c r="AF327" s="2" t="str">
        <x:v>For Livestock disease management, software-related energy is electricity for sensing, computing, storage, communication and cooling; it is normally secondary but must be included for data-intensive or continuous services.</x:v>
      </x:c>
      <x:c r="AG327" s="2" t="str">
        <x:v>The non-physical inputs are calibrated data, metadata, algorithms, boundary conditions, emission or hazard factors, manuals and validation records specific to Livestock disease management.</x:v>
      </x:c>
      <x:c r="AH327" s="2" t="str">
        <x:v>Software continuity for Livestock disease management requires licences where applicable, updates, cybersecurity patches, backups, calibration files, model validation and technical support.</x:v>
      </x:c>
      <x:c r="AI327" s="2" t="str">
        <x:v>Orgware depends on the institutions, laboratories, training providers, regulators, operators and community interfaces needed to govern Livestock disease management.</x:v>
      </x:c>
      <x:c r="AJ327" s="2" t="str">
        <x:v>The orgware supporting Livestock disease management has mainly indirect energy use from offices, meetings, training and information systems; travel and field supervision may be material at dispersed sites.</x:v>
      </x:c>
      <x:c r="AK327" s="2" t="str">
        <x:v>Its organisational inputs are permits, budgets, trained staff, competence records, contracts, procedures, safeguards, monitoring evidence and stakeholder agreements tailored to Livestock disease management.</x:v>
      </x:c>
      <x:c r="AL327" s="2" t="str">
        <x:v>Sustained implementation of Livestock disease management requires procurement and service contracts, audit protocols, training material, reporting templates, insurance or guarantees and periodic independent review.</x:v>
      </x:c>
      <x:c r="AM327" s="2" t="str">
        <x:v>No critical or strategic raw material is identifiable at taxonomy level; site-specific bulk materials may still be required.</x:v>
      </x:c>
      <x:c r="AN327" s="2" t="str"/>
      <x:c r="AO327" s="2" t="str"/>
      <x:c r="AP327" s="2" t="str">
        <x:v>Livestock disease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7" s="2" t="str">
        <x:v>2024–2025</x:v>
      </x:c>
      <x:c r="AR327" s="2" t="str">
        <x:v>https://pubs.usgs.gov/periodicals/mcs2026/mcs2026.pdf</x:v>
      </x:c>
    </x:row>
    <x:row r="328" ht="240" customHeight="1">
      <x:c r="A328" s="2" t="str">
        <x:v>ADP-0058</x:v>
      </x:c>
      <x:c r="B328" s="2" t="str">
        <x:v>Adaptation</x:v>
      </x:c>
      <x:c r="C328" s="2" t="str">
        <x:v>Agriculture and Forestry</x:v>
      </x:c>
      <x:c r="D328" s="2" t="str">
        <x:v>Livestock management</x:v>
      </x:c>
      <x:c r="E328" s="2" t="str">
        <x:v>Grazing land management</x:v>
      </x:c>
      <x:c r="F328" s="2" t="str">
        <x:v>Grazing land management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Grazing 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8" s="2" t="str">
        <x:v>Flexible</x:v>
      </x:c>
      <x:c r="H328" s="2" t="str">
        <x:v>Grazing land management is transferable through configurable methods, rules and operating parameters. Its principle remains the same, but resource quality, climate, scale, interfaces and safety constraints must be recalculated for each deployment.</x:v>
      </x:c>
      <x:c r="I328" s="2" t="str">
        <x:v>Primarily soft, with physical support</x:v>
      </x:c>
      <x:c r="J328" s="2" t="str">
        <x:v>Grazing 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8" s="2" t="str">
        <x:v>Operation</x:v>
      </x:c>
      <x:c r="L328" s="2" t="str">
        <x:v>Grazing land management is embodied mainly as an operating practice. The deliverable is accepted only when measurable service, quality, safety and climate-performance criteria are met under real conditions.</x:v>
      </x:c>
      <x:c r="M328" s="2" t="str">
        <x:v>Yes, subject to life-cycle safeguards</x:v>
      </x:c>
      <x:c r="N328" s="2" t="str">
        <x:v>Grazing 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8" s="2" t="str">
        <x:v>Grazing land management: field or forest implements, planting and irrigation equipment, storage or livestock facilities, sampling tools, sensors and protective structures as required.</x:v>
      </x:c>
      <x:c r="P328" s="2" t="str">
        <x:v>Grazing land management: soil–crop–livestock knowledge, nutrient and water budgets, emission factors, carbon accounting, climate services, monitoring protocols and adaptive management.</x:v>
      </x:c>
      <x:c r="Q328" s="2" t="str">
        <x:v>Grazing land management: land tenure, extension, producer organisations, veterinary or phytosanitary services, incentives, safeguards, certification and monitoring arrangements.</x:v>
      </x:c>
      <x:c r="R328" s="2" t="str">
        <x:v>Grazing land management: nurseries or seed banks, field access, water and storage systems, laboratories, extension centres, monitoring plots and processing or market facilities.</x:v>
      </x:c>
      <x:c r="S328" s="2" t="str">
        <x:v>Grazing land management: human and mechanical work, electricity or fuel for machinery, pumping, cooling and processing; biological energy and solar radiation dominate field processes.</x:v>
      </x:c>
      <x:c r="T328" s="2" t="str">
        <x:v>Grazing land management: seed or planting stock, organic matter, fertilisers, soil amendments, water, fencing or structural materials, veterinary inputs and monitoring consumables.</x:v>
      </x:c>
      <x:c r="U328" s="2" t="str">
        <x:v>Grazing land management: seed, inoculants, filters, drip lines, nozzles, tool parts, sampling containers, sensor batteries, veterinary supplies and protective equipment.</x:v>
      </x:c>
      <x:c r="V328" s="2" t="str">
        <x:v>https://www.ctc-n.org/sites/default/files/resources/ctcn_taxonomy_0.pdf</x:v>
      </x:c>
      <x:c r="W328" s="2" t="str">
        <x:v>https://institutoagricoladepueblobello.edu.co/colegiapp/archivostemas/GUIA%209.%5B25%5D.pdf</x:v>
      </x:c>
      <x:c r="X328" s="2" t="str">
        <x:v>https://iiasa.ac.at/what-is-technology</x:v>
      </x:c>
      <x:c r="Y328" s="2" t="str">
        <x:v>https://www.fao.org/climate-change/en; https://www.ipcc.ch/report/ar6/wg3/chapter/chapter-7/; https://openknowledge.fao.org/server/api/core/bitstreams/b21f2087-f398-4718-8461-b92afc82e617/content</x:v>
      </x:c>
      <x:c r="Z328" s="2" t="str">
        <x:v>Technology-specific analytical synthesis. The CTCN hierarchy is retained; classifications and component dependencies require validation against the selected design, site and supplier documentation before investment or policy use.</x:v>
      </x:c>
      <x:c r="AA328" s="2" t="str">
        <x:v>Physical deployment of Grazing 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8" s="2" t="str">
        <x:v>For Grazing 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8" s="2" t="str">
        <x:v>Construction and operation use seed or planting stock, organic matter, fertilisers, soil amendments, water, fencing or structural materials, veterinary inputs and monitoring consumables. For Grazing land management, specifications must include durability, compatibility, recycled content and recoverability.</x:v>
      </x:c>
      <x:c r="AD328" s="2" t="str">
        <x:v>Maintenance of Grazing 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328" s="2" t="str">
        <x:v>The software stack for Grazing land management requires databases, secure communications, version-controlled models, computing, backup and interfaces with field or operational systems.</x:v>
      </x:c>
      <x:c r="AF328" s="2" t="str">
        <x:v>For Grazing land management, software-related energy is electricity for sensing, computing, storage, communication and cooling; it is normally secondary but must be included for data-intensive or continuous services.</x:v>
      </x:c>
      <x:c r="AG328" s="2" t="str">
        <x:v>The non-physical inputs are calibrated data, metadata, algorithms, boundary conditions, emission or hazard factors, manuals and validation records specific to Grazing land management.</x:v>
      </x:c>
      <x:c r="AH328" s="2" t="str">
        <x:v>Software continuity for Grazing land management requires licences where applicable, updates, cybersecurity patches, backups, calibration files, model validation and technical support.</x:v>
      </x:c>
      <x:c r="AI328" s="2" t="str">
        <x:v>Orgware depends on the institutions, laboratories, training providers, regulators, operators and community interfaces needed to govern Grazing land management.</x:v>
      </x:c>
      <x:c r="AJ328" s="2" t="str">
        <x:v>The orgware supporting Grazing land management has mainly indirect energy use from offices, meetings, training and information systems; travel and field supervision may be material at dispersed sites.</x:v>
      </x:c>
      <x:c r="AK328" s="2" t="str">
        <x:v>Its organisational inputs are permits, budgets, trained staff, competence records, contracts, procedures, safeguards, monitoring evidence and stakeholder agreements tailored to Grazing land management.</x:v>
      </x:c>
      <x:c r="AL328" s="2" t="str">
        <x:v>Sustained implementation of Grazing land management requires procurement and service contracts, audit protocols, training material, reporting templates, insurance or guarantees and periodic independent review.</x:v>
      </x:c>
      <x:c r="AM328" s="2" t="str">
        <x:v>No critical or strategic raw material is identifiable at taxonomy level; site-specific bulk materials may still be required.</x:v>
      </x:c>
      <x:c r="AN328" s="2" t="str"/>
      <x:c r="AO328" s="2" t="str"/>
      <x:c r="AP328" s="2" t="str">
        <x:v>Grazing 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8" s="2" t="str">
        <x:v>2024–2025</x:v>
      </x:c>
      <x:c r="AR328" s="2" t="str">
        <x:v>https://pubs.usgs.gov/periodicals/mcs2026/mcs2026.pdf</x:v>
      </x:c>
    </x:row>
    <x:row r="329" ht="240" customHeight="1">
      <x:c r="A329" s="2" t="str">
        <x:v>ADP-0059</x:v>
      </x:c>
      <x:c r="B329" s="2" t="str">
        <x:v>Adaptation</x:v>
      </x:c>
      <x:c r="C329" s="2" t="str">
        <x:v>Agriculture and Forestry</x:v>
      </x:c>
      <x:c r="D329" s="2" t="str">
        <x:v>Livestock management</x:v>
      </x:c>
      <x:c r="E329" s="2" t="str">
        <x:v>Fodder banks</x:v>
      </x:c>
      <x:c r="F329" s="2" t="str">
        <x:v>Fodder banks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Fodder banks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9" s="2" t="str">
        <x:v>Flexible</x:v>
      </x:c>
      <x:c r="H329" s="2" t="str">
        <x:v>Fodder banks is transferable through configurable methods, rules and operating parameters. Its principle remains the same, but resource quality, climate, scale, interfaces and safety constraints must be recalculated for each deployment.</x:v>
      </x:c>
      <x:c r="I329" s="2" t="str">
        <x:v>Primarily soft, with physical support</x:v>
      </x:c>
      <x:c r="J329" s="2" t="str">
        <x:v>Fodder banks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9" s="2" t="str">
        <x:v>Operation</x:v>
      </x:c>
      <x:c r="L329" s="2" t="str">
        <x:v>Fodder banks is embodied mainly as an operating practice. The deliverable is accepted only when measurable service, quality, safety and climate-performance criteria are met under real conditions.</x:v>
      </x:c>
      <x:c r="M329" s="2" t="str">
        <x:v>Yes, subject to life-cycle safeguards</x:v>
      </x:c>
      <x:c r="N329" s="2" t="str">
        <x:v>Fodder banks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9" s="2" t="str">
        <x:v>Fodder banks: field or forest implements, planting and irrigation equipment, storage or livestock facilities, sampling tools, sensors and protective structures as required.</x:v>
      </x:c>
      <x:c r="P329" s="2" t="str">
        <x:v>Fodder banks: soil–crop–livestock knowledge, nutrient and water budgets, emission factors, carbon accounting, climate services, monitoring protocols and adaptive management.</x:v>
      </x:c>
      <x:c r="Q329" s="2" t="str">
        <x:v>Fodder banks: land tenure, extension, producer organisations, veterinary or phytosanitary services, incentives, safeguards, certification and monitoring arrangements.</x:v>
      </x:c>
      <x:c r="R329" s="2" t="str">
        <x:v>Fodder banks: nurseries or seed banks, field access, water and storage systems, laboratories, extension centres, monitoring plots and processing or market facilities.</x:v>
      </x:c>
      <x:c r="S329" s="2" t="str">
        <x:v>Fodder banks: human and mechanical work, electricity or fuel for machinery, pumping, cooling and processing; biological energy and solar radiation dominate field processes.</x:v>
      </x:c>
      <x:c r="T329" s="2" t="str">
        <x:v>Fodder banks: seed or planting stock, organic matter, fertilisers, soil amendments, water, fencing or structural materials, veterinary inputs and monitoring consumables.</x:v>
      </x:c>
      <x:c r="U329" s="2" t="str">
        <x:v>Fodder banks: seed, inoculants, filters, drip lines, nozzles, tool parts, sampling containers, sensor batteries, veterinary supplies and protective equipment.</x:v>
      </x:c>
      <x:c r="V329" s="2" t="str">
        <x:v>https://www.ctc-n.org/sites/default/files/resources/ctcn_taxonomy_0.pdf</x:v>
      </x:c>
      <x:c r="W329" s="2" t="str">
        <x:v>https://institutoagricoladepueblobello.edu.co/colegiapp/archivostemas/GUIA%209.%5B25%5D.pdf</x:v>
      </x:c>
      <x:c r="X329" s="2" t="str">
        <x:v>https://iiasa.ac.at/what-is-technology</x:v>
      </x:c>
      <x:c r="Y329" s="2" t="str">
        <x:v>https://www.fao.org/climate-change/en; https://www.ipcc.ch/report/ar6/wg3/chapter/chapter-7/; https://openknowledge.fao.org/server/api/core/bitstreams/b21f2087-f398-4718-8461-b92afc82e617/content</x:v>
      </x:c>
      <x:c r="Z329" s="2" t="str">
        <x:v>Technology-specific analytical synthesis. The CTCN hierarchy is retained; classifications and component dependencies require validation against the selected design, site and supplier documentation before investment or policy use.</x:v>
      </x:c>
      <x:c r="AA329" s="2" t="str">
        <x:v>Physical deployment of Fodder banks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9" s="2" t="str">
        <x:v>For Fodder banks,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9" s="2" t="str">
        <x:v>Construction and operation use seed or planting stock, organic matter, fertilisers, soil amendments, water, fencing or structural materials, veterinary inputs and monitoring consumables. For Fodder banks, specifications must include durability, compatibility, recycled content and recoverability.</x:v>
      </x:c>
      <x:c r="AD329" s="2" t="str">
        <x:v>Maintenance of Fodder banks depends on seed, inoculants, filters, drip lines, nozzles, tool parts, sampling containers, sensor batteries, veterinary supplies and protective equipment; critical spares are selected from failure-mode, lead-time and safety analysis for its installed configuration.</x:v>
      </x:c>
      <x:c r="AE329" s="2" t="str">
        <x:v>The software stack for Fodder banks requires databases, secure communications, version-controlled models, computing, backup and interfaces with field or operational systems.</x:v>
      </x:c>
      <x:c r="AF329" s="2" t="str">
        <x:v>For Fodder banks, software-related energy is electricity for sensing, computing, storage, communication and cooling; it is normally secondary but must be included for data-intensive or continuous services.</x:v>
      </x:c>
      <x:c r="AG329" s="2" t="str">
        <x:v>The non-physical inputs are calibrated data, metadata, algorithms, boundary conditions, emission or hazard factors, manuals and validation records specific to Fodder banks.</x:v>
      </x:c>
      <x:c r="AH329" s="2" t="str">
        <x:v>Software continuity for Fodder banks requires licences where applicable, updates, cybersecurity patches, backups, calibration files, model validation and technical support.</x:v>
      </x:c>
      <x:c r="AI329" s="2" t="str">
        <x:v>Orgware depends on the institutions, laboratories, training providers, regulators, operators and community interfaces needed to govern Fodder banks.</x:v>
      </x:c>
      <x:c r="AJ329" s="2" t="str">
        <x:v>The orgware supporting Fodder banks has mainly indirect energy use from offices, meetings, training and information systems; travel and field supervision may be material at dispersed sites.</x:v>
      </x:c>
      <x:c r="AK329" s="2" t="str">
        <x:v>Its organisational inputs are permits, budgets, trained staff, competence records, contracts, procedures, safeguards, monitoring evidence and stakeholder agreements tailored to Fodder banks.</x:v>
      </x:c>
      <x:c r="AL329" s="2" t="str">
        <x:v>Sustained implementation of Fodder banks requires procurement and service contracts, audit protocols, training material, reporting templates, insurance or guarantees and periodic independent review.</x:v>
      </x:c>
      <x:c r="AM329" s="2" t="str">
        <x:v>Phosphate rock; Potash</x:v>
      </x:c>
      <x:c r="AN329" s="2" t="str">
        <x:v>China; Morocco; United States; Canada; Russia; Belarus</x:v>
      </x:c>
      <x:c r="AO329" s="2" t="str">
        <x:v>China; Morocco; United States; Canada; Russia; Belarus</x:v>
      </x:c>
      <x:c r="AP329" s="2" t="str">
        <x:v>Fodder banks: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9" s="2" t="str">
        <x:v>2024–2025</x:v>
      </x:c>
      <x:c r="AR329" s="2" t="str">
        <x:v>https://pubs.usgs.gov/periodicals/mcs2026/mcs2026.pdf</x:v>
      </x:c>
    </x:row>
    <x:row r="330" ht="240" customHeight="1">
      <x:c r="A330" s="2" t="str">
        <x:v>ADP-0060</x:v>
      </x:c>
      <x:c r="B330" s="2" t="str">
        <x:v>Adaptation</x:v>
      </x:c>
      <x:c r="C330" s="2" t="str">
        <x:v>Agriculture and Forestry</x:v>
      </x:c>
      <x:c r="D330" s="2" t="str">
        <x:v>Livestock management</x:v>
      </x:c>
      <x:c r="E330" s="2" t="str">
        <x:v>Climate tolerant livestock</x:v>
      </x:c>
      <x:c r="F330" s="2" t="str">
        <x:v>Climate tolerant livestock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Climate tolerant livestock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30" s="2" t="str">
        <x:v>Flexible</x:v>
      </x:c>
      <x:c r="H330" s="2" t="str">
        <x:v>Climate tolerant livestock is transferable through configurable methods, rules and operating parameters. Its principle remains the same, but resource quality, climate, scale, interfaces and safety constraints must be recalculated for each deployment.</x:v>
      </x:c>
      <x:c r="I330" s="2" t="str">
        <x:v>Primarily soft, with physical support</x:v>
      </x:c>
      <x:c r="J330" s="2" t="str">
        <x:v>Climate tolerant livestock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30" s="2" t="str">
        <x:v>Operation</x:v>
      </x:c>
      <x:c r="L330" s="2" t="str">
        <x:v>Climate tolerant livestock is embodied mainly as an operating practice. The deliverable is accepted only when measurable service, quality, safety and climate-performance criteria are met under real conditions.</x:v>
      </x:c>
      <x:c r="M330" s="2" t="str">
        <x:v>Yes, subject to life-cycle safeguards</x:v>
      </x:c>
      <x:c r="N330" s="2" t="str">
        <x:v>Climate tolerant livestock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30" s="2" t="str">
        <x:v>Climate tolerant livestock: field or forest implements, planting and irrigation equipment, storage or livestock facilities, sampling tools, sensors and protective structures as required.</x:v>
      </x:c>
      <x:c r="P330" s="2" t="str">
        <x:v>Climate tolerant livestock: soil–crop–livestock knowledge, nutrient and water budgets, emission factors, carbon accounting, climate services, monitoring protocols and adaptive management.</x:v>
      </x:c>
      <x:c r="Q330" s="2" t="str">
        <x:v>Climate tolerant livestock: land tenure, extension, producer organisations, veterinary or phytosanitary services, incentives, safeguards, certification and monitoring arrangements.</x:v>
      </x:c>
      <x:c r="R330" s="2" t="str">
        <x:v>Climate tolerant livestock: nurseries or seed banks, field access, water and storage systems, laboratories, extension centres, monitoring plots and processing or market facilities.</x:v>
      </x:c>
      <x:c r="S330" s="2" t="str">
        <x:v>Climate tolerant livestock: human and mechanical work, electricity or fuel for machinery, pumping, cooling and processing; biological energy and solar radiation dominate field processes.</x:v>
      </x:c>
      <x:c r="T330" s="2" t="str">
        <x:v>Climate tolerant livestock: seed or planting stock, organic matter, fertilisers, soil amendments, water, fencing or structural materials, veterinary inputs and monitoring consumables.</x:v>
      </x:c>
      <x:c r="U330" s="2" t="str">
        <x:v>Climate tolerant livestock: seed, inoculants, filters, drip lines, nozzles, tool parts, sampling containers, sensor batteries, veterinary supplies and protective equipment.</x:v>
      </x:c>
      <x:c r="V330" s="2" t="str">
        <x:v>https://www.ctc-n.org/sites/default/files/resources/ctcn_taxonomy_0.pdf</x:v>
      </x:c>
      <x:c r="W330" s="2" t="str">
        <x:v>https://institutoagricoladepueblobello.edu.co/colegiapp/archivostemas/GUIA%209.%5B25%5D.pdf</x:v>
      </x:c>
      <x:c r="X330" s="2" t="str">
        <x:v>https://iiasa.ac.at/what-is-technology</x:v>
      </x:c>
      <x:c r="Y330" s="2" t="str">
        <x:v>https://www.fao.org/climate-change/en; https://www.ipcc.ch/report/ar6/wg3/chapter/chapter-7/; https://openknowledge.fao.org/server/api/core/bitstreams/b21f2087-f398-4718-8461-b92afc82e617/content</x:v>
      </x:c>
      <x:c r="Z330" s="2" t="str">
        <x:v>Technology-specific analytical synthesis. The CTCN hierarchy is retained; classifications and component dependencies require validation against the selected design, site and supplier documentation before investment or policy use.</x:v>
      </x:c>
      <x:c r="AA330" s="2" t="str">
        <x:v>Physical deployment of Climate tolerant livestock requires nurseries or seed banks, field access, water and storage systems, laboratories, extension centres, monitoring plots and processing or market facilities; interfaces, foundations, access and environmental protection are sized to the specific resource and design load.</x:v>
      </x:c>
      <x:c r="AB330" s="2" t="str">
        <x:v>For Climate tolerant livestock,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30" s="2" t="str">
        <x:v>Construction and operation use seed or planting stock, organic matter, fertilisers, soil amendments, water, fencing or structural materials, veterinary inputs and monitoring consumables. For Climate tolerant livestock, specifications must include durability, compatibility, recycled content and recoverability.</x:v>
      </x:c>
      <x:c r="AD330" s="2" t="str">
        <x:v>Maintenance of Climate tolerant livestock depends on seed, inoculants, filters, drip lines, nozzles, tool parts, sampling containers, sensor batteries, veterinary supplies and protective equipment; critical spares are selected from failure-mode, lead-time and safety analysis for its installed configuration.</x:v>
      </x:c>
      <x:c r="AE330" s="2" t="str">
        <x:v>The software stack for Climate tolerant livestock requires databases, secure communications, version-controlled models, computing, backup and interfaces with field or operational systems.</x:v>
      </x:c>
      <x:c r="AF330" s="2" t="str">
        <x:v>For Climate tolerant livestock, software-related energy is electricity for sensing, computing, storage, communication and cooling; it is normally secondary but must be included for data-intensive or continuous services.</x:v>
      </x:c>
      <x:c r="AG330" s="2" t="str">
        <x:v>The non-physical inputs are calibrated data, metadata, algorithms, boundary conditions, emission or hazard factors, manuals and validation records specific to Climate tolerant livestock.</x:v>
      </x:c>
      <x:c r="AH330" s="2" t="str">
        <x:v>Software continuity for Climate tolerant livestock requires licences where applicable, updates, cybersecurity patches, backups, calibration files, model validation and technical support.</x:v>
      </x:c>
      <x:c r="AI330" s="2" t="str">
        <x:v>Orgware depends on the institutions, laboratories, training providers, regulators, operators and community interfaces needed to govern Climate tolerant livestock.</x:v>
      </x:c>
      <x:c r="AJ330" s="2" t="str">
        <x:v>The orgware supporting Climate tolerant livestock has mainly indirect energy use from offices, meetings, training and information systems; travel and field supervision may be material at dispersed sites.</x:v>
      </x:c>
      <x:c r="AK330" s="2" t="str">
        <x:v>Its organisational inputs are permits, budgets, trained staff, competence records, contracts, procedures, safeguards, monitoring evidence and stakeholder agreements tailored to Climate tolerant livestock.</x:v>
      </x:c>
      <x:c r="AL330" s="2" t="str">
        <x:v>Sustained implementation of Climate tolerant livestock requires procurement and service contracts, audit protocols, training material, reporting templates, insurance or guarantees and periodic independent review.</x:v>
      </x:c>
      <x:c r="AM330" s="2" t="str">
        <x:v>No critical or strategic raw material is identifiable at taxonomy level; site-specific bulk materials may still be required.</x:v>
      </x:c>
      <x:c r="AN330" s="2" t="str"/>
      <x:c r="AO330" s="2" t="str"/>
      <x:c r="AP330" s="2" t="str">
        <x:v>Climate tolerant livestock: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0" s="2" t="str">
        <x:v>2024–2025</x:v>
      </x:c>
      <x:c r="AR330" s="2" t="str">
        <x:v>https://pubs.usgs.gov/periodicals/mcs2026/mcs2026.pdf</x:v>
      </x:c>
    </x:row>
    <x:row r="331" ht="240" customHeight="1">
      <x:c r="A331" s="2" t="str">
        <x:v>ADP-0061</x:v>
      </x:c>
      <x:c r="B331" s="2" t="str">
        <x:v>Adaptation</x:v>
      </x:c>
      <x:c r="C331" s="2" t="str">
        <x:v>Agriculture and Forestry</x:v>
      </x:c>
      <x:c r="D331" s="2" t="str">
        <x:v>Livestock management</x:v>
      </x:c>
      <x:c r="E331" s="2" t="str">
        <x:v>Domestic manure</x:v>
      </x:c>
      <x:c r="F331" s="2" t="str">
        <x:v>Domestic manure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31" s="2" t="str">
        <x:v>Flexible</x:v>
      </x:c>
      <x:c r="H331" s="2" t="str">
        <x:v>Domestic manure is transferable through configurable methods, rules and operating parameters. Its principle remains the same, but resource quality, climate, scale, interfaces and safety constraints must be recalculated for each deployment.</x:v>
      </x:c>
      <x:c r="I331" s="2" t="str">
        <x:v>Primarily soft, with physical support</x:v>
      </x:c>
      <x:c r="J331" s="2" t="str">
        <x:v>Domestic manure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31" s="2" t="str">
        <x:v>Operation</x:v>
      </x:c>
      <x:c r="L331" s="2" t="str">
        <x:v>Domestic manure is embodied mainly as an operating practice. The deliverable is accepted only when measurable service, quality, safety and climate-performance criteria are met under real conditions.</x:v>
      </x:c>
      <x:c r="M331" s="2" t="str">
        <x:v>Yes, subject to life-cycle safeguards</x:v>
      </x:c>
      <x:c r="N331" s="2" t="str">
        <x:v>Domestic manure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31" s="2" t="str">
        <x:v>Domestic manure: field or forest implements, planting and irrigation equipment, storage or livestock facilities, sampling tools, sensors and protective structures as required.</x:v>
      </x:c>
      <x:c r="P331" s="2" t="str">
        <x:v>Domestic manure: soil–crop–livestock knowledge, nutrient and water budgets, emission factors, carbon accounting, climate services, monitoring protocols and adaptive management.</x:v>
      </x:c>
      <x:c r="Q331" s="2" t="str">
        <x:v>Domestic manure: land tenure, extension, producer organisations, veterinary or phytosanitary services, incentives, safeguards, certification and monitoring arrangements.</x:v>
      </x:c>
      <x:c r="R331" s="2" t="str">
        <x:v>Domestic manure: nurseries or seed banks, field access, water and storage systems, laboratories, extension centres, monitoring plots and processing or market facilities.</x:v>
      </x:c>
      <x:c r="S331" s="2" t="str">
        <x:v>Domestic manure: human and mechanical work, electricity or fuel for machinery, pumping, cooling and processing; biological energy and solar radiation dominate field processes.</x:v>
      </x:c>
      <x:c r="T331" s="2" t="str">
        <x:v>Domestic manure: seed or planting stock, organic matter, fertilisers, soil amendments, water, fencing or structural materials, veterinary inputs and monitoring consumables.</x:v>
      </x:c>
      <x:c r="U331" s="2" t="str">
        <x:v>Domestic manure: seed, inoculants, filters, drip lines, nozzles, tool parts, sampling containers, sensor batteries, veterinary supplies and protective equipment.</x:v>
      </x:c>
      <x:c r="V331" s="2" t="str">
        <x:v>https://www.ctc-n.org/sites/default/files/resources/ctcn_taxonomy_0.pdf</x:v>
      </x:c>
      <x:c r="W331" s="2" t="str">
        <x:v>https://institutoagricoladepueblobello.edu.co/colegiapp/archivostemas/GUIA%209.%5B25%5D.pdf</x:v>
      </x:c>
      <x:c r="X331" s="2" t="str">
        <x:v>https://iiasa.ac.at/what-is-technology</x:v>
      </x:c>
      <x:c r="Y331" s="2" t="str">
        <x:v>https://www.fao.org/climate-change/en; https://www.ipcc.ch/report/ar6/wg3/chapter/chapter-7/; https://openknowledge.fao.org/server/api/core/bitstreams/b21f2087-f398-4718-8461-b92afc82e617/content</x:v>
      </x:c>
      <x:c r="Z331" s="2" t="str">
        <x:v>Technology-specific analytical synthesis. The CTCN hierarchy is retained; classifications and component dependencies require validation against the selected design, site and supplier documentation before investment or policy use.</x:v>
      </x:c>
      <x:c r="AA331" s="2" t="str">
        <x:v>Physical deployment of Domestic manure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331" s="2" t="str">
        <x:v>For Domestic manure,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31" s="2" t="str">
        <x:v>Construction and operation use seed or planting stock, organic matter, fertilisers, soil amendments, water, fencing or structural materials, veterinary inputs and monitoring consumables. For Domestic manure, specifications must include durability, compatibility, recycled content and recoverability.</x:v>
      </x:c>
      <x:c r="AD331" s="2" t="str">
        <x:v>Maintenance of Domestic manure depends on seed, inoculants, filters, drip lines, nozzles, tool parts, sampling containers, sensor batteries, veterinary supplies and protective equipment; critical spares are selected from failure-mode, lead-time and safety analysis for its installed configuration.</x:v>
      </x:c>
      <x:c r="AE331" s="2" t="str">
        <x:v>The software stack for Domestic manure requires databases, secure communications, version-controlled models, computing, backup and interfaces with field or operational systems.</x:v>
      </x:c>
      <x:c r="AF331" s="2" t="str">
        <x:v>For Domestic manure, software-related energy is electricity for sensing, computing, storage, communication and cooling; it is normally secondary but must be included for data-intensive or continuous services.</x:v>
      </x:c>
      <x:c r="AG331" s="2" t="str">
        <x:v>The non-physical inputs are calibrated data, metadata, algorithms, boundary conditions, emission or hazard factors, manuals and validation records specific to Domestic manure.</x:v>
      </x:c>
      <x:c r="AH331" s="2" t="str">
        <x:v>Software continuity for Domestic manure requires licences where applicable, updates, cybersecurity patches, backups, calibration files, model validation and technical support.</x:v>
      </x:c>
      <x:c r="AI331" s="2" t="str">
        <x:v>Orgware depends on the institutions, laboratories, training providers, regulators, operators and community interfaces needed to govern Domestic manure.</x:v>
      </x:c>
      <x:c r="AJ331" s="2" t="str">
        <x:v>The orgware supporting Domestic manure has mainly indirect energy use from offices, meetings, training and information systems; travel and field supervision may be material at dispersed sites.</x:v>
      </x:c>
      <x:c r="AK331" s="2" t="str">
        <x:v>Its organisational inputs are permits, budgets, trained staff, competence records, contracts, procedures, safeguards, monitoring evidence and stakeholder agreements tailored to Domestic manure.</x:v>
      </x:c>
      <x:c r="AL331" s="2" t="str">
        <x:v>Sustained implementation of Domestic manure requires procurement and service contracts, audit protocols, training material, reporting templates, insurance or guarantees and periodic independent review.</x:v>
      </x:c>
      <x:c r="AM331" s="2" t="str">
        <x:v>No critical or strategic raw material is identifiable at taxonomy level; site-specific bulk materials may still be required.</x:v>
      </x:c>
      <x:c r="AN331" s="2" t="str"/>
      <x:c r="AO331" s="2" t="str"/>
      <x:c r="AP331" s="2" t="str">
        <x:v>Domestic manure: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1" s="2" t="str">
        <x:v>2024–2025</x:v>
      </x:c>
      <x:c r="AR331" s="2" t="str">
        <x:v>https://pubs.usgs.gov/periodicals/mcs2026/mcs2026.pdf</x:v>
      </x:c>
    </x:row>
    <x:row r="332" ht="240" customHeight="1">
      <x:c r="A332" s="2" t="str">
        <x:v>ADP-0062</x:v>
      </x:c>
      <x:c r="B332" s="2" t="str">
        <x:v>Adaptation</x:v>
      </x:c>
      <x:c r="C332" s="2" t="str">
        <x:v>Agriculture and Forestry</x:v>
      </x:c>
      <x:c r="D332" s="2" t="str">
        <x:v>Livestock management</x:v>
      </x:c>
      <x:c r="E332" s="2" t="str">
        <x:v>Pasture management</x:v>
      </x:c>
      <x:c r="F332" s="2" t="str">
        <x:v>Pasture management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Pasture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32" s="2" t="str">
        <x:v>Flexible</x:v>
      </x:c>
      <x:c r="H332" s="2" t="str">
        <x:v>Pasture management is transferable through configurable methods, rules and operating parameters. Its principle remains the same, but resource quality, climate, scale, interfaces and safety constraints must be recalculated for each deployment.</x:v>
      </x:c>
      <x:c r="I332" s="2" t="str">
        <x:v>Primarily soft, with physical support</x:v>
      </x:c>
      <x:c r="J332" s="2" t="str">
        <x:v>Pasture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32" s="2" t="str">
        <x:v>Operation</x:v>
      </x:c>
      <x:c r="L332" s="2" t="str">
        <x:v>Pasture management is embodied mainly as an operating practice. The deliverable is accepted only when measurable service, quality, safety and climate-performance criteria are met under real conditions.</x:v>
      </x:c>
      <x:c r="M332" s="2" t="str">
        <x:v>Yes, subject to life-cycle safeguards</x:v>
      </x:c>
      <x:c r="N332" s="2" t="str">
        <x:v>Pasture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32" s="2" t="str">
        <x:v>Pasture management: field or forest implements, planting and irrigation equipment, storage or livestock facilities, sampling tools, sensors and protective structures as required.</x:v>
      </x:c>
      <x:c r="P332" s="2" t="str">
        <x:v>Pasture management: soil–crop–livestock knowledge, nutrient and water budgets, emission factors, carbon accounting, climate services, monitoring protocols and adaptive management.</x:v>
      </x:c>
      <x:c r="Q332" s="2" t="str">
        <x:v>Pasture management: land tenure, extension, producer organisations, veterinary or phytosanitary services, incentives, safeguards, certification and monitoring arrangements.</x:v>
      </x:c>
      <x:c r="R332" s="2" t="str">
        <x:v>Pasture management: nurseries or seed banks, field access, water and storage systems, laboratories, extension centres, monitoring plots and processing or market facilities.</x:v>
      </x:c>
      <x:c r="S332" s="2" t="str">
        <x:v>Pasture management: human and mechanical work, electricity or fuel for machinery, pumping, cooling and processing; biological energy and solar radiation dominate field processes.</x:v>
      </x:c>
      <x:c r="T332" s="2" t="str">
        <x:v>Pasture management: seed or planting stock, organic matter, fertilisers, soil amendments, water, fencing or structural materials, veterinary inputs and monitoring consumables.</x:v>
      </x:c>
      <x:c r="U332" s="2" t="str">
        <x:v>Pasture management: seed, inoculants, filters, drip lines, nozzles, tool parts, sampling containers, sensor batteries, veterinary supplies and protective equipment.</x:v>
      </x:c>
      <x:c r="V332" s="2" t="str">
        <x:v>https://www.ctc-n.org/sites/default/files/resources/ctcn_taxonomy_0.pdf</x:v>
      </x:c>
      <x:c r="W332" s="2" t="str">
        <x:v>https://institutoagricoladepueblobello.edu.co/colegiapp/archivostemas/GUIA%209.%5B25%5D.pdf</x:v>
      </x:c>
      <x:c r="X332" s="2" t="str">
        <x:v>https://iiasa.ac.at/what-is-technology</x:v>
      </x:c>
      <x:c r="Y332" s="2" t="str">
        <x:v>https://www.fao.org/climate-change/en; https://www.ipcc.ch/report/ar6/wg3/chapter/chapter-7/; https://openknowledge.fao.org/server/api/core/bitstreams/b21f2087-f398-4718-8461-b92afc82e617/content</x:v>
      </x:c>
      <x:c r="Z332" s="2" t="str">
        <x:v>Technology-specific analytical synthesis. The CTCN hierarchy is retained; classifications and component dependencies require validation against the selected design, site and supplier documentation before investment or policy use.</x:v>
      </x:c>
      <x:c r="AA332" s="2" t="str">
        <x:v>Physical deployment of Pasture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332" s="2" t="str">
        <x:v>For Pasture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32" s="2" t="str">
        <x:v>Construction and operation use seed or planting stock, organic matter, fertilisers, soil amendments, water, fencing or structural materials, veterinary inputs and monitoring consumables. For Pasture management, specifications must include durability, compatibility, recycled content and recoverability.</x:v>
      </x:c>
      <x:c r="AD332" s="2" t="str">
        <x:v>Maintenance of Pasture management depends on seed, inoculants, filters, drip lines, nozzles, tool parts, sampling containers, sensor batteries, veterinary supplies and protective equipment; critical spares are selected from failure-mode, lead-time and safety analysis for its installed configuration.</x:v>
      </x:c>
      <x:c r="AE332" s="2" t="str">
        <x:v>The software stack for Pasture management requires databases, secure communications, version-controlled models, computing, backup and interfaces with field or operational systems.</x:v>
      </x:c>
      <x:c r="AF332" s="2" t="str">
        <x:v>For Pasture management, software-related energy is electricity for sensing, computing, storage, communication and cooling; it is normally secondary but must be included for data-intensive or continuous services.</x:v>
      </x:c>
      <x:c r="AG332" s="2" t="str">
        <x:v>The non-physical inputs are calibrated data, metadata, algorithms, boundary conditions, emission or hazard factors, manuals and validation records specific to Pasture management.</x:v>
      </x:c>
      <x:c r="AH332" s="2" t="str">
        <x:v>Software continuity for Pasture management requires licences where applicable, updates, cybersecurity patches, backups, calibration files, model validation and technical support.</x:v>
      </x:c>
      <x:c r="AI332" s="2" t="str">
        <x:v>Orgware depends on the institutions, laboratories, training providers, regulators, operators and community interfaces needed to govern Pasture management.</x:v>
      </x:c>
      <x:c r="AJ332" s="2" t="str">
        <x:v>The orgware supporting Pasture management has mainly indirect energy use from offices, meetings, training and information systems; travel and field supervision may be material at dispersed sites.</x:v>
      </x:c>
      <x:c r="AK332" s="2" t="str">
        <x:v>Its organisational inputs are permits, budgets, trained staff, competence records, contracts, procedures, safeguards, monitoring evidence and stakeholder agreements tailored to Pasture management.</x:v>
      </x:c>
      <x:c r="AL332" s="2" t="str">
        <x:v>Sustained implementation of Pasture management requires procurement and service contracts, audit protocols, training material, reporting templates, insurance or guarantees and periodic independent review.</x:v>
      </x:c>
      <x:c r="AM332" s="2" t="str">
        <x:v>Phosphate rock; Potash</x:v>
      </x:c>
      <x:c r="AN332" s="2" t="str">
        <x:v>China; Morocco; United States; Canada; Russia; Belarus</x:v>
      </x:c>
      <x:c r="AO332" s="2" t="str">
        <x:v>China; Morocco; United States; Canada; Russia; Belarus</x:v>
      </x:c>
      <x:c r="AP332" s="2" t="str">
        <x:v>Pasture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2" s="2" t="str">
        <x:v>2024–2025</x:v>
      </x:c>
      <x:c r="AR332" s="2" t="str">
        <x:v>https://pubs.usgs.gov/periodicals/mcs2026/mcs2026.pdf</x:v>
      </x:c>
    </x:row>
    <x:row r="333" ht="240" customHeight="1">
      <x:c r="A333" s="2" t="str">
        <x:v>ADP-0063</x:v>
      </x:c>
      <x:c r="B333" s="2" t="str">
        <x:v>Adaptation</x:v>
      </x:c>
      <x:c r="C333" s="2" t="str">
        <x:v>Agriculture and Forestry</x:v>
      </x:c>
      <x:c r="D333" s="2" t="str">
        <x:v>Livestock management</x:v>
      </x:c>
      <x:c r="E333" s="2" t="str">
        <x:v>Livestock feed optimisation</x:v>
      </x:c>
      <x:c r="F333" s="2" t="str">
        <x:v>Livestock feed optimisation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33" s="2" t="str">
        <x:v>Flexible</x:v>
      </x:c>
      <x:c r="H333" s="2" t="str">
        <x:v>Livestock feed optimisation is transferable through configurable methods, rules and operating parameters. Its principle remains the same, but resource quality, climate, scale, interfaces and safety constraints must be recalculated for each deployment.</x:v>
      </x:c>
      <x:c r="I333" s="2" t="str">
        <x:v>Primarily soft, with physical support</x:v>
      </x:c>
      <x:c r="J333" s="2" t="str">
        <x:v>Livestock feed optimisation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33" s="2" t="str">
        <x:v>Operation</x:v>
      </x:c>
      <x:c r="L333" s="2" t="str">
        <x:v>Livestock feed optimisation is embodied mainly as an operating practice. The deliverable is accepted only when measurable service, quality, safety and climate-performance criteria are met under real conditions.</x:v>
      </x:c>
      <x:c r="M333" s="2" t="str">
        <x:v>Yes, subject to life-cycle safeguards</x:v>
      </x:c>
      <x:c r="N333" s="2" t="str">
        <x:v>Livestock feed optimisation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33" s="2" t="str">
        <x:v>Livestock feed optimisation: field or forest implements, planting and irrigation equipment, storage or livestock facilities, sampling tools, sensors and protective structures as required.</x:v>
      </x:c>
      <x:c r="P333" s="2" t="str">
        <x:v>Livestock feed optimisation: soil–crop–livestock knowledge, nutrient and water budgets, emission factors, carbon accounting, climate services, monitoring protocols and adaptive management.</x:v>
      </x:c>
      <x:c r="Q333" s="2" t="str">
        <x:v>Livestock feed optimisation: land tenure, extension, producer organisations, veterinary or phytosanitary services, incentives, safeguards, certification and monitoring arrangements.</x:v>
      </x:c>
      <x:c r="R333" s="2" t="str">
        <x:v>Livestock feed optimisation: nurseries or seed banks, field access, water and storage systems, laboratories, extension centres, monitoring plots and processing or market facilities.</x:v>
      </x:c>
      <x:c r="S333" s="2" t="str">
        <x:v>Livestock feed optimisation: human and mechanical work, electricity or fuel for machinery, pumping, cooling and processing; biological energy and solar radiation dominate field processes.</x:v>
      </x:c>
      <x:c r="T333" s="2" t="str">
        <x:v>Livestock feed optimisation: seed or planting stock, organic matter, fertilisers, soil amendments, water, fencing or structural materials, veterinary inputs and monitoring consumables.</x:v>
      </x:c>
      <x:c r="U333" s="2" t="str">
        <x:v>Livestock feed optimisation: seed, inoculants, filters, drip lines, nozzles, tool parts, sampling containers, sensor batteries, veterinary supplies and protective equipment.</x:v>
      </x:c>
      <x:c r="V333" s="2" t="str">
        <x:v>https://www.ctc-n.org/sites/default/files/resources/ctcn_taxonomy_0.pdf</x:v>
      </x:c>
      <x:c r="W333" s="2" t="str">
        <x:v>https://institutoagricoladepueblobello.edu.co/colegiapp/archivostemas/GUIA%209.%5B25%5D.pdf</x:v>
      </x:c>
      <x:c r="X333" s="2" t="str">
        <x:v>https://iiasa.ac.at/what-is-technology</x:v>
      </x:c>
      <x:c r="Y333" s="2" t="str">
        <x:v>https://www.fao.org/climate-change/en; https://www.ipcc.ch/report/ar6/wg3/chapter/chapter-7/; https://openknowledge.fao.org/server/api/core/bitstreams/b21f2087-f398-4718-8461-b92afc82e617/content</x:v>
      </x:c>
      <x:c r="Z333" s="2" t="str">
        <x:v>Technology-specific analytical synthesis. The CTCN hierarchy is retained; classifications and component dependencies require validation against the selected design, site and supplier documentation before investment or policy use.</x:v>
      </x:c>
      <x:c r="AA333" s="2" t="str">
        <x:v>Physical deployment of Livestock feed optimisation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333" s="2" t="str">
        <x:v>For Livestock feed optimisation,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33" s="2" t="str">
        <x:v>Construction and operation use seed or planting stock, organic matter, fertilisers, soil amendments, water, fencing or structural materials, veterinary inputs and monitoring consumables. For Livestock feed optimisation, specifications must include durability, compatibility, recycled content and recoverability.</x:v>
      </x:c>
      <x:c r="AD333" s="2" t="str">
        <x:v>Maintenance of Livestock feed optimisation depends on seed, inoculants, filters, drip lines, nozzles, tool parts, sampling containers, sensor batteries, veterinary supplies and protective equipment; critical spares are selected from failure-mode, lead-time and safety analysis for its installed configuration.</x:v>
      </x:c>
      <x:c r="AE333" s="2" t="str">
        <x:v>The software stack for Livestock feed optimisation requires databases, secure communications, version-controlled models, computing, backup and interfaces with field or operational systems.</x:v>
      </x:c>
      <x:c r="AF333" s="2" t="str">
        <x:v>For Livestock feed optimisation, software-related energy is electricity for sensing, computing, storage, communication and cooling; it is normally secondary but must be included for data-intensive or continuous services.</x:v>
      </x:c>
      <x:c r="AG333" s="2" t="str">
        <x:v>The non-physical inputs are calibrated data, metadata, algorithms, boundary conditions, emission or hazard factors, manuals and validation records specific to Livestock feed optimisation.</x:v>
      </x:c>
      <x:c r="AH333" s="2" t="str">
        <x:v>Software continuity for Livestock feed optimisation requires licences where applicable, updates, cybersecurity patches, backups, calibration files, model validation and technical support.</x:v>
      </x:c>
      <x:c r="AI333" s="2" t="str">
        <x:v>Orgware depends on the institutions, laboratories, training providers, regulators, operators and community interfaces needed to govern Livestock feed optimisation.</x:v>
      </x:c>
      <x:c r="AJ333" s="2" t="str">
        <x:v>The orgware supporting Livestock feed optimisation has mainly indirect energy use from offices, meetings, training and information systems; travel and field supervision may be material at dispersed sites.</x:v>
      </x:c>
      <x:c r="AK333" s="2" t="str">
        <x:v>Its organisational inputs are permits, budgets, trained staff, competence records, contracts, procedures, safeguards, monitoring evidence and stakeholder agreements tailored to Livestock feed optimisation.</x:v>
      </x:c>
      <x:c r="AL333" s="2" t="str">
        <x:v>Sustained implementation of Livestock feed optimisation requires procurement and service contracts, audit protocols, training material, reporting templates, insurance or guarantees and periodic independent review.</x:v>
      </x:c>
      <x:c r="AM333" s="2" t="str">
        <x:v>No critical or strategic raw material is identifiable at taxonomy level; site-specific bulk materials may still be required.</x:v>
      </x:c>
      <x:c r="AN333" s="2" t="str"/>
      <x:c r="AO333" s="2" t="str"/>
      <x:c r="AP333" s="2" t="str">
        <x:v>Livestock feed optimisation: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3" s="2" t="str">
        <x:v>2024–2025</x:v>
      </x:c>
      <x:c r="AR333" s="2" t="str">
        <x:v>https://pubs.usgs.gov/periodicals/mcs2026/mcs2026.pdf</x:v>
      </x:c>
    </x:row>
    <x:row r="334" ht="240" customHeight="1">
      <x:c r="A334" s="2" t="str">
        <x:v>ADP-0064</x:v>
      </x:c>
      <x:c r="B334" s="2" t="str">
        <x:v>Adaptation</x:v>
      </x:c>
      <x:c r="C334" s="2" t="str">
        <x:v>Agriculture and Forestry</x:v>
      </x:c>
      <x:c r="D334" s="2" t="str">
        <x:v>Land management training</x:v>
      </x:c>
      <x:c r="E334" s="2" t="str">
        <x:v>Community-based agricultural extension</x:v>
      </x:c>
      <x:c r="F334" s="2" t="str">
        <x:v>Community-based agricultural extension is a adaptation technology in the Agriculture and Forestry sector and the Land management training technology group. It is defined as a combined hardware–software–orgware system that changes vegetation, soil, nutrient, water, crop or livestock management to protect carbon stocks, increase resilience and productivity, and reduce CO₂, CH₄ or N₂O emissions. Community-based agricultural extension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34" s="2" t="str">
        <x:v>Flexible</x:v>
      </x:c>
      <x:c r="H334" s="2" t="str">
        <x:v>Community-based agricultural extension is transferable through configurable methods, rules and operating parameters. Its principle remains the same, but resource quality, climate, scale, interfaces and safety constraints must be recalculated for each deployment.</x:v>
      </x:c>
      <x:c r="I334" s="2" t="str">
        <x:v>Primarily soft, with physical support</x:v>
      </x:c>
      <x:c r="J334" s="2" t="str">
        <x:v>Community-based agricultural extension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34" s="2" t="str">
        <x:v>Operation</x:v>
      </x:c>
      <x:c r="L334" s="2" t="str">
        <x:v>Community-based agricultural extension is embodied mainly as an operating practice. The deliverable is accepted only when measurable service, quality, safety and climate-performance criteria are met under real conditions.</x:v>
      </x:c>
      <x:c r="M334" s="2" t="str">
        <x:v>Yes, subject to life-cycle safeguards</x:v>
      </x:c>
      <x:c r="N334" s="2" t="str">
        <x:v>Community-based agricultural extension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34" s="2" t="str">
        <x:v>Community-based agricultural extension: field or forest implements, planting and irrigation equipment, storage or livestock facilities, sampling tools, sensors and protective structures as required.</x:v>
      </x:c>
      <x:c r="P334" s="2" t="str">
        <x:v>Community-based agricultural extension: soil–crop–livestock knowledge, nutrient and water budgets, emission factors, carbon accounting, climate services, monitoring protocols and adaptive management.</x:v>
      </x:c>
      <x:c r="Q334" s="2" t="str">
        <x:v>Community-based agricultural extension: land tenure, extension, producer organisations, veterinary or phytosanitary services, incentives, safeguards, certification and monitoring arrangements.</x:v>
      </x:c>
      <x:c r="R334" s="2" t="str">
        <x:v>Community-based agricultural extension: nurseries or seed banks, field access, water and storage systems, laboratories, extension centres, monitoring plots and processing or market facilities.</x:v>
      </x:c>
      <x:c r="S334" s="2" t="str">
        <x:v>Community-based agricultural extension: human and mechanical work, electricity or fuel for machinery, pumping, cooling and processing; biological energy and solar radiation dominate field processes.</x:v>
      </x:c>
      <x:c r="T334" s="2" t="str">
        <x:v>Community-based agricultural extension: seed or planting stock, organic matter, fertilisers, soil amendments, water, fencing or structural materials, veterinary inputs and monitoring consumables.</x:v>
      </x:c>
      <x:c r="U334" s="2" t="str">
        <x:v>Community-based agricultural extension: seed, inoculants, filters, drip lines, nozzles, tool parts, sampling containers, sensor batteries, veterinary supplies and protective equipment.</x:v>
      </x:c>
      <x:c r="V334" s="2" t="str">
        <x:v>https://www.ctc-n.org/sites/default/files/resources/ctcn_taxonomy_0.pdf</x:v>
      </x:c>
      <x:c r="W334" s="2" t="str">
        <x:v>https://institutoagricoladepueblobello.edu.co/colegiapp/archivostemas/GUIA%209.%5B25%5D.pdf</x:v>
      </x:c>
      <x:c r="X334" s="2" t="str">
        <x:v>https://iiasa.ac.at/what-is-technology</x:v>
      </x:c>
      <x:c r="Y334" s="2" t="str">
        <x:v>https://www.fao.org/climate-change/en; https://www.ipcc.ch/report/ar6/wg3/chapter/chapter-7/; https://openknowledge.fao.org/server/api/core/bitstreams/b21f2087-f398-4718-8461-b92afc82e617/content</x:v>
      </x:c>
      <x:c r="Z334" s="2" t="str">
        <x:v>Technology-specific analytical synthesis. The CTCN hierarchy is retained; classifications and component dependencies require validation against the selected design, site and supplier documentation before investment or policy use.</x:v>
      </x:c>
      <x:c r="AA334" s="2" t="str">
        <x:v>Physical deployment of Community-based agricultural extension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334" s="2" t="str">
        <x:v>For Community-based agricultural extension,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34" s="2" t="str">
        <x:v>Construction and operation use seed or planting stock, organic matter, fertilisers, soil amendments, water, fencing or structural materials, veterinary inputs and monitoring consumables. For Community-based agricultural extension, specifications must include durability, compatibility, recycled content and recoverability.</x:v>
      </x:c>
      <x:c r="AD334" s="2" t="str">
        <x:v>Maintenance of Community-based agricultural extension depends on seed, inoculants, filters, drip lines, nozzles, tool parts, sampling containers, sensor batteries, veterinary supplies and protective equipment; critical spares are selected from failure-mode, lead-time and safety analysis for its installed configuration.</x:v>
      </x:c>
      <x:c r="AE334" s="2" t="str">
        <x:v>The software stack for Community-based agricultural extension requires databases, secure communications, version-controlled models, computing, backup and interfaces with field or operational systems.</x:v>
      </x:c>
      <x:c r="AF334" s="2" t="str">
        <x:v>For Community-based agricultural extension, software-related energy is electricity for sensing, computing, storage, communication and cooling; it is normally secondary but must be included for data-intensive or continuous services.</x:v>
      </x:c>
      <x:c r="AG334" s="2" t="str">
        <x:v>The non-physical inputs are calibrated data, metadata, algorithms, boundary conditions, emission or hazard factors, manuals and validation records specific to Community-based agricultural extension.</x:v>
      </x:c>
      <x:c r="AH334" s="2" t="str">
        <x:v>Software continuity for Community-based agricultural extension requires licences where applicable, updates, cybersecurity patches, backups, calibration files, model validation and technical support.</x:v>
      </x:c>
      <x:c r="AI334" s="2" t="str">
        <x:v>Orgware depends on the institutions, laboratories, training providers, regulators, operators and community interfaces needed to govern Community-based agricultural extension.</x:v>
      </x:c>
      <x:c r="AJ334" s="2" t="str">
        <x:v>The orgware supporting Community-based agricultural extension has mainly indirect energy use from offices, meetings, training and information systems; travel and field supervision may be material at dispersed sites.</x:v>
      </x:c>
      <x:c r="AK334" s="2" t="str">
        <x:v>Its organisational inputs are permits, budgets, trained staff, competence records, contracts, procedures, safeguards, monitoring evidence and stakeholder agreements tailored to Community-based agricultural extension.</x:v>
      </x:c>
      <x:c r="AL334" s="2" t="str">
        <x:v>Sustained implementation of Community-based agricultural extension requires procurement and service contracts, audit protocols, training material, reporting templates, insurance or guarantees and periodic independent review.</x:v>
      </x:c>
      <x:c r="AM334" s="2" t="str">
        <x:v>No critical or strategic raw material is identifiable at taxonomy level; site-specific bulk materials may still be required.</x:v>
      </x:c>
      <x:c r="AN334" s="2" t="str"/>
      <x:c r="AO334" s="2" t="str"/>
      <x:c r="AP334" s="2" t="str">
        <x:v>Community-based agricultural extension: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4" s="2" t="str">
        <x:v>2024–2025</x:v>
      </x:c>
      <x:c r="AR334" s="2" t="str">
        <x:v>https://pubs.usgs.gov/periodicals/mcs2026/mcs2026.pdf</x:v>
      </x:c>
    </x:row>
    <x:row r="335" ht="240" customHeight="1">
      <x:c r="A335" s="2" t="str">
        <x:v>ADP-0065</x:v>
      </x:c>
      <x:c r="B335" s="2" t="str">
        <x:v>Adaptation</x:v>
      </x:c>
      <x:c r="C335" s="2" t="str">
        <x:v>Agriculture and Forestry</x:v>
      </x:c>
      <x:c r="D335" s="2" t="str">
        <x:v>Land management training</x:v>
      </x:c>
      <x:c r="E335" s="2" t="str">
        <x:v>Forest user groups</x:v>
      </x:c>
      <x:c r="F335" s="2" t="str">
        <x:v>Forest user groups is a adaptation technology in the Agriculture and Forestry sector and the Land management training technology group. It is defined as a combined hardware–software–orgware system that changes vegetation, soil, nutrient, water, crop or livestock management to protect carbon stocks, increase resilience and productivity, and reduce CO₂, CH₄ or N₂O emissions. Forest user groups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35" s="2" t="str">
        <x:v>Flexible</x:v>
      </x:c>
      <x:c r="H335" s="2" t="str">
        <x:v>Forest user groups is transferable through configurable methods, rules and operating parameters. Its principle remains the same, but resource quality, climate, scale, interfaces and safety constraints must be recalculated for each deployment.</x:v>
      </x:c>
      <x:c r="I335" s="2" t="str">
        <x:v>Primarily soft, with physical support</x:v>
      </x:c>
      <x:c r="J335" s="2" t="str">
        <x:v>Forest user groups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35" s="2" t="str">
        <x:v>Operation</x:v>
      </x:c>
      <x:c r="L335" s="2" t="str">
        <x:v>Forest user groups is embodied mainly as an operating practice. The deliverable is accepted only when measurable service, quality, safety and climate-performance criteria are met under real conditions.</x:v>
      </x:c>
      <x:c r="M335" s="2" t="str">
        <x:v>Yes, subject to life-cycle safeguards</x:v>
      </x:c>
      <x:c r="N335" s="2" t="str">
        <x:v>Forest user groups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35" s="2" t="str">
        <x:v>Forest user groups: field or forest implements, planting and irrigation equipment, storage or livestock facilities, sampling tools, sensors and protective structures as required.</x:v>
      </x:c>
      <x:c r="P335" s="2" t="str">
        <x:v>Forest user groups: soil–crop–livestock knowledge, nutrient and water budgets, emission factors, carbon accounting, climate services, monitoring protocols and adaptive management.</x:v>
      </x:c>
      <x:c r="Q335" s="2" t="str">
        <x:v>Forest user groups: land tenure, extension, producer organisations, veterinary or phytosanitary services, incentives, safeguards, certification and monitoring arrangements.</x:v>
      </x:c>
      <x:c r="R335" s="2" t="str">
        <x:v>Forest user groups: nurseries or seed banks, field access, water and storage systems, laboratories, extension centres, monitoring plots and processing or market facilities.</x:v>
      </x:c>
      <x:c r="S335" s="2" t="str">
        <x:v>Forest user groups: human and mechanical work, electricity or fuel for machinery, pumping, cooling and processing; biological energy and solar radiation dominate field processes.</x:v>
      </x:c>
      <x:c r="T335" s="2" t="str">
        <x:v>Forest user groups: seed or planting stock, organic matter, fertilisers, soil amendments, water, fencing or structural materials, veterinary inputs and monitoring consumables.</x:v>
      </x:c>
      <x:c r="U335" s="2" t="str">
        <x:v>Forest user groups: seed, inoculants, filters, drip lines, nozzles, tool parts, sampling containers, sensor batteries, veterinary supplies and protective equipment.</x:v>
      </x:c>
      <x:c r="V335" s="2" t="str">
        <x:v>https://www.ctc-n.org/sites/default/files/resources/ctcn_taxonomy_0.pdf</x:v>
      </x:c>
      <x:c r="W335" s="2" t="str">
        <x:v>https://institutoagricoladepueblobello.edu.co/colegiapp/archivostemas/GUIA%209.%5B25%5D.pdf</x:v>
      </x:c>
      <x:c r="X335" s="2" t="str">
        <x:v>https://iiasa.ac.at/what-is-technology</x:v>
      </x:c>
      <x:c r="Y335" s="2" t="str">
        <x:v>https://www.fao.org/climate-change/en; https://www.ipcc.ch/report/ar6/wg3/chapter/chapter-7/; https://openknowledge.fao.org/server/api/core/bitstreams/b21f2087-f398-4718-8461-b92afc82e617/content</x:v>
      </x:c>
      <x:c r="Z335" s="2" t="str">
        <x:v>Technology-specific analytical synthesis. The CTCN hierarchy is retained; classifications and component dependencies require validation against the selected design, site and supplier documentation before investment or policy use.</x:v>
      </x:c>
      <x:c r="AA335" s="2" t="str">
        <x:v>Physical deployment of Forest user groups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35" s="2" t="str">
        <x:v>For Forest user groups,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35" s="2" t="str">
        <x:v>Construction and operation use seed or planting stock, organic matter, fertilisers, soil amendments, water, fencing or structural materials, veterinary inputs and monitoring consumables. For Forest user groups, specifications must include durability, compatibility, recycled content and recoverability.</x:v>
      </x:c>
      <x:c r="AD335" s="2" t="str">
        <x:v>Maintenance of Forest user groups depends on seed, inoculants, filters, drip lines, nozzles, tool parts, sampling containers, sensor batteries, veterinary supplies and protective equipment; critical spares are selected from failure-mode, lead-time and safety analysis for its installed configuration.</x:v>
      </x:c>
      <x:c r="AE335" s="2" t="str">
        <x:v>The software stack for Forest user groups requires databases, secure communications, version-controlled models, computing, backup and interfaces with field or operational systems.</x:v>
      </x:c>
      <x:c r="AF335" s="2" t="str">
        <x:v>For Forest user groups, software-related energy is electricity for sensing, computing, storage, communication and cooling; it is normally secondary but must be included for data-intensive or continuous services.</x:v>
      </x:c>
      <x:c r="AG335" s="2" t="str">
        <x:v>The non-physical inputs are calibrated data, metadata, algorithms, boundary conditions, emission or hazard factors, manuals and validation records specific to Forest user groups.</x:v>
      </x:c>
      <x:c r="AH335" s="2" t="str">
        <x:v>Software continuity for Forest user groups requires licences where applicable, updates, cybersecurity patches, backups, calibration files, model validation and technical support.</x:v>
      </x:c>
      <x:c r="AI335" s="2" t="str">
        <x:v>Orgware depends on the institutions, laboratories, training providers, regulators, operators and community interfaces needed to govern Forest user groups.</x:v>
      </x:c>
      <x:c r="AJ335" s="2" t="str">
        <x:v>The orgware supporting Forest user groups has mainly indirect energy use from offices, meetings, training and information systems; travel and field supervision may be material at dispersed sites.</x:v>
      </x:c>
      <x:c r="AK335" s="2" t="str">
        <x:v>Its organisational inputs are permits, budgets, trained staff, competence records, contracts, procedures, safeguards, monitoring evidence and stakeholder agreements tailored to Forest user groups.</x:v>
      </x:c>
      <x:c r="AL335" s="2" t="str">
        <x:v>Sustained implementation of Forest user groups requires procurement and service contracts, audit protocols, training material, reporting templates, insurance or guarantees and periodic independent review.</x:v>
      </x:c>
      <x:c r="AM335" s="2" t="str">
        <x:v>No critical or strategic raw material is identifiable at taxonomy level; site-specific bulk materials may still be required.</x:v>
      </x:c>
      <x:c r="AN335" s="2" t="str"/>
      <x:c r="AO335" s="2" t="str"/>
      <x:c r="AP335" s="2" t="str">
        <x:v>Forest user groups: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5" s="2" t="str">
        <x:v>2024–2025</x:v>
      </x:c>
      <x:c r="AR335" s="2" t="str">
        <x:v>https://pubs.usgs.gov/periodicals/mcs2026/mcs2026.pdf; https://www.iea.org/reports/global-critical-minerals-outlook-2025</x:v>
      </x:c>
    </x:row>
    <x:row r="336" ht="240" customHeight="1">
      <x:c r="A336" s="2" t="str">
        <x:v>ADP-0066</x:v>
      </x:c>
      <x:c r="B336" s="2" t="str">
        <x:v>Adaptation</x:v>
      </x:c>
      <x:c r="C336" s="2" t="str">
        <x:v>Agriculture and Forestry</x:v>
      </x:c>
      <x:c r="D336" s="2" t="str">
        <x:v>Land management training</x:v>
      </x:c>
      <x:c r="E336" s="2" t="str">
        <x:v>Farmer field schools</x:v>
      </x:c>
      <x:c r="F336" s="2" t="str">
        <x:v>Farmer field schools is a adaptation technology in the Agriculture and Forestry sector and the Land management training technology group. It is defined as a combined hardware–software–orgware system that changes vegetation, soil, nutrient, water, crop or livestock management to protect carbon stocks, increase resilience and productivity, and reduce CO₂, CH₄ or N₂O emissions. Farmer field schools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36" s="2" t="str">
        <x:v>Flexible</x:v>
      </x:c>
      <x:c r="H336" s="2" t="str">
        <x:v>Farmer field schools is transferable through configurable methods, rules and operating parameters. Its principle remains the same, but resource quality, climate, scale, interfaces and safety constraints must be recalculated for each deployment.</x:v>
      </x:c>
      <x:c r="I336" s="2" t="str">
        <x:v>Primarily soft, with physical support</x:v>
      </x:c>
      <x:c r="J336" s="2" t="str">
        <x:v>Farmer field schools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36" s="2" t="str">
        <x:v>Operation</x:v>
      </x:c>
      <x:c r="L336" s="2" t="str">
        <x:v>Farmer field schools is embodied mainly as an operating practice. The deliverable is accepted only when measurable service, quality, safety and climate-performance criteria are met under real conditions.</x:v>
      </x:c>
      <x:c r="M336" s="2" t="str">
        <x:v>Yes, subject to life-cycle safeguards</x:v>
      </x:c>
      <x:c r="N336" s="2" t="str">
        <x:v>Farmer field schools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36" s="2" t="str">
        <x:v>Farmer field schools: field or forest implements, planting and irrigation equipment, storage or livestock facilities, sampling tools, sensors and protective structures as required.</x:v>
      </x:c>
      <x:c r="P336" s="2" t="str">
        <x:v>Farmer field schools: soil–crop–livestock knowledge, nutrient and water budgets, emission factors, carbon accounting, climate services, monitoring protocols and adaptive management.</x:v>
      </x:c>
      <x:c r="Q336" s="2" t="str">
        <x:v>Farmer field schools: land tenure, extension, producer organisations, veterinary or phytosanitary services, incentives, safeguards, certification and monitoring arrangements.</x:v>
      </x:c>
      <x:c r="R336" s="2" t="str">
        <x:v>Farmer field schools: nurseries or seed banks, field access, water and storage systems, laboratories, extension centres, monitoring plots and processing or market facilities.</x:v>
      </x:c>
      <x:c r="S336" s="2" t="str">
        <x:v>Farmer field schools: human and mechanical work, electricity or fuel for machinery, pumping, cooling and processing; biological energy and solar radiation dominate field processes.</x:v>
      </x:c>
      <x:c r="T336" s="2" t="str">
        <x:v>Farmer field schools: seed or planting stock, organic matter, fertilisers, soil amendments, water, fencing or structural materials, veterinary inputs and monitoring consumables.</x:v>
      </x:c>
      <x:c r="U336" s="2" t="str">
        <x:v>Farmer field schools: seed, inoculants, filters, drip lines, nozzles, tool parts, sampling containers, sensor batteries, veterinary supplies and protective equipment.</x:v>
      </x:c>
      <x:c r="V336" s="2" t="str">
        <x:v>https://www.ctc-n.org/sites/default/files/resources/ctcn_taxonomy_0.pdf</x:v>
      </x:c>
      <x:c r="W336" s="2" t="str">
        <x:v>https://institutoagricoladepueblobello.edu.co/colegiapp/archivostemas/GUIA%209.%5B25%5D.pdf</x:v>
      </x:c>
      <x:c r="X336" s="2" t="str">
        <x:v>https://iiasa.ac.at/what-is-technology</x:v>
      </x:c>
      <x:c r="Y336" s="2" t="str">
        <x:v>https://www.fao.org/climate-change/en; https://www.ipcc.ch/report/ar6/wg3/chapter/chapter-7/; https://openknowledge.fao.org/server/api/core/bitstreams/b21f2087-f398-4718-8461-b92afc82e617/content</x:v>
      </x:c>
      <x:c r="Z336" s="2" t="str">
        <x:v>Technology-specific analytical synthesis. The CTCN hierarchy is retained; classifications and component dependencies require validation against the selected design, site and supplier documentation before investment or policy use.</x:v>
      </x:c>
      <x:c r="AA336" s="2" t="str">
        <x:v>Physical deployment of Farmer field schools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36" s="2" t="str">
        <x:v>For Farmer field schools,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36" s="2" t="str">
        <x:v>Construction and operation use seed or planting stock, organic matter, fertilisers, soil amendments, water, fencing or structural materials, veterinary inputs and monitoring consumables. For Farmer field schools, specifications must include durability, compatibility, recycled content and recoverability.</x:v>
      </x:c>
      <x:c r="AD336" s="2" t="str">
        <x:v>Maintenance of Farmer field schools depends on seed, inoculants, filters, drip lines, nozzles, tool parts, sampling containers, sensor batteries, veterinary supplies and protective equipment; critical spares are selected from failure-mode, lead-time and safety analysis for its installed configuration.</x:v>
      </x:c>
      <x:c r="AE336" s="2" t="str">
        <x:v>The software stack for Farmer field schools requires databases, secure communications, version-controlled models, computing, backup and interfaces with field or operational systems.</x:v>
      </x:c>
      <x:c r="AF336" s="2" t="str">
        <x:v>For Farmer field schools, software-related energy is electricity for sensing, computing, storage, communication and cooling; it is normally secondary but must be included for data-intensive or continuous services.</x:v>
      </x:c>
      <x:c r="AG336" s="2" t="str">
        <x:v>The non-physical inputs are calibrated data, metadata, algorithms, boundary conditions, emission or hazard factors, manuals and validation records specific to Farmer field schools.</x:v>
      </x:c>
      <x:c r="AH336" s="2" t="str">
        <x:v>Software continuity for Farmer field schools requires licences where applicable, updates, cybersecurity patches, backups, calibration files, model validation and technical support.</x:v>
      </x:c>
      <x:c r="AI336" s="2" t="str">
        <x:v>Orgware depends on the institutions, laboratories, training providers, regulators, operators and community interfaces needed to govern Farmer field schools.</x:v>
      </x:c>
      <x:c r="AJ336" s="2" t="str">
        <x:v>The orgware supporting Farmer field schools has mainly indirect energy use from offices, meetings, training and information systems; travel and field supervision may be material at dispersed sites.</x:v>
      </x:c>
      <x:c r="AK336" s="2" t="str">
        <x:v>Its organisational inputs are permits, budgets, trained staff, competence records, contracts, procedures, safeguards, monitoring evidence and stakeholder agreements tailored to Farmer field schools.</x:v>
      </x:c>
      <x:c r="AL336" s="2" t="str">
        <x:v>Sustained implementation of Farmer field schools requires procurement and service contracts, audit protocols, training material, reporting templates, insurance or guarantees and periodic independent review.</x:v>
      </x:c>
      <x:c r="AM336" s="2" t="str">
        <x:v>No critical or strategic raw material is identifiable at taxonomy level; site-specific bulk materials may still be required.</x:v>
      </x:c>
      <x:c r="AN336" s="2" t="str"/>
      <x:c r="AO336" s="2" t="str"/>
      <x:c r="AP336" s="2" t="str">
        <x:v>Farmer field schools: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6" s="2" t="str">
        <x:v>2024–2025</x:v>
      </x:c>
      <x:c r="AR336" s="2" t="str">
        <x:v>https://pubs.usgs.gov/periodicals/mcs2026/mcs2026.pdf</x:v>
      </x:c>
    </x:row>
    <x:row r="337" ht="240" customHeight="1">
      <x:c r="A337" s="2" t="str">
        <x:v>ADP-0067</x:v>
      </x:c>
      <x:c r="B337" s="2" t="str">
        <x:v>Adaptation</x:v>
      </x:c>
      <x:c r="C337" s="2" t="str">
        <x:v>Water</x:v>
      </x:c>
      <x:c r="D337" s="2" t="str">
        <x:v>Water efficiency and demand management</x:v>
      </x:c>
      <x:c r="E337" s="2" t="str">
        <x:v>Water efficiency in industry</x:v>
      </x:c>
      <x:c r="F337" s="2" t="str">
        <x:v>Water efficiency in industry is a adaptation technology in the Water sector and the Water efficiency and demand management technology group. It is defined as a combined hardware–software–orgware system that changes industrial chemistry, heat integration, equipment efficiency, material yield, fuel, process route or product design to reduce direct and energy-related emissions per unit of output. Water efficiency in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337" s="2" t="str">
        <x:v>Flexible</x:v>
      </x:c>
      <x:c r="H337" s="2" t="str">
        <x:v>Water efficiency in industry is transferable through configurable methods, rules and operating parameters. Its principle remains the same, but resource quality, climate, scale, interfaces and safety constraints must be recalculated for each deployment.</x:v>
      </x:c>
      <x:c r="I337" s="2" t="str">
        <x:v>Primarily soft, with physical support</x:v>
      </x:c>
      <x:c r="J337" s="2" t="str">
        <x:v>Water efficiency in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337" s="2" t="str">
        <x:v>Operation</x:v>
      </x:c>
      <x:c r="L337" s="2" t="str">
        <x:v>Water efficiency in industry is embodied mainly as an operating practice. The deliverable is accepted only when measurable service, quality, safety and climate-performance criteria are met under real conditions.</x:v>
      </x:c>
      <x:c r="M337" s="2" t="str">
        <x:v>Yes, subject to life-cycle safeguards</x:v>
      </x:c>
      <x:c r="N337" s="2" t="str">
        <x:v>Water efficiency in industry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337" s="2" t="str">
        <x:v>Water efficiency in industry: process reactors or furnaces, heat exchangers, motors and drives, compressors, burners, controls, pollution abatement, material handling and measurement equipment.</x:v>
      </x:c>
      <x:c r="P337" s="2" t="str">
        <x:v>Water efficiency in industry: process simulation, pinch and heat-integration analysis, advanced control, production scheduling, quality control, energy management and life-cycle assessment.</x:v>
      </x:c>
      <x:c r="Q337" s="2" t="str">
        <x:v>Water efficiency in industry: industrial permits, product standards, operating procedures, maintenance and competence systems, procurement, energy management and industrial-symbiosis agreements.</x:v>
      </x:c>
      <x:c r="R337" s="2" t="str">
        <x:v>Water efficiency in industry: industrial site, utilities, fuel and electricity supply, material storage, process buildings, laboratories, waste handling and logistics.</x:v>
      </x:c>
      <x:c r="S337" s="2" t="str">
        <x:v>Water efficiency in industry: electricity, steam, process heat, cooling and fuels; useful-energy efficiency, heat recovery and carbon intensity of supply determine savings.</x:v>
      </x:c>
      <x:c r="T337" s="2" t="str">
        <x:v>Water efficiency in industry: process feedstocks, steel and refractory materials, catalysts, solvents, lubricants, insulation, piping, sensors and technology-specific alloying elements.</x:v>
      </x:c>
      <x:c r="U337" s="2" t="str">
        <x:v>Water efficiency in industry: refractory linings, bearings, seals, valves, filters, burners, electrodes, sensors, control modules, lubricants and calibrated instruments.</x:v>
      </x:c>
      <x:c r="V337" s="2" t="str">
        <x:v>https://www.ctc-n.org/sites/default/files/resources/ctcn_taxonomy_0.pdf</x:v>
      </x:c>
      <x:c r="W337" s="2" t="str">
        <x:v>https://institutoagricoladepueblobello.edu.co/colegiapp/archivostemas/GUIA%209.%5B25%5D.pdf</x:v>
      </x:c>
      <x:c r="X337" s="2" t="str">
        <x:v>https://iiasa.ac.at/what-is-technology</x:v>
      </x:c>
      <x:c r="Y337" s="2" t="str">
        <x:v>https://www.unwater.org/water-facts/climate-change; https://www.ipcc.ch/report/ar6/wg3/chapter/chapter-11/</x:v>
      </x:c>
      <x:c r="Z337" s="2" t="str">
        <x:v>Technology-specific analytical synthesis. The CTCN hierarchy is retained; classifications and component dependencies require validation against the selected design, site and supplier documentation before investment or policy use.</x:v>
      </x:c>
      <x:c r="AA337" s="2" t="str">
        <x:v>Physical deployment of Water efficiency in industry requires industrial site, utilities, fuel and electricity supply, material storage, process buildings, laboratories, waste handling and logistics; interfaces, foundations, access and environmental protection are sized to the specific resource and design load.</x:v>
      </x:c>
      <x:c r="AB337" s="2" t="str">
        <x:v>For Water efficiency in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337" s="2" t="str">
        <x:v>Construction and operation use process feedstocks, steel and refractory materials, catalysts, solvents, lubricants, insulation, piping, sensors and technology-specific alloying elements. For Water efficiency in industry, specifications must include durability, compatibility, recycled content and recoverability.</x:v>
      </x:c>
      <x:c r="AD337" s="2" t="str">
        <x:v>Maintenance of Water efficiency in industry depends on refractory linings, bearings, seals, valves, filters, burners, electrodes, sensors, control modules, lubricants and calibrated instruments; critical spares are selected from failure-mode, lead-time and safety analysis for its installed configuration.</x:v>
      </x:c>
      <x:c r="AE337" s="2" t="str">
        <x:v>The software stack for Water efficiency in industry requires databases, secure communications, version-controlled models, computing, backup and interfaces with field or operational systems.</x:v>
      </x:c>
      <x:c r="AF337" s="2" t="str">
        <x:v>For Water efficiency in industry, software-related energy is electricity for sensing, computing, storage, communication and cooling; it is normally secondary but must be included for data-intensive or continuous services.</x:v>
      </x:c>
      <x:c r="AG337" s="2" t="str">
        <x:v>The non-physical inputs are calibrated data, metadata, algorithms, boundary conditions, emission or hazard factors, manuals and validation records specific to Water efficiency in industry.</x:v>
      </x:c>
      <x:c r="AH337" s="2" t="str">
        <x:v>Software continuity for Water efficiency in industry requires licences where applicable, updates, cybersecurity patches, backups, calibration files, model validation and technical support.</x:v>
      </x:c>
      <x:c r="AI337" s="2" t="str">
        <x:v>Orgware depends on the institutions, laboratories, training providers, regulators, operators and community interfaces needed to govern Water efficiency in industry.</x:v>
      </x:c>
      <x:c r="AJ337" s="2" t="str">
        <x:v>The orgware supporting Water efficiency in industry has mainly indirect energy use from offices, meetings, training and information systems; travel and field supervision may be material at dispersed sites.</x:v>
      </x:c>
      <x:c r="AK337" s="2" t="str">
        <x:v>Its organisational inputs are permits, budgets, trained staff, competence records, contracts, procedures, safeguards, monitoring evidence and stakeholder agreements tailored to Water efficiency in industry.</x:v>
      </x:c>
      <x:c r="AL337" s="2" t="str">
        <x:v>Sustained implementation of Water efficiency in industry requires procurement and service contracts, audit protocols, training material, reporting templates, insurance or guarantees and periodic independent review.</x:v>
      </x:c>
      <x:c r="AM337" s="2" t="str">
        <x:v>Iron ore / steel inputs</x:v>
      </x:c>
      <x:c r="AN337" s="2" t="str">
        <x:v>Australia; Brazil; China</x:v>
      </x:c>
      <x:c r="AO337" s="2" t="str">
        <x:v>China; India; Japan</x:v>
      </x:c>
      <x:c r="AP337" s="2" t="str">
        <x:v>Water efficiency in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7" s="2" t="str">
        <x:v>2024–2025</x:v>
      </x:c>
      <x:c r="AR337" s="2" t="str">
        <x:v>https://pubs.usgs.gov/periodicals/mcs2026/mcs2026.pdf</x:v>
      </x:c>
    </x:row>
    <x:row r="338" ht="240" customHeight="1">
      <x:c r="A338" s="2" t="str">
        <x:v>ADP-0068</x:v>
      </x:c>
      <x:c r="B338" s="2" t="str">
        <x:v>Adaptation</x:v>
      </x:c>
      <x:c r="C338" s="2" t="str">
        <x:v>Water</x:v>
      </x:c>
      <x:c r="D338" s="2" t="str">
        <x:v>Water efficiency and demand management</x:v>
      </x:c>
      <x:c r="E338" s="2" t="str">
        <x:v>Leakage management in piped systems</x:v>
      </x:c>
      <x:c r="F338" s="2" t="str">
        <x:v>Leakage management in piped systems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It locates losses by measurement and inspection, quantifies leak rate and restores containment through repair, pressure management or component replacement.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38" s="2" t="str">
        <x:v>Flexible</x:v>
      </x:c>
      <x:c r="H338" s="2" t="str">
        <x:v>Leakage management in piped systems is transferable through configurable methods, rules and operating parameters. Its principle remains the same, but resource quality, climate, scale, interfaces and safety constraints must be recalculated for each deployment.</x:v>
      </x:c>
      <x:c r="I338" s="2" t="str">
        <x:v>Primarily soft, with physical support</x:v>
      </x:c>
      <x:c r="J338" s="2" t="str">
        <x:v>Leakage management in piped systems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38" s="2" t="str">
        <x:v>Operation</x:v>
      </x:c>
      <x:c r="L338" s="2" t="str">
        <x:v>Leakage management in piped systems is embodied mainly as an operating practice. The deliverable is accepted only when measurable service, quality, safety and climate-performance criteria are met under real conditions.</x:v>
      </x:c>
      <x:c r="M338" s="2" t="str">
        <x:v>Yes, subject to life-cycle safeguards</x:v>
      </x:c>
      <x:c r="N338" s="2" t="str">
        <x:v>Leakage management in piped systems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38" s="2" t="str">
        <x:v>Leakage management in piped systems: intakes, pipes, pumps, meters, valves, tanks, treatment units, drainage or flood structures, monitoring stations and nature-based elements as applicable.</x:v>
      </x:c>
      <x:c r="P338" s="2" t="str">
        <x:v>Leakage management in piped systems: water balance, hydraulic and hydrological modelling, demand forecasting, water-quality analysis, asset management, drought or flood rules and decision support.</x:v>
      </x:c>
      <x:c r="Q338" s="2" t="str">
        <x:v>Leakage management in piped systems: water rights and permits, utility responsibilities, basin governance, service standards, emergency protocols, tariffs, maintenance funding and stakeholder agreements.</x:v>
      </x:c>
      <x:c r="R338" s="2" t="str">
        <x:v>Leakage management in piped systems: catchment or coast, treatment and storage sites, conveyance and drainage network, power supply, laboratory, control room and safe access.</x:v>
      </x:c>
      <x:c r="S338" s="2" t="str">
        <x:v>Leakage management in piped systems: electricity or fuel for pumping, aeration, desalination, treatment and controls; gravity and ecosystem processes can reduce auxiliary demand.</x:v>
      </x:c>
      <x:c r="T338" s="2" t="str">
        <x:v>Leakage management in piped systems: concrete, steel, ductile iron or polymers, filter media, membranes, treatment chemicals, geotextiles, soil, rock and vegetation according to the measure.</x:v>
      </x:c>
      <x:c r="U338" s="2" t="str">
        <x:v>Leakage management in piped systems: pump and valve parts, seals, meters, sensors, membranes, lamps, filter media, dosing equipment, reagents and erosion-control materials.</x:v>
      </x:c>
      <x:c r="V338" s="2" t="str">
        <x:v>https://www.ctc-n.org/sites/default/files/resources/ctcn_taxonomy_0.pdf</x:v>
      </x:c>
      <x:c r="W338" s="2" t="str">
        <x:v>https://institutoagricoladepueblobello.edu.co/colegiapp/archivostemas/GUIA%209.%5B25%5D.pdf</x:v>
      </x:c>
      <x:c r="X338" s="2" t="str">
        <x:v>https://iiasa.ac.at/what-is-technology</x:v>
      </x:c>
      <x:c r="Y338" s="2" t="str">
        <x:v>https://www.unwater.org/water-facts/climate-change</x:v>
      </x:c>
      <x:c r="Z338" s="2" t="str">
        <x:v>Technology-specific analytical synthesis. The CTCN hierarchy is retained; classifications and component dependencies require validation against the selected design, site and supplier documentation before investment or policy use.</x:v>
      </x:c>
      <x:c r="AA338" s="2" t="str">
        <x:v>Physical deployment of Leakage management in piped systems requires catchment or coast, treatment and storage sites, conveyance and drainage network, power supply, laboratory, control room and safe access; interfaces, foundations, access and environmental protection are sized to the specific resource and design load.</x:v>
      </x:c>
      <x:c r="AB338" s="2" t="str">
        <x:v>For Leakage management in piped systems,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38" s="2" t="str">
        <x:v>Construction and operation use concrete, steel, ductile iron or polymers, filter media, membranes, treatment chemicals, geotextiles, soil, rock and vegetation according to the measure. For Leakage management in piped systems, specifications must include durability, compatibility, recycled content and recoverability.</x:v>
      </x:c>
      <x:c r="AD338" s="2" t="str">
        <x:v>Maintenance of Leakage management in piped systems depends on pump and valve parts, seals, meters, sensors, membranes, lamps, filter media, dosing equipment, reagents and erosion-control materials; critical spares are selected from failure-mode, lead-time and safety analysis for its installed configuration.</x:v>
      </x:c>
      <x:c r="AE338" s="2" t="str">
        <x:v>The software stack for Leakage management in piped systems requires databases, secure communications, version-controlled models, computing, backup and interfaces with field or operational systems.</x:v>
      </x:c>
      <x:c r="AF338" s="2" t="str">
        <x:v>For Leakage management in piped systems, software-related energy is electricity for sensing, computing, storage, communication and cooling; it is normally secondary but must be included for data-intensive or continuous services.</x:v>
      </x:c>
      <x:c r="AG338" s="2" t="str">
        <x:v>The non-physical inputs are calibrated data, metadata, algorithms, boundary conditions, emission or hazard factors, manuals and validation records specific to Leakage management in piped systems.</x:v>
      </x:c>
      <x:c r="AH338" s="2" t="str">
        <x:v>Software continuity for Leakage management in piped systems requires licences where applicable, updates, cybersecurity patches, backups, calibration files, model validation and technical support.</x:v>
      </x:c>
      <x:c r="AI338" s="2" t="str">
        <x:v>Orgware depends on the institutions, laboratories, training providers, regulators, operators and community interfaces needed to govern Leakage management in piped systems.</x:v>
      </x:c>
      <x:c r="AJ338" s="2" t="str">
        <x:v>The orgware supporting Leakage management in piped systems has mainly indirect energy use from offices, meetings, training and information systems; travel and field supervision may be material at dispersed sites.</x:v>
      </x:c>
      <x:c r="AK338" s="2" t="str">
        <x:v>Its organisational inputs are permits, budgets, trained staff, competence records, contracts, procedures, safeguards, monitoring evidence and stakeholder agreements tailored to Leakage management in piped systems.</x:v>
      </x:c>
      <x:c r="AL338" s="2" t="str">
        <x:v>Sustained implementation of Leakage management in piped systems requires procurement and service contracts, audit protocols, training material, reporting templates, insurance or guarantees and periodic independent review.</x:v>
      </x:c>
      <x:c r="AM338" s="2" t="str">
        <x:v>Iron ore / steel inputs</x:v>
      </x:c>
      <x:c r="AN338" s="2" t="str">
        <x:v>Australia; Brazil; China</x:v>
      </x:c>
      <x:c r="AO338" s="2" t="str">
        <x:v>China; India; Japan</x:v>
      </x:c>
      <x:c r="AP338" s="2" t="str">
        <x:v>Leakage management in piped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8" s="2" t="str">
        <x:v>2024–2025</x:v>
      </x:c>
      <x:c r="AR338" s="2" t="str">
        <x:v>https://pubs.usgs.gov/periodicals/mcs2026/mcs2026.pdf</x:v>
      </x:c>
    </x:row>
    <x:row r="339" ht="240" customHeight="1">
      <x:c r="A339" s="2" t="str">
        <x:v>ADP-0069</x:v>
      </x:c>
      <x:c r="B339" s="2" t="str">
        <x:v>Adaptation</x:v>
      </x:c>
      <x:c r="C339" s="2" t="str">
        <x:v>Water</x:v>
      </x:c>
      <x:c r="D339" s="2" t="str">
        <x:v>Water efficiency and demand management</x:v>
      </x:c>
      <x:c r="E339" s="2" t="str">
        <x:v>Water accounting</x:v>
      </x:c>
      <x:c r="F339" s="2" t="str">
        <x:v>Water accounting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Water accounting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39" s="2" t="str">
        <x:v>Flexible</x:v>
      </x:c>
      <x:c r="H339" s="2" t="str">
        <x:v>Water accounting is transferable through configurable methods, rules and operating parameters. Its principle remains the same, but resource quality, climate, scale, interfaces and safety constraints must be recalculated for each deployment.</x:v>
      </x:c>
      <x:c r="I339" s="2" t="str">
        <x:v>Primarily soft, with physical support</x:v>
      </x:c>
      <x:c r="J339" s="2" t="str">
        <x:v>Water accounting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39" s="2" t="str">
        <x:v>Operation</x:v>
      </x:c>
      <x:c r="L339" s="2" t="str">
        <x:v>Water accounting is embodied mainly as an operating practice. The deliverable is accepted only when measurable service, quality, safety and climate-performance criteria are met under real conditions.</x:v>
      </x:c>
      <x:c r="M339" s="2" t="str">
        <x:v>Yes, subject to life-cycle safeguards</x:v>
      </x:c>
      <x:c r="N339" s="2" t="str">
        <x:v>Water accounting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39" s="2" t="str">
        <x:v>Water accounting: intakes, pipes, pumps, meters, valves, tanks, treatment units, drainage or flood structures, monitoring stations and nature-based elements as applicable.</x:v>
      </x:c>
      <x:c r="P339" s="2" t="str">
        <x:v>Water accounting: water balance, hydraulic and hydrological modelling, demand forecasting, water-quality analysis, asset management, drought or flood rules and decision support.</x:v>
      </x:c>
      <x:c r="Q339" s="2" t="str">
        <x:v>Water accounting: water rights and permits, utility responsibilities, basin governance, service standards, emergency protocols, tariffs, maintenance funding and stakeholder agreements.</x:v>
      </x:c>
      <x:c r="R339" s="2" t="str">
        <x:v>Water accounting: catchment or coast, treatment and storage sites, conveyance and drainage network, power supply, laboratory, control room and safe access.</x:v>
      </x:c>
      <x:c r="S339" s="2" t="str">
        <x:v>Water accounting: electricity or fuel for pumping, aeration, desalination, treatment and controls; gravity and ecosystem processes can reduce auxiliary demand.</x:v>
      </x:c>
      <x:c r="T339" s="2" t="str">
        <x:v>Water accounting: concrete, steel, ductile iron or polymers, filter media, membranes, treatment chemicals, geotextiles, soil, rock and vegetation according to the measure.</x:v>
      </x:c>
      <x:c r="U339" s="2" t="str">
        <x:v>Water accounting: pump and valve parts, seals, meters, sensors, membranes, lamps, filter media, dosing equipment, reagents and erosion-control materials.</x:v>
      </x:c>
      <x:c r="V339" s="2" t="str">
        <x:v>https://www.ctc-n.org/sites/default/files/resources/ctcn_taxonomy_0.pdf</x:v>
      </x:c>
      <x:c r="W339" s="2" t="str">
        <x:v>https://institutoagricoladepueblobello.edu.co/colegiapp/archivostemas/GUIA%209.%5B25%5D.pdf</x:v>
      </x:c>
      <x:c r="X339" s="2" t="str">
        <x:v>https://iiasa.ac.at/what-is-technology</x:v>
      </x:c>
      <x:c r="Y339" s="2" t="str">
        <x:v>https://www.unwater.org/water-facts/climate-change</x:v>
      </x:c>
      <x:c r="Z339" s="2" t="str">
        <x:v>Technology-specific analytical synthesis. The CTCN hierarchy is retained; classifications and component dependencies require validation against the selected design, site and supplier documentation before investment or policy use.</x:v>
      </x:c>
      <x:c r="AA339" s="2" t="str">
        <x:v>Physical deployment of Water accounting requires catchment or coast, treatment and storage sites, conveyance and drainage network, power supply, laboratory, control room and safe access; interfaces, foundations, access and environmental protection are sized to the specific resource and design load.</x:v>
      </x:c>
      <x:c r="AB339" s="2" t="str">
        <x:v>For Water accounting,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39" s="2" t="str">
        <x:v>Construction and operation use concrete, steel, ductile iron or polymers, filter media, membranes, treatment chemicals, geotextiles, soil, rock and vegetation according to the measure. For Water accounting, specifications must include durability, compatibility, recycled content and recoverability.</x:v>
      </x:c>
      <x:c r="AD339" s="2" t="str">
        <x:v>Maintenance of Water accounting depends on pump and valve parts, seals, meters, sensors, membranes, lamps, filter media, dosing equipment, reagents and erosion-control materials; critical spares are selected from failure-mode, lead-time and safety analysis for its installed configuration.</x:v>
      </x:c>
      <x:c r="AE339" s="2" t="str">
        <x:v>The software stack for Water accounting requires databases, secure communications, version-controlled models, computing, backup and interfaces with field or operational systems.</x:v>
      </x:c>
      <x:c r="AF339" s="2" t="str">
        <x:v>For Water accounting, software-related energy is electricity for sensing, computing, storage, communication and cooling; it is normally secondary but must be included for data-intensive or continuous services.</x:v>
      </x:c>
      <x:c r="AG339" s="2" t="str">
        <x:v>The non-physical inputs are calibrated data, metadata, algorithms, boundary conditions, emission or hazard factors, manuals and validation records specific to Water accounting.</x:v>
      </x:c>
      <x:c r="AH339" s="2" t="str">
        <x:v>Software continuity for Water accounting requires licences where applicable, updates, cybersecurity patches, backups, calibration files, model validation and technical support.</x:v>
      </x:c>
      <x:c r="AI339" s="2" t="str">
        <x:v>Orgware depends on the institutions, laboratories, training providers, regulators, operators and community interfaces needed to govern Water accounting.</x:v>
      </x:c>
      <x:c r="AJ339" s="2" t="str">
        <x:v>The orgware supporting Water accounting has mainly indirect energy use from offices, meetings, training and information systems; travel and field supervision may be material at dispersed sites.</x:v>
      </x:c>
      <x:c r="AK339" s="2" t="str">
        <x:v>Its organisational inputs are permits, budgets, trained staff, competence records, contracts, procedures, safeguards, monitoring evidence and stakeholder agreements tailored to Water accounting.</x:v>
      </x:c>
      <x:c r="AL339" s="2" t="str">
        <x:v>Sustained implementation of Water accounting requires procurement and service contracts, audit protocols, training material, reporting templates, insurance or guarantees and periodic independent review.</x:v>
      </x:c>
      <x:c r="AM339" s="2" t="str">
        <x:v>Iron ore / steel inputs</x:v>
      </x:c>
      <x:c r="AN339" s="2" t="str">
        <x:v>Australia; Brazil; China</x:v>
      </x:c>
      <x:c r="AO339" s="2" t="str">
        <x:v>China; India; Japan</x:v>
      </x:c>
      <x:c r="AP339" s="2" t="str">
        <x:v>Water accounting: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9" s="2" t="str">
        <x:v>2024–2025</x:v>
      </x:c>
      <x:c r="AR339" s="2" t="str">
        <x:v>https://pubs.usgs.gov/periodicals/mcs2026/mcs2026.pdf</x:v>
      </x:c>
    </x:row>
    <x:row r="340" ht="240" customHeight="1">
      <x:c r="A340" s="2" t="str">
        <x:v>ADP-0070</x:v>
      </x:c>
      <x:c r="B340" s="2" t="str">
        <x:v>Adaptation</x:v>
      </x:c>
      <x:c r="C340" s="2" t="str">
        <x:v>Water</x:v>
      </x:c>
      <x:c r="D340" s="2" t="str">
        <x:v>Water efficiency and demand management</x:v>
      </x:c>
      <x:c r="E340" s="2" t="str">
        <x:v>Irrigation efficiency and information systems</x:v>
      </x:c>
      <x:c r="F340" s="2" t="str">
        <x:v>Irrigation efficiency and information systems is a adaptation technology in the Water sector and the Water efficiency and demand management technology group. It is defined as a combined hardware–software–orgware system that changes vegetation, soil, nutrient, water, crop or livestock management to protect carbon stocks, increase resilience and productivity, and reduce CO₂, CH₄ or N₂O emissions. Irrigation efficiency and information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40" s="2" t="str">
        <x:v>Flexible</x:v>
      </x:c>
      <x:c r="H340" s="2" t="str">
        <x:v>Irrigation efficiency and information systems is transferable through configurable methods, rules and operating parameters. Its principle remains the same, but resource quality, climate, scale, interfaces and safety constraints must be recalculated for each deployment.</x:v>
      </x:c>
      <x:c r="I340" s="2" t="str">
        <x:v>Hard and soft</x:v>
      </x:c>
      <x:c r="J340" s="2" t="str">
        <x:v>Irrigation efficiency and information systems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40" s="2" t="str">
        <x:v>Operation and information service</x:v>
      </x:c>
      <x:c r="L340" s="2" t="str">
        <x:v>Irrigation efficiency and information systems is embodied mainly as an information and decision service. The deliverable is accepted only when measurable service, quality, safety and climate-performance criteria are met under real conditions.</x:v>
      </x:c>
      <x:c r="M340" s="2" t="str">
        <x:v>Yes, subject to life-cycle safeguards</x:v>
      </x:c>
      <x:c r="N340" s="2" t="str">
        <x:v>Irrigation efficiency and information systems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40" s="2" t="str">
        <x:v>Irrigation efficiency and information systems: field or forest implements, planting and irrigation equipment, storage or livestock facilities, sampling tools, sensors and protective structures as required.</x:v>
      </x:c>
      <x:c r="P340" s="2" t="str">
        <x:v>Irrigation efficiency and information systems: soil–crop–livestock knowledge, nutrient and water budgets, emission factors, carbon accounting, climate services, monitoring protocols and adaptive management.</x:v>
      </x:c>
      <x:c r="Q340" s="2" t="str">
        <x:v>Irrigation efficiency and information systems: land tenure, extension, producer organisations, veterinary or phytosanitary services, incentives, safeguards, certification and monitoring arrangements.</x:v>
      </x:c>
      <x:c r="R340" s="2" t="str">
        <x:v>Irrigation efficiency and information systems: nurseries or seed banks, field access, water and storage systems, laboratories, extension centres, monitoring plots and processing or market facilities.</x:v>
      </x:c>
      <x:c r="S340" s="2" t="str">
        <x:v>Irrigation efficiency and information systems: human and mechanical work, electricity or fuel for machinery, pumping, cooling and processing; biological energy and solar radiation dominate field processes.</x:v>
      </x:c>
      <x:c r="T340" s="2" t="str">
        <x:v>Irrigation efficiency and information systems: seed or planting stock, organic matter, fertilisers, soil amendments, water, fencing or structural materials, veterinary inputs and monitoring consumables.</x:v>
      </x:c>
      <x:c r="U340" s="2" t="str">
        <x:v>Irrigation efficiency and information systems: seed, inoculants, filters, drip lines, nozzles, tool parts, sampling containers, sensor batteries, veterinary supplies and protective equipment.</x:v>
      </x:c>
      <x:c r="V340" s="2" t="str">
        <x:v>https://www.ctc-n.org/sites/default/files/resources/ctcn_taxonomy_0.pdf</x:v>
      </x:c>
      <x:c r="W340" s="2" t="str">
        <x:v>https://institutoagricoladepueblobello.edu.co/colegiapp/archivostemas/GUIA%209.%5B25%5D.pdf</x:v>
      </x:c>
      <x:c r="X340" s="2" t="str">
        <x:v>https://iiasa.ac.at/what-is-technology</x:v>
      </x:c>
      <x:c r="Y340" s="2" t="str">
        <x:v>https://www.unwater.org/water-facts/climate-change; https://www.ipcc.ch/report/ar6/wg3/chapter/chapter-7/; https://openknowledge.fao.org/server/api/core/bitstreams/b21f2087-f398-4718-8461-b92afc82e617/content</x:v>
      </x:c>
      <x:c r="Z340" s="2" t="str">
        <x:v>Technology-specific analytical synthesis. The CTCN hierarchy is retained; classifications and component dependencies require validation against the selected design, site and supplier documentation before investment or policy use.</x:v>
      </x:c>
      <x:c r="AA340" s="2" t="str">
        <x:v>Physical deployment of Irrigation efficiency and information systems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40" s="2" t="str">
        <x:v>For Irrigation efficiency and information systems,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40" s="2" t="str">
        <x:v>Construction and operation use seed or planting stock, organic matter, fertilisers, soil amendments, water, fencing or structural materials, veterinary inputs and monitoring consumables. For Irrigation efficiency and information systems, specifications must include durability, compatibility, recycled content and recoverability.</x:v>
      </x:c>
      <x:c r="AD340" s="2" t="str">
        <x:v>Maintenance of Irrigation efficiency and information systems depends on seed, inoculants, filters, drip lines, nozzles, tool parts, sampling containers, sensor batteries, veterinary supplies and protective equipment; critical spares are selected from failure-mode, lead-time and safety analysis for its installed configuration.</x:v>
      </x:c>
      <x:c r="AE340" s="2" t="str">
        <x:v>The software stack for Irrigation efficiency and information systems requires databases, secure communications, version-controlled models, computing, backup and interfaces with field or operational systems.</x:v>
      </x:c>
      <x:c r="AF340" s="2" t="str">
        <x:v>For Irrigation efficiency and information systems, software-related energy is electricity for sensing, computing, storage, communication and cooling; it is normally secondary but must be included for data-intensive or continuous services.</x:v>
      </x:c>
      <x:c r="AG340" s="2" t="str">
        <x:v>The non-physical inputs are calibrated data, metadata, algorithms, boundary conditions, emission or hazard factors, manuals and validation records specific to Irrigation efficiency and information systems.</x:v>
      </x:c>
      <x:c r="AH340" s="2" t="str">
        <x:v>Software continuity for Irrigation efficiency and information systems requires licences where applicable, updates, cybersecurity patches, backups, calibration files, model validation and technical support.</x:v>
      </x:c>
      <x:c r="AI340" s="2" t="str">
        <x:v>Orgware depends on the institutions, laboratories, training providers, regulators, operators and community interfaces needed to govern Irrigation efficiency and information systems.</x:v>
      </x:c>
      <x:c r="AJ340" s="2" t="str">
        <x:v>The orgware supporting Irrigation efficiency and information systems has mainly indirect energy use from offices, meetings, training and information systems; travel and field supervision may be material at dispersed sites.</x:v>
      </x:c>
      <x:c r="AK340" s="2" t="str">
        <x:v>Its organisational inputs are permits, budgets, trained staff, competence records, contracts, procedures, safeguards, monitoring evidence and stakeholder agreements tailored to Irrigation efficiency and information systems.</x:v>
      </x:c>
      <x:c r="AL340" s="2" t="str">
        <x:v>Sustained implementation of Irrigation efficiency and information systems requires procurement and service contracts, audit protocols, training material, reporting templates, insurance or guarantees and periodic independent review.</x:v>
      </x:c>
      <x:c r="AM340" s="2" t="str">
        <x:v>No critical or strategic raw material is identifiable at taxonomy level; site-specific bulk materials may still be required.</x:v>
      </x:c>
      <x:c r="AN340" s="2" t="str"/>
      <x:c r="AO340" s="2" t="str"/>
      <x:c r="AP340" s="2" t="str">
        <x:v>Irrigation efficiency and information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0" s="2" t="str">
        <x:v>2024–2025</x:v>
      </x:c>
      <x:c r="AR340" s="2" t="str">
        <x:v>https://pubs.usgs.gov/periodicals/mcs2026/mcs2026.pdf; https://www.iea.org/reports/global-critical-minerals-outlook-2025</x:v>
      </x:c>
    </x:row>
    <x:row r="341" ht="240" customHeight="1">
      <x:c r="A341" s="2" t="str">
        <x:v>ADP-0071</x:v>
      </x:c>
      <x:c r="B341" s="2" t="str">
        <x:v>Adaptation</x:v>
      </x:c>
      <x:c r="C341" s="2" t="str">
        <x:v>Water</x:v>
      </x:c>
      <x:c r="D341" s="2" t="str">
        <x:v>Water efficiency and demand management</x:v>
      </x:c>
      <x:c r="E341" s="2" t="str">
        <x:v>Progressive water pricing</x:v>
      </x:c>
      <x:c r="F341" s="2" t="str">
        <x:v>Progressive water pricing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Progressive water pricing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41" s="2" t="str">
        <x:v>Flexible</x:v>
      </x:c>
      <x:c r="H341" s="2" t="str">
        <x:v>Progressive water pricing is transferable through configurable methods, rules and operating parameters. Its principle remains the same, but resource quality, climate, scale, interfaces and safety constraints must be recalculated for each deployment.</x:v>
      </x:c>
      <x:c r="I341" s="2" t="str">
        <x:v>Primarily soft, with physical support</x:v>
      </x:c>
      <x:c r="J341" s="2" t="str">
        <x:v>Progressive water pricing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41" s="2" t="str">
        <x:v>Operation</x:v>
      </x:c>
      <x:c r="L341" s="2" t="str">
        <x:v>Progressive water pricing is embodied mainly as an operating practice. The deliverable is accepted only when measurable service, quality, safety and climate-performance criteria are met under real conditions.</x:v>
      </x:c>
      <x:c r="M341" s="2" t="str">
        <x:v>Yes, subject to life-cycle safeguards</x:v>
      </x:c>
      <x:c r="N341" s="2" t="str">
        <x:v>Progressive water pricing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41" s="2" t="str">
        <x:v>Progressive water pricing: intakes, pipes, pumps, meters, valves, tanks, treatment units, drainage or flood structures, monitoring stations and nature-based elements as applicable.</x:v>
      </x:c>
      <x:c r="P341" s="2" t="str">
        <x:v>Progressive water pricing: water balance, hydraulic and hydrological modelling, demand forecasting, water-quality analysis, asset management, drought or flood rules and decision support.</x:v>
      </x:c>
      <x:c r="Q341" s="2" t="str">
        <x:v>Progressive water pricing: water rights and permits, utility responsibilities, basin governance, service standards, emergency protocols, tariffs, maintenance funding and stakeholder agreements.</x:v>
      </x:c>
      <x:c r="R341" s="2" t="str">
        <x:v>Progressive water pricing: catchment or coast, treatment and storage sites, conveyance and drainage network, power supply, laboratory, control room and safe access.</x:v>
      </x:c>
      <x:c r="S341" s="2" t="str">
        <x:v>Progressive water pricing: electricity or fuel for pumping, aeration, desalination, treatment and controls; gravity and ecosystem processes can reduce auxiliary demand.</x:v>
      </x:c>
      <x:c r="T341" s="2" t="str">
        <x:v>Progressive water pricing: concrete, steel, ductile iron or polymers, filter media, membranes, treatment chemicals, geotextiles, soil, rock and vegetation according to the measure.</x:v>
      </x:c>
      <x:c r="U341" s="2" t="str">
        <x:v>Progressive water pricing: pump and valve parts, seals, meters, sensors, membranes, lamps, filter media, dosing equipment, reagents and erosion-control materials.</x:v>
      </x:c>
      <x:c r="V341" s="2" t="str">
        <x:v>https://www.ctc-n.org/sites/default/files/resources/ctcn_taxonomy_0.pdf</x:v>
      </x:c>
      <x:c r="W341" s="2" t="str">
        <x:v>https://institutoagricoladepueblobello.edu.co/colegiapp/archivostemas/GUIA%209.%5B25%5D.pdf</x:v>
      </x:c>
      <x:c r="X341" s="2" t="str">
        <x:v>https://iiasa.ac.at/what-is-technology</x:v>
      </x:c>
      <x:c r="Y341" s="2" t="str">
        <x:v>https://www.unwater.org/water-facts/climate-change</x:v>
      </x:c>
      <x:c r="Z341" s="2" t="str">
        <x:v>Technology-specific analytical synthesis. The CTCN hierarchy is retained; classifications and component dependencies require validation against the selected design, site and supplier documentation before investment or policy use.</x:v>
      </x:c>
      <x:c r="AA341" s="2" t="str">
        <x:v>Physical deployment of Progressive water pricing requires catchment or coast, treatment and storage sites, conveyance and drainage network, power supply, laboratory, control room and safe access; interfaces, foundations, access and environmental protection are sized to the specific resource and design load.</x:v>
      </x:c>
      <x:c r="AB341" s="2" t="str">
        <x:v>For Progressive water pricing,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41" s="2" t="str">
        <x:v>Construction and operation use concrete, steel, ductile iron or polymers, filter media, membranes, treatment chemicals, geotextiles, soil, rock and vegetation according to the measure. For Progressive water pricing, specifications must include durability, compatibility, recycled content and recoverability.</x:v>
      </x:c>
      <x:c r="AD341" s="2" t="str">
        <x:v>Maintenance of Progressive water pricing depends on pump and valve parts, seals, meters, sensors, membranes, lamps, filter media, dosing equipment, reagents and erosion-control materials; critical spares are selected from failure-mode, lead-time and safety analysis for its installed configuration.</x:v>
      </x:c>
      <x:c r="AE341" s="2" t="str">
        <x:v>The software stack for Progressive water pricing requires databases, secure communications, version-controlled models, computing, backup and interfaces with field or operational systems.</x:v>
      </x:c>
      <x:c r="AF341" s="2" t="str">
        <x:v>For Progressive water pricing, software-related energy is electricity for sensing, computing, storage, communication and cooling; it is normally secondary but must be included for data-intensive or continuous services.</x:v>
      </x:c>
      <x:c r="AG341" s="2" t="str">
        <x:v>The non-physical inputs are calibrated data, metadata, algorithms, boundary conditions, emission or hazard factors, manuals and validation records specific to Progressive water pricing.</x:v>
      </x:c>
      <x:c r="AH341" s="2" t="str">
        <x:v>Software continuity for Progressive water pricing requires licences where applicable, updates, cybersecurity patches, backups, calibration files, model validation and technical support.</x:v>
      </x:c>
      <x:c r="AI341" s="2" t="str">
        <x:v>Orgware depends on the institutions, laboratories, training providers, regulators, operators and community interfaces needed to govern Progressive water pricing.</x:v>
      </x:c>
      <x:c r="AJ341" s="2" t="str">
        <x:v>The orgware supporting Progressive water pricing has mainly indirect energy use from offices, meetings, training and information systems; travel and field supervision may be material at dispersed sites.</x:v>
      </x:c>
      <x:c r="AK341" s="2" t="str">
        <x:v>Its organisational inputs are permits, budgets, trained staff, competence records, contracts, procedures, safeguards, monitoring evidence and stakeholder agreements tailored to Progressive water pricing.</x:v>
      </x:c>
      <x:c r="AL341" s="2" t="str">
        <x:v>Sustained implementation of Progressive water pricing requires procurement and service contracts, audit protocols, training material, reporting templates, insurance or guarantees and periodic independent review.</x:v>
      </x:c>
      <x:c r="AM341" s="2" t="str">
        <x:v>No critical or strategic raw material is identifiable at taxonomy level; site-specific bulk materials may still be required.</x:v>
      </x:c>
      <x:c r="AN341" s="2" t="str"/>
      <x:c r="AO341" s="2" t="str"/>
      <x:c r="AP341" s="2" t="str">
        <x:v>Progressive water pricing: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1" s="2" t="str">
        <x:v>2024–2025</x:v>
      </x:c>
      <x:c r="AR341" s="2" t="str">
        <x:v>https://pubs.usgs.gov/periodicals/mcs2026/mcs2026.pdf</x:v>
      </x:c>
    </x:row>
    <x:row r="342" ht="240" customHeight="1">
      <x:c r="A342" s="2" t="str">
        <x:v>ADP-0072</x:v>
      </x:c>
      <x:c r="B342" s="2" t="str">
        <x:v>Adaptation</x:v>
      </x:c>
      <x:c r="C342" s="2" t="str">
        <x:v>Water</x:v>
      </x:c>
      <x:c r="D342" s="2" t="str">
        <x:v>Water efficiency and demand management</x:v>
      </x:c>
      <x:c r="E342" s="2" t="str">
        <x:v>Water savings requirements in building codes</x:v>
      </x:c>
      <x:c r="F342" s="2" t="str">
        <x:v>Water savings requirements in building codes is a adaptation technology in the Water sector and the Water efficiency and demand management technology group. It is defined as a combined hardware–software–orgware system that reduces thermal, electrical or water demand through passive design, efficient equipment, controls and low-impact materials. Water savings requirements in building codes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342" s="2" t="str">
        <x:v>Flexible</x:v>
      </x:c>
      <x:c r="H342" s="2" t="str">
        <x:v>Water savings requirements in building codes is transferable through configurable methods, rules and operating parameters. Its principle remains the same, but resource quality, climate, scale, interfaces and safety constraints must be recalculated for each deployment.</x:v>
      </x:c>
      <x:c r="I342" s="2" t="str">
        <x:v>Primarily soft, with physical support</x:v>
      </x:c>
      <x:c r="J342" s="2" t="str">
        <x:v>Water savings requirements in building codes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342" s="2" t="str">
        <x:v>Operation</x:v>
      </x:c>
      <x:c r="L342" s="2" t="str">
        <x:v>Water savings requirements in building codes is embodied mainly as an operating practice. The deliverable is accepted only when measurable service, quality, safety and climate-performance criteria are met under real conditions.</x:v>
      </x:c>
      <x:c r="M342" s="2" t="str">
        <x:v>Yes, subject to life-cycle safeguards</x:v>
      </x:c>
      <x:c r="N342" s="2" t="str">
        <x:v>Water savings requirements in building codes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342" s="2" t="str">
        <x:v>Water savings requirements in building codes: envelope assemblies, efficient equipment, sensors, actuators, meters and distribution systems.</x:v>
      </x:c>
      <x:c r="P342" s="2" t="str">
        <x:v>Water savings requirements in building codes: energy simulation, load calculation, control sequences, commissioning data and building management.</x:v>
      </x:c>
      <x:c r="Q342" s="2" t="str">
        <x:v>Water savings requirements in building codes: building codes, performance standards, procurement, commissioning, maintenance plans and occupant guidance.</x:v>
      </x:c>
      <x:c r="R342" s="2" t="str">
        <x:v>Water savings requirements in building codes: building fabric, plant rooms, electrical and water networks, access for maintenance and metering.</x:v>
      </x:c>
      <x:c r="S342" s="2" t="str">
        <x:v>Water savings requirements in building codes: electricity and thermal energy; peak demand, part-load efficiency and controls determine actual savings.</x:v>
      </x:c>
      <x:c r="T342" s="2" t="str">
        <x:v>Water savings requirements in building codes: insulation, glass, concrete, steel, timber, aluminium, copper, refrigerants and electronic components as applicable.</x:v>
      </x:c>
      <x:c r="U342" s="2" t="str">
        <x:v>Water savings requirements in building codes: filters, belts, seals, lamps or drivers, sensors, actuators, valves, control modules and envelope repair materials.</x:v>
      </x:c>
      <x:c r="V342" s="2" t="str">
        <x:v>https://www.ctc-n.org/sites/default/files/resources/ctcn_taxonomy_0.pdf</x:v>
      </x:c>
      <x:c r="W342" s="2" t="str">
        <x:v>https://institutoagricoladepueblobello.edu.co/colegiapp/archivostemas/GUIA%209.%5B25%5D.pdf</x:v>
      </x:c>
      <x:c r="X342" s="2" t="str">
        <x:v>https://iiasa.ac.at/what-is-technology</x:v>
      </x:c>
      <x:c r="Y342" s="2" t="str">
        <x:v>https://www.unwater.org/water-facts/climate-change; https://www.ipcc.ch/report/ar6/wg3/chapter/chapter-9/</x:v>
      </x:c>
      <x:c r="Z342" s="2" t="str">
        <x:v>Technology-specific analytical synthesis. The CTCN hierarchy is retained; classifications and component dependencies require validation against the selected design, site and supplier documentation before investment or policy use.</x:v>
      </x:c>
      <x:c r="AA342" s="2" t="str">
        <x:v>Physical deployment of Water savings requirements in building codes requires building fabric, plant rooms, electrical and water networks, access for maintenance and metering; interfaces, foundations, access and environmental protection are sized to the specific resource and design load.</x:v>
      </x:c>
      <x:c r="AB342" s="2" t="str">
        <x:v>For Water savings requirements in building codes, the hardware energy balance comprises electricity and thermal energy; peak demand, part-load efficiency and controls determine actual savings; metering must separate useful output, conversion losses and auxiliaries for the selected design.</x:v>
      </x:c>
      <x:c r="AC342" s="2" t="str">
        <x:v>Construction and operation use insulation, glass, concrete, steel, timber, aluminium, copper, refrigerants and electronic components as applicable. For Water savings requirements in building codes, specifications must include durability, compatibility, recycled content and recoverability.</x:v>
      </x:c>
      <x:c r="AD342" s="2" t="str">
        <x:v>Maintenance of Water savings requirements in building codes depends on filters, belts, seals, lamps or drivers, sensors, actuators, valves, control modules and envelope repair materials; critical spares are selected from failure-mode, lead-time and safety analysis for its installed configuration.</x:v>
      </x:c>
      <x:c r="AE342" s="2" t="str">
        <x:v>The software stack for Water savings requirements in building codes requires databases, secure communications, version-controlled models, computing, backup and interfaces with field or operational systems.</x:v>
      </x:c>
      <x:c r="AF342" s="2" t="str">
        <x:v>For Water savings requirements in building codes, software-related energy is electricity for sensing, computing, storage, communication and cooling; it is normally secondary but must be included for data-intensive or continuous services.</x:v>
      </x:c>
      <x:c r="AG342" s="2" t="str">
        <x:v>The non-physical inputs are calibrated data, metadata, algorithms, boundary conditions, emission or hazard factors, manuals and validation records specific to Water savings requirements in building codes.</x:v>
      </x:c>
      <x:c r="AH342" s="2" t="str">
        <x:v>Software continuity for Water savings requirements in building codes requires licences where applicable, updates, cybersecurity patches, backups, calibration files, model validation and technical support.</x:v>
      </x:c>
      <x:c r="AI342" s="2" t="str">
        <x:v>Orgware depends on the institutions, laboratories, training providers, regulators, operators and community interfaces needed to govern Water savings requirements in building codes.</x:v>
      </x:c>
      <x:c r="AJ342" s="2" t="str">
        <x:v>The orgware supporting Water savings requirements in building codes has mainly indirect energy use from offices, meetings, training and information systems; travel and field supervision may be material at dispersed sites.</x:v>
      </x:c>
      <x:c r="AK342" s="2" t="str">
        <x:v>Its organisational inputs are permits, budgets, trained staff, competence records, contracts, procedures, safeguards, monitoring evidence and stakeholder agreements tailored to Water savings requirements in building codes.</x:v>
      </x:c>
      <x:c r="AL342" s="2" t="str">
        <x:v>Sustained implementation of Water savings requirements in building codes requires procurement and service contracts, audit protocols, training material, reporting templates, insurance or guarantees and periodic independent review.</x:v>
      </x:c>
      <x:c r="AM342" s="2" t="str">
        <x:v>Iron ore / steel inputs; Limestone / cement raw materials</x:v>
      </x:c>
      <x:c r="AN342" s="2" t="str">
        <x:v>Australia; Brazil; China; India; Vietnam</x:v>
      </x:c>
      <x:c r="AO342" s="2" t="str">
        <x:v>China; India; Japan; Vietnam</x:v>
      </x:c>
      <x:c r="AP342" s="2" t="str">
        <x:v>Water savings requirements in building codes: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2" s="2" t="str">
        <x:v>2024–2025</x:v>
      </x:c>
      <x:c r="AR342" s="2" t="str">
        <x:v>https://pubs.usgs.gov/periodicals/mcs2026/mcs2026.pdf</x:v>
      </x:c>
    </x:row>
    <x:row r="343" ht="240" customHeight="1">
      <x:c r="A343" s="2" t="str">
        <x:v>ADP-0073</x:v>
      </x:c>
      <x:c r="B343" s="2" t="str">
        <x:v>Adaptation</x:v>
      </x:c>
      <x:c r="C343" s="2" t="str">
        <x:v>Water</x:v>
      </x:c>
      <x:c r="D343" s="2" t="str">
        <x:v>Water efficiency and demand management</x:v>
      </x:c>
      <x:c r="E343" s="2" t="str">
        <x:v>Public water conservation campaigns</x:v>
      </x:c>
      <x:c r="F343" s="2" t="str">
        <x:v>Public water conservation campaigns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Public water conservation campaigns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43" s="2" t="str">
        <x:v>Flexible</x:v>
      </x:c>
      <x:c r="H343" s="2" t="str">
        <x:v>Public water conservation campaigns is transferable through configurable methods, rules and operating parameters. Its principle remains the same, but resource quality, climate, scale, interfaces and safety constraints must be recalculated for each deployment.</x:v>
      </x:c>
      <x:c r="I343" s="2" t="str">
        <x:v>Primarily soft, with physical support</x:v>
      </x:c>
      <x:c r="J343" s="2" t="str">
        <x:v>Public water conservation campaigns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43" s="2" t="str">
        <x:v>Operation</x:v>
      </x:c>
      <x:c r="L343" s="2" t="str">
        <x:v>Public water conservation campaigns is embodied mainly as an operating practice. The deliverable is accepted only when measurable service, quality, safety and climate-performance criteria are met under real conditions.</x:v>
      </x:c>
      <x:c r="M343" s="2" t="str">
        <x:v>Yes, subject to life-cycle safeguards</x:v>
      </x:c>
      <x:c r="N343" s="2" t="str">
        <x:v>Public water conservation campaigns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43" s="2" t="str">
        <x:v>Public water conservation campaigns: intakes, pipes, pumps, meters, valves, tanks, treatment units, drainage or flood structures, monitoring stations and nature-based elements as applicable.</x:v>
      </x:c>
      <x:c r="P343" s="2" t="str">
        <x:v>Public water conservation campaigns: water balance, hydraulic and hydrological modelling, demand forecasting, water-quality analysis, asset management, drought or flood rules and decision support.</x:v>
      </x:c>
      <x:c r="Q343" s="2" t="str">
        <x:v>Public water conservation campaigns: water rights and permits, utility responsibilities, basin governance, service standards, emergency protocols, tariffs, maintenance funding and stakeholder agreements.</x:v>
      </x:c>
      <x:c r="R343" s="2" t="str">
        <x:v>Public water conservation campaigns: catchment or coast, treatment and storage sites, conveyance and drainage network, power supply, laboratory, control room and safe access.</x:v>
      </x:c>
      <x:c r="S343" s="2" t="str">
        <x:v>Public water conservation campaigns: electricity or fuel for pumping, aeration, desalination, treatment and controls; gravity and ecosystem processes can reduce auxiliary demand.</x:v>
      </x:c>
      <x:c r="T343" s="2" t="str">
        <x:v>Public water conservation campaigns: concrete, steel, ductile iron or polymers, filter media, membranes, treatment chemicals, geotextiles, soil, rock and vegetation according to the measure.</x:v>
      </x:c>
      <x:c r="U343" s="2" t="str">
        <x:v>Public water conservation campaigns: pump and valve parts, seals, meters, sensors, membranes, lamps, filter media, dosing equipment, reagents and erosion-control materials.</x:v>
      </x:c>
      <x:c r="V343" s="2" t="str">
        <x:v>https://www.ctc-n.org/sites/default/files/resources/ctcn_taxonomy_0.pdf</x:v>
      </x:c>
      <x:c r="W343" s="2" t="str">
        <x:v>https://institutoagricoladepueblobello.edu.co/colegiapp/archivostemas/GUIA%209.%5B25%5D.pdf</x:v>
      </x:c>
      <x:c r="X343" s="2" t="str">
        <x:v>https://iiasa.ac.at/what-is-technology</x:v>
      </x:c>
      <x:c r="Y343" s="2" t="str">
        <x:v>https://www.unwater.org/water-facts/climate-change</x:v>
      </x:c>
      <x:c r="Z343" s="2" t="str">
        <x:v>Technology-specific analytical synthesis. The CTCN hierarchy is retained; classifications and component dependencies require validation against the selected design, site and supplier documentation before investment or policy use.</x:v>
      </x:c>
      <x:c r="AA343" s="2" t="str">
        <x:v>Physical deployment of Public water conservation campaigns requires catchment or coast, treatment and storage sites, conveyance and drainage network, power supply, laboratory, control room and safe access; interfaces, foundations, access and environmental protection are sized to the specific resource and design load.</x:v>
      </x:c>
      <x:c r="AB343" s="2" t="str">
        <x:v>For Public water conservation campaigns,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43" s="2" t="str">
        <x:v>Construction and operation use concrete, steel, ductile iron or polymers, filter media, membranes, treatment chemicals, geotextiles, soil, rock and vegetation according to the measure. For Public water conservation campaigns, specifications must include durability, compatibility, recycled content and recoverability.</x:v>
      </x:c>
      <x:c r="AD343" s="2" t="str">
        <x:v>Maintenance of Public water conservation campaigns depends on pump and valve parts, seals, meters, sensors, membranes, lamps, filter media, dosing equipment, reagents and erosion-control materials; critical spares are selected from failure-mode, lead-time and safety analysis for its installed configuration.</x:v>
      </x:c>
      <x:c r="AE343" s="2" t="str">
        <x:v>The software stack for Public water conservation campaigns requires databases, secure communications, version-controlled models, computing, backup and interfaces with field or operational systems.</x:v>
      </x:c>
      <x:c r="AF343" s="2" t="str">
        <x:v>For Public water conservation campaigns, software-related energy is electricity for sensing, computing, storage, communication and cooling; it is normally secondary but must be included for data-intensive or continuous services.</x:v>
      </x:c>
      <x:c r="AG343" s="2" t="str">
        <x:v>The non-physical inputs are calibrated data, metadata, algorithms, boundary conditions, emission or hazard factors, manuals and validation records specific to Public water conservation campaigns.</x:v>
      </x:c>
      <x:c r="AH343" s="2" t="str">
        <x:v>Software continuity for Public water conservation campaigns requires licences where applicable, updates, cybersecurity patches, backups, calibration files, model validation and technical support.</x:v>
      </x:c>
      <x:c r="AI343" s="2" t="str">
        <x:v>Orgware depends on the institutions, laboratories, training providers, regulators, operators and community interfaces needed to govern Public water conservation campaigns.</x:v>
      </x:c>
      <x:c r="AJ343" s="2" t="str">
        <x:v>The orgware supporting Public water conservation campaigns has mainly indirect energy use from offices, meetings, training and information systems; travel and field supervision may be material at dispersed sites.</x:v>
      </x:c>
      <x:c r="AK343" s="2" t="str">
        <x:v>Its organisational inputs are permits, budgets, trained staff, competence records, contracts, procedures, safeguards, monitoring evidence and stakeholder agreements tailored to Public water conservation campaigns.</x:v>
      </x:c>
      <x:c r="AL343" s="2" t="str">
        <x:v>Sustained implementation of Public water conservation campaigns requires procurement and service contracts, audit protocols, training material, reporting templates, insurance or guarantees and periodic independent review.</x:v>
      </x:c>
      <x:c r="AM343" s="2" t="str">
        <x:v>No critical or strategic raw material is identifiable at taxonomy level; site-specific bulk materials may still be required.</x:v>
      </x:c>
      <x:c r="AN343" s="2" t="str"/>
      <x:c r="AO343" s="2" t="str"/>
      <x:c r="AP343" s="2" t="str">
        <x:v>Public water conservation campaigns: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3" s="2" t="str">
        <x:v>2024–2025</x:v>
      </x:c>
      <x:c r="AR343" s="2" t="str">
        <x:v>https://pubs.usgs.gov/periodicals/mcs2026/mcs2026.pdf</x:v>
      </x:c>
    </x:row>
    <x:row r="344" ht="240" customHeight="1">
      <x:c r="A344" s="2" t="str">
        <x:v>ADP-0074</x:v>
      </x:c>
      <x:c r="B344" s="2" t="str">
        <x:v>Adaptation</x:v>
      </x:c>
      <x:c r="C344" s="2" t="str">
        <x:v>Water</x:v>
      </x:c>
      <x:c r="D344" s="2" t="str">
        <x:v>Water efficiency and demand management</x:v>
      </x:c>
      <x:c r="E344" s="2" t="str">
        <x:v>Water licensing and permits</x:v>
      </x:c>
      <x:c r="F344" s="2" t="str">
        <x:v>Water licensing and permits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Water licensing and permits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44" s="2" t="str">
        <x:v>Flexible</x:v>
      </x:c>
      <x:c r="H344" s="2" t="str">
        <x:v>Water licensing and permits is transferable through configurable methods, rules and operating parameters. Its principle remains the same, but resource quality, climate, scale, interfaces and safety constraints must be recalculated for each deployment.</x:v>
      </x:c>
      <x:c r="I344" s="2" t="str">
        <x:v>Primarily soft, with physical support</x:v>
      </x:c>
      <x:c r="J344" s="2" t="str">
        <x:v>Water licensing and permits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44" s="2" t="str">
        <x:v>Operation</x:v>
      </x:c>
      <x:c r="L344" s="2" t="str">
        <x:v>Water licensing and permits is embodied mainly as an operating practice. The deliverable is accepted only when measurable service, quality, safety and climate-performance criteria are met under real conditions.</x:v>
      </x:c>
      <x:c r="M344" s="2" t="str">
        <x:v>Yes, subject to life-cycle safeguards</x:v>
      </x:c>
      <x:c r="N344" s="2" t="str">
        <x:v>Water licensing and permits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44" s="2" t="str">
        <x:v>Water licensing and permits: intakes, pipes, pumps, meters, valves, tanks, treatment units, drainage or flood structures, monitoring stations and nature-based elements as applicable.</x:v>
      </x:c>
      <x:c r="P344" s="2" t="str">
        <x:v>Water licensing and permits: water balance, hydraulic and hydrological modelling, demand forecasting, water-quality analysis, asset management, drought or flood rules and decision support.</x:v>
      </x:c>
      <x:c r="Q344" s="2" t="str">
        <x:v>Water licensing and permits: water rights and permits, utility responsibilities, basin governance, service standards, emergency protocols, tariffs, maintenance funding and stakeholder agreements.</x:v>
      </x:c>
      <x:c r="R344" s="2" t="str">
        <x:v>Water licensing and permits: catchment or coast, treatment and storage sites, conveyance and drainage network, power supply, laboratory, control room and safe access.</x:v>
      </x:c>
      <x:c r="S344" s="2" t="str">
        <x:v>Water licensing and permits: electricity or fuel for pumping, aeration, desalination, treatment and controls; gravity and ecosystem processes can reduce auxiliary demand.</x:v>
      </x:c>
      <x:c r="T344" s="2" t="str">
        <x:v>Water licensing and permits: concrete, steel, ductile iron or polymers, filter media, membranes, treatment chemicals, geotextiles, soil, rock and vegetation according to the measure.</x:v>
      </x:c>
      <x:c r="U344" s="2" t="str">
        <x:v>Water licensing and permits: pump and valve parts, seals, meters, sensors, membranes, lamps, filter media, dosing equipment, reagents and erosion-control materials.</x:v>
      </x:c>
      <x:c r="V344" s="2" t="str">
        <x:v>https://www.ctc-n.org/sites/default/files/resources/ctcn_taxonomy_0.pdf</x:v>
      </x:c>
      <x:c r="W344" s="2" t="str">
        <x:v>https://institutoagricoladepueblobello.edu.co/colegiapp/archivostemas/GUIA%209.%5B25%5D.pdf</x:v>
      </x:c>
      <x:c r="X344" s="2" t="str">
        <x:v>https://iiasa.ac.at/what-is-technology</x:v>
      </x:c>
      <x:c r="Y344" s="2" t="str">
        <x:v>https://www.unwater.org/water-facts/climate-change</x:v>
      </x:c>
      <x:c r="Z344" s="2" t="str">
        <x:v>Technology-specific analytical synthesis. The CTCN hierarchy is retained; classifications and component dependencies require validation against the selected design, site and supplier documentation before investment or policy use.</x:v>
      </x:c>
      <x:c r="AA344" s="2" t="str">
        <x:v>Physical deployment of Water licensing and permits requires catchment or coast, treatment and storage sites, conveyance and drainage network, power supply, laboratory, control room and safe access; interfaces, foundations, access and environmental protection are sized to the specific resource and design load.</x:v>
      </x:c>
      <x:c r="AB344" s="2" t="str">
        <x:v>For Water licensing and permits,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44" s="2" t="str">
        <x:v>Construction and operation use concrete, steel, ductile iron or polymers, filter media, membranes, treatment chemicals, geotextiles, soil, rock and vegetation according to the measure. For Water licensing and permits, specifications must include durability, compatibility, recycled content and recoverability.</x:v>
      </x:c>
      <x:c r="AD344" s="2" t="str">
        <x:v>Maintenance of Water licensing and permits depends on pump and valve parts, seals, meters, sensors, membranes, lamps, filter media, dosing equipment, reagents and erosion-control materials; critical spares are selected from failure-mode, lead-time and safety analysis for its installed configuration.</x:v>
      </x:c>
      <x:c r="AE344" s="2" t="str">
        <x:v>The software stack for Water licensing and permits requires databases, secure communications, version-controlled models, computing, backup and interfaces with field or operational systems.</x:v>
      </x:c>
      <x:c r="AF344" s="2" t="str">
        <x:v>For Water licensing and permits, software-related energy is electricity for sensing, computing, storage, communication and cooling; it is normally secondary but must be included for data-intensive or continuous services.</x:v>
      </x:c>
      <x:c r="AG344" s="2" t="str">
        <x:v>The non-physical inputs are calibrated data, metadata, algorithms, boundary conditions, emission or hazard factors, manuals and validation records specific to Water licensing and permits.</x:v>
      </x:c>
      <x:c r="AH344" s="2" t="str">
        <x:v>Software continuity for Water licensing and permits requires licences where applicable, updates, cybersecurity patches, backups, calibration files, model validation and technical support.</x:v>
      </x:c>
      <x:c r="AI344" s="2" t="str">
        <x:v>Orgware depends on the institutions, laboratories, training providers, regulators, operators and community interfaces needed to govern Water licensing and permits.</x:v>
      </x:c>
      <x:c r="AJ344" s="2" t="str">
        <x:v>The orgware supporting Water licensing and permits has mainly indirect energy use from offices, meetings, training and information systems; travel and field supervision may be material at dispersed sites.</x:v>
      </x:c>
      <x:c r="AK344" s="2" t="str">
        <x:v>Its organisational inputs are permits, budgets, trained staff, competence records, contracts, procedures, safeguards, monitoring evidence and stakeholder agreements tailored to Water licensing and permits.</x:v>
      </x:c>
      <x:c r="AL344" s="2" t="str">
        <x:v>Sustained implementation of Water licensing and permits requires procurement and service contracts, audit protocols, training material, reporting templates, insurance or guarantees and periodic independent review.</x:v>
      </x:c>
      <x:c r="AM344" s="2" t="str">
        <x:v>No critical or strategic raw material is identifiable at taxonomy level; site-specific bulk materials may still be required.</x:v>
      </x:c>
      <x:c r="AN344" s="2" t="str"/>
      <x:c r="AO344" s="2" t="str"/>
      <x:c r="AP344" s="2" t="str">
        <x:v>Water licensing and permits: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4" s="2" t="str">
        <x:v>2024–2025</x:v>
      </x:c>
      <x:c r="AR344" s="2" t="str">
        <x:v>https://pubs.usgs.gov/periodicals/mcs2026/mcs2026.pdf</x:v>
      </x:c>
    </x:row>
    <x:row r="345" ht="240" customHeight="1">
      <x:c r="A345" s="2" t="str">
        <x:v>ADP-0075</x:v>
      </x:c>
      <x:c r="B345" s="2" t="str">
        <x:v>Adaptation</x:v>
      </x:c>
      <x:c r="C345" s="2" t="str">
        <x:v>Water</x:v>
      </x:c>
      <x:c r="D345" s="2" t="str">
        <x:v>Adaptation planning</x:v>
      </x:c>
      <x:c r="E345" s="2" t="str">
        <x:v>Hazard mapping</x:v>
      </x:c>
      <x:c r="F345" s="2" t="str">
        <x:v>Hazard mapping is a adaptation technology in the Water sector and the Adaptation planning technology group. It is defined as a combined hardware–software–orgware system that observes hazards and exposure, assimilates data, models possible evolution, converts forecasts into impact-based warnings and disseminates actionable information before thresholds are exceeded. Hazard mapping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345" s="2" t="str">
        <x:v>Flexible</x:v>
      </x:c>
      <x:c r="H345" s="2" t="str">
        <x:v>Hazard mapping is transferable through configurable methods, rules and operating parameters. Its principle remains the same, but resource quality, climate, scale, interfaces and safety constraints must be recalculated for each deployment.</x:v>
      </x:c>
      <x:c r="I345" s="2" t="str">
        <x:v>Hard and soft</x:v>
      </x:c>
      <x:c r="J345" s="2" t="str">
        <x:v>Hazard mapping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345" s="2" t="str">
        <x:v>Operation and information service</x:v>
      </x:c>
      <x:c r="L345" s="2" t="str">
        <x:v>Hazard mapping is embodied mainly as an information and decision service. The deliverable is accepted only when measurable service, quality, safety and climate-performance criteria are met under real conditions.</x:v>
      </x:c>
      <x:c r="M345" s="2" t="str">
        <x:v>Yes, subject to life-cycle safeguards</x:v>
      </x:c>
      <x:c r="N345" s="2" t="str">
        <x:v>Hazard mapping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345" s="2" t="str">
        <x:v>Hazard mapping: in-situ stations, remote sensors, radar or lidar, satellites or receivers, telemetry, servers, backup power, sirens and communication terminals.</x:v>
      </x:c>
      <x:c r="P345" s="2" t="str">
        <x:v>Hazard mapping: quality control, geospatial processing, data assimilation, forecasting, downscaling, hazard and impact models, uncertainty treatment, alert logic and visualisation.</x:v>
      </x:c>
      <x:c r="Q345" s="2" t="str">
        <x:v>Hazard mapping: institutional mandates, data-sharing agreements, warning authority, standard operating procedures, last-mile communication, accessibility, drills and feedback.</x:v>
      </x:c>
      <x:c r="R345" s="2" t="str">
        <x:v>Hazard mapping: observation network, telecommunications, data centre or cloud, operations room, redundant power and multiple dissemination channels.</x:v>
      </x:c>
      <x:c r="S345" s="2" t="str">
        <x:v>Hazard mapping: electricity for sensing, communications, computing, cooling and warning devices, with batteries or generators for continuity during emergencies.</x:v>
      </x:c>
      <x:c r="T345" s="2" t="str">
        <x:v>Hazard mapping: electronics, semiconductors, copper cabling, batteries, antenna and mast materials, optical components, enclosures and calibration standards.</x:v>
      </x:c>
      <x:c r="U345" s="2" t="str">
        <x:v>Hazard mapping: sensor heads, batteries, solar modules, data loggers, modems, cables, connectors, storage media, calibration equipment and siren parts.</x:v>
      </x:c>
      <x:c r="V345" s="2" t="str">
        <x:v>https://www.ctc-n.org/sites/default/files/resources/ctcn_taxonomy_0.pdf</x:v>
      </x:c>
      <x:c r="W345" s="2" t="str">
        <x:v>https://institutoagricoladepueblobello.edu.co/colegiapp/archivostemas/GUIA%209.%5B25%5D.pdf</x:v>
      </x:c>
      <x:c r="X345" s="2" t="str">
        <x:v>https://iiasa.ac.at/what-is-technology</x:v>
      </x:c>
      <x:c r="Y345" s="2" t="str">
        <x:v>https://www.unwater.org/water-facts/climate-change; https://wmo.int/resources/publication-series/global-status-of-multi-hazard-early-warning-systems/global-status-of-multi-hazard-early-warning-systems-2025</x:v>
      </x:c>
      <x:c r="Z345" s="2" t="str">
        <x:v>Technology-specific analytical synthesis. The CTCN hierarchy is retained; classifications and component dependencies require validation against the selected design, site and supplier documentation before investment or policy use.</x:v>
      </x:c>
      <x:c r="AA345" s="2" t="str">
        <x:v>Physical deployment of Hazard mapping requires observation network, telecommunications, data centre or cloud, operations room, redundant power and multiple dissemination channels; interfaces, foundations, access and environmental protection are sized to the specific resource and design load.</x:v>
      </x:c>
      <x:c r="AB345" s="2" t="str">
        <x:v>For Hazard mapping,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345" s="2" t="str">
        <x:v>Construction and operation use electronics, semiconductors, copper cabling, batteries, antenna and mast materials, optical components, enclosures and calibration standards. For Hazard mapping, specifications must include durability, compatibility, recycled content and recoverability.</x:v>
      </x:c>
      <x:c r="AD345" s="2" t="str">
        <x:v>Maintenance of Hazard mapping depends on sensor heads, batteries, solar modules, data loggers, modems, cables, connectors, storage media, calibration equipment and siren parts; critical spares are selected from failure-mode, lead-time and safety analysis for its installed configuration.</x:v>
      </x:c>
      <x:c r="AE345" s="2" t="str">
        <x:v>The software stack for Hazard mapping requires databases, secure communications, version-controlled models, computing, backup and interfaces with field or operational systems.</x:v>
      </x:c>
      <x:c r="AF345" s="2" t="str">
        <x:v>For Hazard mapping, software-related energy is electricity for sensing, computing, storage, communication and cooling; it is normally secondary but must be included for data-intensive or continuous services.</x:v>
      </x:c>
      <x:c r="AG345" s="2" t="str">
        <x:v>The non-physical inputs are calibrated data, metadata, algorithms, boundary conditions, emission or hazard factors, manuals and validation records specific to Hazard mapping.</x:v>
      </x:c>
      <x:c r="AH345" s="2" t="str">
        <x:v>Software continuity for Hazard mapping requires licences where applicable, updates, cybersecurity patches, backups, calibration files, model validation and technical support.</x:v>
      </x:c>
      <x:c r="AI345" s="2" t="str">
        <x:v>Orgware depends on the institutions, laboratories, training providers, regulators, operators and community interfaces needed to govern Hazard mapping.</x:v>
      </x:c>
      <x:c r="AJ345" s="2" t="str">
        <x:v>The orgware supporting Hazard mapping has mainly indirect energy use from offices, meetings, training and information systems; travel and field supervision may be material at dispersed sites.</x:v>
      </x:c>
      <x:c r="AK345" s="2" t="str">
        <x:v>Its organisational inputs are permits, budgets, trained staff, competence records, contracts, procedures, safeguards, monitoring evidence and stakeholder agreements tailored to Hazard mapping.</x:v>
      </x:c>
      <x:c r="AL345" s="2" t="str">
        <x:v>Sustained implementation of Hazard mapping requires procurement and service contracts, audit protocols, training material, reporting templates, insurance or guarantees and periodic independent review.</x:v>
      </x:c>
      <x:c r="AM345" s="2" t="str">
        <x:v>Copper; Tin</x:v>
      </x:c>
      <x:c r="AN345" s="2" t="str">
        <x:v>Chile; Democratic Republic of the Congo; Peru; China; Indonesia; Myanmar</x:v>
      </x:c>
      <x:c r="AO345" s="2" t="str">
        <x:v>China; Chile; Democratic Republic of the Congo; Indonesia; Malaysia</x:v>
      </x:c>
      <x:c r="AP345" s="2" t="str">
        <x:v>Hazard mapping: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5" s="2" t="str">
        <x:v>2024–2025</x:v>
      </x:c>
      <x:c r="AR345" s="2" t="str">
        <x:v>https://pubs.usgs.gov/periodicals/mcs2026/mcs2026.pdf</x:v>
      </x:c>
    </x:row>
    <x:row r="346" ht="240" customHeight="1">
      <x:c r="A346" s="2" t="str">
        <x:v>ADP-0076</x:v>
      </x:c>
      <x:c r="B346" s="2" t="str">
        <x:v>Adaptation</x:v>
      </x:c>
      <x:c r="C346" s="2" t="str">
        <x:v>Water</x:v>
      </x:c>
      <x:c r="D346" s="2" t="str">
        <x:v>Adaptation planning</x:v>
      </x:c>
      <x:c r="E346" s="2" t="str">
        <x:v>seasonal to interannual weather forecast</x:v>
      </x:c>
      <x:c r="F346" s="2" t="str">
        <x:v>seasonal to interannual weather forecast is a adaptation technology in the Water sector and the Adaptation planning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346" s="2" t="str">
        <x:v>Flexible</x:v>
      </x:c>
      <x:c r="H346" s="2" t="str">
        <x:v>seasonal to interannual weather forecast is transferable through configurable methods, rules and operating parameters. Its principle remains the same, but resource quality, climate, scale, interfaces and safety constraints must be recalculated for each deployment.</x:v>
      </x:c>
      <x:c r="I346" s="2" t="str">
        <x:v>Hard and soft</x:v>
      </x:c>
      <x:c r="J346" s="2" t="str">
        <x:v>seasonal to interannual weather forecast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346" s="2" t="str">
        <x:v>Operation and information service</x:v>
      </x:c>
      <x:c r="L346" s="2" t="str">
        <x:v>seasonal to interannual weather forecast is embodied mainly as an information and decision service. The deliverable is accepted only when measurable service, quality, safety and climate-performance criteria are met under real conditions.</x:v>
      </x:c>
      <x:c r="M346" s="2" t="str">
        <x:v>Yes, subject to life-cycle safeguards</x:v>
      </x:c>
      <x:c r="N346" s="2" t="str">
        <x:v>seasonal to interannual weather forecast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346" s="2" t="str">
        <x:v>seasonal to interannual weather forecast: in-situ stations, remote sensors, radar or lidar, satellites or receivers, telemetry, servers, backup power, sirens and communication terminals.</x:v>
      </x:c>
      <x:c r="P346" s="2" t="str">
        <x:v>seasonal to interannual weather forecast: quality control, geospatial processing, data assimilation, forecasting, downscaling, hazard and impact models, uncertainty treatment, alert logic and visualisation.</x:v>
      </x:c>
      <x:c r="Q346" s="2" t="str">
        <x:v>seasonal to interannual weather forecast: institutional mandates, data-sharing agreements, warning authority, standard operating procedures, last-mile communication, accessibility, drills and feedback.</x:v>
      </x:c>
      <x:c r="R346" s="2" t="str">
        <x:v>seasonal to interannual weather forecast: observation network, telecommunications, data centre or cloud, operations room, redundant power and multiple dissemination channels.</x:v>
      </x:c>
      <x:c r="S346" s="2" t="str">
        <x:v>seasonal to interannual weather forecast: electricity for sensing, communications, computing, cooling and warning devices, with batteries or generators for continuity during emergencies.</x:v>
      </x:c>
      <x:c r="T346" s="2" t="str">
        <x:v>seasonal to interannual weather forecast: electronics, semiconductors, copper cabling, batteries, antenna and mast materials, optical components, enclosures and calibration standards.</x:v>
      </x:c>
      <x:c r="U346" s="2" t="str">
        <x:v>seasonal to interannual weather forecast: sensor heads, batteries, solar modules, data loggers, modems, cables, connectors, storage media, calibration equipment and siren parts.</x:v>
      </x:c>
      <x:c r="V346" s="2" t="str">
        <x:v>https://www.ctc-n.org/sites/default/files/resources/ctcn_taxonomy_0.pdf</x:v>
      </x:c>
      <x:c r="W346" s="2" t="str">
        <x:v>https://institutoagricoladepueblobello.edu.co/colegiapp/archivostemas/GUIA%209.%5B25%5D.pdf</x:v>
      </x:c>
      <x:c r="X346" s="2" t="str">
        <x:v>https://iiasa.ac.at/what-is-technology</x:v>
      </x:c>
      <x:c r="Y346" s="2" t="str">
        <x:v>https://www.unwater.org/water-facts/climate-change; https://wmo.int/resources/publication-series/global-status-of-multi-hazard-early-warning-systems/global-status-of-multi-hazard-early-warning-systems-2025</x:v>
      </x:c>
      <x:c r="Z346" s="2" t="str">
        <x:v>Technology-specific analytical synthesis. The CTCN hierarchy is retained; classifications and component dependencies require validation against the selected design, site and supplier documentation before investment or policy use.</x:v>
      </x:c>
      <x:c r="AA346" s="2" t="str">
        <x:v>Physical deployment of seasonal to interannual weather forecast requires observation network, telecommunications, data centre or cloud, operations room, redundant power and multiple dissemination channels; interfaces, foundations, access and environmental protection are sized to the specific resource and design load.</x:v>
      </x:c>
      <x:c r="AB346" s="2" t="str">
        <x:v>For seasonal to interannual weather forecast,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346" s="2" t="str">
        <x:v>Construction and operation use electronics, semiconductors, copper cabling, batteries, antenna and mast materials, optical components, enclosures and calibration standards. For seasonal to interannual weather forecast, specifications must include durability, compatibility, recycled content and recoverability.</x:v>
      </x:c>
      <x:c r="AD346" s="2" t="str">
        <x:v>Maintenance of seasonal to interannual weather forecast depends on sensor heads, batteries, solar modules, data loggers, modems, cables, connectors, storage media, calibration equipment and siren parts; critical spares are selected from failure-mode, lead-time and safety analysis for its installed configuration.</x:v>
      </x:c>
      <x:c r="AE346" s="2" t="str">
        <x:v>The software stack for seasonal to interannual weather forecast requires databases, secure communications, version-controlled models, computing, backup and interfaces with field or operational systems.</x:v>
      </x:c>
      <x:c r="AF346" s="2" t="str">
        <x:v>For seasonal to interannual weather forecast, software-related energy is electricity for sensing, computing, storage, communication and cooling; it is normally secondary but must be included for data-intensive or continuous services.</x:v>
      </x:c>
      <x:c r="AG346" s="2" t="str">
        <x:v>The non-physical inputs are calibrated data, metadata, algorithms, boundary conditions, emission or hazard factors, manuals and validation records specific to seasonal to interannual weather forecast.</x:v>
      </x:c>
      <x:c r="AH346" s="2" t="str">
        <x:v>Software continuity for seasonal to interannual weather forecast requires licences where applicable, updates, cybersecurity patches, backups, calibration files, model validation and technical support.</x:v>
      </x:c>
      <x:c r="AI346" s="2" t="str">
        <x:v>Orgware depends on the institutions, laboratories, training providers, regulators, operators and community interfaces needed to govern seasonal to interannual weather forecast.</x:v>
      </x:c>
      <x:c r="AJ346" s="2" t="str">
        <x:v>The orgware supporting seasonal to interannual weather forecast has mainly indirect energy use from offices, meetings, training and information systems; travel and field supervision may be material at dispersed sites.</x:v>
      </x:c>
      <x:c r="AK346" s="2" t="str">
        <x:v>Its organisational inputs are permits, budgets, trained staff, competence records, contracts, procedures, safeguards, monitoring evidence and stakeholder agreements tailored to seasonal to interannual weather forecast.</x:v>
      </x:c>
      <x:c r="AL346" s="2" t="str">
        <x:v>Sustained implementation of seasonal to interannual weather forecast requires procurement and service contracts, audit protocols, training material, reporting templates, insurance or guarantees and periodic independent review.</x:v>
      </x:c>
      <x:c r="AM346" s="2" t="str">
        <x:v>Copper; Tin</x:v>
      </x:c>
      <x:c r="AN346" s="2" t="str">
        <x:v>Chile; Democratic Republic of the Congo; Peru; China; Indonesia; Myanmar</x:v>
      </x:c>
      <x:c r="AO346" s="2" t="str">
        <x:v>China; Chile; Democratic Republic of the Congo; Indonesia; Malaysia</x:v>
      </x:c>
      <x:c r="AP346" s="2" t="str">
        <x:v>seasonal to interannual weather forecast: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6" s="2" t="str">
        <x:v>2024–2025</x:v>
      </x:c>
      <x:c r="AR346" s="2" t="str">
        <x:v>https://pubs.usgs.gov/periodicals/mcs2026/mcs2026.pdf</x:v>
      </x:c>
    </x:row>
    <x:row r="347" ht="240" customHeight="1">
      <x:c r="A347" s="2" t="str">
        <x:v>ADP-0077</x:v>
      </x:c>
      <x:c r="B347" s="2" t="str">
        <x:v>Adaptation</x:v>
      </x:c>
      <x:c r="C347" s="2" t="str">
        <x:v>Water</x:v>
      </x:c>
      <x:c r="D347" s="2" t="str">
        <x:v>Adaptation planning</x:v>
      </x:c>
      <x:c r="E347" s="2" t="str">
        <x:v>Disaster risk assessment tools</x:v>
      </x:c>
      <x:c r="F347" s="2" t="str">
        <x:v>Disaster risk assessment tools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Disaster risk assessment tools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47" s="2" t="str">
        <x:v>Flexible</x:v>
      </x:c>
      <x:c r="H347" s="2" t="str">
        <x:v>Disaster risk assessment tools is transferable through configurable methods, rules and operating parameters. Its principle remains the same, but resource quality, climate, scale, interfaces and safety constraints must be recalculated for each deployment.</x:v>
      </x:c>
      <x:c r="I347" s="2" t="str">
        <x:v>Hard and soft</x:v>
      </x:c>
      <x:c r="J347" s="2" t="str">
        <x:v>Disaster risk assessment tools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47" s="2" t="str">
        <x:v>Operation and information service</x:v>
      </x:c>
      <x:c r="L347" s="2" t="str">
        <x:v>Disaster risk assessment tools is embodied mainly as an information and decision service. The deliverable is accepted only when measurable service, quality, safety and climate-performance criteria are met under real conditions.</x:v>
      </x:c>
      <x:c r="M347" s="2" t="str">
        <x:v>Yes, subject to life-cycle safeguards</x:v>
      </x:c>
      <x:c r="N347" s="2" t="str">
        <x:v>Disaster risk assessment tools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47" s="2" t="str">
        <x:v>Disaster risk assessment tools: intakes, pipes, pumps, meters, valves, tanks, treatment units, drainage or flood structures, monitoring stations and nature-based elements as applicable.</x:v>
      </x:c>
      <x:c r="P347" s="2" t="str">
        <x:v>Disaster risk assessment tools: water balance, hydraulic and hydrological modelling, demand forecasting, water-quality analysis, asset management, drought or flood rules and decision support.</x:v>
      </x:c>
      <x:c r="Q347" s="2" t="str">
        <x:v>Disaster risk assessment tools: water rights and permits, utility responsibilities, basin governance, service standards, emergency protocols, tariffs, maintenance funding and stakeholder agreements.</x:v>
      </x:c>
      <x:c r="R347" s="2" t="str">
        <x:v>Disaster risk assessment tools: catchment or coast, treatment and storage sites, conveyance and drainage network, power supply, laboratory, control room and safe access.</x:v>
      </x:c>
      <x:c r="S347" s="2" t="str">
        <x:v>Disaster risk assessment tools: electricity or fuel for pumping, aeration, desalination, treatment and controls; gravity and ecosystem processes can reduce auxiliary demand.</x:v>
      </x:c>
      <x:c r="T347" s="2" t="str">
        <x:v>Disaster risk assessment tools: concrete, steel, ductile iron or polymers, filter media, membranes, treatment chemicals, geotextiles, soil, rock and vegetation according to the measure.</x:v>
      </x:c>
      <x:c r="U347" s="2" t="str">
        <x:v>Disaster risk assessment tools: pump and valve parts, seals, meters, sensors, membranes, lamps, filter media, dosing equipment, reagents and erosion-control materials.</x:v>
      </x:c>
      <x:c r="V347" s="2" t="str">
        <x:v>https://www.ctc-n.org/sites/default/files/resources/ctcn_taxonomy_0.pdf</x:v>
      </x:c>
      <x:c r="W347" s="2" t="str">
        <x:v>https://institutoagricoladepueblobello.edu.co/colegiapp/archivostemas/GUIA%209.%5B25%5D.pdf</x:v>
      </x:c>
      <x:c r="X347" s="2" t="str">
        <x:v>https://iiasa.ac.at/what-is-technology</x:v>
      </x:c>
      <x:c r="Y347" s="2" t="str">
        <x:v>https://www.unwater.org/water-facts/climate-change</x:v>
      </x:c>
      <x:c r="Z347" s="2" t="str">
        <x:v>Technology-specific analytical synthesis. The CTCN hierarchy is retained; classifications and component dependencies require validation against the selected design, site and supplier documentation before investment or policy use.</x:v>
      </x:c>
      <x:c r="AA347" s="2" t="str">
        <x:v>Physical deployment of Disaster risk assessment tools requires catchment or coast, treatment and storage sites, conveyance and drainage network, power supply, laboratory, control room and safe access; interfaces, foundations, access and environmental protection are sized to the specific resource and design load.</x:v>
      </x:c>
      <x:c r="AB347" s="2" t="str">
        <x:v>For Disaster risk assessment tools,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47" s="2" t="str">
        <x:v>Construction and operation use concrete, steel, ductile iron or polymers, filter media, membranes, treatment chemicals, geotextiles, soil, rock and vegetation according to the measure. For Disaster risk assessment tools, specifications must include durability, compatibility, recycled content and recoverability.</x:v>
      </x:c>
      <x:c r="AD347" s="2" t="str">
        <x:v>Maintenance of Disaster risk assessment tools depends on pump and valve parts, seals, meters, sensors, membranes, lamps, filter media, dosing equipment, reagents and erosion-control materials; critical spares are selected from failure-mode, lead-time and safety analysis for its installed configuration.</x:v>
      </x:c>
      <x:c r="AE347" s="2" t="str">
        <x:v>The software stack for Disaster risk assessment tools requires databases, secure communications, version-controlled models, computing, backup and interfaces with field or operational systems.</x:v>
      </x:c>
      <x:c r="AF347" s="2" t="str">
        <x:v>For Disaster risk assessment tools, software-related energy is electricity for sensing, computing, storage, communication and cooling; it is normally secondary but must be included for data-intensive or continuous services.</x:v>
      </x:c>
      <x:c r="AG347" s="2" t="str">
        <x:v>The non-physical inputs are calibrated data, metadata, algorithms, boundary conditions, emission or hazard factors, manuals and validation records specific to Disaster risk assessment tools.</x:v>
      </x:c>
      <x:c r="AH347" s="2" t="str">
        <x:v>Software continuity for Disaster risk assessment tools requires licences where applicable, updates, cybersecurity patches, backups, calibration files, model validation and technical support.</x:v>
      </x:c>
      <x:c r="AI347" s="2" t="str">
        <x:v>Orgware depends on the institutions, laboratories, training providers, regulators, operators and community interfaces needed to govern Disaster risk assessment tools.</x:v>
      </x:c>
      <x:c r="AJ347" s="2" t="str">
        <x:v>The orgware supporting Disaster risk assessment tools has mainly indirect energy use from offices, meetings, training and information systems; travel and field supervision may be material at dispersed sites.</x:v>
      </x:c>
      <x:c r="AK347" s="2" t="str">
        <x:v>Its organisational inputs are permits, budgets, trained staff, competence records, contracts, procedures, safeguards, monitoring evidence and stakeholder agreements tailored to Disaster risk assessment tools.</x:v>
      </x:c>
      <x:c r="AL347" s="2" t="str">
        <x:v>Sustained implementation of Disaster risk assessment tools requires procurement and service contracts, audit protocols, training material, reporting templates, insurance or guarantees and periodic independent review.</x:v>
      </x:c>
      <x:c r="AM347" s="2" t="str">
        <x:v>No critical or strategic raw material is identifiable at taxonomy level; site-specific bulk materials may still be required.</x:v>
      </x:c>
      <x:c r="AN347" s="2" t="str"/>
      <x:c r="AO347" s="2" t="str"/>
      <x:c r="AP347" s="2" t="str">
        <x:v>Disaster risk assessment tools: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7" s="2" t="str">
        <x:v>2024–2025</x:v>
      </x:c>
      <x:c r="AR347" s="2" t="str">
        <x:v>https://pubs.usgs.gov/periodicals/mcs2026/mcs2026.pdf</x:v>
      </x:c>
    </x:row>
    <x:row r="348" ht="240" customHeight="1">
      <x:c r="A348" s="2" t="str">
        <x:v>ADP-0078</x:v>
      </x:c>
      <x:c r="B348" s="2" t="str">
        <x:v>Adaptation</x:v>
      </x:c>
      <x:c r="C348" s="2" t="str">
        <x:v>Water</x:v>
      </x:c>
      <x:c r="D348" s="2" t="str">
        <x:v>Adaptation planning</x:v>
      </x:c>
      <x:c r="E348" s="2" t="str">
        <x:v>Hazard mapping solutions</x:v>
      </x:c>
      <x:c r="F348" s="2" t="str">
        <x:v>Hazard mapping solutions is a adaptation technology in the Water sector and the Adaptation planning technology group. It is defined as a combined hardware–software–orgware system that observes hazards and exposure, assimilates data, models possible evolution, converts forecasts into impact-based warnings and disseminates actionable information before thresholds are exceeded. Hazard mapping solutions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348" s="2" t="str">
        <x:v>Flexible</x:v>
      </x:c>
      <x:c r="H348" s="2" t="str">
        <x:v>Hazard mapping solutions is transferable through configurable methods, rules and operating parameters. Its principle remains the same, but resource quality, climate, scale, interfaces and safety constraints must be recalculated for each deployment.</x:v>
      </x:c>
      <x:c r="I348" s="2" t="str">
        <x:v>Hard and soft</x:v>
      </x:c>
      <x:c r="J348" s="2" t="str">
        <x:v>Hazard mapping solutions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348" s="2" t="str">
        <x:v>Operation and information service</x:v>
      </x:c>
      <x:c r="L348" s="2" t="str">
        <x:v>Hazard mapping solutions is embodied mainly as an information and decision service. The deliverable is accepted only when measurable service, quality, safety and climate-performance criteria are met under real conditions.</x:v>
      </x:c>
      <x:c r="M348" s="2" t="str">
        <x:v>Yes, subject to life-cycle safeguards</x:v>
      </x:c>
      <x:c r="N348" s="2" t="str">
        <x:v>Hazard mapping solutions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348" s="2" t="str">
        <x:v>Hazard mapping solutions: in-situ stations, remote sensors, radar or lidar, satellites or receivers, telemetry, servers, backup power, sirens and communication terminals.</x:v>
      </x:c>
      <x:c r="P348" s="2" t="str">
        <x:v>Hazard mapping solutions: quality control, geospatial processing, data assimilation, forecasting, downscaling, hazard and impact models, uncertainty treatment, alert logic and visualisation.</x:v>
      </x:c>
      <x:c r="Q348" s="2" t="str">
        <x:v>Hazard mapping solutions: institutional mandates, data-sharing agreements, warning authority, standard operating procedures, last-mile communication, accessibility, drills and feedback.</x:v>
      </x:c>
      <x:c r="R348" s="2" t="str">
        <x:v>Hazard mapping solutions: observation network, telecommunications, data centre or cloud, operations room, redundant power and multiple dissemination channels.</x:v>
      </x:c>
      <x:c r="S348" s="2" t="str">
        <x:v>Hazard mapping solutions: electricity for sensing, communications, computing, cooling and warning devices, with batteries or generators for continuity during emergencies.</x:v>
      </x:c>
      <x:c r="T348" s="2" t="str">
        <x:v>Hazard mapping solutions: electronics, semiconductors, copper cabling, batteries, antenna and mast materials, optical components, enclosures and calibration standards.</x:v>
      </x:c>
      <x:c r="U348" s="2" t="str">
        <x:v>Hazard mapping solutions: sensor heads, batteries, solar modules, data loggers, modems, cables, connectors, storage media, calibration equipment and siren parts.</x:v>
      </x:c>
      <x:c r="V348" s="2" t="str">
        <x:v>https://www.ctc-n.org/sites/default/files/resources/ctcn_taxonomy_0.pdf</x:v>
      </x:c>
      <x:c r="W348" s="2" t="str">
        <x:v>https://institutoagricoladepueblobello.edu.co/colegiapp/archivostemas/GUIA%209.%5B25%5D.pdf</x:v>
      </x:c>
      <x:c r="X348" s="2" t="str">
        <x:v>https://iiasa.ac.at/what-is-technology</x:v>
      </x:c>
      <x:c r="Y348" s="2" t="str">
        <x:v>https://www.unwater.org/water-facts/climate-change; https://wmo.int/resources/publication-series/global-status-of-multi-hazard-early-warning-systems/global-status-of-multi-hazard-early-warning-systems-2025</x:v>
      </x:c>
      <x:c r="Z348" s="2" t="str">
        <x:v>Technology-specific analytical synthesis. The CTCN hierarchy is retained; classifications and component dependencies require validation against the selected design, site and supplier documentation before investment or policy use.</x:v>
      </x:c>
      <x:c r="AA348" s="2" t="str">
        <x:v>Physical deployment of Hazard mapping solutions requires observation network, telecommunications, data centre or cloud, operations room, redundant power and multiple dissemination channels; interfaces, foundations, access and environmental protection are sized to the specific resource and design load.</x:v>
      </x:c>
      <x:c r="AB348" s="2" t="str">
        <x:v>For Hazard mapping solutions,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348" s="2" t="str">
        <x:v>Construction and operation use electronics, semiconductors, copper cabling, batteries, antenna and mast materials, optical components, enclosures and calibration standards. For Hazard mapping solutions, specifications must include durability, compatibility, recycled content and recoverability.</x:v>
      </x:c>
      <x:c r="AD348" s="2" t="str">
        <x:v>Maintenance of Hazard mapping solutions depends on sensor heads, batteries, solar modules, data loggers, modems, cables, connectors, storage media, calibration equipment and siren parts; critical spares are selected from failure-mode, lead-time and safety analysis for its installed configuration.</x:v>
      </x:c>
      <x:c r="AE348" s="2" t="str">
        <x:v>The software stack for Hazard mapping solutions requires databases, secure communications, version-controlled models, computing, backup and interfaces with field or operational systems.</x:v>
      </x:c>
      <x:c r="AF348" s="2" t="str">
        <x:v>For Hazard mapping solutions, software-related energy is electricity for sensing, computing, storage, communication and cooling; it is normally secondary but must be included for data-intensive or continuous services.</x:v>
      </x:c>
      <x:c r="AG348" s="2" t="str">
        <x:v>The non-physical inputs are calibrated data, metadata, algorithms, boundary conditions, emission or hazard factors, manuals and validation records specific to Hazard mapping solutions.</x:v>
      </x:c>
      <x:c r="AH348" s="2" t="str">
        <x:v>Software continuity for Hazard mapping solutions requires licences where applicable, updates, cybersecurity patches, backups, calibration files, model validation and technical support.</x:v>
      </x:c>
      <x:c r="AI348" s="2" t="str">
        <x:v>Orgware depends on the institutions, laboratories, training providers, regulators, operators and community interfaces needed to govern Hazard mapping solutions.</x:v>
      </x:c>
      <x:c r="AJ348" s="2" t="str">
        <x:v>The orgware supporting Hazard mapping solutions has mainly indirect energy use from offices, meetings, training and information systems; travel and field supervision may be material at dispersed sites.</x:v>
      </x:c>
      <x:c r="AK348" s="2" t="str">
        <x:v>Its organisational inputs are permits, budgets, trained staff, competence records, contracts, procedures, safeguards, monitoring evidence and stakeholder agreements tailored to Hazard mapping solutions.</x:v>
      </x:c>
      <x:c r="AL348" s="2" t="str">
        <x:v>Sustained implementation of Hazard mapping solutions requires procurement and service contracts, audit protocols, training material, reporting templates, insurance or guarantees and periodic independent review.</x:v>
      </x:c>
      <x:c r="AM348" s="2" t="str">
        <x:v>Copper; Tin</x:v>
      </x:c>
      <x:c r="AN348" s="2" t="str">
        <x:v>Chile; Democratic Republic of the Congo; Peru; China; Indonesia; Myanmar</x:v>
      </x:c>
      <x:c r="AO348" s="2" t="str">
        <x:v>China; Chile; Democratic Republic of the Congo; Indonesia; Malaysia</x:v>
      </x:c>
      <x:c r="AP348" s="2" t="str">
        <x:v>Hazard mapping solutions: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8" s="2" t="str">
        <x:v>2024–2025</x:v>
      </x:c>
      <x:c r="AR348" s="2" t="str">
        <x:v>https://pubs.usgs.gov/periodicals/mcs2026/mcs2026.pdf</x:v>
      </x:c>
    </x:row>
    <x:row r="349" ht="240" customHeight="1">
      <x:c r="A349" s="2" t="str">
        <x:v>ADP-0079</x:v>
      </x:c>
      <x:c r="B349" s="2" t="str">
        <x:v>Adaptation</x:v>
      </x:c>
      <x:c r="C349" s="2" t="str">
        <x:v>Water</x:v>
      </x:c>
      <x:c r="D349" s="2" t="str">
        <x:v>Adaptation planning</x:v>
      </x:c>
      <x:c r="E349" s="2" t="str">
        <x:v>Flood hazard mapping</x:v>
      </x:c>
      <x:c r="F349" s="2" t="str">
        <x:v>Flood hazard mapping is a adaptation technology in the Water sector and the Adaptation planning technology group. It is defined as a combined hardware–software–orgware system that observes hazards and exposure, assimilates data, models possible evolution, converts forecasts into impact-based warnings and disseminates actionable information before thresholds are exceeded. Flood hazard mapping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349" s="2" t="str">
        <x:v>Flexible</x:v>
      </x:c>
      <x:c r="H349" s="2" t="str">
        <x:v>Flood hazard mapping is transferable through configurable methods, rules and operating parameters. Its principle remains the same, but resource quality, climate, scale, interfaces and safety constraints must be recalculated for each deployment.</x:v>
      </x:c>
      <x:c r="I349" s="2" t="str">
        <x:v>Hard and soft</x:v>
      </x:c>
      <x:c r="J349" s="2" t="str">
        <x:v>Flood hazard mapping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349" s="2" t="str">
        <x:v>Operation and information service</x:v>
      </x:c>
      <x:c r="L349" s="2" t="str">
        <x:v>Flood hazard mapping is embodied mainly as an information and decision service. The deliverable is accepted only when measurable service, quality, safety and climate-performance criteria are met under real conditions.</x:v>
      </x:c>
      <x:c r="M349" s="2" t="str">
        <x:v>Yes, subject to life-cycle safeguards</x:v>
      </x:c>
      <x:c r="N349" s="2" t="str">
        <x:v>Flood hazard mapping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349" s="2" t="str">
        <x:v>Flood hazard mapping: in-situ stations, remote sensors, radar or lidar, satellites or receivers, telemetry, servers, backup power, sirens and communication terminals.</x:v>
      </x:c>
      <x:c r="P349" s="2" t="str">
        <x:v>Flood hazard mapping: quality control, geospatial processing, data assimilation, forecasting, downscaling, hazard and impact models, uncertainty treatment, alert logic and visualisation.</x:v>
      </x:c>
      <x:c r="Q349" s="2" t="str">
        <x:v>Flood hazard mapping: institutional mandates, data-sharing agreements, warning authority, standard operating procedures, last-mile communication, accessibility, drills and feedback.</x:v>
      </x:c>
      <x:c r="R349" s="2" t="str">
        <x:v>Flood hazard mapping: observation network, telecommunications, data centre or cloud, operations room, redundant power and multiple dissemination channels.</x:v>
      </x:c>
      <x:c r="S349" s="2" t="str">
        <x:v>Flood hazard mapping: electricity for sensing, communications, computing, cooling and warning devices, with batteries or generators for continuity during emergencies.</x:v>
      </x:c>
      <x:c r="T349" s="2" t="str">
        <x:v>Flood hazard mapping: electronics, semiconductors, copper cabling, batteries, antenna and mast materials, optical components, enclosures and calibration standards.</x:v>
      </x:c>
      <x:c r="U349" s="2" t="str">
        <x:v>Flood hazard mapping: sensor heads, batteries, solar modules, data loggers, modems, cables, connectors, storage media, calibration equipment and siren parts.</x:v>
      </x:c>
      <x:c r="V349" s="2" t="str">
        <x:v>https://www.ctc-n.org/sites/default/files/resources/ctcn_taxonomy_0.pdf</x:v>
      </x:c>
      <x:c r="W349" s="2" t="str">
        <x:v>https://institutoagricoladepueblobello.edu.co/colegiapp/archivostemas/GUIA%209.%5B25%5D.pdf</x:v>
      </x:c>
      <x:c r="X349" s="2" t="str">
        <x:v>https://iiasa.ac.at/what-is-technology</x:v>
      </x:c>
      <x:c r="Y349" s="2" t="str">
        <x:v>https://www.unwater.org/water-facts/climate-change; https://wmo.int/resources/publication-series/global-status-of-multi-hazard-early-warning-systems/global-status-of-multi-hazard-early-warning-systems-2025</x:v>
      </x:c>
      <x:c r="Z349" s="2" t="str">
        <x:v>Technology-specific analytical synthesis. The CTCN hierarchy is retained; classifications and component dependencies require validation against the selected design, site and supplier documentation before investment or policy use.</x:v>
      </x:c>
      <x:c r="AA349" s="2" t="str">
        <x:v>Physical deployment of Flood hazard mapping requires observation network, telecommunications, data centre or cloud, operations room, redundant power and multiple dissemination channels; interfaces, foundations, access and environmental protection are sized to the specific resource and design load.</x:v>
      </x:c>
      <x:c r="AB349" s="2" t="str">
        <x:v>For Flood hazard mapping,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349" s="2" t="str">
        <x:v>Construction and operation use electronics, semiconductors, copper cabling, batteries, antenna and mast materials, optical components, enclosures and calibration standards. For Flood hazard mapping, specifications must include durability, compatibility, recycled content and recoverability.</x:v>
      </x:c>
      <x:c r="AD349" s="2" t="str">
        <x:v>Maintenance of Flood hazard mapping depends on sensor heads, batteries, solar modules, data loggers, modems, cables, connectors, storage media, calibration equipment and siren parts; critical spares are selected from failure-mode, lead-time and safety analysis for its installed configuration.</x:v>
      </x:c>
      <x:c r="AE349" s="2" t="str">
        <x:v>The software stack for Flood hazard mapping requires databases, secure communications, version-controlled models, computing, backup and interfaces with field or operational systems.</x:v>
      </x:c>
      <x:c r="AF349" s="2" t="str">
        <x:v>For Flood hazard mapping, software-related energy is electricity for sensing, computing, storage, communication and cooling; it is normally secondary but must be included for data-intensive or continuous services.</x:v>
      </x:c>
      <x:c r="AG349" s="2" t="str">
        <x:v>The non-physical inputs are calibrated data, metadata, algorithms, boundary conditions, emission or hazard factors, manuals and validation records specific to Flood hazard mapping.</x:v>
      </x:c>
      <x:c r="AH349" s="2" t="str">
        <x:v>Software continuity for Flood hazard mapping requires licences where applicable, updates, cybersecurity patches, backups, calibration files, model validation and technical support.</x:v>
      </x:c>
      <x:c r="AI349" s="2" t="str">
        <x:v>Orgware depends on the institutions, laboratories, training providers, regulators, operators and community interfaces needed to govern Flood hazard mapping.</x:v>
      </x:c>
      <x:c r="AJ349" s="2" t="str">
        <x:v>The orgware supporting Flood hazard mapping has mainly indirect energy use from offices, meetings, training and information systems; travel and field supervision may be material at dispersed sites.</x:v>
      </x:c>
      <x:c r="AK349" s="2" t="str">
        <x:v>Its organisational inputs are permits, budgets, trained staff, competence records, contracts, procedures, safeguards, monitoring evidence and stakeholder agreements tailored to Flood hazard mapping.</x:v>
      </x:c>
      <x:c r="AL349" s="2" t="str">
        <x:v>Sustained implementation of Flood hazard mapping requires procurement and service contracts, audit protocols, training material, reporting templates, insurance or guarantees and periodic independent review.</x:v>
      </x:c>
      <x:c r="AM349" s="2" t="str">
        <x:v>Copper; Tin</x:v>
      </x:c>
      <x:c r="AN349" s="2" t="str">
        <x:v>Chile; Democratic Republic of the Congo; Peru; China; Indonesia; Myanmar</x:v>
      </x:c>
      <x:c r="AO349" s="2" t="str">
        <x:v>China; Chile; Democratic Republic of the Congo; Indonesia; Malaysia</x:v>
      </x:c>
      <x:c r="AP349" s="2" t="str">
        <x:v>Flood hazard mapping: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9" s="2" t="str">
        <x:v>2024–2025</x:v>
      </x:c>
      <x:c r="AR349" s="2" t="str">
        <x:v>https://pubs.usgs.gov/periodicals/mcs2026/mcs2026.pdf</x:v>
      </x:c>
    </x:row>
    <x:row r="350" ht="240" customHeight="1">
      <x:c r="A350" s="2" t="str">
        <x:v>ADP-0080</x:v>
      </x:c>
      <x:c r="B350" s="2" t="str">
        <x:v>Adaptation</x:v>
      </x:c>
      <x:c r="C350" s="2" t="str">
        <x:v>Water</x:v>
      </x:c>
      <x:c r="D350" s="2" t="str">
        <x:v>Adaptation planning</x:v>
      </x:c>
      <x:c r="E350" s="2" t="str">
        <x:v>National plan</x:v>
      </x:c>
      <x:c r="F350" s="2" t="str">
        <x:v>National plan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National plan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0" s="2" t="str">
        <x:v>Flexible</x:v>
      </x:c>
      <x:c r="H350" s="2" t="str">
        <x:v>National plan is transferable through configurable methods, rules and operating parameters. Its principle remains the same, but resource quality, climate, scale, interfaces and safety constraints must be recalculated for each deployment.</x:v>
      </x:c>
      <x:c r="I350" s="2" t="str">
        <x:v>Hard and soft</x:v>
      </x:c>
      <x:c r="J350" s="2" t="str">
        <x:v>National plan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0" s="2" t="str">
        <x:v>Operation and information service</x:v>
      </x:c>
      <x:c r="L350" s="2" t="str">
        <x:v>National plan is embodied mainly as an information and decision service. The deliverable is accepted only when measurable service, quality, safety and climate-performance criteria are met under real conditions.</x:v>
      </x:c>
      <x:c r="M350" s="2" t="str">
        <x:v>Yes, subject to life-cycle safeguards</x:v>
      </x:c>
      <x:c r="N350" s="2" t="str">
        <x:v>National plan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0" s="2" t="str">
        <x:v>National plan: intakes, pipes, pumps, meters, valves, tanks, treatment units, drainage or flood structures, monitoring stations and nature-based elements as applicable.</x:v>
      </x:c>
      <x:c r="P350" s="2" t="str">
        <x:v>National plan: water balance, hydraulic and hydrological modelling, demand forecasting, water-quality analysis, asset management, drought or flood rules and decision support.</x:v>
      </x:c>
      <x:c r="Q350" s="2" t="str">
        <x:v>National plan: water rights and permits, utility responsibilities, basin governance, service standards, emergency protocols, tariffs, maintenance funding and stakeholder agreements.</x:v>
      </x:c>
      <x:c r="R350" s="2" t="str">
        <x:v>National plan: catchment or coast, treatment and storage sites, conveyance and drainage network, power supply, laboratory, control room and safe access.</x:v>
      </x:c>
      <x:c r="S350" s="2" t="str">
        <x:v>National plan: electricity or fuel for pumping, aeration, desalination, treatment and controls; gravity and ecosystem processes can reduce auxiliary demand.</x:v>
      </x:c>
      <x:c r="T350" s="2" t="str">
        <x:v>National plan: concrete, steel, ductile iron or polymers, filter media, membranes, treatment chemicals, geotextiles, soil, rock and vegetation according to the measure.</x:v>
      </x:c>
      <x:c r="U350" s="2" t="str">
        <x:v>National plan: pump and valve parts, seals, meters, sensors, membranes, lamps, filter media, dosing equipment, reagents and erosion-control materials.</x:v>
      </x:c>
      <x:c r="V350" s="2" t="str">
        <x:v>https://www.ctc-n.org/sites/default/files/resources/ctcn_taxonomy_0.pdf</x:v>
      </x:c>
      <x:c r="W350" s="2" t="str">
        <x:v>https://institutoagricoladepueblobello.edu.co/colegiapp/archivostemas/GUIA%209.%5B25%5D.pdf</x:v>
      </x:c>
      <x:c r="X350" s="2" t="str">
        <x:v>https://iiasa.ac.at/what-is-technology</x:v>
      </x:c>
      <x:c r="Y350" s="2" t="str">
        <x:v>https://www.unwater.org/water-facts/climate-change</x:v>
      </x:c>
      <x:c r="Z350" s="2" t="str">
        <x:v>Technology-specific analytical synthesis. The CTCN hierarchy is retained; classifications and component dependencies require validation against the selected design, site and supplier documentation before investment or policy use.</x:v>
      </x:c>
      <x:c r="AA350" s="2" t="str">
        <x:v>Physical deployment of National plan requires catchment or coast, treatment and storage sites, conveyance and drainage network, power supply, laboratory, control room and safe access; interfaces, foundations, access and environmental protection are sized to the specific resource and design load.</x:v>
      </x:c>
      <x:c r="AB350" s="2" t="str">
        <x:v>For National plan,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0" s="2" t="str">
        <x:v>Construction and operation use concrete, steel, ductile iron or polymers, filter media, membranes, treatment chemicals, geotextiles, soil, rock and vegetation according to the measure. For National plan, specifications must include durability, compatibility, recycled content and recoverability.</x:v>
      </x:c>
      <x:c r="AD350" s="2" t="str">
        <x:v>Maintenance of National plan depends on pump and valve parts, seals, meters, sensors, membranes, lamps, filter media, dosing equipment, reagents and erosion-control materials; critical spares are selected from failure-mode, lead-time and safety analysis for its installed configuration.</x:v>
      </x:c>
      <x:c r="AE350" s="2" t="str">
        <x:v>The software stack for National plan requires databases, secure communications, version-controlled models, computing, backup and interfaces with field or operational systems.</x:v>
      </x:c>
      <x:c r="AF350" s="2" t="str">
        <x:v>For National plan, software-related energy is electricity for sensing, computing, storage, communication and cooling; it is normally secondary but must be included for data-intensive or continuous services.</x:v>
      </x:c>
      <x:c r="AG350" s="2" t="str">
        <x:v>The non-physical inputs are calibrated data, metadata, algorithms, boundary conditions, emission or hazard factors, manuals and validation records specific to National plan.</x:v>
      </x:c>
      <x:c r="AH350" s="2" t="str">
        <x:v>Software continuity for National plan requires licences where applicable, updates, cybersecurity patches, backups, calibration files, model validation and technical support.</x:v>
      </x:c>
      <x:c r="AI350" s="2" t="str">
        <x:v>Orgware depends on the institutions, laboratories, training providers, regulators, operators and community interfaces needed to govern National plan.</x:v>
      </x:c>
      <x:c r="AJ350" s="2" t="str">
        <x:v>The orgware supporting National plan has mainly indirect energy use from offices, meetings, training and information systems; travel and field supervision may be material at dispersed sites.</x:v>
      </x:c>
      <x:c r="AK350" s="2" t="str">
        <x:v>Its organisational inputs are permits, budgets, trained staff, competence records, contracts, procedures, safeguards, monitoring evidence and stakeholder agreements tailored to National plan.</x:v>
      </x:c>
      <x:c r="AL350" s="2" t="str">
        <x:v>Sustained implementation of National plan requires procurement and service contracts, audit protocols, training material, reporting templates, insurance or guarantees and periodic independent review.</x:v>
      </x:c>
      <x:c r="AM350" s="2" t="str">
        <x:v>No critical or strategic raw material is identifiable at taxonomy level; site-specific bulk materials may still be required.</x:v>
      </x:c>
      <x:c r="AN350" s="2" t="str"/>
      <x:c r="AO350" s="2" t="str"/>
      <x:c r="AP350" s="2" t="str">
        <x:v>National plan: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0" s="2" t="str">
        <x:v>2024–2025</x:v>
      </x:c>
      <x:c r="AR350" s="2" t="str">
        <x:v>https://pubs.usgs.gov/periodicals/mcs2026/mcs2026.pdf</x:v>
      </x:c>
    </x:row>
    <x:row r="351" ht="240" customHeight="1">
      <x:c r="A351" s="2" t="str">
        <x:v>ADP-0081</x:v>
      </x:c>
      <x:c r="B351" s="2" t="str">
        <x:v>Adaptation</x:v>
      </x:c>
      <x:c r="C351" s="2" t="str">
        <x:v>Water</x:v>
      </x:c>
      <x:c r="D351" s="2" t="str">
        <x:v>Adaptation planning</x:v>
      </x:c>
      <x:c r="E351" s="2" t="str">
        <x:v>Technology Needs Assessment</x:v>
      </x:c>
      <x:c r="F351" s="2" t="str">
        <x:v>Technology Needs Assessment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Technology Needs Assessment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1" s="2" t="str">
        <x:v>Flexible</x:v>
      </x:c>
      <x:c r="H351" s="2" t="str">
        <x:v>Technology Needs Assessment is transferable through configurable methods, rules and operating parameters. Its principle remains the same, but resource quality, climate, scale, interfaces and safety constraints must be recalculated for each deployment.</x:v>
      </x:c>
      <x:c r="I351" s="2" t="str">
        <x:v>Hard and soft</x:v>
      </x:c>
      <x:c r="J351" s="2" t="str">
        <x:v>Technology Needs Assessment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1" s="2" t="str">
        <x:v>Operation and information service</x:v>
      </x:c>
      <x:c r="L351" s="2" t="str">
        <x:v>Technology Needs Assessment is embodied mainly as an information and decision service. The deliverable is accepted only when measurable service, quality, safety and climate-performance criteria are met under real conditions.</x:v>
      </x:c>
      <x:c r="M351" s="2" t="str">
        <x:v>Yes, subject to life-cycle safeguards</x:v>
      </x:c>
      <x:c r="N351" s="2" t="str">
        <x:v>Technology Needs Assessment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1" s="2" t="str">
        <x:v>Technology Needs Assessment: intakes, pipes, pumps, meters, valves, tanks, treatment units, drainage or flood structures, monitoring stations and nature-based elements as applicable.</x:v>
      </x:c>
      <x:c r="P351" s="2" t="str">
        <x:v>Technology Needs Assessment: water balance, hydraulic and hydrological modelling, demand forecasting, water-quality analysis, asset management, drought or flood rules and decision support.</x:v>
      </x:c>
      <x:c r="Q351" s="2" t="str">
        <x:v>Technology Needs Assessment: water rights and permits, utility responsibilities, basin governance, service standards, emergency protocols, tariffs, maintenance funding and stakeholder agreements.</x:v>
      </x:c>
      <x:c r="R351" s="2" t="str">
        <x:v>Technology Needs Assessment: catchment or coast, treatment and storage sites, conveyance and drainage network, power supply, laboratory, control room and safe access.</x:v>
      </x:c>
      <x:c r="S351" s="2" t="str">
        <x:v>Technology Needs Assessment: electricity or fuel for pumping, aeration, desalination, treatment and controls; gravity and ecosystem processes can reduce auxiliary demand.</x:v>
      </x:c>
      <x:c r="T351" s="2" t="str">
        <x:v>Technology Needs Assessment: concrete, steel, ductile iron or polymers, filter media, membranes, treatment chemicals, geotextiles, soil, rock and vegetation according to the measure.</x:v>
      </x:c>
      <x:c r="U351" s="2" t="str">
        <x:v>Technology Needs Assessment: pump and valve parts, seals, meters, sensors, membranes, lamps, filter media, dosing equipment, reagents and erosion-control materials.</x:v>
      </x:c>
      <x:c r="V351" s="2" t="str">
        <x:v>https://www.ctc-n.org/sites/default/files/resources/ctcn_taxonomy_0.pdf</x:v>
      </x:c>
      <x:c r="W351" s="2" t="str">
        <x:v>https://institutoagricoladepueblobello.edu.co/colegiapp/archivostemas/GUIA%209.%5B25%5D.pdf</x:v>
      </x:c>
      <x:c r="X351" s="2" t="str">
        <x:v>https://iiasa.ac.at/what-is-technology</x:v>
      </x:c>
      <x:c r="Y351" s="2" t="str">
        <x:v>https://www.unwater.org/water-facts/climate-change</x:v>
      </x:c>
      <x:c r="Z351" s="2" t="str">
        <x:v>Technology-specific analytical synthesis. The CTCN hierarchy is retained; classifications and component dependencies require validation against the selected design, site and supplier documentation before investment or policy use.</x:v>
      </x:c>
      <x:c r="AA351" s="2" t="str">
        <x:v>Physical deployment of Technology Needs Assessment requires catchment or coast, treatment and storage sites, conveyance and drainage network, power supply, laboratory, control room and safe access; interfaces, foundations, access and environmental protection are sized to the specific resource and design load.</x:v>
      </x:c>
      <x:c r="AB351" s="2" t="str">
        <x:v>For Technology Needs Assessment,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1" s="2" t="str">
        <x:v>Construction and operation use concrete, steel, ductile iron or polymers, filter media, membranes, treatment chemicals, geotextiles, soil, rock and vegetation according to the measure. For Technology Needs Assessment, specifications must include durability, compatibility, recycled content and recoverability.</x:v>
      </x:c>
      <x:c r="AD351" s="2" t="str">
        <x:v>Maintenance of Technology Needs Assessment depends on pump and valve parts, seals, meters, sensors, membranes, lamps, filter media, dosing equipment, reagents and erosion-control materials; critical spares are selected from failure-mode, lead-time and safety analysis for its installed configuration.</x:v>
      </x:c>
      <x:c r="AE351" s="2" t="str">
        <x:v>The software stack for Technology Needs Assessment requires databases, secure communications, version-controlled models, computing, backup and interfaces with field or operational systems.</x:v>
      </x:c>
      <x:c r="AF351" s="2" t="str">
        <x:v>For Technology Needs Assessment, software-related energy is electricity for sensing, computing, storage, communication and cooling; it is normally secondary but must be included for data-intensive or continuous services.</x:v>
      </x:c>
      <x:c r="AG351" s="2" t="str">
        <x:v>The non-physical inputs are calibrated data, metadata, algorithms, boundary conditions, emission or hazard factors, manuals and validation records specific to Technology Needs Assessment.</x:v>
      </x:c>
      <x:c r="AH351" s="2" t="str">
        <x:v>Software continuity for Technology Needs Assessment requires licences where applicable, updates, cybersecurity patches, backups, calibration files, model validation and technical support.</x:v>
      </x:c>
      <x:c r="AI351" s="2" t="str">
        <x:v>Orgware depends on the institutions, laboratories, training providers, regulators, operators and community interfaces needed to govern Technology Needs Assessment.</x:v>
      </x:c>
      <x:c r="AJ351" s="2" t="str">
        <x:v>The orgware supporting Technology Needs Assessment has mainly indirect energy use from offices, meetings, training and information systems; travel and field supervision may be material at dispersed sites.</x:v>
      </x:c>
      <x:c r="AK351" s="2" t="str">
        <x:v>Its organisational inputs are permits, budgets, trained staff, competence records, contracts, procedures, safeguards, monitoring evidence and stakeholder agreements tailored to Technology Needs Assessment.</x:v>
      </x:c>
      <x:c r="AL351" s="2" t="str">
        <x:v>Sustained implementation of Technology Needs Assessment requires procurement and service contracts, audit protocols, training material, reporting templates, insurance or guarantees and periodic independent review.</x:v>
      </x:c>
      <x:c r="AM351" s="2" t="str">
        <x:v>No critical or strategic raw material is identifiable at taxonomy level; site-specific bulk materials may still be required.</x:v>
      </x:c>
      <x:c r="AN351" s="2" t="str"/>
      <x:c r="AO351" s="2" t="str"/>
      <x:c r="AP351" s="2" t="str">
        <x:v>Technology Needs Assessment: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1" s="2" t="str">
        <x:v>2024–2025</x:v>
      </x:c>
      <x:c r="AR351" s="2" t="str">
        <x:v>https://pubs.usgs.gov/periodicals/mcs2026/mcs2026.pdf</x:v>
      </x:c>
    </x:row>
    <x:row r="352" ht="240" customHeight="1">
      <x:c r="A352" s="2" t="str">
        <x:v>ADP-0082</x:v>
      </x:c>
      <x:c r="B352" s="2" t="str">
        <x:v>Adaptation</x:v>
      </x:c>
      <x:c r="C352" s="2" t="str">
        <x:v>Water</x:v>
      </x:c>
      <x:c r="D352" s="2" t="str">
        <x:v>Adaptation planning</x:v>
      </x:c>
      <x:c r="E352" s="2" t="str">
        <x:v>National Biodiversity Strategies and Action Plan</x:v>
      </x:c>
      <x:c r="F352" s="2" t="str">
        <x:v>National Biodiversity Strategies and Action Plan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National Biodiversity Strategies and Action Plan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2" s="2" t="str">
        <x:v>Flexible</x:v>
      </x:c>
      <x:c r="H352" s="2" t="str">
        <x:v>National Biodiversity Strategies and Action Plan is transferable through configurable methods, rules and operating parameters. Its principle remains the same, but resource quality, climate, scale, interfaces and safety constraints must be recalculated for each deployment.</x:v>
      </x:c>
      <x:c r="I352" s="2" t="str">
        <x:v>Hard and soft</x:v>
      </x:c>
      <x:c r="J352" s="2" t="str">
        <x:v>National Biodiversity Strategies and Action Plan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2" s="2" t="str">
        <x:v>Operation and information service</x:v>
      </x:c>
      <x:c r="L352" s="2" t="str">
        <x:v>National Biodiversity Strategies and Action Plan is embodied mainly as an information and decision service. The deliverable is accepted only when measurable service, quality, safety and climate-performance criteria are met under real conditions.</x:v>
      </x:c>
      <x:c r="M352" s="2" t="str">
        <x:v>Yes, subject to life-cycle safeguards</x:v>
      </x:c>
      <x:c r="N352" s="2" t="str">
        <x:v>National Biodiversity Strategies and Action Plan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2" s="2" t="str">
        <x:v>National Biodiversity Strategies and Action Plan: intakes, pipes, pumps, meters, valves, tanks, treatment units, drainage or flood structures, monitoring stations and nature-based elements as applicable.</x:v>
      </x:c>
      <x:c r="P352" s="2" t="str">
        <x:v>National Biodiversity Strategies and Action Plan: water balance, hydraulic and hydrological modelling, demand forecasting, water-quality analysis, asset management, drought or flood rules and decision support.</x:v>
      </x:c>
      <x:c r="Q352" s="2" t="str">
        <x:v>National Biodiversity Strategies and Action Plan: water rights and permits, utility responsibilities, basin governance, service standards, emergency protocols, tariffs, maintenance funding and stakeholder agreements.</x:v>
      </x:c>
      <x:c r="R352" s="2" t="str">
        <x:v>National Biodiversity Strategies and Action Plan: catchment or coast, treatment and storage sites, conveyance and drainage network, power supply, laboratory, control room and safe access.</x:v>
      </x:c>
      <x:c r="S352" s="2" t="str">
        <x:v>National Biodiversity Strategies and Action Plan: electricity or fuel for pumping, aeration, desalination, treatment and controls; gravity and ecosystem processes can reduce auxiliary demand.</x:v>
      </x:c>
      <x:c r="T352" s="2" t="str">
        <x:v>National Biodiversity Strategies and Action Plan: concrete, steel, ductile iron or polymers, filter media, membranes, treatment chemicals, geotextiles, soil, rock and vegetation according to the measure.</x:v>
      </x:c>
      <x:c r="U352" s="2" t="str">
        <x:v>National Biodiversity Strategies and Action Plan: pump and valve parts, seals, meters, sensors, membranes, lamps, filter media, dosing equipment, reagents and erosion-control materials.</x:v>
      </x:c>
      <x:c r="V352" s="2" t="str">
        <x:v>https://www.ctc-n.org/sites/default/files/resources/ctcn_taxonomy_0.pdf</x:v>
      </x:c>
      <x:c r="W352" s="2" t="str">
        <x:v>https://institutoagricoladepueblobello.edu.co/colegiapp/archivostemas/GUIA%209.%5B25%5D.pdf</x:v>
      </x:c>
      <x:c r="X352" s="2" t="str">
        <x:v>https://iiasa.ac.at/what-is-technology</x:v>
      </x:c>
      <x:c r="Y352" s="2" t="str">
        <x:v>https://www.unwater.org/water-facts/climate-change</x:v>
      </x:c>
      <x:c r="Z352" s="2" t="str">
        <x:v>Technology-specific analytical synthesis. The CTCN hierarchy is retained; classifications and component dependencies require validation against the selected design, site and supplier documentation before investment or policy use.</x:v>
      </x:c>
      <x:c r="AA352" s="2" t="str">
        <x:v>Physical deployment of National Biodiversity Strategies and Action Plan requires catchment or coast, treatment and storage sites, conveyance and drainage network, power supply, laboratory, control room and safe access; interfaces, foundations, access and environmental protection are sized to the specific resource and design load.</x:v>
      </x:c>
      <x:c r="AB352" s="2" t="str">
        <x:v>For National Biodiversity Strategies and Action Plan,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2" s="2" t="str">
        <x:v>Construction and operation use concrete, steel, ductile iron or polymers, filter media, membranes, treatment chemicals, geotextiles, soil, rock and vegetation according to the measure. For National Biodiversity Strategies and Action Plan, specifications must include durability, compatibility, recycled content and recoverability.</x:v>
      </x:c>
      <x:c r="AD352" s="2" t="str">
        <x:v>Maintenance of National Biodiversity Strategies and Action Plan depends on pump and valve parts, seals, meters, sensors, membranes, lamps, filter media, dosing equipment, reagents and erosion-control materials; critical spares are selected from failure-mode, lead-time and safety analysis for its installed configuration.</x:v>
      </x:c>
      <x:c r="AE352" s="2" t="str">
        <x:v>The software stack for National Biodiversity Strategies and Action Plan requires databases, secure communications, version-controlled models, computing, backup and interfaces with field or operational systems.</x:v>
      </x:c>
      <x:c r="AF352" s="2" t="str">
        <x:v>For National Biodiversity Strategies and Action Plan, software-related energy is electricity for sensing, computing, storage, communication and cooling; it is normally secondary but must be included for data-intensive or continuous services.</x:v>
      </x:c>
      <x:c r="AG352" s="2" t="str">
        <x:v>The non-physical inputs are calibrated data, metadata, algorithms, boundary conditions, emission or hazard factors, manuals and validation records specific to National Biodiversity Strategies and Action Plan.</x:v>
      </x:c>
      <x:c r="AH352" s="2" t="str">
        <x:v>Software continuity for National Biodiversity Strategies and Action Plan requires licences where applicable, updates, cybersecurity patches, backups, calibration files, model validation and technical support.</x:v>
      </x:c>
      <x:c r="AI352" s="2" t="str">
        <x:v>Orgware depends on the institutions, laboratories, training providers, regulators, operators and community interfaces needed to govern National Biodiversity Strategies and Action Plan.</x:v>
      </x:c>
      <x:c r="AJ352" s="2" t="str">
        <x:v>The orgware supporting National Biodiversity Strategies and Action Plan has mainly indirect energy use from offices, meetings, training and information systems; travel and field supervision may be material at dispersed sites.</x:v>
      </x:c>
      <x:c r="AK352" s="2" t="str">
        <x:v>Its organisational inputs are permits, budgets, trained staff, competence records, contracts, procedures, safeguards, monitoring evidence and stakeholder agreements tailored to National Biodiversity Strategies and Action Plan.</x:v>
      </x:c>
      <x:c r="AL352" s="2" t="str">
        <x:v>Sustained implementation of National Biodiversity Strategies and Action Plan requires procurement and service contracts, audit protocols, training material, reporting templates, insurance or guarantees and periodic independent review.</x:v>
      </x:c>
      <x:c r="AM352" s="2" t="str">
        <x:v>No critical or strategic raw material is identifiable at taxonomy level; site-specific bulk materials may still be required.</x:v>
      </x:c>
      <x:c r="AN352" s="2" t="str"/>
      <x:c r="AO352" s="2" t="str"/>
      <x:c r="AP352" s="2" t="str">
        <x:v>National Biodiversity Strategies and Action Plan: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2" s="2" t="str">
        <x:v>2024–2025</x:v>
      </x:c>
      <x:c r="AR352" s="2" t="str">
        <x:v>https://pubs.usgs.gov/periodicals/mcs2026/mcs2026.pdf</x:v>
      </x:c>
    </x:row>
    <x:row r="353" ht="240" customHeight="1">
      <x:c r="A353" s="2" t="str">
        <x:v>ADP-0083</x:v>
      </x:c>
      <x:c r="B353" s="2" t="str">
        <x:v>Adaptation</x:v>
      </x:c>
      <x:c r="C353" s="2" t="str">
        <x:v>Water</x:v>
      </x:c>
      <x:c r="D353" s="2" t="str">
        <x:v>Adaptation planning</x:v>
      </x:c>
      <x:c r="E353" s="2" t="str">
        <x:v>National Adaptation Plan</x:v>
      </x:c>
      <x:c r="F353" s="2" t="str">
        <x:v>National Adaptation Plan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National Adaptation Plan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3" s="2" t="str">
        <x:v>Flexible</x:v>
      </x:c>
      <x:c r="H353" s="2" t="str">
        <x:v>National Adaptation Plan is transferable through configurable methods, rules and operating parameters. Its principle remains the same, but resource quality, climate, scale, interfaces and safety constraints must be recalculated for each deployment.</x:v>
      </x:c>
      <x:c r="I353" s="2" t="str">
        <x:v>Hard and soft</x:v>
      </x:c>
      <x:c r="J353" s="2" t="str">
        <x:v>National Adaptation Plan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3" s="2" t="str">
        <x:v>Operation and information service</x:v>
      </x:c>
      <x:c r="L353" s="2" t="str">
        <x:v>National Adaptation Plan is embodied mainly as an information and decision service. The deliverable is accepted only when measurable service, quality, safety and climate-performance criteria are met under real conditions.</x:v>
      </x:c>
      <x:c r="M353" s="2" t="str">
        <x:v>Yes, subject to life-cycle safeguards</x:v>
      </x:c>
      <x:c r="N353" s="2" t="str">
        <x:v>National Adaptation Plan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3" s="2" t="str">
        <x:v>National Adaptation Plan: intakes, pipes, pumps, meters, valves, tanks, treatment units, drainage or flood structures, monitoring stations and nature-based elements as applicable.</x:v>
      </x:c>
      <x:c r="P353" s="2" t="str">
        <x:v>National Adaptation Plan: water balance, hydraulic and hydrological modelling, demand forecasting, water-quality analysis, asset management, drought or flood rules and decision support.</x:v>
      </x:c>
      <x:c r="Q353" s="2" t="str">
        <x:v>National Adaptation Plan: water rights and permits, utility responsibilities, basin governance, service standards, emergency protocols, tariffs, maintenance funding and stakeholder agreements.</x:v>
      </x:c>
      <x:c r="R353" s="2" t="str">
        <x:v>National Adaptation Plan: catchment or coast, treatment and storage sites, conveyance and drainage network, power supply, laboratory, control room and safe access.</x:v>
      </x:c>
      <x:c r="S353" s="2" t="str">
        <x:v>National Adaptation Plan: electricity or fuel for pumping, aeration, desalination, treatment and controls; gravity and ecosystem processes can reduce auxiliary demand.</x:v>
      </x:c>
      <x:c r="T353" s="2" t="str">
        <x:v>National Adaptation Plan: concrete, steel, ductile iron or polymers, filter media, membranes, treatment chemicals, geotextiles, soil, rock and vegetation according to the measure.</x:v>
      </x:c>
      <x:c r="U353" s="2" t="str">
        <x:v>National Adaptation Plan: pump and valve parts, seals, meters, sensors, membranes, lamps, filter media, dosing equipment, reagents and erosion-control materials.</x:v>
      </x:c>
      <x:c r="V353" s="2" t="str">
        <x:v>https://www.ctc-n.org/sites/default/files/resources/ctcn_taxonomy_0.pdf</x:v>
      </x:c>
      <x:c r="W353" s="2" t="str">
        <x:v>https://institutoagricoladepueblobello.edu.co/colegiapp/archivostemas/GUIA%209.%5B25%5D.pdf</x:v>
      </x:c>
      <x:c r="X353" s="2" t="str">
        <x:v>https://iiasa.ac.at/what-is-technology</x:v>
      </x:c>
      <x:c r="Y353" s="2" t="str">
        <x:v>https://www.unwater.org/water-facts/climate-change</x:v>
      </x:c>
      <x:c r="Z353" s="2" t="str">
        <x:v>Technology-specific analytical synthesis. The CTCN hierarchy is retained; classifications and component dependencies require validation against the selected design, site and supplier documentation before investment or policy use.</x:v>
      </x:c>
      <x:c r="AA353" s="2" t="str">
        <x:v>Physical deployment of National Adaptation Plan requires catchment or coast, treatment and storage sites, conveyance and drainage network, power supply, laboratory, control room and safe access; interfaces, foundations, access and environmental protection are sized to the specific resource and design load.</x:v>
      </x:c>
      <x:c r="AB353" s="2" t="str">
        <x:v>For National Adaptation Plan,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3" s="2" t="str">
        <x:v>Construction and operation use concrete, steel, ductile iron or polymers, filter media, membranes, treatment chemicals, geotextiles, soil, rock and vegetation according to the measure. For National Adaptation Plan, specifications must include durability, compatibility, recycled content and recoverability.</x:v>
      </x:c>
      <x:c r="AD353" s="2" t="str">
        <x:v>Maintenance of National Adaptation Plan depends on pump and valve parts, seals, meters, sensors, membranes, lamps, filter media, dosing equipment, reagents and erosion-control materials; critical spares are selected from failure-mode, lead-time and safety analysis for its installed configuration.</x:v>
      </x:c>
      <x:c r="AE353" s="2" t="str">
        <x:v>The software stack for National Adaptation Plan requires databases, secure communications, version-controlled models, computing, backup and interfaces with field or operational systems.</x:v>
      </x:c>
      <x:c r="AF353" s="2" t="str">
        <x:v>For National Adaptation Plan, software-related energy is electricity for sensing, computing, storage, communication and cooling; it is normally secondary but must be included for data-intensive or continuous services.</x:v>
      </x:c>
      <x:c r="AG353" s="2" t="str">
        <x:v>The non-physical inputs are calibrated data, metadata, algorithms, boundary conditions, emission or hazard factors, manuals and validation records specific to National Adaptation Plan.</x:v>
      </x:c>
      <x:c r="AH353" s="2" t="str">
        <x:v>Software continuity for National Adaptation Plan requires licences where applicable, updates, cybersecurity patches, backups, calibration files, model validation and technical support.</x:v>
      </x:c>
      <x:c r="AI353" s="2" t="str">
        <x:v>Orgware depends on the institutions, laboratories, training providers, regulators, operators and community interfaces needed to govern National Adaptation Plan.</x:v>
      </x:c>
      <x:c r="AJ353" s="2" t="str">
        <x:v>The orgware supporting National Adaptation Plan has mainly indirect energy use from offices, meetings, training and information systems; travel and field supervision may be material at dispersed sites.</x:v>
      </x:c>
      <x:c r="AK353" s="2" t="str">
        <x:v>Its organisational inputs are permits, budgets, trained staff, competence records, contracts, procedures, safeguards, monitoring evidence and stakeholder agreements tailored to National Adaptation Plan.</x:v>
      </x:c>
      <x:c r="AL353" s="2" t="str">
        <x:v>Sustained implementation of National Adaptation Plan requires procurement and service contracts, audit protocols, training material, reporting templates, insurance or guarantees and periodic independent review.</x:v>
      </x:c>
      <x:c r="AM353" s="2" t="str">
        <x:v>No critical or strategic raw material is identifiable at taxonomy level; site-specific bulk materials may still be required.</x:v>
      </x:c>
      <x:c r="AN353" s="2" t="str"/>
      <x:c r="AO353" s="2" t="str"/>
      <x:c r="AP353" s="2" t="str">
        <x:v>National Adaptation Plan: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3" s="2" t="str">
        <x:v>2024–2025</x:v>
      </x:c>
      <x:c r="AR353" s="2" t="str">
        <x:v>https://pubs.usgs.gov/periodicals/mcs2026/mcs2026.pdf</x:v>
      </x:c>
    </x:row>
    <x:row r="354" ht="240" customHeight="1">
      <x:c r="A354" s="2" t="str">
        <x:v>ADP-0084</x:v>
      </x:c>
      <x:c r="B354" s="2" t="str">
        <x:v>Adaptation</x:v>
      </x:c>
      <x:c r="C354" s="2" t="str">
        <x:v>Water</x:v>
      </x:c>
      <x:c r="D354" s="2" t="str">
        <x:v>Adaptation planning</x:v>
      </x:c>
      <x:c r="E354" s="2" t="str">
        <x:v>National adaptation programmes of action</x:v>
      </x:c>
      <x:c r="F354" s="2" t="str">
        <x:v>National adaptation programmes of action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National adaptation programmes of action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4" s="2" t="str">
        <x:v>Flexible</x:v>
      </x:c>
      <x:c r="H354" s="2" t="str">
        <x:v>National adaptation programmes of action is transferable through configurable methods, rules and operating parameters. Its principle remains the same, but resource quality, climate, scale, interfaces and safety constraints must be recalculated for each deployment.</x:v>
      </x:c>
      <x:c r="I354" s="2" t="str">
        <x:v>Hard and soft</x:v>
      </x:c>
      <x:c r="J354" s="2" t="str">
        <x:v>National adaptation programmes of action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4" s="2" t="str">
        <x:v>Operation and information service</x:v>
      </x:c>
      <x:c r="L354" s="2" t="str">
        <x:v>National adaptation programmes of action is embodied mainly as an information and decision service. The deliverable is accepted only when measurable service, quality, safety and climate-performance criteria are met under real conditions.</x:v>
      </x:c>
      <x:c r="M354" s="2" t="str">
        <x:v>Yes, subject to life-cycle safeguards</x:v>
      </x:c>
      <x:c r="N354" s="2" t="str">
        <x:v>National adaptation programmes of action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4" s="2" t="str">
        <x:v>National adaptation programmes of action: intakes, pipes, pumps, meters, valves, tanks, treatment units, drainage or flood structures, monitoring stations and nature-based elements as applicable.</x:v>
      </x:c>
      <x:c r="P354" s="2" t="str">
        <x:v>National adaptation programmes of action: water balance, hydraulic and hydrological modelling, demand forecasting, water-quality analysis, asset management, drought or flood rules and decision support.</x:v>
      </x:c>
      <x:c r="Q354" s="2" t="str">
        <x:v>National adaptation programmes of action: water rights and permits, utility responsibilities, basin governance, service standards, emergency protocols, tariffs, maintenance funding and stakeholder agreements.</x:v>
      </x:c>
      <x:c r="R354" s="2" t="str">
        <x:v>National adaptation programmes of action: catchment or coast, treatment and storage sites, conveyance and drainage network, power supply, laboratory, control room and safe access.</x:v>
      </x:c>
      <x:c r="S354" s="2" t="str">
        <x:v>National adaptation programmes of action: electricity or fuel for pumping, aeration, desalination, treatment and controls; gravity and ecosystem processes can reduce auxiliary demand.</x:v>
      </x:c>
      <x:c r="T354" s="2" t="str">
        <x:v>National adaptation programmes of action: concrete, steel, ductile iron or polymers, filter media, membranes, treatment chemicals, geotextiles, soil, rock and vegetation according to the measure.</x:v>
      </x:c>
      <x:c r="U354" s="2" t="str">
        <x:v>National adaptation programmes of action: pump and valve parts, seals, meters, sensors, membranes, lamps, filter media, dosing equipment, reagents and erosion-control materials.</x:v>
      </x:c>
      <x:c r="V354" s="2" t="str">
        <x:v>https://www.ctc-n.org/sites/default/files/resources/ctcn_taxonomy_0.pdf</x:v>
      </x:c>
      <x:c r="W354" s="2" t="str">
        <x:v>https://institutoagricoladepueblobello.edu.co/colegiapp/archivostemas/GUIA%209.%5B25%5D.pdf</x:v>
      </x:c>
      <x:c r="X354" s="2" t="str">
        <x:v>https://iiasa.ac.at/what-is-technology</x:v>
      </x:c>
      <x:c r="Y354" s="2" t="str">
        <x:v>https://www.unwater.org/water-facts/climate-change</x:v>
      </x:c>
      <x:c r="Z354" s="2" t="str">
        <x:v>Technology-specific analytical synthesis. The CTCN hierarchy is retained; classifications and component dependencies require validation against the selected design, site and supplier documentation before investment or policy use.</x:v>
      </x:c>
      <x:c r="AA354" s="2" t="str">
        <x:v>Physical deployment of National adaptation programmes of action requires catchment or coast, treatment and storage sites, conveyance and drainage network, power supply, laboratory, control room and safe access; interfaces, foundations, access and environmental protection are sized to the specific resource and design load.</x:v>
      </x:c>
      <x:c r="AB354" s="2" t="str">
        <x:v>For National adaptation programmes of action,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4" s="2" t="str">
        <x:v>Construction and operation use concrete, steel, ductile iron or polymers, filter media, membranes, treatment chemicals, geotextiles, soil, rock and vegetation according to the measure. For National adaptation programmes of action, specifications must include durability, compatibility, recycled content and recoverability.</x:v>
      </x:c>
      <x:c r="AD354" s="2" t="str">
        <x:v>Maintenance of National adaptation programmes of action depends on pump and valve parts, seals, meters, sensors, membranes, lamps, filter media, dosing equipment, reagents and erosion-control materials; critical spares are selected from failure-mode, lead-time and safety analysis for its installed configuration.</x:v>
      </x:c>
      <x:c r="AE354" s="2" t="str">
        <x:v>The software stack for National adaptation programmes of action requires databases, secure communications, version-controlled models, computing, backup and interfaces with field or operational systems.</x:v>
      </x:c>
      <x:c r="AF354" s="2" t="str">
        <x:v>For National adaptation programmes of action, software-related energy is electricity for sensing, computing, storage, communication and cooling; it is normally secondary but must be included for data-intensive or continuous services.</x:v>
      </x:c>
      <x:c r="AG354" s="2" t="str">
        <x:v>The non-physical inputs are calibrated data, metadata, algorithms, boundary conditions, emission or hazard factors, manuals and validation records specific to National adaptation programmes of action.</x:v>
      </x:c>
      <x:c r="AH354" s="2" t="str">
        <x:v>Software continuity for National adaptation programmes of action requires licences where applicable, updates, cybersecurity patches, backups, calibration files, model validation and technical support.</x:v>
      </x:c>
      <x:c r="AI354" s="2" t="str">
        <x:v>Orgware depends on the institutions, laboratories, training providers, regulators, operators and community interfaces needed to govern National adaptation programmes of action.</x:v>
      </x:c>
      <x:c r="AJ354" s="2" t="str">
        <x:v>The orgware supporting National adaptation programmes of action has mainly indirect energy use from offices, meetings, training and information systems; travel and field supervision may be material at dispersed sites.</x:v>
      </x:c>
      <x:c r="AK354" s="2" t="str">
        <x:v>Its organisational inputs are permits, budgets, trained staff, competence records, contracts, procedures, safeguards, monitoring evidence and stakeholder agreements tailored to National adaptation programmes of action.</x:v>
      </x:c>
      <x:c r="AL354" s="2" t="str">
        <x:v>Sustained implementation of National adaptation programmes of action requires procurement and service contracts, audit protocols, training material, reporting templates, insurance or guarantees and periodic independent review.</x:v>
      </x:c>
      <x:c r="AM354" s="2" t="str">
        <x:v>No critical or strategic raw material is identifiable at taxonomy level; site-specific bulk materials may still be required.</x:v>
      </x:c>
      <x:c r="AN354" s="2" t="str"/>
      <x:c r="AO354" s="2" t="str"/>
      <x:c r="AP354" s="2" t="str">
        <x:v>National adaptation programmes of action: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4" s="2" t="str">
        <x:v>2024–2025</x:v>
      </x:c>
      <x:c r="AR354" s="2" t="str">
        <x:v>https://pubs.usgs.gov/periodicals/mcs2026/mcs2026.pdf</x:v>
      </x:c>
    </x:row>
    <x:row r="355" ht="240" customHeight="1">
      <x:c r="A355" s="2" t="str">
        <x:v>ADP-0085</x:v>
      </x:c>
      <x:c r="B355" s="2" t="str">
        <x:v>Adaptation</x:v>
      </x:c>
      <x:c r="C355" s="2" t="str">
        <x:v>Water</x:v>
      </x:c>
      <x:c r="D355" s="2" t="str">
        <x:v>Adaptation planning</x:v>
      </x:c>
      <x:c r="E355" s="2" t="str">
        <x:v>Stakeholder consultations</x:v>
      </x:c>
      <x:c r="F355" s="2" t="str">
        <x:v>Stakeholder consultations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Stakeholder consultations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5" s="2" t="str">
        <x:v>Flexible</x:v>
      </x:c>
      <x:c r="H355" s="2" t="str">
        <x:v>Stakeholder consultations is transferable through configurable methods, rules and operating parameters. Its principle remains the same, but resource quality, climate, scale, interfaces and safety constraints must be recalculated for each deployment.</x:v>
      </x:c>
      <x:c r="I355" s="2" t="str">
        <x:v>Hard and soft</x:v>
      </x:c>
      <x:c r="J355" s="2" t="str">
        <x:v>Stakeholder consultations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5" s="2" t="str">
        <x:v>Operation and information service</x:v>
      </x:c>
      <x:c r="L355" s="2" t="str">
        <x:v>Stakeholder consultations is embodied mainly as an information and decision service. The deliverable is accepted only when measurable service, quality, safety and climate-performance criteria are met under real conditions.</x:v>
      </x:c>
      <x:c r="M355" s="2" t="str">
        <x:v>Yes, subject to life-cycle safeguards</x:v>
      </x:c>
      <x:c r="N355" s="2" t="str">
        <x:v>Stakeholder consultations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5" s="2" t="str">
        <x:v>Stakeholder consultations: intakes, pipes, pumps, meters, valves, tanks, treatment units, drainage or flood structures, monitoring stations and nature-based elements as applicable.</x:v>
      </x:c>
      <x:c r="P355" s="2" t="str">
        <x:v>Stakeholder consultations: water balance, hydraulic and hydrological modelling, demand forecasting, water-quality analysis, asset management, drought or flood rules and decision support.</x:v>
      </x:c>
      <x:c r="Q355" s="2" t="str">
        <x:v>Stakeholder consultations: water rights and permits, utility responsibilities, basin governance, service standards, emergency protocols, tariffs, maintenance funding and stakeholder agreements.</x:v>
      </x:c>
      <x:c r="R355" s="2" t="str">
        <x:v>Stakeholder consultations: catchment or coast, treatment and storage sites, conveyance and drainage network, power supply, laboratory, control room and safe access.</x:v>
      </x:c>
      <x:c r="S355" s="2" t="str">
        <x:v>Stakeholder consultations: electricity or fuel for pumping, aeration, desalination, treatment and controls; gravity and ecosystem processes can reduce auxiliary demand.</x:v>
      </x:c>
      <x:c r="T355" s="2" t="str">
        <x:v>Stakeholder consultations: concrete, steel, ductile iron or polymers, filter media, membranes, treatment chemicals, geotextiles, soil, rock and vegetation according to the measure.</x:v>
      </x:c>
      <x:c r="U355" s="2" t="str">
        <x:v>Stakeholder consultations: pump and valve parts, seals, meters, sensors, membranes, lamps, filter media, dosing equipment, reagents and erosion-control materials.</x:v>
      </x:c>
      <x:c r="V355" s="2" t="str">
        <x:v>https://www.ctc-n.org/sites/default/files/resources/ctcn_taxonomy_0.pdf</x:v>
      </x:c>
      <x:c r="W355" s="2" t="str">
        <x:v>https://institutoagricoladepueblobello.edu.co/colegiapp/archivostemas/GUIA%209.%5B25%5D.pdf</x:v>
      </x:c>
      <x:c r="X355" s="2" t="str">
        <x:v>https://iiasa.ac.at/what-is-technology</x:v>
      </x:c>
      <x:c r="Y355" s="2" t="str">
        <x:v>https://www.unwater.org/water-facts/climate-change</x:v>
      </x:c>
      <x:c r="Z355" s="2" t="str">
        <x:v>Technology-specific analytical synthesis. The CTCN hierarchy is retained; classifications and component dependencies require validation against the selected design, site and supplier documentation before investment or policy use.</x:v>
      </x:c>
      <x:c r="AA355" s="2" t="str">
        <x:v>Physical deployment of Stakeholder consultations requires catchment or coast, treatment and storage sites, conveyance and drainage network, power supply, laboratory, control room and safe access; interfaces, foundations, access and environmental protection are sized to the specific resource and design load.</x:v>
      </x:c>
      <x:c r="AB355" s="2" t="str">
        <x:v>For Stakeholder consultations,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5" s="2" t="str">
        <x:v>Construction and operation use concrete, steel, ductile iron or polymers, filter media, membranes, treatment chemicals, geotextiles, soil, rock and vegetation according to the measure. For Stakeholder consultations, specifications must include durability, compatibility, recycled content and recoverability.</x:v>
      </x:c>
      <x:c r="AD355" s="2" t="str">
        <x:v>Maintenance of Stakeholder consultations depends on pump and valve parts, seals, meters, sensors, membranes, lamps, filter media, dosing equipment, reagents and erosion-control materials; critical spares are selected from failure-mode, lead-time and safety analysis for its installed configuration.</x:v>
      </x:c>
      <x:c r="AE355" s="2" t="str">
        <x:v>The software stack for Stakeholder consultations requires databases, secure communications, version-controlled models, computing, backup and interfaces with field or operational systems.</x:v>
      </x:c>
      <x:c r="AF355" s="2" t="str">
        <x:v>For Stakeholder consultations, software-related energy is electricity for sensing, computing, storage, communication and cooling; it is normally secondary but must be included for data-intensive or continuous services.</x:v>
      </x:c>
      <x:c r="AG355" s="2" t="str">
        <x:v>The non-physical inputs are calibrated data, metadata, algorithms, boundary conditions, emission or hazard factors, manuals and validation records specific to Stakeholder consultations.</x:v>
      </x:c>
      <x:c r="AH355" s="2" t="str">
        <x:v>Software continuity for Stakeholder consultations requires licences where applicable, updates, cybersecurity patches, backups, calibration files, model validation and technical support.</x:v>
      </x:c>
      <x:c r="AI355" s="2" t="str">
        <x:v>Orgware depends on the institutions, laboratories, training providers, regulators, operators and community interfaces needed to govern Stakeholder consultations.</x:v>
      </x:c>
      <x:c r="AJ355" s="2" t="str">
        <x:v>The orgware supporting Stakeholder consultations has mainly indirect energy use from offices, meetings, training and information systems; travel and field supervision may be material at dispersed sites.</x:v>
      </x:c>
      <x:c r="AK355" s="2" t="str">
        <x:v>Its organisational inputs are permits, budgets, trained staff, competence records, contracts, procedures, safeguards, monitoring evidence and stakeholder agreements tailored to Stakeholder consultations.</x:v>
      </x:c>
      <x:c r="AL355" s="2" t="str">
        <x:v>Sustained implementation of Stakeholder consultations requires procurement and service contracts, audit protocols, training material, reporting templates, insurance or guarantees and periodic independent review.</x:v>
      </x:c>
      <x:c r="AM355" s="2" t="str">
        <x:v>No critical or strategic raw material is identifiable at taxonomy level; site-specific bulk materials may still be required.</x:v>
      </x:c>
      <x:c r="AN355" s="2" t="str"/>
      <x:c r="AO355" s="2" t="str"/>
      <x:c r="AP355" s="2" t="str">
        <x:v>Stakeholder consultations: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5" s="2" t="str">
        <x:v>2024–2025</x:v>
      </x:c>
      <x:c r="AR355" s="2" t="str">
        <x:v>https://pubs.usgs.gov/periodicals/mcs2026/mcs2026.pdf</x:v>
      </x:c>
    </x:row>
    <x:row r="356" ht="240" customHeight="1">
      <x:c r="A356" s="2" t="str">
        <x:v>ADP-0086</x:v>
      </x:c>
      <x:c r="B356" s="2" t="str">
        <x:v>Adaptation</x:v>
      </x:c>
      <x:c r="C356" s="2" t="str">
        <x:v>Water</x:v>
      </x:c>
      <x:c r="D356" s="2" t="str">
        <x:v>Adaptation planning</x:v>
      </x:c>
      <x:c r="E356" s="2" t="str">
        <x:v>Open source climate data and tools</x:v>
      </x:c>
      <x:c r="F356" s="2" t="str">
        <x:v>Open source climate data and tools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Open source climate data and tools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6" s="2" t="str">
        <x:v>Flexible</x:v>
      </x:c>
      <x:c r="H356" s="2" t="str">
        <x:v>Open source climate data and tools is transferable through configurable methods, rules and operating parameters. Its principle remains the same, but resource quality, climate, scale, interfaces and safety constraints must be recalculated for each deployment.</x:v>
      </x:c>
      <x:c r="I356" s="2" t="str">
        <x:v>Hard and soft</x:v>
      </x:c>
      <x:c r="J356" s="2" t="str">
        <x:v>Open source climate data and tools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6" s="2" t="str">
        <x:v>Operation and information service</x:v>
      </x:c>
      <x:c r="L356" s="2" t="str">
        <x:v>Open source climate data and tools is embodied mainly as an information and decision service. The deliverable is accepted only when measurable service, quality, safety and climate-performance criteria are met under real conditions.</x:v>
      </x:c>
      <x:c r="M356" s="2" t="str">
        <x:v>Yes, subject to life-cycle safeguards</x:v>
      </x:c>
      <x:c r="N356" s="2" t="str">
        <x:v>Open source climate data and tools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6" s="2" t="str">
        <x:v>Open source climate data and tools: intakes, pipes, pumps, meters, valves, tanks, treatment units, drainage or flood structures, monitoring stations and nature-based elements as applicable.</x:v>
      </x:c>
      <x:c r="P356" s="2" t="str">
        <x:v>Open source climate data and tools: water balance, hydraulic and hydrological modelling, demand forecasting, water-quality analysis, asset management, drought or flood rules and decision support.</x:v>
      </x:c>
      <x:c r="Q356" s="2" t="str">
        <x:v>Open source climate data and tools: water rights and permits, utility responsibilities, basin governance, service standards, emergency protocols, tariffs, maintenance funding and stakeholder agreements.</x:v>
      </x:c>
      <x:c r="R356" s="2" t="str">
        <x:v>Open source climate data and tools: catchment or coast, treatment and storage sites, conveyance and drainage network, power supply, laboratory, control room and safe access.</x:v>
      </x:c>
      <x:c r="S356" s="2" t="str">
        <x:v>Open source climate data and tools: electricity or fuel for pumping, aeration, desalination, treatment and controls; gravity and ecosystem processes can reduce auxiliary demand.</x:v>
      </x:c>
      <x:c r="T356" s="2" t="str">
        <x:v>Open source climate data and tools: concrete, steel, ductile iron or polymers, filter media, membranes, treatment chemicals, geotextiles, soil, rock and vegetation according to the measure.</x:v>
      </x:c>
      <x:c r="U356" s="2" t="str">
        <x:v>Open source climate data and tools: pump and valve parts, seals, meters, sensors, membranes, lamps, filter media, dosing equipment, reagents and erosion-control materials.</x:v>
      </x:c>
      <x:c r="V356" s="2" t="str">
        <x:v>https://www.ctc-n.org/sites/default/files/resources/ctcn_taxonomy_0.pdf</x:v>
      </x:c>
      <x:c r="W356" s="2" t="str">
        <x:v>https://institutoagricoladepueblobello.edu.co/colegiapp/archivostemas/GUIA%209.%5B25%5D.pdf</x:v>
      </x:c>
      <x:c r="X356" s="2" t="str">
        <x:v>https://iiasa.ac.at/what-is-technology</x:v>
      </x:c>
      <x:c r="Y356" s="2" t="str">
        <x:v>https://www.unwater.org/water-facts/climate-change</x:v>
      </x:c>
      <x:c r="Z356" s="2" t="str">
        <x:v>Technology-specific analytical synthesis. The CTCN hierarchy is retained; classifications and component dependencies require validation against the selected design, site and supplier documentation before investment or policy use.</x:v>
      </x:c>
      <x:c r="AA356" s="2" t="str">
        <x:v>Physical deployment of Open source climate data and tools requires catchment or coast, treatment and storage sites, conveyance and drainage network, power supply, laboratory, control room and safe access; interfaces, foundations, access and environmental protection are sized to the specific resource and design load.</x:v>
      </x:c>
      <x:c r="AB356" s="2" t="str">
        <x:v>For Open source climate data and tools,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6" s="2" t="str">
        <x:v>Construction and operation use concrete, steel, ductile iron or polymers, filter media, membranes, treatment chemicals, geotextiles, soil, rock and vegetation according to the measure. For Open source climate data and tools, specifications must include durability, compatibility, recycled content and recoverability.</x:v>
      </x:c>
      <x:c r="AD356" s="2" t="str">
        <x:v>Maintenance of Open source climate data and tools depends on pump and valve parts, seals, meters, sensors, membranes, lamps, filter media, dosing equipment, reagents and erosion-control materials; critical spares are selected from failure-mode, lead-time and safety analysis for its installed configuration.</x:v>
      </x:c>
      <x:c r="AE356" s="2" t="str">
        <x:v>The software stack for Open source climate data and tools requires databases, secure communications, version-controlled models, computing, backup and interfaces with field or operational systems.</x:v>
      </x:c>
      <x:c r="AF356" s="2" t="str">
        <x:v>For Open source climate data and tools, software-related energy is electricity for sensing, computing, storage, communication and cooling; it is normally secondary but must be included for data-intensive or continuous services.</x:v>
      </x:c>
      <x:c r="AG356" s="2" t="str">
        <x:v>The non-physical inputs are calibrated data, metadata, algorithms, boundary conditions, emission or hazard factors, manuals and validation records specific to Open source climate data and tools.</x:v>
      </x:c>
      <x:c r="AH356" s="2" t="str">
        <x:v>Software continuity for Open source climate data and tools requires licences where applicable, updates, cybersecurity patches, backups, calibration files, model validation and technical support.</x:v>
      </x:c>
      <x:c r="AI356" s="2" t="str">
        <x:v>Orgware depends on the institutions, laboratories, training providers, regulators, operators and community interfaces needed to govern Open source climate data and tools.</x:v>
      </x:c>
      <x:c r="AJ356" s="2" t="str">
        <x:v>The orgware supporting Open source climate data and tools has mainly indirect energy use from offices, meetings, training and information systems; travel and field supervision may be material at dispersed sites.</x:v>
      </x:c>
      <x:c r="AK356" s="2" t="str">
        <x:v>Its organisational inputs are permits, budgets, trained staff, competence records, contracts, procedures, safeguards, monitoring evidence and stakeholder agreements tailored to Open source climate data and tools.</x:v>
      </x:c>
      <x:c r="AL356" s="2" t="str">
        <x:v>Sustained implementation of Open source climate data and tools requires procurement and service contracts, audit protocols, training material, reporting templates, insurance or guarantees and periodic independent review.</x:v>
      </x:c>
      <x:c r="AM356" s="2" t="str">
        <x:v>No critical or strategic raw material is identifiable at taxonomy level; site-specific bulk materials may still be required.</x:v>
      </x:c>
      <x:c r="AN356" s="2" t="str"/>
      <x:c r="AO356" s="2" t="str"/>
      <x:c r="AP356" s="2" t="str">
        <x:v>Open source climate data and tools: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6" s="2" t="str">
        <x:v>2024–2025</x:v>
      </x:c>
      <x:c r="AR356" s="2" t="str">
        <x:v>https://pubs.usgs.gov/periodicals/mcs2026/mcs2026.pdf</x:v>
      </x:c>
    </x:row>
    <x:row r="357" ht="240" customHeight="1">
      <x:c r="A357" s="2" t="str">
        <x:v>ADP-0087</x:v>
      </x:c>
      <x:c r="B357" s="2" t="str">
        <x:v>Adaptation</x:v>
      </x:c>
      <x:c r="C357" s="2" t="str">
        <x:v>Water</x:v>
      </x:c>
      <x:c r="D357" s="2" t="str">
        <x:v>Adaptation planning</x:v>
      </x:c>
      <x:c r="E357" s="2" t="str">
        <x:v>Climate change vulnerability assessment</x:v>
      </x:c>
      <x:c r="F357" s="2" t="str">
        <x:v>Climate change vulnerability assessment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Climate change vulnerability assessment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7" s="2" t="str">
        <x:v>Flexible</x:v>
      </x:c>
      <x:c r="H357" s="2" t="str">
        <x:v>Climate change vulnerability assessment is transferable through configurable methods, rules and operating parameters. Its principle remains the same, but resource quality, climate, scale, interfaces and safety constraints must be recalculated for each deployment.</x:v>
      </x:c>
      <x:c r="I357" s="2" t="str">
        <x:v>Hard and soft</x:v>
      </x:c>
      <x:c r="J357" s="2" t="str">
        <x:v>Climate change vulnerability assessment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7" s="2" t="str">
        <x:v>Operation and information service</x:v>
      </x:c>
      <x:c r="L357" s="2" t="str">
        <x:v>Climate change vulnerability assessment is embodied mainly as an information and decision service. The deliverable is accepted only when measurable service, quality, safety and climate-performance criteria are met under real conditions.</x:v>
      </x:c>
      <x:c r="M357" s="2" t="str">
        <x:v>Yes, subject to life-cycle safeguards</x:v>
      </x:c>
      <x:c r="N357" s="2" t="str">
        <x:v>Climate change vulnerability assessment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7" s="2" t="str">
        <x:v>Climate change vulnerability assessment: intakes, pipes, pumps, meters, valves, tanks, treatment units, drainage or flood structures, monitoring stations and nature-based elements as applicable.</x:v>
      </x:c>
      <x:c r="P357" s="2" t="str">
        <x:v>Climate change vulnerability assessment: water balance, hydraulic and hydrological modelling, demand forecasting, water-quality analysis, asset management, drought or flood rules and decision support.</x:v>
      </x:c>
      <x:c r="Q357" s="2" t="str">
        <x:v>Climate change vulnerability assessment: water rights and permits, utility responsibilities, basin governance, service standards, emergency protocols, tariffs, maintenance funding and stakeholder agreements.</x:v>
      </x:c>
      <x:c r="R357" s="2" t="str">
        <x:v>Climate change vulnerability assessment: catchment or coast, treatment and storage sites, conveyance and drainage network, power supply, laboratory, control room and safe access.</x:v>
      </x:c>
      <x:c r="S357" s="2" t="str">
        <x:v>Climate change vulnerability assessment: electricity or fuel for pumping, aeration, desalination, treatment and controls; gravity and ecosystem processes can reduce auxiliary demand.</x:v>
      </x:c>
      <x:c r="T357" s="2" t="str">
        <x:v>Climate change vulnerability assessment: concrete, steel, ductile iron or polymers, filter media, membranes, treatment chemicals, geotextiles, soil, rock and vegetation according to the measure.</x:v>
      </x:c>
      <x:c r="U357" s="2" t="str">
        <x:v>Climate change vulnerability assessment: pump and valve parts, seals, meters, sensors, membranes, lamps, filter media, dosing equipment, reagents and erosion-control materials.</x:v>
      </x:c>
      <x:c r="V357" s="2" t="str">
        <x:v>https://www.ctc-n.org/sites/default/files/resources/ctcn_taxonomy_0.pdf</x:v>
      </x:c>
      <x:c r="W357" s="2" t="str">
        <x:v>https://institutoagricoladepueblobello.edu.co/colegiapp/archivostemas/GUIA%209.%5B25%5D.pdf</x:v>
      </x:c>
      <x:c r="X357" s="2" t="str">
        <x:v>https://iiasa.ac.at/what-is-technology</x:v>
      </x:c>
      <x:c r="Y357" s="2" t="str">
        <x:v>https://www.unwater.org/water-facts/climate-change</x:v>
      </x:c>
      <x:c r="Z357" s="2" t="str">
        <x:v>Technology-specific analytical synthesis. The CTCN hierarchy is retained; classifications and component dependencies require validation against the selected design, site and supplier documentation before investment or policy use.</x:v>
      </x:c>
      <x:c r="AA357" s="2" t="str">
        <x:v>Physical deployment of Climate change vulnerability assessment requires catchment or coast, treatment and storage sites, conveyance and drainage network, power supply, laboratory, control room and safe access; interfaces, foundations, access and environmental protection are sized to the specific resource and design load.</x:v>
      </x:c>
      <x:c r="AB357" s="2" t="str">
        <x:v>For Climate change vulnerability assessment,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7" s="2" t="str">
        <x:v>Construction and operation use concrete, steel, ductile iron or polymers, filter media, membranes, treatment chemicals, geotextiles, soil, rock and vegetation according to the measure. For Climate change vulnerability assessment, specifications must include durability, compatibility, recycled content and recoverability.</x:v>
      </x:c>
      <x:c r="AD357" s="2" t="str">
        <x:v>Maintenance of Climate change vulnerability assessment depends on pump and valve parts, seals, meters, sensors, membranes, lamps, filter media, dosing equipment, reagents and erosion-control materials; critical spares are selected from failure-mode, lead-time and safety analysis for its installed configuration.</x:v>
      </x:c>
      <x:c r="AE357" s="2" t="str">
        <x:v>The software stack for Climate change vulnerability assessment requires databases, secure communications, version-controlled models, computing, backup and interfaces with field or operational systems.</x:v>
      </x:c>
      <x:c r="AF357" s="2" t="str">
        <x:v>For Climate change vulnerability assessment, software-related energy is electricity for sensing, computing, storage, communication and cooling; it is normally secondary but must be included for data-intensive or continuous services.</x:v>
      </x:c>
      <x:c r="AG357" s="2" t="str">
        <x:v>The non-physical inputs are calibrated data, metadata, algorithms, boundary conditions, emission or hazard factors, manuals and validation records specific to Climate change vulnerability assessment.</x:v>
      </x:c>
      <x:c r="AH357" s="2" t="str">
        <x:v>Software continuity for Climate change vulnerability assessment requires licences where applicable, updates, cybersecurity patches, backups, calibration files, model validation and technical support.</x:v>
      </x:c>
      <x:c r="AI357" s="2" t="str">
        <x:v>Orgware depends on the institutions, laboratories, training providers, regulators, operators and community interfaces needed to govern Climate change vulnerability assessment.</x:v>
      </x:c>
      <x:c r="AJ357" s="2" t="str">
        <x:v>The orgware supporting Climate change vulnerability assessment has mainly indirect energy use from offices, meetings, training and information systems; travel and field supervision may be material at dispersed sites.</x:v>
      </x:c>
      <x:c r="AK357" s="2" t="str">
        <x:v>Its organisational inputs are permits, budgets, trained staff, competence records, contracts, procedures, safeguards, monitoring evidence and stakeholder agreements tailored to Climate change vulnerability assessment.</x:v>
      </x:c>
      <x:c r="AL357" s="2" t="str">
        <x:v>Sustained implementation of Climate change vulnerability assessment requires procurement and service contracts, audit protocols, training material, reporting templates, insurance or guarantees and periodic independent review.</x:v>
      </x:c>
      <x:c r="AM357" s="2" t="str">
        <x:v>No critical or strategic raw material is identifiable at taxonomy level; site-specific bulk materials may still be required.</x:v>
      </x:c>
      <x:c r="AN357" s="2" t="str"/>
      <x:c r="AO357" s="2" t="str"/>
      <x:c r="AP357" s="2" t="str">
        <x:v>Climate change vulnerability assessment: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7" s="2" t="str">
        <x:v>2024–2025</x:v>
      </x:c>
      <x:c r="AR357" s="2" t="str">
        <x:v>https://pubs.usgs.gov/periodicals/mcs2026/mcs2026.pdf</x:v>
      </x:c>
    </x:row>
    <x:row r="358" ht="240" customHeight="1">
      <x:c r="A358" s="2" t="str">
        <x:v>ADP-0088</x:v>
      </x:c>
      <x:c r="B358" s="2" t="str">
        <x:v>Adaptation</x:v>
      </x:c>
      <x:c r="C358" s="2" t="str">
        <x:v>Water</x:v>
      </x:c>
      <x:c r="D358" s="2" t="str">
        <x:v>Adaptation planning</x:v>
      </x:c>
      <x:c r="E358" s="2" t="str">
        <x:v>Downscaling of climate model projections</x:v>
      </x:c>
      <x:c r="F358" s="2" t="str">
        <x:v>Downscaling of climate model projections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Downscaling of climate model projections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58" s="2" t="str">
        <x:v>Flexible</x:v>
      </x:c>
      <x:c r="H358" s="2" t="str">
        <x:v>Downscaling of climate model projections is transferable through configurable methods, rules and operating parameters. Its principle remains the same, but resource quality, climate, scale, interfaces and safety constraints must be recalculated for each deployment.</x:v>
      </x:c>
      <x:c r="I358" s="2" t="str">
        <x:v>Hard and soft</x:v>
      </x:c>
      <x:c r="J358" s="2" t="str">
        <x:v>Downscaling of climate model projections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58" s="2" t="str">
        <x:v>Operation and information service</x:v>
      </x:c>
      <x:c r="L358" s="2" t="str">
        <x:v>Downscaling of climate model projections is embodied mainly as an information and decision service. The deliverable is accepted only when measurable service, quality, safety and climate-performance criteria are met under real conditions.</x:v>
      </x:c>
      <x:c r="M358" s="2" t="str">
        <x:v>Yes, subject to life-cycle safeguards</x:v>
      </x:c>
      <x:c r="N358" s="2" t="str">
        <x:v>Downscaling of climate model projections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58" s="2" t="str">
        <x:v>Downscaling of climate model projections: intakes, pipes, pumps, meters, valves, tanks, treatment units, drainage or flood structures, monitoring stations and nature-based elements as applicable.</x:v>
      </x:c>
      <x:c r="P358" s="2" t="str">
        <x:v>Downscaling of climate model projections: water balance, hydraulic and hydrological modelling, demand forecasting, water-quality analysis, asset management, drought or flood rules and decision support.</x:v>
      </x:c>
      <x:c r="Q358" s="2" t="str">
        <x:v>Downscaling of climate model projections: water rights and permits, utility responsibilities, basin governance, service standards, emergency protocols, tariffs, maintenance funding and stakeholder agreements.</x:v>
      </x:c>
      <x:c r="R358" s="2" t="str">
        <x:v>Downscaling of climate model projections: catchment or coast, treatment and storage sites, conveyance and drainage network, power supply, laboratory, control room and safe access.</x:v>
      </x:c>
      <x:c r="S358" s="2" t="str">
        <x:v>Downscaling of climate model projections: electricity or fuel for pumping, aeration, desalination, treatment and controls; gravity and ecosystem processes can reduce auxiliary demand.</x:v>
      </x:c>
      <x:c r="T358" s="2" t="str">
        <x:v>Downscaling of climate model projections: concrete, steel, ductile iron or polymers, filter media, membranes, treatment chemicals, geotextiles, soil, rock and vegetation according to the measure.</x:v>
      </x:c>
      <x:c r="U358" s="2" t="str">
        <x:v>Downscaling of climate model projections: pump and valve parts, seals, meters, sensors, membranes, lamps, filter media, dosing equipment, reagents and erosion-control materials.</x:v>
      </x:c>
      <x:c r="V358" s="2" t="str">
        <x:v>https://www.ctc-n.org/sites/default/files/resources/ctcn_taxonomy_0.pdf</x:v>
      </x:c>
      <x:c r="W358" s="2" t="str">
        <x:v>https://institutoagricoladepueblobello.edu.co/colegiapp/archivostemas/GUIA%209.%5B25%5D.pdf</x:v>
      </x:c>
      <x:c r="X358" s="2" t="str">
        <x:v>https://iiasa.ac.at/what-is-technology</x:v>
      </x:c>
      <x:c r="Y358" s="2" t="str">
        <x:v>https://www.unwater.org/water-facts/climate-change</x:v>
      </x:c>
      <x:c r="Z358" s="2" t="str">
        <x:v>Technology-specific analytical synthesis. The CTCN hierarchy is retained; classifications and component dependencies require validation against the selected design, site and supplier documentation before investment or policy use.</x:v>
      </x:c>
      <x:c r="AA358" s="2" t="str">
        <x:v>Physical deployment of Downscaling of climate model projections requires catchment or coast, treatment and storage sites, conveyance and drainage network, power supply, laboratory, control room and safe access; interfaces, foundations, access and environmental protection are sized to the specific resource and design load.</x:v>
      </x:c>
      <x:c r="AB358" s="2" t="str">
        <x:v>For Downscaling of climate model projections,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58" s="2" t="str">
        <x:v>Construction and operation use concrete, steel, ductile iron or polymers, filter media, membranes, treatment chemicals, geotextiles, soil, rock and vegetation according to the measure. For Downscaling of climate model projections, specifications must include durability, compatibility, recycled content and recoverability.</x:v>
      </x:c>
      <x:c r="AD358" s="2" t="str">
        <x:v>Maintenance of Downscaling of climate model projections depends on pump and valve parts, seals, meters, sensors, membranes, lamps, filter media, dosing equipment, reagents and erosion-control materials; critical spares are selected from failure-mode, lead-time and safety analysis for its installed configuration.</x:v>
      </x:c>
      <x:c r="AE358" s="2" t="str">
        <x:v>The software stack for Downscaling of climate model projections requires databases, secure communications, version-controlled models, computing, backup and interfaces with field or operational systems.</x:v>
      </x:c>
      <x:c r="AF358" s="2" t="str">
        <x:v>For Downscaling of climate model projections, software-related energy is electricity for sensing, computing, storage, communication and cooling; it is normally secondary but must be included for data-intensive or continuous services.</x:v>
      </x:c>
      <x:c r="AG358" s="2" t="str">
        <x:v>The non-physical inputs are calibrated data, metadata, algorithms, boundary conditions, emission or hazard factors, manuals and validation records specific to Downscaling of climate model projections.</x:v>
      </x:c>
      <x:c r="AH358" s="2" t="str">
        <x:v>Software continuity for Downscaling of climate model projections requires licences where applicable, updates, cybersecurity patches, backups, calibration files, model validation and technical support.</x:v>
      </x:c>
      <x:c r="AI358" s="2" t="str">
        <x:v>Orgware depends on the institutions, laboratories, training providers, regulators, operators and community interfaces needed to govern Downscaling of climate model projections.</x:v>
      </x:c>
      <x:c r="AJ358" s="2" t="str">
        <x:v>The orgware supporting Downscaling of climate model projections has mainly indirect energy use from offices, meetings, training and information systems; travel and field supervision may be material at dispersed sites.</x:v>
      </x:c>
      <x:c r="AK358" s="2" t="str">
        <x:v>Its organisational inputs are permits, budgets, trained staff, competence records, contracts, procedures, safeguards, monitoring evidence and stakeholder agreements tailored to Downscaling of climate model projections.</x:v>
      </x:c>
      <x:c r="AL358" s="2" t="str">
        <x:v>Sustained implementation of Downscaling of climate model projections requires procurement and service contracts, audit protocols, training material, reporting templates, insurance or guarantees and periodic independent review.</x:v>
      </x:c>
      <x:c r="AM358" s="2" t="str">
        <x:v>No critical or strategic raw material is identifiable at taxonomy level; site-specific bulk materials may still be required.</x:v>
      </x:c>
      <x:c r="AN358" s="2" t="str"/>
      <x:c r="AO358" s="2" t="str"/>
      <x:c r="AP358" s="2" t="str">
        <x:v>Downscaling of climate model projections: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8" s="2" t="str">
        <x:v>2024–2025</x:v>
      </x:c>
      <x:c r="AR358" s="2" t="str">
        <x:v>https://pubs.usgs.gov/periodicals/mcs2026/mcs2026.pdf</x:v>
      </x:c>
    </x:row>
    <x:row r="359" ht="240" customHeight="1">
      <x:c r="A359" s="2" t="str">
        <x:v>ADP-0089</x:v>
      </x:c>
      <x:c r="B359" s="2" t="str">
        <x:v>Adaptation</x:v>
      </x:c>
      <x:c r="C359" s="2" t="str">
        <x:v>Water</x:v>
      </x:c>
      <x:c r="D359" s="2" t="str">
        <x:v>Water augmentation (increasing capture and storage of surface run-off)</x:v>
      </x:c>
      <x:c r="E359" s="2" t="str">
        <x:v>Rainwater harvesting</x:v>
      </x:c>
      <x:c r="F359" s="2" t="str">
        <x:v>Rainwater harvesting is a adaptation technology in the Water sector and the Water augmentation (increasing capture and storage of surface run-off) technology group. It is defined as a combined hardware–software–orgware system that detects, separates, captures, conditions, transports or securely contains carbon-bearing gases so that methane or CO₂ does not reach the atmosphere. Rainwater harvesting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359" s="2" t="str">
        <x:v>Mixed: adaptable design, site-specific implementation</x:v>
      </x:c>
      <x:c r="H359" s="2" t="str">
        <x:v>Rainwater harvesting is adaptable in capacity and configuration but site-specific in final engineering. Its principle remains the same, but resource quality, climate, scale, interfaces and safety constraints must be recalculated for each deployment.</x:v>
      </x:c>
      <x:c r="I359" s="2" t="str">
        <x:v>Primarily hard, with a soft component</x:v>
      </x:c>
      <x:c r="J359" s="2" t="str">
        <x:v>Rainwater harvesting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359" s="2" t="str">
        <x:v>Equipment and operation</x:v>
      </x:c>
      <x:c r="L359" s="2" t="str">
        <x:v>Rainwater harvesting is embodied mainly as an equipment-and-operation system. The deliverable is accepted only when measurable service, quality, safety and climate-performance criteria are met under real conditions.</x:v>
      </x:c>
      <x:c r="M359" s="2" t="str">
        <x:v>Yes, subject to life-cycle safeguards</x:v>
      </x:c>
      <x:c r="N359" s="2" t="str">
        <x:v>Rainwater harvesting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359" s="2" t="str">
        <x:v>Rainwater harvesting: gas analysers; flow, pressure and temperature instrumentation; separators; compressors; valves; sealed piping; flare or injection equipment.</x:v>
      </x:c>
      <x:c r="P359" s="2" t="str">
        <x:v>Rainwater harvesting: mass and energy balances; leak detection and repair logic; process simulation; dispersion modelling; integrity and injection surveillance.</x:v>
      </x:c>
      <x:c r="Q359" s="2" t="str">
        <x:v>Rainwater harvesting: emission permits; measurement, reporting and verification; asset-integrity management; emergency procedures; long-term liability.</x:v>
      </x:c>
      <x:c r="R359" s="2" t="str">
        <x:v>Rainwater harvesting: process units, access roads, power supply, pipelines, compression or storage sites, laboratories and monitoring networks.</x:v>
      </x:c>
      <x:c r="S359" s="2" t="str">
        <x:v>Rainwater harvesting: electricity for compression, pumping, refrigeration and instrumentation; fuel or heat where oxidation or regeneration is required.</x:v>
      </x:c>
      <x:c r="T359" s="2" t="str">
        <x:v>Rainwater harvesting: pressure-grade steel, corrosion-resistant alloys, concrete, elastomeric seals, sorbents, solvents, membranes or catalysts according to the process.</x:v>
      </x:c>
      <x:c r="U359" s="2" t="str">
        <x:v>Rainwater harvesting: calibrated sensors, valve trim, seals, compressor parts, filters, reagents and certified sampling equipment.</x:v>
      </x:c>
      <x:c r="V359" s="2" t="str">
        <x:v>https://www.ctc-n.org/sites/default/files/resources/ctcn_taxonomy_0.pdf</x:v>
      </x:c>
      <x:c r="W359" s="2" t="str">
        <x:v>https://institutoagricoladepueblobello.edu.co/colegiapp/archivostemas/GUIA%209.%5B25%5D.pdf</x:v>
      </x:c>
      <x:c r="X359" s="2" t="str">
        <x:v>https://iiasa.ac.at/what-is-technology</x:v>
      </x:c>
      <x:c r="Y359" s="2" t="str">
        <x:v>https://www.unwater.org/water-facts/climate-change; https://www.ipcc.ch/report/ar6/wg3/chapter/chapter-11/</x:v>
      </x:c>
      <x:c r="Z359" s="2" t="str">
        <x:v>Technology-specific analytical synthesis. The CTCN hierarchy is retained; classifications and component dependencies require validation against the selected design, site and supplier documentation before investment or policy use.</x:v>
      </x:c>
      <x:c r="AA359" s="2" t="str">
        <x:v>Physical deployment of Rainwater harvesting requires process units, access roads, power supply, pipelines, compression or storage sites, laboratories and monitoring networks; interfaces, foundations, access and environmental protection are sized to the specific resource and design load.</x:v>
      </x:c>
      <x:c r="AB359" s="2" t="str">
        <x:v>For Rainwater harvesting, the hardware energy balance comprises electricity for compression, pumping, refrigeration and instrumentation; fuel or heat where oxidation or regeneration is required; metering must separate useful output, conversion losses and auxiliaries for the selected design.</x:v>
      </x:c>
      <x:c r="AC359" s="2" t="str">
        <x:v>Construction and operation use pressure-grade steel, corrosion-resistant alloys, concrete, elastomeric seals, sorbents, solvents, membranes or catalysts according to the process. For Rainwater harvesting, specifications must include durability, compatibility, recycled content and recoverability.</x:v>
      </x:c>
      <x:c r="AD359" s="2" t="str">
        <x:v>Maintenance of Rainwater harvesting depends on calibrated sensors, valve trim, seals, compressor parts, filters, reagents and certified sampling equipment; critical spares are selected from failure-mode, lead-time and safety analysis for its installed configuration.</x:v>
      </x:c>
      <x:c r="AE359" s="2" t="str">
        <x:v>The software stack for Rainwater harvesting requires databases, secure communications, version-controlled models, computing, backup and interfaces with field or operational systems.</x:v>
      </x:c>
      <x:c r="AF359" s="2" t="str">
        <x:v>For Rainwater harvesting, software-related energy is electricity for sensing, computing, storage, communication and cooling; it is normally secondary but must be included for data-intensive or continuous services.</x:v>
      </x:c>
      <x:c r="AG359" s="2" t="str">
        <x:v>The non-physical inputs are calibrated data, metadata, algorithms, boundary conditions, emission or hazard factors, manuals and validation records specific to Rainwater harvesting.</x:v>
      </x:c>
      <x:c r="AH359" s="2" t="str">
        <x:v>Software continuity for Rainwater harvesting requires licences where applicable, updates, cybersecurity patches, backups, calibration files, model validation and technical support.</x:v>
      </x:c>
      <x:c r="AI359" s="2" t="str">
        <x:v>Orgware depends on the institutions, laboratories, training providers, regulators, operators and community interfaces needed to govern Rainwater harvesting.</x:v>
      </x:c>
      <x:c r="AJ359" s="2" t="str">
        <x:v>The orgware supporting Rainwater harvesting has mainly indirect energy use from offices, meetings, training and information systems; travel and field supervision may be material at dispersed sites.</x:v>
      </x:c>
      <x:c r="AK359" s="2" t="str">
        <x:v>Its organisational inputs are permits, budgets, trained staff, competence records, contracts, procedures, safeguards, monitoring evidence and stakeholder agreements tailored to Rainwater harvesting.</x:v>
      </x:c>
      <x:c r="AL359" s="2" t="str">
        <x:v>Sustained implementation of Rainwater harvesting requires procurement and service contracts, audit protocols, training material, reporting templates, insurance or guarantees and periodic independent review.</x:v>
      </x:c>
      <x:c r="AM359" s="2" t="str">
        <x:v>Iron ore / steel inputs</x:v>
      </x:c>
      <x:c r="AN359" s="2" t="str">
        <x:v>Australia; Brazil; China</x:v>
      </x:c>
      <x:c r="AO359" s="2" t="str">
        <x:v>China; India; Japan</x:v>
      </x:c>
      <x:c r="AP359" s="2" t="str">
        <x:v>Rainwater harvesting: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9" s="2" t="str">
        <x:v>2024–2025</x:v>
      </x:c>
      <x:c r="AR359" s="2" t="str">
        <x:v>https://pubs.usgs.gov/periodicals/mcs2026/mcs2026.pdf</x:v>
      </x:c>
    </x:row>
    <x:row r="360" ht="240" customHeight="1">
      <x:c r="A360" s="2" t="str">
        <x:v>ADP-0090</x:v>
      </x:c>
      <x:c r="B360" s="2" t="str">
        <x:v>Adaptation</x:v>
      </x:c>
      <x:c r="C360" s="2" t="str">
        <x:v>Water</x:v>
      </x:c>
      <x:c r="D360" s="2" t="str">
        <x:v>Water augmentation (increasing capture and storage of surface run-off)</x:v>
      </x:c>
      <x:c r="E360" s="2" t="str">
        <x:v>Integration of green spaces in planning</x:v>
      </x:c>
      <x:c r="F360" s="2" t="str">
        <x:v>Integration of green spaces in planning is a adaptation technology in the Water sector and the Water augmentation (increasing capture and storage of surface run-off) technology group. It is defined as a combined hardware–software–orgware system that detects, separates, captures, conditions, transports or securely contains carbon-bearing gases so that methane or CO₂ does not reach the atmosphere. Integration of green spaces in planning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360" s="2" t="str">
        <x:v>Flexible</x:v>
      </x:c>
      <x:c r="H360" s="2" t="str">
        <x:v>Integration of green spaces in planning is transferable through configurable methods, rules and operating parameters. Its principle remains the same, but resource quality, climate, scale, interfaces and safety constraints must be recalculated for each deployment.</x:v>
      </x:c>
      <x:c r="I360" s="2" t="str">
        <x:v>Hard and soft</x:v>
      </x:c>
      <x:c r="J360" s="2" t="str">
        <x:v>Integration of green spaces in planning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360" s="2" t="str">
        <x:v>Operation and information service</x:v>
      </x:c>
      <x:c r="L360" s="2" t="str">
        <x:v>Integration of green spaces in planning is embodied mainly as an information and decision service. The deliverable is accepted only when measurable service, quality, safety and climate-performance criteria are met under real conditions.</x:v>
      </x:c>
      <x:c r="M360" s="2" t="str">
        <x:v>Yes, subject to life-cycle safeguards</x:v>
      </x:c>
      <x:c r="N360" s="2" t="str">
        <x:v>Integration of green spaces in planning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360" s="2" t="str">
        <x:v>Integration of green spaces in planning: gas analysers; flow, pressure and temperature instrumentation; separators; compressors; valves; sealed piping; flare or injection equipment.</x:v>
      </x:c>
      <x:c r="P360" s="2" t="str">
        <x:v>Integration of green spaces in planning: mass and energy balances; leak detection and repair logic; process simulation; dispersion modelling; integrity and injection surveillance.</x:v>
      </x:c>
      <x:c r="Q360" s="2" t="str">
        <x:v>Integration of green spaces in planning: emission permits; measurement, reporting and verification; asset-integrity management; emergency procedures; long-term liability.</x:v>
      </x:c>
      <x:c r="R360" s="2" t="str">
        <x:v>Integration of green spaces in planning: process units, access roads, power supply, pipelines, compression or storage sites, laboratories and monitoring networks.</x:v>
      </x:c>
      <x:c r="S360" s="2" t="str">
        <x:v>Integration of green spaces in planning: electricity for compression, pumping, refrigeration and instrumentation; fuel or heat where oxidation or regeneration is required.</x:v>
      </x:c>
      <x:c r="T360" s="2" t="str">
        <x:v>Integration of green spaces in planning: pressure-grade steel, corrosion-resistant alloys, concrete, elastomeric seals, sorbents, solvents, membranes or catalysts according to the process.</x:v>
      </x:c>
      <x:c r="U360" s="2" t="str">
        <x:v>Integration of green spaces in planning: calibrated sensors, valve trim, seals, compressor parts, filters, reagents and certified sampling equipment.</x:v>
      </x:c>
      <x:c r="V360" s="2" t="str">
        <x:v>https://www.ctc-n.org/sites/default/files/resources/ctcn_taxonomy_0.pdf</x:v>
      </x:c>
      <x:c r="W360" s="2" t="str">
        <x:v>https://institutoagricoladepueblobello.edu.co/colegiapp/archivostemas/GUIA%209.%5B25%5D.pdf</x:v>
      </x:c>
      <x:c r="X360" s="2" t="str">
        <x:v>https://iiasa.ac.at/what-is-technology</x:v>
      </x:c>
      <x:c r="Y360" s="2" t="str">
        <x:v>https://www.unwater.org/water-facts/climate-change; https://www.ipcc.ch/report/ar6/wg3/chapter/chapter-11/</x:v>
      </x:c>
      <x:c r="Z360" s="2" t="str">
        <x:v>Technology-specific analytical synthesis. The CTCN hierarchy is retained; classifications and component dependencies require validation against the selected design, site and supplier documentation before investment or policy use.</x:v>
      </x:c>
      <x:c r="AA360" s="2" t="str">
        <x:v>Physical deployment of Integration of green spaces in planning requires process units, access roads, power supply, pipelines, compression or storage sites, laboratories and monitoring networks; interfaces, foundations, access and environmental protection are sized to the specific resource and design load.</x:v>
      </x:c>
      <x:c r="AB360" s="2" t="str">
        <x:v>For Integration of green spaces in planning, the hardware energy balance comprises electricity for compression, pumping, refrigeration and instrumentation; fuel or heat where oxidation or regeneration is required; metering must separate useful output, conversion losses and auxiliaries for the selected design.</x:v>
      </x:c>
      <x:c r="AC360" s="2" t="str">
        <x:v>Construction and operation use pressure-grade steel, corrosion-resistant alloys, concrete, elastomeric seals, sorbents, solvents, membranes or catalysts according to the process. For Integration of green spaces in planning, specifications must include durability, compatibility, recycled content and recoverability.</x:v>
      </x:c>
      <x:c r="AD360" s="2" t="str">
        <x:v>Maintenance of Integration of green spaces in planning depends on calibrated sensors, valve trim, seals, compressor parts, filters, reagents and certified sampling equipment; critical spares are selected from failure-mode, lead-time and safety analysis for its installed configuration.</x:v>
      </x:c>
      <x:c r="AE360" s="2" t="str">
        <x:v>The software stack for Integration of green spaces in planning requires databases, secure communications, version-controlled models, computing, backup and interfaces with field or operational systems.</x:v>
      </x:c>
      <x:c r="AF360" s="2" t="str">
        <x:v>For Integration of green spaces in planning, software-related energy is electricity for sensing, computing, storage, communication and cooling; it is normally secondary but must be included for data-intensive or continuous services.</x:v>
      </x:c>
      <x:c r="AG360" s="2" t="str">
        <x:v>The non-physical inputs are calibrated data, metadata, algorithms, boundary conditions, emission or hazard factors, manuals and validation records specific to Integration of green spaces in planning.</x:v>
      </x:c>
      <x:c r="AH360" s="2" t="str">
        <x:v>Software continuity for Integration of green spaces in planning requires licences where applicable, updates, cybersecurity patches, backups, calibration files, model validation and technical support.</x:v>
      </x:c>
      <x:c r="AI360" s="2" t="str">
        <x:v>Orgware depends on the institutions, laboratories, training providers, regulators, operators and community interfaces needed to govern Integration of green spaces in planning.</x:v>
      </x:c>
      <x:c r="AJ360" s="2" t="str">
        <x:v>The orgware supporting Integration of green spaces in planning has mainly indirect energy use from offices, meetings, training and information systems; travel and field supervision may be material at dispersed sites.</x:v>
      </x:c>
      <x:c r="AK360" s="2" t="str">
        <x:v>Its organisational inputs are permits, budgets, trained staff, competence records, contracts, procedures, safeguards, monitoring evidence and stakeholder agreements tailored to Integration of green spaces in planning.</x:v>
      </x:c>
      <x:c r="AL360" s="2" t="str">
        <x:v>Sustained implementation of Integration of green spaces in planning requires procurement and service contracts, audit protocols, training material, reporting templates, insurance or guarantees and periodic independent review.</x:v>
      </x:c>
      <x:c r="AM360" s="2" t="str">
        <x:v>No critical or strategic raw material is identifiable at taxonomy level; site-specific bulk materials may still be required.</x:v>
      </x:c>
      <x:c r="AN360" s="2" t="str"/>
      <x:c r="AO360" s="2" t="str"/>
      <x:c r="AP360" s="2" t="str">
        <x:v>Integration of green spaces in planning: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0" s="2" t="str">
        <x:v>2024–2025</x:v>
      </x:c>
      <x:c r="AR360" s="2" t="str">
        <x:v>https://pubs.usgs.gov/periodicals/mcs2026/mcs2026.pdf</x:v>
      </x:c>
    </x:row>
    <x:row r="361" ht="240" customHeight="1">
      <x:c r="A361" s="2" t="str">
        <x:v>ADP-0091</x:v>
      </x:c>
      <x:c r="B361" s="2" t="str">
        <x:v>Adaptation</x:v>
      </x:c>
      <x:c r="C361" s="2" t="str">
        <x:v>Water</x:v>
      </x:c>
      <x:c r="D361" s="2" t="str">
        <x:v>Water augmentation (increasing capture and storage of surface run-off)</x:v>
      </x:c>
      <x:c r="E361" s="2" t="str">
        <x:v>Watershed conservation</x:v>
      </x:c>
      <x:c r="F361" s="2" t="str">
        <x:v>Watershed conservation is a adaptation technology in the Water sector and the Water augmentation (increasing capture and storage of surface run-off) technology group. It is defined as a combined hardware–software–orgware system that detects, separates, captures, conditions, transports or securely contains carbon-bearing gases so that methane or CO₂ does not reach the atmosphere. Watershed conservation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361" s="2" t="str">
        <x:v>Mixed: adaptable design, site-specific implementation</x:v>
      </x:c>
      <x:c r="H361" s="2" t="str">
        <x:v>Watershed conservation is adaptable in capacity and configuration but site-specific in final engineering. Its principle remains the same, but resource quality, climate, scale, interfaces and safety constraints must be recalculated for each deployment.</x:v>
      </x:c>
      <x:c r="I361" s="2" t="str">
        <x:v>Primarily hard, with a soft component</x:v>
      </x:c>
      <x:c r="J361" s="2" t="str">
        <x:v>Watershed conservation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361" s="2" t="str">
        <x:v>Equipment and operation</x:v>
      </x:c>
      <x:c r="L361" s="2" t="str">
        <x:v>Watershed conservation is embodied mainly as an equipment-and-operation system. The deliverable is accepted only when measurable service, quality, safety and climate-performance criteria are met under real conditions.</x:v>
      </x:c>
      <x:c r="M361" s="2" t="str">
        <x:v>Yes, subject to life-cycle safeguards</x:v>
      </x:c>
      <x:c r="N361" s="2" t="str">
        <x:v>Watershed conservation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361" s="2" t="str">
        <x:v>Watershed conservation: gas analysers; flow, pressure and temperature instrumentation; separators; compressors; valves; sealed piping; flare or injection equipment.</x:v>
      </x:c>
      <x:c r="P361" s="2" t="str">
        <x:v>Watershed conservation: mass and energy balances; leak detection and repair logic; process simulation; dispersion modelling; integrity and injection surveillance.</x:v>
      </x:c>
      <x:c r="Q361" s="2" t="str">
        <x:v>Watershed conservation: emission permits; measurement, reporting and verification; asset-integrity management; emergency procedures; long-term liability.</x:v>
      </x:c>
      <x:c r="R361" s="2" t="str">
        <x:v>Watershed conservation: process units, access roads, power supply, pipelines, compression or storage sites, laboratories and monitoring networks.</x:v>
      </x:c>
      <x:c r="S361" s="2" t="str">
        <x:v>Watershed conservation: electricity for compression, pumping, refrigeration and instrumentation; fuel or heat where oxidation or regeneration is required.</x:v>
      </x:c>
      <x:c r="T361" s="2" t="str">
        <x:v>Watershed conservation: pressure-grade steel, corrosion-resistant alloys, concrete, elastomeric seals, sorbents, solvents, membranes or catalysts according to the process.</x:v>
      </x:c>
      <x:c r="U361" s="2" t="str">
        <x:v>Watershed conservation: calibrated sensors, valve trim, seals, compressor parts, filters, reagents and certified sampling equipment.</x:v>
      </x:c>
      <x:c r="V361" s="2" t="str">
        <x:v>https://www.ctc-n.org/sites/default/files/resources/ctcn_taxonomy_0.pdf</x:v>
      </x:c>
      <x:c r="W361" s="2" t="str">
        <x:v>https://institutoagricoladepueblobello.edu.co/colegiapp/archivostemas/GUIA%209.%5B25%5D.pdf</x:v>
      </x:c>
      <x:c r="X361" s="2" t="str">
        <x:v>https://iiasa.ac.at/what-is-technology</x:v>
      </x:c>
      <x:c r="Y361" s="2" t="str">
        <x:v>https://www.unwater.org/water-facts/climate-change; https://www.ipcc.ch/report/ar6/wg3/chapter/chapter-11/</x:v>
      </x:c>
      <x:c r="Z361" s="2" t="str">
        <x:v>Technology-specific analytical synthesis. The CTCN hierarchy is retained; classifications and component dependencies require validation against the selected design, site and supplier documentation before investment or policy use.</x:v>
      </x:c>
      <x:c r="AA361" s="2" t="str">
        <x:v>Physical deployment of Watershed conservation requires process units, access roads, power supply, pipelines, compression or storage sites, laboratories and monitoring networks; interfaces, foundations, access and environmental protection are sized to the specific resource and design load.</x:v>
      </x:c>
      <x:c r="AB361" s="2" t="str">
        <x:v>For Watershed conservation, the hardware energy balance comprises electricity for compression, pumping, refrigeration and instrumentation; fuel or heat where oxidation or regeneration is required; metering must separate useful output, conversion losses and auxiliaries for the selected design.</x:v>
      </x:c>
      <x:c r="AC361" s="2" t="str">
        <x:v>Construction and operation use pressure-grade steel, corrosion-resistant alloys, concrete, elastomeric seals, sorbents, solvents, membranes or catalysts according to the process. For Watershed conservation, specifications must include durability, compatibility, recycled content and recoverability.</x:v>
      </x:c>
      <x:c r="AD361" s="2" t="str">
        <x:v>Maintenance of Watershed conservation depends on calibrated sensors, valve trim, seals, compressor parts, filters, reagents and certified sampling equipment; critical spares are selected from failure-mode, lead-time and safety analysis for its installed configuration.</x:v>
      </x:c>
      <x:c r="AE361" s="2" t="str">
        <x:v>The software stack for Watershed conservation requires databases, secure communications, version-controlled models, computing, backup and interfaces with field or operational systems.</x:v>
      </x:c>
      <x:c r="AF361" s="2" t="str">
        <x:v>For Watershed conservation, software-related energy is electricity for sensing, computing, storage, communication and cooling; it is normally secondary but must be included for data-intensive or continuous services.</x:v>
      </x:c>
      <x:c r="AG361" s="2" t="str">
        <x:v>The non-physical inputs are calibrated data, metadata, algorithms, boundary conditions, emission or hazard factors, manuals and validation records specific to Watershed conservation.</x:v>
      </x:c>
      <x:c r="AH361" s="2" t="str">
        <x:v>Software continuity for Watershed conservation requires licences where applicable, updates, cybersecurity patches, backups, calibration files, model validation and technical support.</x:v>
      </x:c>
      <x:c r="AI361" s="2" t="str">
        <x:v>Orgware depends on the institutions, laboratories, training providers, regulators, operators and community interfaces needed to govern Watershed conservation.</x:v>
      </x:c>
      <x:c r="AJ361" s="2" t="str">
        <x:v>The orgware supporting Watershed conservation has mainly indirect energy use from offices, meetings, training and information systems; travel and field supervision may be material at dispersed sites.</x:v>
      </x:c>
      <x:c r="AK361" s="2" t="str">
        <x:v>Its organisational inputs are permits, budgets, trained staff, competence records, contracts, procedures, safeguards, monitoring evidence and stakeholder agreements tailored to Watershed conservation.</x:v>
      </x:c>
      <x:c r="AL361" s="2" t="str">
        <x:v>Sustained implementation of Watershed conservation requires procurement and service contracts, audit protocols, training material, reporting templates, insurance or guarantees and periodic independent review.</x:v>
      </x:c>
      <x:c r="AM361" s="2" t="str">
        <x:v>Iron ore / steel inputs</x:v>
      </x:c>
      <x:c r="AN361" s="2" t="str">
        <x:v>Australia; Brazil; China</x:v>
      </x:c>
      <x:c r="AO361" s="2" t="str">
        <x:v>China; India; Japan</x:v>
      </x:c>
      <x:c r="AP361" s="2" t="str">
        <x:v>Watershed conservation: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1" s="2" t="str">
        <x:v>2024–2025</x:v>
      </x:c>
      <x:c r="AR361" s="2" t="str">
        <x:v>https://pubs.usgs.gov/periodicals/mcs2026/mcs2026.pdf</x:v>
      </x:c>
    </x:row>
    <x:row r="362" ht="240" customHeight="1">
      <x:c r="A362" s="2" t="str">
        <x:v>ADP-0092</x:v>
      </x:c>
      <x:c r="B362" s="2" t="str">
        <x:v>Adaptation</x:v>
      </x:c>
      <x:c r="C362" s="2" t="str">
        <x:v>Water</x:v>
      </x:c>
      <x:c r="D362" s="2" t="str">
        <x:v>Water augmentation (increasing capture and storage of surface run-off)</x:v>
      </x:c>
      <x:c r="E362" s="2" t="str">
        <x:v>Source water protection</x:v>
      </x:c>
      <x:c r="F362" s="2" t="str">
        <x:v>Source water protection is a adaptation technology in the Water sector and the Water augmentation (increasing capture and storage of surface run-off) technology group. It is defined as a combined hardware–software–orgware system that detects, separates, captures, conditions, transports or securely contains carbon-bearing gases so that methane or CO₂ does not reach the atmosphere. Source water protection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362" s="2" t="str">
        <x:v>Mixed: adaptable design, site-specific implementation</x:v>
      </x:c>
      <x:c r="H362" s="2" t="str">
        <x:v>Source water protection is adaptable in capacity and configuration but site-specific in final engineering. Its principle remains the same, but resource quality, climate, scale, interfaces and safety constraints must be recalculated for each deployment.</x:v>
      </x:c>
      <x:c r="I362" s="2" t="str">
        <x:v>Primarily hard, with a soft component</x:v>
      </x:c>
      <x:c r="J362" s="2" t="str">
        <x:v>Source water protection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362" s="2" t="str">
        <x:v>Equipment and operation</x:v>
      </x:c>
      <x:c r="L362" s="2" t="str">
        <x:v>Source water protection is embodied mainly as an equipment-and-operation system. The deliverable is accepted only when measurable service, quality, safety and climate-performance criteria are met under real conditions.</x:v>
      </x:c>
      <x:c r="M362" s="2" t="str">
        <x:v>Yes, subject to life-cycle safeguards</x:v>
      </x:c>
      <x:c r="N362" s="2" t="str">
        <x:v>Source water protection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362" s="2" t="str">
        <x:v>Source water protection: gas analysers; flow, pressure and temperature instrumentation; separators; compressors; valves; sealed piping; flare or injection equipment.</x:v>
      </x:c>
      <x:c r="P362" s="2" t="str">
        <x:v>Source water protection: mass and energy balances; leak detection and repair logic; process simulation; dispersion modelling; integrity and injection surveillance.</x:v>
      </x:c>
      <x:c r="Q362" s="2" t="str">
        <x:v>Source water protection: emission permits; measurement, reporting and verification; asset-integrity management; emergency procedures; long-term liability.</x:v>
      </x:c>
      <x:c r="R362" s="2" t="str">
        <x:v>Source water protection: process units, access roads, power supply, pipelines, compression or storage sites, laboratories and monitoring networks.</x:v>
      </x:c>
      <x:c r="S362" s="2" t="str">
        <x:v>Source water protection: electricity for compression, pumping, refrigeration and instrumentation; fuel or heat where oxidation or regeneration is required.</x:v>
      </x:c>
      <x:c r="T362" s="2" t="str">
        <x:v>Source water protection: pressure-grade steel, corrosion-resistant alloys, concrete, elastomeric seals, sorbents, solvents, membranes or catalysts according to the process.</x:v>
      </x:c>
      <x:c r="U362" s="2" t="str">
        <x:v>Source water protection: calibrated sensors, valve trim, seals, compressor parts, filters, reagents and certified sampling equipment.</x:v>
      </x:c>
      <x:c r="V362" s="2" t="str">
        <x:v>https://www.ctc-n.org/sites/default/files/resources/ctcn_taxonomy_0.pdf</x:v>
      </x:c>
      <x:c r="W362" s="2" t="str">
        <x:v>https://institutoagricoladepueblobello.edu.co/colegiapp/archivostemas/GUIA%209.%5B25%5D.pdf</x:v>
      </x:c>
      <x:c r="X362" s="2" t="str">
        <x:v>https://iiasa.ac.at/what-is-technology</x:v>
      </x:c>
      <x:c r="Y362" s="2" t="str">
        <x:v>https://www.unwater.org/water-facts/climate-change; https://www.ipcc.ch/report/ar6/wg3/chapter/chapter-11/</x:v>
      </x:c>
      <x:c r="Z362" s="2" t="str">
        <x:v>Technology-specific analytical synthesis. The CTCN hierarchy is retained; classifications and component dependencies require validation against the selected design, site and supplier documentation before investment or policy use.</x:v>
      </x:c>
      <x:c r="AA362" s="2" t="str">
        <x:v>Physical deployment of Source water protection requires process units, access roads, power supply, pipelines, compression or storage sites, laboratories and monitoring networks; interfaces, foundations, access and environmental protection are sized to the specific resource and design load.</x:v>
      </x:c>
      <x:c r="AB362" s="2" t="str">
        <x:v>For Source water protection, the hardware energy balance comprises electricity for compression, pumping, refrigeration and instrumentation; fuel or heat where oxidation or regeneration is required; metering must separate useful output, conversion losses and auxiliaries for the selected design.</x:v>
      </x:c>
      <x:c r="AC362" s="2" t="str">
        <x:v>Construction and operation use pressure-grade steel, corrosion-resistant alloys, concrete, elastomeric seals, sorbents, solvents, membranes or catalysts according to the process. For Source water protection, specifications must include durability, compatibility, recycled content and recoverability.</x:v>
      </x:c>
      <x:c r="AD362" s="2" t="str">
        <x:v>Maintenance of Source water protection depends on calibrated sensors, valve trim, seals, compressor parts, filters, reagents and certified sampling equipment; critical spares are selected from failure-mode, lead-time and safety analysis for its installed configuration.</x:v>
      </x:c>
      <x:c r="AE362" s="2" t="str">
        <x:v>The software stack for Source water protection requires databases, secure communications, version-controlled models, computing, backup and interfaces with field or operational systems.</x:v>
      </x:c>
      <x:c r="AF362" s="2" t="str">
        <x:v>For Source water protection, software-related energy is electricity for sensing, computing, storage, communication and cooling; it is normally secondary but must be included for data-intensive or continuous services.</x:v>
      </x:c>
      <x:c r="AG362" s="2" t="str">
        <x:v>The non-physical inputs are calibrated data, metadata, algorithms, boundary conditions, emission or hazard factors, manuals and validation records specific to Source water protection.</x:v>
      </x:c>
      <x:c r="AH362" s="2" t="str">
        <x:v>Software continuity for Source water protection requires licences where applicable, updates, cybersecurity patches, backups, calibration files, model validation and technical support.</x:v>
      </x:c>
      <x:c r="AI362" s="2" t="str">
        <x:v>Orgware depends on the institutions, laboratories, training providers, regulators, operators and community interfaces needed to govern Source water protection.</x:v>
      </x:c>
      <x:c r="AJ362" s="2" t="str">
        <x:v>The orgware supporting Source water protection has mainly indirect energy use from offices, meetings, training and information systems; travel and field supervision may be material at dispersed sites.</x:v>
      </x:c>
      <x:c r="AK362" s="2" t="str">
        <x:v>Its organisational inputs are permits, budgets, trained staff, competence records, contracts, procedures, safeguards, monitoring evidence and stakeholder agreements tailored to Source water protection.</x:v>
      </x:c>
      <x:c r="AL362" s="2" t="str">
        <x:v>Sustained implementation of Source water protection requires procurement and service contracts, audit protocols, training material, reporting templates, insurance or guarantees and periodic independent review.</x:v>
      </x:c>
      <x:c r="AM362" s="2" t="str">
        <x:v>Iron ore / steel inputs</x:v>
      </x:c>
      <x:c r="AN362" s="2" t="str">
        <x:v>Australia; Brazil; China</x:v>
      </x:c>
      <x:c r="AO362" s="2" t="str">
        <x:v>China; India; Japan</x:v>
      </x:c>
      <x:c r="AP362" s="2" t="str">
        <x:v>Source water protection: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2" s="2" t="str">
        <x:v>2024–2025</x:v>
      </x:c>
      <x:c r="AR362" s="2" t="str">
        <x:v>https://pubs.usgs.gov/periodicals/mcs2026/mcs2026.pdf</x:v>
      </x:c>
    </x:row>
    <x:row r="363" ht="240" customHeight="1">
      <x:c r="A363" s="2" t="str">
        <x:v>ADP-0093</x:v>
      </x:c>
      <x:c r="B363" s="2" t="str">
        <x:v>Adaptation</x:v>
      </x:c>
      <x:c r="C363" s="2" t="str">
        <x:v>Water</x:v>
      </x:c>
      <x:c r="D363" s="2" t="str">
        <x:v>Hydropower</x:v>
      </x:c>
      <x:c r="E363" s="2" t="str">
        <x:v>Multi-purpose dams</x:v>
      </x:c>
      <x:c r="F363" s="2" t="str">
        <x:v>Multi-purpose dams is a adaptation technology in the Water sector and the Hydropower technology group. It is defined as a combined hardware–software–orgware system that converts a renewable solar, wind, water, ocean, geothermal or chemical resource into electricity, heat or mechanical work while controlling variability and conversion losses. Multi-purpose dams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363" s="2" t="str">
        <x:v>Primarily fixed</x:v>
      </x:c>
      <x:c r="H363" s="2" t="str">
        <x:v>Multi-purpose dams is tied to long-lived, site-specific assets and design loads. Its principle remains the same, but resource quality, climate, scale, interfaces and safety constraints must be recalculated for each deployment.</x:v>
      </x:c>
      <x:c r="I363" s="2" t="str">
        <x:v>Primarily hard, with a soft component</x:v>
      </x:c>
      <x:c r="J363" s="2" t="str">
        <x:v>Multi-purpose dams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363" s="2" t="str">
        <x:v>Equipment and operation</x:v>
      </x:c>
      <x:c r="L363" s="2" t="str">
        <x:v>Multi-purpose dams is embodied mainly as an equipment-and-operation system. The deliverable is accepted only when measurable service, quality, safety and climate-performance criteria are met under real conditions.</x:v>
      </x:c>
      <x:c r="M363" s="2" t="str">
        <x:v>Yes, subject to life-cycle safeguards</x:v>
      </x:c>
      <x:c r="N363" s="2" t="str">
        <x:v>Multi-purpose dams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363" s="2" t="str">
        <x:v>Multi-purpose dams: resource collector or prime mover, generator or heat exchanger, support structure, power conversion, protection, metering and connection equipment.</x:v>
      </x:c>
      <x:c r="P363" s="2" t="str">
        <x:v>Multi-purpose dams: resource assessment, energy-yield modelling, forecasting, maximum-power or process control, dispatch, condition monitoring and maintenance planning.</x:v>
      </x:c>
      <x:c r="Q363" s="2" t="str">
        <x:v>Multi-purpose dams: resource and land or sea rights, environmental licensing, grid code, safety, community participation, revenue contract and decommissioning plan.</x:v>
      </x:c>
      <x:c r="R363" s="2" t="str">
        <x:v>Multi-purpose dams: foundations, access, electrical or thermal network, substation, control and communications, drainage and construction or marine logistics.</x:v>
      </x:c>
      <x:c r="S363" s="2" t="str">
        <x:v>Multi-purpose dams: the renewable resource is the primary input; auxiliary electricity, start-up fuel, pumping or thermal energy may be required depending on the design.</x:v>
      </x:c>
      <x:c r="T363" s="2" t="str">
        <x:v>Multi-purpose dams: steel, concrete, copper, aluminium, polymers, glass and technology-specific materials such as silicon, magnets, coatings, catalysts or working fluids.</x:v>
      </x:c>
      <x:c r="U363" s="2" t="str">
        <x:v>Multi-purpose dams: bearings, seals, filters, lubricants, sensors, converter parts, cables, fasteners, coatings and replaceable collector or heat-exchanger components.</x:v>
      </x:c>
      <x:c r="V363" s="2" t="str">
        <x:v>https://www.ctc-n.org/sites/default/files/resources/ctcn_taxonomy_0.pdf</x:v>
      </x:c>
      <x:c r="W363" s="2" t="str">
        <x:v>https://institutoagricoladepueblobello.edu.co/colegiapp/archivostemas/GUIA%209.%5B25%5D.pdf</x:v>
      </x:c>
      <x:c r="X363" s="2" t="str">
        <x:v>https://iiasa.ac.at/what-is-technology</x:v>
      </x:c>
      <x:c r="Y363" s="2" t="str">
        <x:v>https://www.unwater.org/water-facts/climate-change; https://www.iea.org/data-and-statistics/data-tools/etp-clean-energy-technology-guide</x:v>
      </x:c>
      <x:c r="Z363" s="2" t="str">
        <x:v>Technology-specific analytical synthesis. The CTCN hierarchy is retained; classifications and component dependencies require validation against the selected design, site and supplier documentation before investment or policy use.</x:v>
      </x:c>
      <x:c r="AA363" s="2" t="str">
        <x:v>Physical deployment of Multi-purpose dams requires foundations, access, electrical or thermal network, substation, control and communications, drainage and construction or marine logistics; interfaces, foundations, access and environmental protection are sized to the specific resource and design load.</x:v>
      </x:c>
      <x:c r="AB363" s="2" t="str">
        <x:v>For Multi-purpose dams,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363" s="2" t="str">
        <x:v>Construction and operation use steel, concrete, copper, aluminium, polymers, glass and technology-specific materials such as silicon, magnets, coatings, catalysts or working fluids. For Multi-purpose dams, specifications must include durability, compatibility, recycled content and recoverability.</x:v>
      </x:c>
      <x:c r="AD363" s="2" t="str">
        <x:v>Maintenance of Multi-purpose dams depends on bearings, seals, filters, lubricants, sensors, converter parts, cables, fasteners, coatings and replaceable collector or heat-exchanger components; critical spares are selected from failure-mode, lead-time and safety analysis for its installed configuration.</x:v>
      </x:c>
      <x:c r="AE363" s="2" t="str">
        <x:v>The software stack for Multi-purpose dams requires databases, secure communications, version-controlled models, computing, backup and interfaces with field or operational systems.</x:v>
      </x:c>
      <x:c r="AF363" s="2" t="str">
        <x:v>For Multi-purpose dams, software-related energy is electricity for sensing, computing, storage, communication and cooling; it is normally secondary but must be included for data-intensive or continuous services.</x:v>
      </x:c>
      <x:c r="AG363" s="2" t="str">
        <x:v>The non-physical inputs are calibrated data, metadata, algorithms, boundary conditions, emission or hazard factors, manuals and validation records specific to Multi-purpose dams.</x:v>
      </x:c>
      <x:c r="AH363" s="2" t="str">
        <x:v>Software continuity for Multi-purpose dams requires licences where applicable, updates, cybersecurity patches, backups, calibration files, model validation and technical support.</x:v>
      </x:c>
      <x:c r="AI363" s="2" t="str">
        <x:v>Orgware depends on the institutions, laboratories, training providers, regulators, operators and community interfaces needed to govern Multi-purpose dams.</x:v>
      </x:c>
      <x:c r="AJ363" s="2" t="str">
        <x:v>The orgware supporting Multi-purpose dams has mainly indirect energy use from offices, meetings, training and information systems; travel and field supervision may be material at dispersed sites.</x:v>
      </x:c>
      <x:c r="AK363" s="2" t="str">
        <x:v>Its organisational inputs are permits, budgets, trained staff, competence records, contracts, procedures, safeguards, monitoring evidence and stakeholder agreements tailored to Multi-purpose dams.</x:v>
      </x:c>
      <x:c r="AL363" s="2" t="str">
        <x:v>Sustained implementation of Multi-purpose dams requires procurement and service contracts, audit protocols, training material, reporting templates, insurance or guarantees and periodic independent review.</x:v>
      </x:c>
      <x:c r="AM363" s="2" t="str">
        <x:v>Iron ore / steel inputs; Limestone / cement raw materials</x:v>
      </x:c>
      <x:c r="AN363" s="2" t="str">
        <x:v>Australia; Brazil; China; India; Vietnam</x:v>
      </x:c>
      <x:c r="AO363" s="2" t="str">
        <x:v>China; India; Japan; Vietnam</x:v>
      </x:c>
      <x:c r="AP363" s="2" t="str">
        <x:v>Multi-purpose dams: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3" s="2" t="str">
        <x:v>2024–2025</x:v>
      </x:c>
      <x:c r="AR363" s="2" t="str">
        <x:v>https://pubs.usgs.gov/periodicals/mcs2026/mcs2026.pdf</x:v>
      </x:c>
    </x:row>
    <x:row r="364" ht="240" customHeight="1">
      <x:c r="A364" s="2" t="str">
        <x:v>ADP-0094</x:v>
      </x:c>
      <x:c r="B364" s="2" t="str">
        <x:v>Adaptation</x:v>
      </x:c>
      <x:c r="C364" s="2" t="str">
        <x:v>Water</x:v>
      </x:c>
      <x:c r="D364" s="2" t="str">
        <x:v>Hydropower</x:v>
      </x:c>
      <x:c r="E364" s="2" t="str">
        <x:v>Small hydropower</x:v>
      </x:c>
      <x:c r="F364" s="2" t="str">
        <x:v>Small hydropower is a adaptation technology in the Water sector and the Hydropower technology group. It is defined as a combined hardware–software–orgware system that converts a renewable solar, wind, water, ocean, geothermal or chemical resource into electricity, heat or mechanical work while controlling variability and conversion losses. Small hydropower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364" s="2" t="str">
        <x:v>Primarily fixed</x:v>
      </x:c>
      <x:c r="H364" s="2" t="str">
        <x:v>Small hydropower is tied to long-lived, site-specific assets and design loads. Its principle remains the same, but resource quality, climate, scale, interfaces and safety constraints must be recalculated for each deployment.</x:v>
      </x:c>
      <x:c r="I364" s="2" t="str">
        <x:v>Primarily hard, with a soft component</x:v>
      </x:c>
      <x:c r="J364" s="2" t="str">
        <x:v>Small hydropower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364" s="2" t="str">
        <x:v>Equipment and operation</x:v>
      </x:c>
      <x:c r="L364" s="2" t="str">
        <x:v>Small hydropower is embodied mainly as an equipment-and-operation system. The deliverable is accepted only when measurable service, quality, safety and climate-performance criteria are met under real conditions.</x:v>
      </x:c>
      <x:c r="M364" s="2" t="str">
        <x:v>Yes, subject to life-cycle safeguards</x:v>
      </x:c>
      <x:c r="N364" s="2" t="str">
        <x:v>Small hydropower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364" s="2" t="str">
        <x:v>Small hydropower: resource collector or prime mover, generator or heat exchanger, support structure, power conversion, protection, metering and connection equipment.</x:v>
      </x:c>
      <x:c r="P364" s="2" t="str">
        <x:v>Small hydropower: resource assessment, energy-yield modelling, forecasting, maximum-power or process control, dispatch, condition monitoring and maintenance planning.</x:v>
      </x:c>
      <x:c r="Q364" s="2" t="str">
        <x:v>Small hydropower: resource and land or sea rights, environmental licensing, grid code, safety, community participation, revenue contract and decommissioning plan.</x:v>
      </x:c>
      <x:c r="R364" s="2" t="str">
        <x:v>Small hydropower: foundations, access, electrical or thermal network, substation, control and communications, drainage and construction or marine logistics.</x:v>
      </x:c>
      <x:c r="S364" s="2" t="str">
        <x:v>Small hydropower: the renewable resource is the primary input; auxiliary electricity, start-up fuel, pumping or thermal energy may be required depending on the design.</x:v>
      </x:c>
      <x:c r="T364" s="2" t="str">
        <x:v>Small hydropower: steel, concrete, copper, aluminium, polymers, glass and technology-specific materials such as silicon, magnets, coatings, catalysts or working fluids.</x:v>
      </x:c>
      <x:c r="U364" s="2" t="str">
        <x:v>Small hydropower: bearings, seals, filters, lubricants, sensors, converter parts, cables, fasteners, coatings and replaceable collector or heat-exchanger components.</x:v>
      </x:c>
      <x:c r="V364" s="2" t="str">
        <x:v>https://www.ctc-n.org/sites/default/files/resources/ctcn_taxonomy_0.pdf</x:v>
      </x:c>
      <x:c r="W364" s="2" t="str">
        <x:v>https://institutoagricoladepueblobello.edu.co/colegiapp/archivostemas/GUIA%209.%5B25%5D.pdf</x:v>
      </x:c>
      <x:c r="X364" s="2" t="str">
        <x:v>https://iiasa.ac.at/what-is-technology</x:v>
      </x:c>
      <x:c r="Y364" s="2" t="str">
        <x:v>https://www.unwater.org/water-facts/climate-change; https://www.iea.org/data-and-statistics/data-tools/etp-clean-energy-technology-guide</x:v>
      </x:c>
      <x:c r="Z364" s="2" t="str">
        <x:v>Technology-specific analytical synthesis. The CTCN hierarchy is retained; classifications and component dependencies require validation against the selected design, site and supplier documentation before investment or policy use.</x:v>
      </x:c>
      <x:c r="AA364" s="2" t="str">
        <x:v>Physical deployment of Small hydropower requires foundations, access, electrical or thermal network, substation, control and communications, drainage and construction or marine logistics; interfaces, foundations, access and environmental protection are sized to the specific resource and design load.</x:v>
      </x:c>
      <x:c r="AB364" s="2" t="str">
        <x:v>For Small hydropower,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364" s="2" t="str">
        <x:v>Construction and operation use steel, concrete, copper, aluminium, polymers, glass and technology-specific materials such as silicon, magnets, coatings, catalysts or working fluids. For Small hydropower, specifications must include durability, compatibility, recycled content and recoverability.</x:v>
      </x:c>
      <x:c r="AD364" s="2" t="str">
        <x:v>Maintenance of Small hydropower depends on bearings, seals, filters, lubricants, sensors, converter parts, cables, fasteners, coatings and replaceable collector or heat-exchanger components; critical spares are selected from failure-mode, lead-time and safety analysis for its installed configuration.</x:v>
      </x:c>
      <x:c r="AE364" s="2" t="str">
        <x:v>The software stack for Small hydropower requires databases, secure communications, version-controlled models, computing, backup and interfaces with field or operational systems.</x:v>
      </x:c>
      <x:c r="AF364" s="2" t="str">
        <x:v>For Small hydropower, software-related energy is electricity for sensing, computing, storage, communication and cooling; it is normally secondary but must be included for data-intensive or continuous services.</x:v>
      </x:c>
      <x:c r="AG364" s="2" t="str">
        <x:v>The non-physical inputs are calibrated data, metadata, algorithms, boundary conditions, emission or hazard factors, manuals and validation records specific to Small hydropower.</x:v>
      </x:c>
      <x:c r="AH364" s="2" t="str">
        <x:v>Software continuity for Small hydropower requires licences where applicable, updates, cybersecurity patches, backups, calibration files, model validation and technical support.</x:v>
      </x:c>
      <x:c r="AI364" s="2" t="str">
        <x:v>Orgware depends on the institutions, laboratories, training providers, regulators, operators and community interfaces needed to govern Small hydropower.</x:v>
      </x:c>
      <x:c r="AJ364" s="2" t="str">
        <x:v>The orgware supporting Small hydropower has mainly indirect energy use from offices, meetings, training and information systems; travel and field supervision may be material at dispersed sites.</x:v>
      </x:c>
      <x:c r="AK364" s="2" t="str">
        <x:v>Its organisational inputs are permits, budgets, trained staff, competence records, contracts, procedures, safeguards, monitoring evidence and stakeholder agreements tailored to Small hydropower.</x:v>
      </x:c>
      <x:c r="AL364" s="2" t="str">
        <x:v>Sustained implementation of Small hydropower requires procurement and service contracts, audit protocols, training material, reporting templates, insurance or guarantees and periodic independent review.</x:v>
      </x:c>
      <x:c r="AM364" s="2" t="str">
        <x:v>Iron ore / steel inputs</x:v>
      </x:c>
      <x:c r="AN364" s="2" t="str">
        <x:v>Australia; Brazil; China</x:v>
      </x:c>
      <x:c r="AO364" s="2" t="str">
        <x:v>China; India; Japan</x:v>
      </x:c>
      <x:c r="AP364" s="2" t="str">
        <x:v>Small hydropower: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4" s="2" t="str">
        <x:v>2024–2025</x:v>
      </x:c>
      <x:c r="AR364" s="2" t="str">
        <x:v>https://pubs.usgs.gov/periodicals/mcs2026/mcs2026.pdf</x:v>
      </x:c>
    </x:row>
    <x:row r="365" ht="240" customHeight="1">
      <x:c r="A365" s="2" t="str">
        <x:v>ADP-0095</x:v>
      </x:c>
      <x:c r="B365" s="2" t="str">
        <x:v>Adaptation</x:v>
      </x:c>
      <x:c r="C365" s="2" t="str">
        <x:v>Water</x:v>
      </x:c>
      <x:c r="D365" s="2" t="str">
        <x:v>Hydropower</x:v>
      </x:c>
      <x:c r="E365" s="2" t="str">
        <x:v>Large hydropower</x:v>
      </x:c>
      <x:c r="F365" s="2" t="str">
        <x:v>Large hydropower is a adaptation technology in the Water sector and the Hydropower technology group. It is defined as a combined hardware–software–orgware system that converts a renewable solar, wind, water, ocean, geothermal or chemical resource into electricity, heat or mechanical work while controlling variability and conversion losses. Large hydropower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365" s="2" t="str">
        <x:v>Primarily fixed</x:v>
      </x:c>
      <x:c r="H365" s="2" t="str">
        <x:v>Large hydropower is tied to long-lived, site-specific assets and design loads. Its principle remains the same, but resource quality, climate, scale, interfaces and safety constraints must be recalculated for each deployment.</x:v>
      </x:c>
      <x:c r="I365" s="2" t="str">
        <x:v>Primarily hard, with a soft component</x:v>
      </x:c>
      <x:c r="J365" s="2" t="str">
        <x:v>Large hydropower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365" s="2" t="str">
        <x:v>Equipment and operation</x:v>
      </x:c>
      <x:c r="L365" s="2" t="str">
        <x:v>Large hydropower is embodied mainly as an equipment-and-operation system. The deliverable is accepted only when measurable service, quality, safety and climate-performance criteria are met under real conditions.</x:v>
      </x:c>
      <x:c r="M365" s="2" t="str">
        <x:v>Conditional on performance and life cycle</x:v>
      </x:c>
      <x:c r="N365" s="2" t="str">
        <x:v>Large hydropower is classified as conditional.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365" s="2" t="str">
        <x:v>Large hydropower: resource collector or prime mover, generator or heat exchanger, support structure, power conversion, protection, metering and connection equipment.</x:v>
      </x:c>
      <x:c r="P365" s="2" t="str">
        <x:v>Large hydropower: resource assessment, energy-yield modelling, forecasting, maximum-power or process control, dispatch, condition monitoring and maintenance planning.</x:v>
      </x:c>
      <x:c r="Q365" s="2" t="str">
        <x:v>Large hydropower: resource and land or sea rights, environmental licensing, grid code, safety, community participation, revenue contract and decommissioning plan.</x:v>
      </x:c>
      <x:c r="R365" s="2" t="str">
        <x:v>Large hydropower: foundations, access, electrical or thermal network, substation, control and communications, drainage and construction or marine logistics.</x:v>
      </x:c>
      <x:c r="S365" s="2" t="str">
        <x:v>Large hydropower: the renewable resource is the primary input; auxiliary electricity, start-up fuel, pumping or thermal energy may be required depending on the design.</x:v>
      </x:c>
      <x:c r="T365" s="2" t="str">
        <x:v>Large hydropower: steel, concrete, copper, aluminium, polymers, glass and technology-specific materials such as silicon, magnets, coatings, catalysts or working fluids.</x:v>
      </x:c>
      <x:c r="U365" s="2" t="str">
        <x:v>Large hydropower: bearings, seals, filters, lubricants, sensors, converter parts, cables, fasteners, coatings and replaceable collector or heat-exchanger components.</x:v>
      </x:c>
      <x:c r="V365" s="2" t="str">
        <x:v>https://www.ctc-n.org/sites/default/files/resources/ctcn_taxonomy_0.pdf</x:v>
      </x:c>
      <x:c r="W365" s="2" t="str">
        <x:v>https://institutoagricoladepueblobello.edu.co/colegiapp/archivostemas/GUIA%209.%5B25%5D.pdf</x:v>
      </x:c>
      <x:c r="X365" s="2" t="str">
        <x:v>https://iiasa.ac.at/what-is-technology</x:v>
      </x:c>
      <x:c r="Y365" s="2" t="str">
        <x:v>https://www.unwater.org/water-facts/climate-change; https://www.iea.org/data-and-statistics/data-tools/etp-clean-energy-technology-guide</x:v>
      </x:c>
      <x:c r="Z365" s="2" t="str">
        <x:v>Technology-specific analytical synthesis. The CTCN hierarchy is retained; classifications and component dependencies require validation against the selected design, site and supplier documentation before investment or policy use.</x:v>
      </x:c>
      <x:c r="AA365" s="2" t="str">
        <x:v>Physical deployment of Large hydropower requires foundations, access, electrical or thermal network, substation, control and communications, drainage and construction or marine logistics; interfaces, foundations, access and environmental protection are sized to the specific resource and design load.</x:v>
      </x:c>
      <x:c r="AB365" s="2" t="str">
        <x:v>For Large hydropower,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365" s="2" t="str">
        <x:v>Construction and operation use steel, concrete, copper, aluminium, polymers, glass and technology-specific materials such as silicon, magnets, coatings, catalysts or working fluids. For Large hydropower, specifications must include durability, compatibility, recycled content and recoverability.</x:v>
      </x:c>
      <x:c r="AD365" s="2" t="str">
        <x:v>Maintenance of Large hydropower depends on bearings, seals, filters, lubricants, sensors, converter parts, cables, fasteners, coatings and replaceable collector or heat-exchanger components; critical spares are selected from failure-mode, lead-time and safety analysis for its installed configuration.</x:v>
      </x:c>
      <x:c r="AE365" s="2" t="str">
        <x:v>The software stack for Large hydropower requires databases, secure communications, version-controlled models, computing, backup and interfaces with field or operational systems.</x:v>
      </x:c>
      <x:c r="AF365" s="2" t="str">
        <x:v>For Large hydropower, software-related energy is electricity for sensing, computing, storage, communication and cooling; it is normally secondary but must be included for data-intensive or continuous services.</x:v>
      </x:c>
      <x:c r="AG365" s="2" t="str">
        <x:v>The non-physical inputs are calibrated data, metadata, algorithms, boundary conditions, emission or hazard factors, manuals and validation records specific to Large hydropower.</x:v>
      </x:c>
      <x:c r="AH365" s="2" t="str">
        <x:v>Software continuity for Large hydropower requires licences where applicable, updates, cybersecurity patches, backups, calibration files, model validation and technical support.</x:v>
      </x:c>
      <x:c r="AI365" s="2" t="str">
        <x:v>Orgware depends on the institutions, laboratories, training providers, regulators, operators and community interfaces needed to govern Large hydropower.</x:v>
      </x:c>
      <x:c r="AJ365" s="2" t="str">
        <x:v>The orgware supporting Large hydropower has mainly indirect energy use from offices, meetings, training and information systems; travel and field supervision may be material at dispersed sites.</x:v>
      </x:c>
      <x:c r="AK365" s="2" t="str">
        <x:v>Its organisational inputs are permits, budgets, trained staff, competence records, contracts, procedures, safeguards, monitoring evidence and stakeholder agreements tailored to Large hydropower.</x:v>
      </x:c>
      <x:c r="AL365" s="2" t="str">
        <x:v>Sustained implementation of Large hydropower requires procurement and service contracts, audit protocols, training material, reporting templates, insurance or guarantees and periodic independent review.</x:v>
      </x:c>
      <x:c r="AM365" s="2" t="str">
        <x:v>Iron ore / steel inputs</x:v>
      </x:c>
      <x:c r="AN365" s="2" t="str">
        <x:v>Australia; Brazil; China</x:v>
      </x:c>
      <x:c r="AO365" s="2" t="str">
        <x:v>China; India; Japan</x:v>
      </x:c>
      <x:c r="AP365" s="2" t="str">
        <x:v>Large hydropower: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5" s="2" t="str">
        <x:v>2024–2025</x:v>
      </x:c>
      <x:c r="AR365" s="2" t="str">
        <x:v>https://pubs.usgs.gov/periodicals/mcs2026/mcs2026.pdf</x:v>
      </x:c>
    </x:row>
    <x:row r="366" ht="240" customHeight="1">
      <x:c r="A366" s="2" t="str">
        <x:v>ADP-0096</x:v>
      </x:c>
      <x:c r="B366" s="2" t="str">
        <x:v>Adaptation</x:v>
      </x:c>
      <x:c r="C366" s="2" t="str">
        <x:v>Water</x:v>
      </x:c>
      <x:c r="D366" s="2" t="str">
        <x:v>Hydropower</x:v>
      </x:c>
      <x:c r="E366" s="2" t="str">
        <x:v>Embedding climate variability in hydropower design</x:v>
      </x:c>
      <x:c r="F366" s="2" t="str">
        <x:v>Embedding climate variability in hydropower design is a adaptation technology in the Water sector and the Hydropower technology group. It is defined as a combined hardware–software–orgware system that converts a renewable solar, wind, water, ocean, geothermal or chemical resource into electricity, heat or mechanical work while controlling variability and conversion losses. Embedding climate variability in hydropower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366" s="2" t="str">
        <x:v>Primarily fixed</x:v>
      </x:c>
      <x:c r="H366" s="2" t="str">
        <x:v>Embedding climate variability in hydropower design is tied to long-lived, site-specific assets and design loads. Its principle remains the same, but resource quality, climate, scale, interfaces and safety constraints must be recalculated for each deployment.</x:v>
      </x:c>
      <x:c r="I366" s="2" t="str">
        <x:v>Primarily hard, with a soft component</x:v>
      </x:c>
      <x:c r="J366" s="2" t="str">
        <x:v>Embedding climate variability in hydropower design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366" s="2" t="str">
        <x:v>Equipment and operation</x:v>
      </x:c>
      <x:c r="L366" s="2" t="str">
        <x:v>Embedding climate variability in hydropower design is embodied mainly as an equipment-and-operation system. The deliverable is accepted only when measurable service, quality, safety and climate-performance criteria are met under real conditions.</x:v>
      </x:c>
      <x:c r="M366" s="2" t="str">
        <x:v>Yes, subject to life-cycle safeguards</x:v>
      </x:c>
      <x:c r="N366" s="2" t="str">
        <x:v>Embedding climate variability in hydropower design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366" s="2" t="str">
        <x:v>Embedding climate variability in hydropower design: resource collector or prime mover, generator or heat exchanger, support structure, power conversion, protection, metering and connection equipment.</x:v>
      </x:c>
      <x:c r="P366" s="2" t="str">
        <x:v>Embedding climate variability in hydropower design: resource assessment, energy-yield modelling, forecasting, maximum-power or process control, dispatch, condition monitoring and maintenance planning.</x:v>
      </x:c>
      <x:c r="Q366" s="2" t="str">
        <x:v>Embedding climate variability in hydropower design: resource and land or sea rights, environmental licensing, grid code, safety, community participation, revenue contract and decommissioning plan.</x:v>
      </x:c>
      <x:c r="R366" s="2" t="str">
        <x:v>Embedding climate variability in hydropower design: foundations, access, electrical or thermal network, substation, control and communications, drainage and construction or marine logistics.</x:v>
      </x:c>
      <x:c r="S366" s="2" t="str">
        <x:v>Embedding climate variability in hydropower design: the renewable resource is the primary input; auxiliary electricity, start-up fuel, pumping or thermal energy may be required depending on the design.</x:v>
      </x:c>
      <x:c r="T366" s="2" t="str">
        <x:v>Embedding climate variability in hydropower design: steel, concrete, copper, aluminium, polymers, glass and technology-specific materials such as silicon, magnets, coatings, catalysts or working fluids.</x:v>
      </x:c>
      <x:c r="U366" s="2" t="str">
        <x:v>Embedding climate variability in hydropower design: bearings, seals, filters, lubricants, sensors, converter parts, cables, fasteners, coatings and replaceable collector or heat-exchanger components.</x:v>
      </x:c>
      <x:c r="V366" s="2" t="str">
        <x:v>https://www.ctc-n.org/sites/default/files/resources/ctcn_taxonomy_0.pdf</x:v>
      </x:c>
      <x:c r="W366" s="2" t="str">
        <x:v>https://institutoagricoladepueblobello.edu.co/colegiapp/archivostemas/GUIA%209.%5B25%5D.pdf</x:v>
      </x:c>
      <x:c r="X366" s="2" t="str">
        <x:v>https://iiasa.ac.at/what-is-technology</x:v>
      </x:c>
      <x:c r="Y366" s="2" t="str">
        <x:v>https://www.unwater.org/water-facts/climate-change; https://www.iea.org/data-and-statistics/data-tools/etp-clean-energy-technology-guide</x:v>
      </x:c>
      <x:c r="Z366" s="2" t="str">
        <x:v>Technology-specific analytical synthesis. The CTCN hierarchy is retained; classifications and component dependencies require validation against the selected design, site and supplier documentation before investment or policy use.</x:v>
      </x:c>
      <x:c r="AA366" s="2" t="str">
        <x:v>Physical deployment of Embedding climate variability in hydropower design requires foundations, access, electrical or thermal network, substation, control and communications, drainage and construction or marine logistics; interfaces, foundations, access and environmental protection are sized to the specific resource and design load.</x:v>
      </x:c>
      <x:c r="AB366" s="2" t="str">
        <x:v>For Embedding climate variability in hydropower design,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366" s="2" t="str">
        <x:v>Construction and operation use steel, concrete, copper, aluminium, polymers, glass and technology-specific materials such as silicon, magnets, coatings, catalysts or working fluids. For Embedding climate variability in hydropower design, specifications must include durability, compatibility, recycled content and recoverability.</x:v>
      </x:c>
      <x:c r="AD366" s="2" t="str">
        <x:v>Maintenance of Embedding climate variability in hydropower design depends on bearings, seals, filters, lubricants, sensors, converter parts, cables, fasteners, coatings and replaceable collector or heat-exchanger components; critical spares are selected from failure-mode, lead-time and safety analysis for its installed configuration.</x:v>
      </x:c>
      <x:c r="AE366" s="2" t="str">
        <x:v>The software stack for Embedding climate variability in hydropower design requires databases, secure communications, version-controlled models, computing, backup and interfaces with field or operational systems.</x:v>
      </x:c>
      <x:c r="AF366" s="2" t="str">
        <x:v>For Embedding climate variability in hydropower design, software-related energy is electricity for sensing, computing, storage, communication and cooling; it is normally secondary but must be included for data-intensive or continuous services.</x:v>
      </x:c>
      <x:c r="AG366" s="2" t="str">
        <x:v>The non-physical inputs are calibrated data, metadata, algorithms, boundary conditions, emission or hazard factors, manuals and validation records specific to Embedding climate variability in hydropower design.</x:v>
      </x:c>
      <x:c r="AH366" s="2" t="str">
        <x:v>Software continuity for Embedding climate variability in hydropower design requires licences where applicable, updates, cybersecurity patches, backups, calibration files, model validation and technical support.</x:v>
      </x:c>
      <x:c r="AI366" s="2" t="str">
        <x:v>Orgware depends on the institutions, laboratories, training providers, regulators, operators and community interfaces needed to govern Embedding climate variability in hydropower design.</x:v>
      </x:c>
      <x:c r="AJ366" s="2" t="str">
        <x:v>The orgware supporting Embedding climate variability in hydropower design has mainly indirect energy use from offices, meetings, training and information systems; travel and field supervision may be material at dispersed sites.</x:v>
      </x:c>
      <x:c r="AK366" s="2" t="str">
        <x:v>Its organisational inputs are permits, budgets, trained staff, competence records, contracts, procedures, safeguards, monitoring evidence and stakeholder agreements tailored to Embedding climate variability in hydropower design.</x:v>
      </x:c>
      <x:c r="AL366" s="2" t="str">
        <x:v>Sustained implementation of Embedding climate variability in hydropower design requires procurement and service contracts, audit protocols, training material, reporting templates, insurance or guarantees and periodic independent review.</x:v>
      </x:c>
      <x:c r="AM366" s="2" t="str">
        <x:v>Iron ore / steel inputs</x:v>
      </x:c>
      <x:c r="AN366" s="2" t="str">
        <x:v>Australia; Brazil; China</x:v>
      </x:c>
      <x:c r="AO366" s="2" t="str">
        <x:v>China; India; Japan</x:v>
      </x:c>
      <x:c r="AP366" s="2" t="str">
        <x:v>Embedding climate variability in hydropower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6" s="2" t="str">
        <x:v>2024–2025</x:v>
      </x:c>
      <x:c r="AR366" s="2" t="str">
        <x:v>https://pubs.usgs.gov/periodicals/mcs2026/mcs2026.pdf</x:v>
      </x:c>
    </x:row>
    <x:row r="367" ht="240" customHeight="1">
      <x:c r="A367" s="2" t="str">
        <x:v>ADP-0097</x:v>
      </x:c>
      <x:c r="B367" s="2" t="str">
        <x:v>Adaptation</x:v>
      </x:c>
      <x:c r="C367" s="2" t="str">
        <x:v>Water</x:v>
      </x:c>
      <x:c r="D367" s="2" t="str">
        <x:v>Water pollution</x:v>
      </x:c>
      <x:c r="E367" s="2" t="str">
        <x:v>Point of use water treatment</x:v>
      </x:c>
      <x:c r="F367" s="2" t="str">
        <x:v>Point of use water treatment is a adaptation technology in the Water sector and the Water pollution technology group. It is defined as a combined hardware–software–orgware system that manages water quantity, quality, timing or exposure through demand reduction, capture, storage, treatment, allocation, hydraulic protection and ecosystem functions. Point of use water treatment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67" s="2" t="str">
        <x:v>Mixed: adaptable design, site-specific implementation</x:v>
      </x:c>
      <x:c r="H367" s="2" t="str">
        <x:v>Point of use water treatment is adaptable in capacity and configuration but site-specific in final engineering. Its principle remains the same, but resource quality, climate, scale, interfaces and safety constraints must be recalculated for each deployment.</x:v>
      </x:c>
      <x:c r="I367" s="2" t="str">
        <x:v>Primarily hard, with a soft component</x:v>
      </x:c>
      <x:c r="J367" s="2" t="str">
        <x:v>Point of use water treatment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67" s="2" t="str">
        <x:v>Equipment and operation</x:v>
      </x:c>
      <x:c r="L367" s="2" t="str">
        <x:v>Point of use water treatment is embodied mainly as an equipment-and-operation system. The deliverable is accepted only when measurable service, quality, safety and climate-performance criteria are met under real conditions.</x:v>
      </x:c>
      <x:c r="M367" s="2" t="str">
        <x:v>Yes, subject to life-cycle safeguards</x:v>
      </x:c>
      <x:c r="N367" s="2" t="str">
        <x:v>Point of use water treatment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67" s="2" t="str">
        <x:v>Point of use water treatment: intakes, pipes, pumps, meters, valves, tanks, treatment units, drainage or flood structures, monitoring stations and nature-based elements as applicable.</x:v>
      </x:c>
      <x:c r="P367" s="2" t="str">
        <x:v>Point of use water treatment: water balance, hydraulic and hydrological modelling, demand forecasting, water-quality analysis, asset management, drought or flood rules and decision support.</x:v>
      </x:c>
      <x:c r="Q367" s="2" t="str">
        <x:v>Point of use water treatment: water rights and permits, utility responsibilities, basin governance, service standards, emergency protocols, tariffs, maintenance funding and stakeholder agreements.</x:v>
      </x:c>
      <x:c r="R367" s="2" t="str">
        <x:v>Point of use water treatment: catchment or coast, treatment and storage sites, conveyance and drainage network, power supply, laboratory, control room and safe access.</x:v>
      </x:c>
      <x:c r="S367" s="2" t="str">
        <x:v>Point of use water treatment: electricity or fuel for pumping, aeration, desalination, treatment and controls; gravity and ecosystem processes can reduce auxiliary demand.</x:v>
      </x:c>
      <x:c r="T367" s="2" t="str">
        <x:v>Point of use water treatment: concrete, steel, ductile iron or polymers, filter media, membranes, treatment chemicals, geotextiles, soil, rock and vegetation according to the measure.</x:v>
      </x:c>
      <x:c r="U367" s="2" t="str">
        <x:v>Point of use water treatment: pump and valve parts, seals, meters, sensors, membranes, lamps, filter media, dosing equipment, reagents and erosion-control materials.</x:v>
      </x:c>
      <x:c r="V367" s="2" t="str">
        <x:v>https://www.ctc-n.org/sites/default/files/resources/ctcn_taxonomy_0.pdf</x:v>
      </x:c>
      <x:c r="W367" s="2" t="str">
        <x:v>https://institutoagricoladepueblobello.edu.co/colegiapp/archivostemas/GUIA%209.%5B25%5D.pdf</x:v>
      </x:c>
      <x:c r="X367" s="2" t="str">
        <x:v>https://iiasa.ac.at/what-is-technology</x:v>
      </x:c>
      <x:c r="Y367" s="2" t="str">
        <x:v>https://www.unwater.org/water-facts/climate-change</x:v>
      </x:c>
      <x:c r="Z367" s="2" t="str">
        <x:v>Technology-specific analytical synthesis. The CTCN hierarchy is retained; classifications and component dependencies require validation against the selected design, site and supplier documentation before investment or policy use.</x:v>
      </x:c>
      <x:c r="AA367" s="2" t="str">
        <x:v>Physical deployment of Point of use water treatment requires catchment or coast, treatment and storage sites, conveyance and drainage network, power supply, laboratory, control room and safe access; interfaces, foundations, access and environmental protection are sized to the specific resource and design load.</x:v>
      </x:c>
      <x:c r="AB367" s="2" t="str">
        <x:v>For Point of use water treatment,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67" s="2" t="str">
        <x:v>Construction and operation use concrete, steel, ductile iron or polymers, filter media, membranes, treatment chemicals, geotextiles, soil, rock and vegetation according to the measure. For Point of use water treatment, specifications must include durability, compatibility, recycled content and recoverability.</x:v>
      </x:c>
      <x:c r="AD367" s="2" t="str">
        <x:v>Maintenance of Point of use water treatment depends on pump and valve parts, seals, meters, sensors, membranes, lamps, filter media, dosing equipment, reagents and erosion-control materials; critical spares are selected from failure-mode, lead-time and safety analysis for its installed configuration.</x:v>
      </x:c>
      <x:c r="AE367" s="2" t="str">
        <x:v>The software stack for Point of use water treatment requires databases, secure communications, version-controlled models, computing, backup and interfaces with field or operational systems.</x:v>
      </x:c>
      <x:c r="AF367" s="2" t="str">
        <x:v>For Point of use water treatment, software-related energy is electricity for sensing, computing, storage, communication and cooling; it is normally secondary but must be included for data-intensive or continuous services.</x:v>
      </x:c>
      <x:c r="AG367" s="2" t="str">
        <x:v>The non-physical inputs are calibrated data, metadata, algorithms, boundary conditions, emission or hazard factors, manuals and validation records specific to Point of use water treatment.</x:v>
      </x:c>
      <x:c r="AH367" s="2" t="str">
        <x:v>Software continuity for Point of use water treatment requires licences where applicable, updates, cybersecurity patches, backups, calibration files, model validation and technical support.</x:v>
      </x:c>
      <x:c r="AI367" s="2" t="str">
        <x:v>Orgware depends on the institutions, laboratories, training providers, regulators, operators and community interfaces needed to govern Point of use water treatment.</x:v>
      </x:c>
      <x:c r="AJ367" s="2" t="str">
        <x:v>The orgware supporting Point of use water treatment has mainly indirect energy use from offices, meetings, training and information systems; travel and field supervision may be material at dispersed sites.</x:v>
      </x:c>
      <x:c r="AK367" s="2" t="str">
        <x:v>Its organisational inputs are permits, budgets, trained staff, competence records, contracts, procedures, safeguards, monitoring evidence and stakeholder agreements tailored to Point of use water treatment.</x:v>
      </x:c>
      <x:c r="AL367" s="2" t="str">
        <x:v>Sustained implementation of Point of use water treatment requires procurement and service contracts, audit protocols, training material, reporting templates, insurance or guarantees and periodic independent review.</x:v>
      </x:c>
      <x:c r="AM367" s="2" t="str">
        <x:v>Iron ore / steel inputs</x:v>
      </x:c>
      <x:c r="AN367" s="2" t="str">
        <x:v>Australia; Brazil; China</x:v>
      </x:c>
      <x:c r="AO367" s="2" t="str">
        <x:v>China; India; Japan</x:v>
      </x:c>
      <x:c r="AP367" s="2" t="str">
        <x:v>Point of use water treatment: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7" s="2" t="str">
        <x:v>2024–2025</x:v>
      </x:c>
      <x:c r="AR367" s="2" t="str">
        <x:v>https://pubs.usgs.gov/periodicals/mcs2026/mcs2026.pdf</x:v>
      </x:c>
    </x:row>
    <x:row r="368" ht="240" customHeight="1">
      <x:c r="A368" s="2" t="str">
        <x:v>ADP-0098</x:v>
      </x:c>
      <x:c r="B368" s="2" t="str">
        <x:v>Adaptation</x:v>
      </x:c>
      <x:c r="C368" s="2" t="str">
        <x:v>Water</x:v>
      </x:c>
      <x:c r="D368" s="2" t="str">
        <x:v>Water pollution</x:v>
      </x:c>
      <x:c r="E368" s="2" t="str">
        <x:v>Domestic water treatment &amp; management</x:v>
      </x:c>
      <x:c r="F368" s="2" t="str">
        <x:v>Domestic water treatment &amp; management is a adaptation technology in the Water sector and the Water pollution technology group. It is defined as a combined hardware–software–orgware system that manages water quantity, quality, timing or exposure through demand reduction, capture, storage, treatment, allocation, hydraulic protection and ecosystem functions. Domestic water treatment &amp;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68" s="2" t="str">
        <x:v>Flexible</x:v>
      </x:c>
      <x:c r="H368" s="2" t="str">
        <x:v>Domestic water treatment &amp; management is transferable through configurable methods, rules and operating parameters. Its principle remains the same, but resource quality, climate, scale, interfaces and safety constraints must be recalculated for each deployment.</x:v>
      </x:c>
      <x:c r="I368" s="2" t="str">
        <x:v>Primarily soft, with physical support</x:v>
      </x:c>
      <x:c r="J368" s="2" t="str">
        <x:v>Domestic water treatment &amp; management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68" s="2" t="str">
        <x:v>Operation</x:v>
      </x:c>
      <x:c r="L368" s="2" t="str">
        <x:v>Domestic water treatment &amp; management is embodied mainly as an operating practice. The deliverable is accepted only when measurable service, quality, safety and climate-performance criteria are met under real conditions.</x:v>
      </x:c>
      <x:c r="M368" s="2" t="str">
        <x:v>Yes, subject to life-cycle safeguards</x:v>
      </x:c>
      <x:c r="N368" s="2" t="str">
        <x:v>Domestic water treatment &amp; management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68" s="2" t="str">
        <x:v>Domestic water treatment &amp; management: intakes, pipes, pumps, meters, valves, tanks, treatment units, drainage or flood structures, monitoring stations and nature-based elements as applicable.</x:v>
      </x:c>
      <x:c r="P368" s="2" t="str">
        <x:v>Domestic water treatment &amp; management: water balance, hydraulic and hydrological modelling, demand forecasting, water-quality analysis, asset management, drought or flood rules and decision support.</x:v>
      </x:c>
      <x:c r="Q368" s="2" t="str">
        <x:v>Domestic water treatment &amp; management: water rights and permits, utility responsibilities, basin governance, service standards, emergency protocols, tariffs, maintenance funding and stakeholder agreements.</x:v>
      </x:c>
      <x:c r="R368" s="2" t="str">
        <x:v>Domestic water treatment &amp; management: catchment or coast, treatment and storage sites, conveyance and drainage network, power supply, laboratory, control room and safe access.</x:v>
      </x:c>
      <x:c r="S368" s="2" t="str">
        <x:v>Domestic water treatment &amp; management: electricity or fuel for pumping, aeration, desalination, treatment and controls; gravity and ecosystem processes can reduce auxiliary demand.</x:v>
      </x:c>
      <x:c r="T368" s="2" t="str">
        <x:v>Domestic water treatment &amp; management: concrete, steel, ductile iron or polymers, filter media, membranes, treatment chemicals, geotextiles, soil, rock and vegetation according to the measure.</x:v>
      </x:c>
      <x:c r="U368" s="2" t="str">
        <x:v>Domestic water treatment &amp; management: pump and valve parts, seals, meters, sensors, membranes, lamps, filter media, dosing equipment, reagents and erosion-control materials.</x:v>
      </x:c>
      <x:c r="V368" s="2" t="str">
        <x:v>https://www.ctc-n.org/sites/default/files/resources/ctcn_taxonomy_0.pdf</x:v>
      </x:c>
      <x:c r="W368" s="2" t="str">
        <x:v>https://institutoagricoladepueblobello.edu.co/colegiapp/archivostemas/GUIA%209.%5B25%5D.pdf</x:v>
      </x:c>
      <x:c r="X368" s="2" t="str">
        <x:v>https://iiasa.ac.at/what-is-technology</x:v>
      </x:c>
      <x:c r="Y368" s="2" t="str">
        <x:v>https://www.unwater.org/water-facts/climate-change</x:v>
      </x:c>
      <x:c r="Z368" s="2" t="str">
        <x:v>Technology-specific analytical synthesis. The CTCN hierarchy is retained; classifications and component dependencies require validation against the selected design, site and supplier documentation before investment or policy use.</x:v>
      </x:c>
      <x:c r="AA368" s="2" t="str">
        <x:v>Physical deployment of Domestic water treatment &amp; management requires catchment or coast, treatment and storage sites, conveyance and drainage network, power supply, laboratory, control room and safe access; interfaces, foundations, access and environmental protection are sized to the specific resource and design load.</x:v>
      </x:c>
      <x:c r="AB368" s="2" t="str">
        <x:v>For Domestic water treatment &amp; management,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68" s="2" t="str">
        <x:v>Construction and operation use concrete, steel, ductile iron or polymers, filter media, membranes, treatment chemicals, geotextiles, soil, rock and vegetation according to the measure. For Domestic water treatment &amp; management, specifications must include durability, compatibility, recycled content and recoverability.</x:v>
      </x:c>
      <x:c r="AD368" s="2" t="str">
        <x:v>Maintenance of Domestic water treatment &amp; management depends on pump and valve parts, seals, meters, sensors, membranes, lamps, filter media, dosing equipment, reagents and erosion-control materials; critical spares are selected from failure-mode, lead-time and safety analysis for its installed configuration.</x:v>
      </x:c>
      <x:c r="AE368" s="2" t="str">
        <x:v>The software stack for Domestic water treatment &amp; management requires databases, secure communications, version-controlled models, computing, backup and interfaces with field or operational systems.</x:v>
      </x:c>
      <x:c r="AF368" s="2" t="str">
        <x:v>For Domestic water treatment &amp; management, software-related energy is electricity for sensing, computing, storage, communication and cooling; it is normally secondary but must be included for data-intensive or continuous services.</x:v>
      </x:c>
      <x:c r="AG368" s="2" t="str">
        <x:v>The non-physical inputs are calibrated data, metadata, algorithms, boundary conditions, emission or hazard factors, manuals and validation records specific to Domestic water treatment &amp; management.</x:v>
      </x:c>
      <x:c r="AH368" s="2" t="str">
        <x:v>Software continuity for Domestic water treatment &amp; management requires licences where applicable, updates, cybersecurity patches, backups, calibration files, model validation and technical support.</x:v>
      </x:c>
      <x:c r="AI368" s="2" t="str">
        <x:v>Orgware depends on the institutions, laboratories, training providers, regulators, operators and community interfaces needed to govern Domestic water treatment &amp; management.</x:v>
      </x:c>
      <x:c r="AJ368" s="2" t="str">
        <x:v>The orgware supporting Domestic water treatment &amp; management has mainly indirect energy use from offices, meetings, training and information systems; travel and field supervision may be material at dispersed sites.</x:v>
      </x:c>
      <x:c r="AK368" s="2" t="str">
        <x:v>Its organisational inputs are permits, budgets, trained staff, competence records, contracts, procedures, safeguards, monitoring evidence and stakeholder agreements tailored to Domestic water treatment &amp; management.</x:v>
      </x:c>
      <x:c r="AL368" s="2" t="str">
        <x:v>Sustained implementation of Domestic water treatment &amp; management requires procurement and service contracts, audit protocols, training material, reporting templates, insurance or guarantees and periodic independent review.</x:v>
      </x:c>
      <x:c r="AM368" s="2" t="str">
        <x:v>No critical or strategic raw material is identifiable at taxonomy level; site-specific bulk materials may still be required.</x:v>
      </x:c>
      <x:c r="AN368" s="2" t="str"/>
      <x:c r="AO368" s="2" t="str"/>
      <x:c r="AP368" s="2" t="str">
        <x:v>Domestic water treatment &amp;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8" s="2" t="str">
        <x:v>2024–2025</x:v>
      </x:c>
      <x:c r="AR368" s="2" t="str">
        <x:v>https://pubs.usgs.gov/periodicals/mcs2026/mcs2026.pdf</x:v>
      </x:c>
    </x:row>
    <x:row r="369" ht="240" customHeight="1">
      <x:c r="A369" s="2" t="str">
        <x:v>ADP-0099</x:v>
      </x:c>
      <x:c r="B369" s="2" t="str">
        <x:v>Adaptation</x:v>
      </x:c>
      <x:c r="C369" s="2" t="str">
        <x:v>Water</x:v>
      </x:c>
      <x:c r="D369" s="2" t="str">
        <x:v>Water pollution</x:v>
      </x:c>
      <x:c r="E369" s="2" t="str">
        <x:v>Wastewater treatment plant</x:v>
      </x:c>
      <x:c r="F369" s="2" t="str">
        <x:v>Wastewater treatment plant is a adaptation technology in the Water sector and the Water pollution technology group. It is defined as a combined hardware–software–orgware system that controls biological or thermochemical conversion of biomass, residues, solid waste or wastewater to avoid methane, recover materials and energy, or stabilise organic matter. Wastewater treatment plant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369" s="2" t="str">
        <x:v>Primarily fixed</x:v>
      </x:c>
      <x:c r="H369" s="2" t="str">
        <x:v>Wastewater treatment plant is tied to long-lived, site-specific assets and design loads. Its principle remains the same, but resource quality, climate, scale, interfaces and safety constraints must be recalculated for each deployment.</x:v>
      </x:c>
      <x:c r="I369" s="2" t="str">
        <x:v>Primarily hard, with a soft component</x:v>
      </x:c>
      <x:c r="J369" s="2" t="str">
        <x:v>Wastewater treatment plant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369" s="2" t="str">
        <x:v>Equipment and operation</x:v>
      </x:c>
      <x:c r="L369" s="2" t="str">
        <x:v>Wastewater treatment plant is embodied mainly as an equipment-and-operation system. The deliverable is accepted only when measurable service, quality, safety and climate-performance criteria are met under real conditions.</x:v>
      </x:c>
      <x:c r="M369" s="2" t="str">
        <x:v>Yes, subject to life-cycle safeguards</x:v>
      </x:c>
      <x:c r="N369" s="2" t="str">
        <x:v>Wastewater treatment plant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369" s="2" t="str">
        <x:v>Wastewater treatment plant: collection and sorting equipment, reactors or digesters, aeration, gas handling, thermal conversion, pollution control and product conditioning.</x:v>
      </x:c>
      <x:c r="P369" s="2" t="str">
        <x:v>Wastewater treatment plant: feedstock characterisation, mass balances, biological or thermal process control, methane accounting, quality assurance and logistics optimisation.</x:v>
      </x:c>
      <x:c r="Q369" s="2" t="str">
        <x:v>Wastewater treatment plant: waste hierarchy, source separation, collection contracts, emission permits, digestate or product standards, occupational safety and informal-sector inclusion.</x:v>
      </x:c>
      <x:c r="R369" s="2" t="str">
        <x:v>Wastewater treatment plant: collection network, transfer and treatment sites, weighbridge, drainage, electricity or heat connection, gas line and residue disposal.</x:v>
      </x:c>
      <x:c r="S369" s="2" t="str">
        <x:v>Wastewater treatment plant: electricity, process heat or auxiliary fuel; recovered biogas, syngas, heat or electricity may offset external energy.</x:v>
      </x:c>
      <x:c r="T369" s="2" t="str">
        <x:v>Wastewater treatment plant: steel, concrete, polymers, filters, catalysts or sorbents, biological inoculum and treatment chemicals according to the process.</x:v>
      </x:c>
      <x:c r="U369" s="2" t="str">
        <x:v>Wastewater treatment plant: pumps, screens, blowers, mixers, seals, burners, analysers, filter media, reagents and personal protective equipment.</x:v>
      </x:c>
      <x:c r="V369" s="2" t="str">
        <x:v>https://www.ctc-n.org/sites/default/files/resources/ctcn_taxonomy_0.pdf</x:v>
      </x:c>
      <x:c r="W369" s="2" t="str">
        <x:v>https://institutoagricoladepueblobello.edu.co/colegiapp/archivostemas/GUIA%209.%5B25%5D.pdf</x:v>
      </x:c>
      <x:c r="X369" s="2" t="str">
        <x:v>https://iiasa.ac.at/what-is-technology</x:v>
      </x:c>
      <x:c r="Y369" s="2" t="str">
        <x:v>https://www.unwater.org/water-facts/climate-change; https://www.unep.org/resources/report/global-waste-management-outlook-2024</x:v>
      </x:c>
      <x:c r="Z369" s="2" t="str">
        <x:v>Technology-specific analytical synthesis. The CTCN hierarchy is retained; classifications and component dependencies require validation against the selected design, site and supplier documentation before investment or policy use.</x:v>
      </x:c>
      <x:c r="AA369" s="2" t="str">
        <x:v>Physical deployment of Wastewater treatment plant requires collection network, transfer and treatment sites, weighbridge, drainage, electricity or heat connection, gas line and residue disposal; interfaces, foundations, access and environmental protection are sized to the specific resource and design load.</x:v>
      </x:c>
      <x:c r="AB369" s="2" t="str">
        <x:v>For Wastewater treatment plant, the hardware energy balance comprises electricity, process heat or auxiliary fuel; recovered biogas, syngas, heat or electricity may offset external energy; metering must separate useful output, conversion losses and auxiliaries for the selected design.</x:v>
      </x:c>
      <x:c r="AC369" s="2" t="str">
        <x:v>Construction and operation use steel, concrete, polymers, filters, catalysts or sorbents, biological inoculum and treatment chemicals according to the process. For Wastewater treatment plant, specifications must include durability, compatibility, recycled content and recoverability.</x:v>
      </x:c>
      <x:c r="AD369" s="2" t="str">
        <x:v>Maintenance of Wastewater treatment plant depends on pumps, screens, blowers, mixers, seals, burners, analysers, filter media, reagents and personal protective equipment; critical spares are selected from failure-mode, lead-time and safety analysis for its installed configuration.</x:v>
      </x:c>
      <x:c r="AE369" s="2" t="str">
        <x:v>The software stack for Wastewater treatment plant requires databases, secure communications, version-controlled models, computing, backup and interfaces with field or operational systems.</x:v>
      </x:c>
      <x:c r="AF369" s="2" t="str">
        <x:v>For Wastewater treatment plant, software-related energy is electricity for sensing, computing, storage, communication and cooling; it is normally secondary but must be included for data-intensive or continuous services.</x:v>
      </x:c>
      <x:c r="AG369" s="2" t="str">
        <x:v>The non-physical inputs are calibrated data, metadata, algorithms, boundary conditions, emission or hazard factors, manuals and validation records specific to Wastewater treatment plant.</x:v>
      </x:c>
      <x:c r="AH369" s="2" t="str">
        <x:v>Software continuity for Wastewater treatment plant requires licences where applicable, updates, cybersecurity patches, backups, calibration files, model validation and technical support.</x:v>
      </x:c>
      <x:c r="AI369" s="2" t="str">
        <x:v>Orgware depends on the institutions, laboratories, training providers, regulators, operators and community interfaces needed to govern Wastewater treatment plant.</x:v>
      </x:c>
      <x:c r="AJ369" s="2" t="str">
        <x:v>The orgware supporting Wastewater treatment plant has mainly indirect energy use from offices, meetings, training and information systems; travel and field supervision may be material at dispersed sites.</x:v>
      </x:c>
      <x:c r="AK369" s="2" t="str">
        <x:v>Its organisational inputs are permits, budgets, trained staff, competence records, contracts, procedures, safeguards, monitoring evidence and stakeholder agreements tailored to Wastewater treatment plant.</x:v>
      </x:c>
      <x:c r="AL369" s="2" t="str">
        <x:v>Sustained implementation of Wastewater treatment plant requires procurement and service contracts, audit protocols, training material, reporting templates, insurance or guarantees and periodic independent review.</x:v>
      </x:c>
      <x:c r="AM369" s="2" t="str">
        <x:v>Iron ore / steel inputs; Nickel; Chromium</x:v>
      </x:c>
      <x:c r="AN369" s="2" t="str">
        <x:v>Australia; Brazil; China; Indonesia; Philippines; Russia; South Africa; Kazakhstan; Turkey</x:v>
      </x:c>
      <x:c r="AO369" s="2" t="str">
        <x:v>China; India; Japan; Indonesia; South Africa; Kazakhstan</x:v>
      </x:c>
      <x:c r="AP369" s="2" t="str">
        <x:v>Wastewater treatment plant: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9" s="2" t="str">
        <x:v>2024–2025</x:v>
      </x:c>
      <x:c r="AR369" s="2" t="str">
        <x:v>https://pubs.usgs.gov/periodicals/mcs2026/mcs2026.pdf; https://www.iea.org/reports/global-critical-minerals-outlook-2025</x:v>
      </x:c>
    </x:row>
    <x:row r="370" ht="240" customHeight="1">
      <x:c r="A370" s="2" t="str">
        <x:v>ADP-0100</x:v>
      </x:c>
      <x:c r="B370" s="2" t="str">
        <x:v>Adaptation</x:v>
      </x:c>
      <x:c r="C370" s="2" t="str">
        <x:v>Water</x:v>
      </x:c>
      <x:c r="D370" s="2" t="str">
        <x:v>Water pollution</x:v>
      </x:c>
      <x:c r="E370" s="2" t="str">
        <x:v>Flood-proof sanitary latrines</x:v>
      </x:c>
      <x:c r="F370" s="2" t="str">
        <x:v>Flood-proof sanitary latrines is a adaptation technology in the Water sector and the Water pollution technology group. It is defined as a combined hardware–software–orgware system that manages water quantity, quality, timing or exposure through demand reduction, capture, storage, treatment, allocation, hydraulic protection and ecosystem functions. Flood-proof sanitary latrines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0" s="2" t="str">
        <x:v>Mixed: adaptable design, site-specific implementation</x:v>
      </x:c>
      <x:c r="H370" s="2" t="str">
        <x:v>Flood-proof sanitary latrines is adaptable in capacity and configuration but site-specific in final engineering. Its principle remains the same, but resource quality, climate, scale, interfaces and safety constraints must be recalculated for each deployment.</x:v>
      </x:c>
      <x:c r="I370" s="2" t="str">
        <x:v>Primarily hard, with a soft component</x:v>
      </x:c>
      <x:c r="J370" s="2" t="str">
        <x:v>Flood-proof sanitary latrines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0" s="2" t="str">
        <x:v>Equipment and operation</x:v>
      </x:c>
      <x:c r="L370" s="2" t="str">
        <x:v>Flood-proof sanitary latrines is embodied mainly as an equipment-and-operation system. The deliverable is accepted only when measurable service, quality, safety and climate-performance criteria are met under real conditions.</x:v>
      </x:c>
      <x:c r="M370" s="2" t="str">
        <x:v>Yes, subject to life-cycle safeguards</x:v>
      </x:c>
      <x:c r="N370" s="2" t="str">
        <x:v>Flood-proof sanitary latrines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0" s="2" t="str">
        <x:v>Flood-proof sanitary latrines: intakes, pipes, pumps, meters, valves, tanks, treatment units, drainage or flood structures, monitoring stations and nature-based elements as applicable.</x:v>
      </x:c>
      <x:c r="P370" s="2" t="str">
        <x:v>Flood-proof sanitary latrines: water balance, hydraulic and hydrological modelling, demand forecasting, water-quality analysis, asset management, drought or flood rules and decision support.</x:v>
      </x:c>
      <x:c r="Q370" s="2" t="str">
        <x:v>Flood-proof sanitary latrines: water rights and permits, utility responsibilities, basin governance, service standards, emergency protocols, tariffs, maintenance funding and stakeholder agreements.</x:v>
      </x:c>
      <x:c r="R370" s="2" t="str">
        <x:v>Flood-proof sanitary latrines: catchment or coast, treatment and storage sites, conveyance and drainage network, power supply, laboratory, control room and safe access.</x:v>
      </x:c>
      <x:c r="S370" s="2" t="str">
        <x:v>Flood-proof sanitary latrines: electricity or fuel for pumping, aeration, desalination, treatment and controls; gravity and ecosystem processes can reduce auxiliary demand.</x:v>
      </x:c>
      <x:c r="T370" s="2" t="str">
        <x:v>Flood-proof sanitary latrines: concrete, steel, ductile iron or polymers, filter media, membranes, treatment chemicals, geotextiles, soil, rock and vegetation according to the measure.</x:v>
      </x:c>
      <x:c r="U370" s="2" t="str">
        <x:v>Flood-proof sanitary latrines: pump and valve parts, seals, meters, sensors, membranes, lamps, filter media, dosing equipment, reagents and erosion-control materials.</x:v>
      </x:c>
      <x:c r="V370" s="2" t="str">
        <x:v>https://www.ctc-n.org/sites/default/files/resources/ctcn_taxonomy_0.pdf</x:v>
      </x:c>
      <x:c r="W370" s="2" t="str">
        <x:v>https://institutoagricoladepueblobello.edu.co/colegiapp/archivostemas/GUIA%209.%5B25%5D.pdf</x:v>
      </x:c>
      <x:c r="X370" s="2" t="str">
        <x:v>https://iiasa.ac.at/what-is-technology</x:v>
      </x:c>
      <x:c r="Y370" s="2" t="str">
        <x:v>https://www.unwater.org/water-facts/climate-change</x:v>
      </x:c>
      <x:c r="Z370" s="2" t="str">
        <x:v>Technology-specific analytical synthesis. The CTCN hierarchy is retained; classifications and component dependencies require validation against the selected design, site and supplier documentation before investment or policy use.</x:v>
      </x:c>
      <x:c r="AA370" s="2" t="str">
        <x:v>Physical deployment of Flood-proof sanitary latrines requires catchment or coast, treatment and storage sites, conveyance and drainage network, power supply, laboratory, control room and safe access; interfaces, foundations, access and environmental protection are sized to the specific resource and design load.</x:v>
      </x:c>
      <x:c r="AB370" s="2" t="str">
        <x:v>For Flood-proof sanitary latrines,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0" s="2" t="str">
        <x:v>Construction and operation use concrete, steel, ductile iron or polymers, filter media, membranes, treatment chemicals, geotextiles, soil, rock and vegetation according to the measure. For Flood-proof sanitary latrines, specifications must include durability, compatibility, recycled content and recoverability.</x:v>
      </x:c>
      <x:c r="AD370" s="2" t="str">
        <x:v>Maintenance of Flood-proof sanitary latrines depends on pump and valve parts, seals, meters, sensors, membranes, lamps, filter media, dosing equipment, reagents and erosion-control materials; critical spares are selected from failure-mode, lead-time and safety analysis for its installed configuration.</x:v>
      </x:c>
      <x:c r="AE370" s="2" t="str">
        <x:v>The software stack for Flood-proof sanitary latrines requires databases, secure communications, version-controlled models, computing, backup and interfaces with field or operational systems.</x:v>
      </x:c>
      <x:c r="AF370" s="2" t="str">
        <x:v>For Flood-proof sanitary latrines, software-related energy is electricity for sensing, computing, storage, communication and cooling; it is normally secondary but must be included for data-intensive or continuous services.</x:v>
      </x:c>
      <x:c r="AG370" s="2" t="str">
        <x:v>The non-physical inputs are calibrated data, metadata, algorithms, boundary conditions, emission or hazard factors, manuals and validation records specific to Flood-proof sanitary latrines.</x:v>
      </x:c>
      <x:c r="AH370" s="2" t="str">
        <x:v>Software continuity for Flood-proof sanitary latrines requires licences where applicable, updates, cybersecurity patches, backups, calibration files, model validation and technical support.</x:v>
      </x:c>
      <x:c r="AI370" s="2" t="str">
        <x:v>Orgware depends on the institutions, laboratories, training providers, regulators, operators and community interfaces needed to govern Flood-proof sanitary latrines.</x:v>
      </x:c>
      <x:c r="AJ370" s="2" t="str">
        <x:v>The orgware supporting Flood-proof sanitary latrines has mainly indirect energy use from offices, meetings, training and information systems; travel and field supervision may be material at dispersed sites.</x:v>
      </x:c>
      <x:c r="AK370" s="2" t="str">
        <x:v>Its organisational inputs are permits, budgets, trained staff, competence records, contracts, procedures, safeguards, monitoring evidence and stakeholder agreements tailored to Flood-proof sanitary latrines.</x:v>
      </x:c>
      <x:c r="AL370" s="2" t="str">
        <x:v>Sustained implementation of Flood-proof sanitary latrines requires procurement and service contracts, audit protocols, training material, reporting templates, insurance or guarantees and periodic independent review.</x:v>
      </x:c>
      <x:c r="AM370" s="2" t="str">
        <x:v>Iron ore / steel inputs</x:v>
      </x:c>
      <x:c r="AN370" s="2" t="str">
        <x:v>Australia; Brazil; China</x:v>
      </x:c>
      <x:c r="AO370" s="2" t="str">
        <x:v>China; India; Japan</x:v>
      </x:c>
      <x:c r="AP370" s="2" t="str">
        <x:v>Flood-proof sanitary latrines: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0" s="2" t="str">
        <x:v>2024–2025</x:v>
      </x:c>
      <x:c r="AR370" s="2" t="str">
        <x:v>https://pubs.usgs.gov/periodicals/mcs2026/mcs2026.pdf</x:v>
      </x:c>
    </x:row>
    <x:row r="371" ht="240" customHeight="1">
      <x:c r="A371" s="2" t="str">
        <x:v>ADP-0101</x:v>
      </x:c>
      <x:c r="B371" s="2" t="str">
        <x:v>Adaptation</x:v>
      </x:c>
      <x:c r="C371" s="2" t="str">
        <x:v>Water</x:v>
      </x:c>
      <x:c r="D371" s="2" t="str">
        <x:v>Water pollution</x:v>
      </x:c>
      <x:c r="E371" s="2" t="str">
        <x:v>Water Safety Plans</x:v>
      </x:c>
      <x:c r="F371" s="2" t="str">
        <x:v>Water Safety Plans is a adaptation technology in the Water sector and the Water pollution technology group. It is defined as a combined hardware–software–orgware system that manages water quantity, quality, timing or exposure through demand reduction, capture, storage, treatment, allocation, hydraulic protection and ecosystem functions. Water Safety Plans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1" s="2" t="str">
        <x:v>Mixed: adaptable design, site-specific implementation</x:v>
      </x:c>
      <x:c r="H371" s="2" t="str">
        <x:v>Water Safety Plans is adaptable in capacity and configuration but site-specific in final engineering. Its principle remains the same, but resource quality, climate, scale, interfaces and safety constraints must be recalculated for each deployment.</x:v>
      </x:c>
      <x:c r="I371" s="2" t="str">
        <x:v>Primarily hard, with a soft component</x:v>
      </x:c>
      <x:c r="J371" s="2" t="str">
        <x:v>Water Safety Plans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1" s="2" t="str">
        <x:v>Equipment and operation</x:v>
      </x:c>
      <x:c r="L371" s="2" t="str">
        <x:v>Water Safety Plans is embodied mainly as an equipment-and-operation system. The deliverable is accepted only when measurable service, quality, safety and climate-performance criteria are met under real conditions.</x:v>
      </x:c>
      <x:c r="M371" s="2" t="str">
        <x:v>Yes, subject to life-cycle safeguards</x:v>
      </x:c>
      <x:c r="N371" s="2" t="str">
        <x:v>Water Safety Plans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1" s="2" t="str">
        <x:v>Water Safety Plans: intakes, pipes, pumps, meters, valves, tanks, treatment units, drainage or flood structures, monitoring stations and nature-based elements as applicable.</x:v>
      </x:c>
      <x:c r="P371" s="2" t="str">
        <x:v>Water Safety Plans: water balance, hydraulic and hydrological modelling, demand forecasting, water-quality analysis, asset management, drought or flood rules and decision support.</x:v>
      </x:c>
      <x:c r="Q371" s="2" t="str">
        <x:v>Water Safety Plans: water rights and permits, utility responsibilities, basin governance, service standards, emergency protocols, tariffs, maintenance funding and stakeholder agreements.</x:v>
      </x:c>
      <x:c r="R371" s="2" t="str">
        <x:v>Water Safety Plans: catchment or coast, treatment and storage sites, conveyance and drainage network, power supply, laboratory, control room and safe access.</x:v>
      </x:c>
      <x:c r="S371" s="2" t="str">
        <x:v>Water Safety Plans: electricity or fuel for pumping, aeration, desalination, treatment and controls; gravity and ecosystem processes can reduce auxiliary demand.</x:v>
      </x:c>
      <x:c r="T371" s="2" t="str">
        <x:v>Water Safety Plans: concrete, steel, ductile iron or polymers, filter media, membranes, treatment chemicals, geotextiles, soil, rock and vegetation according to the measure.</x:v>
      </x:c>
      <x:c r="U371" s="2" t="str">
        <x:v>Water Safety Plans: pump and valve parts, seals, meters, sensors, membranes, lamps, filter media, dosing equipment, reagents and erosion-control materials.</x:v>
      </x:c>
      <x:c r="V371" s="2" t="str">
        <x:v>https://www.ctc-n.org/sites/default/files/resources/ctcn_taxonomy_0.pdf</x:v>
      </x:c>
      <x:c r="W371" s="2" t="str">
        <x:v>https://institutoagricoladepueblobello.edu.co/colegiapp/archivostemas/GUIA%209.%5B25%5D.pdf</x:v>
      </x:c>
      <x:c r="X371" s="2" t="str">
        <x:v>https://iiasa.ac.at/what-is-technology</x:v>
      </x:c>
      <x:c r="Y371" s="2" t="str">
        <x:v>https://www.unwater.org/water-facts/climate-change</x:v>
      </x:c>
      <x:c r="Z371" s="2" t="str">
        <x:v>Technology-specific analytical synthesis. The CTCN hierarchy is retained; classifications and component dependencies require validation against the selected design, site and supplier documentation before investment or policy use.</x:v>
      </x:c>
      <x:c r="AA371" s="2" t="str">
        <x:v>Physical deployment of Water Safety Plans requires catchment or coast, treatment and storage sites, conveyance and drainage network, power supply, laboratory, control room and safe access; interfaces, foundations, access and environmental protection are sized to the specific resource and design load.</x:v>
      </x:c>
      <x:c r="AB371" s="2" t="str">
        <x:v>For Water Safety Plans,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1" s="2" t="str">
        <x:v>Construction and operation use concrete, steel, ductile iron or polymers, filter media, membranes, treatment chemicals, geotextiles, soil, rock and vegetation according to the measure. For Water Safety Plans, specifications must include durability, compatibility, recycled content and recoverability.</x:v>
      </x:c>
      <x:c r="AD371" s="2" t="str">
        <x:v>Maintenance of Water Safety Plans depends on pump and valve parts, seals, meters, sensors, membranes, lamps, filter media, dosing equipment, reagents and erosion-control materials; critical spares are selected from failure-mode, lead-time and safety analysis for its installed configuration.</x:v>
      </x:c>
      <x:c r="AE371" s="2" t="str">
        <x:v>The software stack for Water Safety Plans requires databases, secure communications, version-controlled models, computing, backup and interfaces with field or operational systems.</x:v>
      </x:c>
      <x:c r="AF371" s="2" t="str">
        <x:v>For Water Safety Plans, software-related energy is electricity for sensing, computing, storage, communication and cooling; it is normally secondary but must be included for data-intensive or continuous services.</x:v>
      </x:c>
      <x:c r="AG371" s="2" t="str">
        <x:v>The non-physical inputs are calibrated data, metadata, algorithms, boundary conditions, emission or hazard factors, manuals and validation records specific to Water Safety Plans.</x:v>
      </x:c>
      <x:c r="AH371" s="2" t="str">
        <x:v>Software continuity for Water Safety Plans requires licences where applicable, updates, cybersecurity patches, backups, calibration files, model validation and technical support.</x:v>
      </x:c>
      <x:c r="AI371" s="2" t="str">
        <x:v>Orgware depends on the institutions, laboratories, training providers, regulators, operators and community interfaces needed to govern Water Safety Plans.</x:v>
      </x:c>
      <x:c r="AJ371" s="2" t="str">
        <x:v>The orgware supporting Water Safety Plans has mainly indirect energy use from offices, meetings, training and information systems; travel and field supervision may be material at dispersed sites.</x:v>
      </x:c>
      <x:c r="AK371" s="2" t="str">
        <x:v>Its organisational inputs are permits, budgets, trained staff, competence records, contracts, procedures, safeguards, monitoring evidence and stakeholder agreements tailored to Water Safety Plans.</x:v>
      </x:c>
      <x:c r="AL371" s="2" t="str">
        <x:v>Sustained implementation of Water Safety Plans requires procurement and service contracts, audit protocols, training material, reporting templates, insurance or guarantees and periodic independent review.</x:v>
      </x:c>
      <x:c r="AM371" s="2" t="str">
        <x:v>Iron ore / steel inputs</x:v>
      </x:c>
      <x:c r="AN371" s="2" t="str">
        <x:v>Australia; Brazil; China</x:v>
      </x:c>
      <x:c r="AO371" s="2" t="str">
        <x:v>China; India; Japan</x:v>
      </x:c>
      <x:c r="AP371" s="2" t="str">
        <x:v>Water Safety Plans: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1" s="2" t="str">
        <x:v>2024–2025</x:v>
      </x:c>
      <x:c r="AR371" s="2" t="str">
        <x:v>https://pubs.usgs.gov/periodicals/mcs2026/mcs2026.pdf</x:v>
      </x:c>
    </x:row>
    <x:row r="372" ht="240" customHeight="1">
      <x:c r="A372" s="2" t="str">
        <x:v>ADP-0102</x:v>
      </x:c>
      <x:c r="B372" s="2" t="str">
        <x:v>Adaptation</x:v>
      </x:c>
      <x:c r="C372" s="2" t="str">
        <x:v>Water</x:v>
      </x:c>
      <x:c r="D372" s="2" t="str">
        <x:v>Riverine flood protection</x:v>
      </x:c>
      <x:c r="E372" s="2" t="str">
        <x:v>River restoration</x:v>
      </x:c>
      <x:c r="F372" s="2" t="str">
        <x:v>River restoration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River restoration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2" s="2" t="str">
        <x:v>Mixed: adaptable design, site-specific implementation</x:v>
      </x:c>
      <x:c r="H372" s="2" t="str">
        <x:v>River restoration is adaptable in capacity and configuration but site-specific in final engineering. Its principle remains the same, but resource quality, climate, scale, interfaces and safety constraints must be recalculated for each deployment.</x:v>
      </x:c>
      <x:c r="I372" s="2" t="str">
        <x:v>Primarily hard, with a soft component</x:v>
      </x:c>
      <x:c r="J372" s="2" t="str">
        <x:v>River restoration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2" s="2" t="str">
        <x:v>Equipment and operation</x:v>
      </x:c>
      <x:c r="L372" s="2" t="str">
        <x:v>River restoration is embodied mainly as an equipment-and-operation system. The deliverable is accepted only when measurable service, quality, safety and climate-performance criteria are met under real conditions.</x:v>
      </x:c>
      <x:c r="M372" s="2" t="str">
        <x:v>Yes, subject to life-cycle safeguards</x:v>
      </x:c>
      <x:c r="N372" s="2" t="str">
        <x:v>River restoration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2" s="2" t="str">
        <x:v>River restoration: intakes, pipes, pumps, meters, valves, tanks, treatment units, drainage or flood structures, monitoring stations and nature-based elements as applicable.</x:v>
      </x:c>
      <x:c r="P372" s="2" t="str">
        <x:v>River restoration: water balance, hydraulic and hydrological modelling, demand forecasting, water-quality analysis, asset management, drought or flood rules and decision support.</x:v>
      </x:c>
      <x:c r="Q372" s="2" t="str">
        <x:v>River restoration: water rights and permits, utility responsibilities, basin governance, service standards, emergency protocols, tariffs, maintenance funding and stakeholder agreements.</x:v>
      </x:c>
      <x:c r="R372" s="2" t="str">
        <x:v>River restoration: catchment or coast, treatment and storage sites, conveyance and drainage network, power supply, laboratory, control room and safe access.</x:v>
      </x:c>
      <x:c r="S372" s="2" t="str">
        <x:v>River restoration: electricity or fuel for pumping, aeration, desalination, treatment and controls; gravity and ecosystem processes can reduce auxiliary demand.</x:v>
      </x:c>
      <x:c r="T372" s="2" t="str">
        <x:v>River restoration: concrete, steel, ductile iron or polymers, filter media, membranes, treatment chemicals, geotextiles, soil, rock and vegetation according to the measure.</x:v>
      </x:c>
      <x:c r="U372" s="2" t="str">
        <x:v>River restoration: pump and valve parts, seals, meters, sensors, membranes, lamps, filter media, dosing equipment, reagents and erosion-control materials.</x:v>
      </x:c>
      <x:c r="V372" s="2" t="str">
        <x:v>https://www.ctc-n.org/sites/default/files/resources/ctcn_taxonomy_0.pdf</x:v>
      </x:c>
      <x:c r="W372" s="2" t="str">
        <x:v>https://institutoagricoladepueblobello.edu.co/colegiapp/archivostemas/GUIA%209.%5B25%5D.pdf</x:v>
      </x:c>
      <x:c r="X372" s="2" t="str">
        <x:v>https://iiasa.ac.at/what-is-technology</x:v>
      </x:c>
      <x:c r="Y372" s="2" t="str">
        <x:v>https://www.unwater.org/water-facts/climate-change</x:v>
      </x:c>
      <x:c r="Z372" s="2" t="str">
        <x:v>Technology-specific analytical synthesis. The CTCN hierarchy is retained; classifications and component dependencies require validation against the selected design, site and supplier documentation before investment or policy use.</x:v>
      </x:c>
      <x:c r="AA372" s="2" t="str">
        <x:v>Physical deployment of River restoration requires catchment or coast, treatment and storage sites, conveyance and drainage network, power supply, laboratory, control room and safe access; interfaces, foundations, access and environmental protection are sized to the specific resource and design load.</x:v>
      </x:c>
      <x:c r="AB372" s="2" t="str">
        <x:v>For River restoration,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2" s="2" t="str">
        <x:v>Construction and operation use concrete, steel, ductile iron or polymers, filter media, membranes, treatment chemicals, geotextiles, soil, rock and vegetation according to the measure. For River restoration, specifications must include durability, compatibility, recycled content and recoverability.</x:v>
      </x:c>
      <x:c r="AD372" s="2" t="str">
        <x:v>Maintenance of River restoration depends on pump and valve parts, seals, meters, sensors, membranes, lamps, filter media, dosing equipment, reagents and erosion-control materials; critical spares are selected from failure-mode, lead-time and safety analysis for its installed configuration.</x:v>
      </x:c>
      <x:c r="AE372" s="2" t="str">
        <x:v>The software stack for River restoration requires databases, secure communications, version-controlled models, computing, backup and interfaces with field or operational systems.</x:v>
      </x:c>
      <x:c r="AF372" s="2" t="str">
        <x:v>For River restoration, software-related energy is electricity for sensing, computing, storage, communication and cooling; it is normally secondary but must be included for data-intensive or continuous services.</x:v>
      </x:c>
      <x:c r="AG372" s="2" t="str">
        <x:v>The non-physical inputs are calibrated data, metadata, algorithms, boundary conditions, emission or hazard factors, manuals and validation records specific to River restoration.</x:v>
      </x:c>
      <x:c r="AH372" s="2" t="str">
        <x:v>Software continuity for River restoration requires licences where applicable, updates, cybersecurity patches, backups, calibration files, model validation and technical support.</x:v>
      </x:c>
      <x:c r="AI372" s="2" t="str">
        <x:v>Orgware depends on the institutions, laboratories, training providers, regulators, operators and community interfaces needed to govern River restoration.</x:v>
      </x:c>
      <x:c r="AJ372" s="2" t="str">
        <x:v>The orgware supporting River restoration has mainly indirect energy use from offices, meetings, training and information systems; travel and field supervision may be material at dispersed sites.</x:v>
      </x:c>
      <x:c r="AK372" s="2" t="str">
        <x:v>Its organisational inputs are permits, budgets, trained staff, competence records, contracts, procedures, safeguards, monitoring evidence and stakeholder agreements tailored to River restoration.</x:v>
      </x:c>
      <x:c r="AL372" s="2" t="str">
        <x:v>Sustained implementation of River restoration requires procurement and service contracts, audit protocols, training material, reporting templates, insurance or guarantees and periodic independent review.</x:v>
      </x:c>
      <x:c r="AM372" s="2" t="str">
        <x:v>Iron ore / steel inputs</x:v>
      </x:c>
      <x:c r="AN372" s="2" t="str">
        <x:v>Australia; Brazil; China</x:v>
      </x:c>
      <x:c r="AO372" s="2" t="str">
        <x:v>China; India; Japan</x:v>
      </x:c>
      <x:c r="AP372" s="2" t="str">
        <x:v>River restoration: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2" s="2" t="str">
        <x:v>2024–2025</x:v>
      </x:c>
      <x:c r="AR372" s="2" t="str">
        <x:v>https://pubs.usgs.gov/periodicals/mcs2026/mcs2026.pdf</x:v>
      </x:c>
    </x:row>
    <x:row r="373" ht="240" customHeight="1">
      <x:c r="A373" s="2" t="str">
        <x:v>ADP-0103</x:v>
      </x:c>
      <x:c r="B373" s="2" t="str">
        <x:v>Adaptation</x:v>
      </x:c>
      <x:c r="C373" s="2" t="str">
        <x:v>Water</x:v>
      </x:c>
      <x:c r="D373" s="2" t="str">
        <x:v>Riverine flood protection</x:v>
      </x:c>
      <x:c r="E373" s="2" t="str">
        <x:v>Flow-through dam for flood control</x:v>
      </x:c>
      <x:c r="F373" s="2" t="str">
        <x:v>Flow-through dam for flood control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Flow-through dam for flood control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3" s="2" t="str">
        <x:v>Primarily fixed</x:v>
      </x:c>
      <x:c r="H373" s="2" t="str">
        <x:v>Flow-through dam for flood control is tied to long-lived, site-specific assets and design loads. Its principle remains the same, but resource quality, climate, scale, interfaces and safety constraints must be recalculated for each deployment.</x:v>
      </x:c>
      <x:c r="I373" s="2" t="str">
        <x:v>Primarily hard, with a soft component</x:v>
      </x:c>
      <x:c r="J373" s="2" t="str">
        <x:v>Flow-through dam for flood control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3" s="2" t="str">
        <x:v>Equipment and operation</x:v>
      </x:c>
      <x:c r="L373" s="2" t="str">
        <x:v>Flow-through dam for flood control is embodied mainly as an equipment-and-operation system. The deliverable is accepted only when measurable service, quality, safety and climate-performance criteria are met under real conditions.</x:v>
      </x:c>
      <x:c r="M373" s="2" t="str">
        <x:v>Yes, subject to life-cycle safeguards</x:v>
      </x:c>
      <x:c r="N373" s="2" t="str">
        <x:v>Flow-through dam for flood control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3" s="2" t="str">
        <x:v>Flow-through dam for flood control: intakes, pipes, pumps, meters, valves, tanks, treatment units, drainage or flood structures, monitoring stations and nature-based elements as applicable.</x:v>
      </x:c>
      <x:c r="P373" s="2" t="str">
        <x:v>Flow-through dam for flood control: water balance, hydraulic and hydrological modelling, demand forecasting, water-quality analysis, asset management, drought or flood rules and decision support.</x:v>
      </x:c>
      <x:c r="Q373" s="2" t="str">
        <x:v>Flow-through dam for flood control: water rights and permits, utility responsibilities, basin governance, service standards, emergency protocols, tariffs, maintenance funding and stakeholder agreements.</x:v>
      </x:c>
      <x:c r="R373" s="2" t="str">
        <x:v>Flow-through dam for flood control: catchment or coast, treatment and storage sites, conveyance and drainage network, power supply, laboratory, control room and safe access.</x:v>
      </x:c>
      <x:c r="S373" s="2" t="str">
        <x:v>Flow-through dam for flood control: electricity or fuel for pumping, aeration, desalination, treatment and controls; gravity and ecosystem processes can reduce auxiliary demand.</x:v>
      </x:c>
      <x:c r="T373" s="2" t="str">
        <x:v>Flow-through dam for flood control: concrete, steel, ductile iron or polymers, filter media, membranes, treatment chemicals, geotextiles, soil, rock and vegetation according to the measure.</x:v>
      </x:c>
      <x:c r="U373" s="2" t="str">
        <x:v>Flow-through dam for flood control: pump and valve parts, seals, meters, sensors, membranes, lamps, filter media, dosing equipment, reagents and erosion-control materials.</x:v>
      </x:c>
      <x:c r="V373" s="2" t="str">
        <x:v>https://www.ctc-n.org/sites/default/files/resources/ctcn_taxonomy_0.pdf</x:v>
      </x:c>
      <x:c r="W373" s="2" t="str">
        <x:v>https://institutoagricoladepueblobello.edu.co/colegiapp/archivostemas/GUIA%209.%5B25%5D.pdf</x:v>
      </x:c>
      <x:c r="X373" s="2" t="str">
        <x:v>https://iiasa.ac.at/what-is-technology</x:v>
      </x:c>
      <x:c r="Y373" s="2" t="str">
        <x:v>https://www.unwater.org/water-facts/climate-change</x:v>
      </x:c>
      <x:c r="Z373" s="2" t="str">
        <x:v>Technology-specific analytical synthesis. The CTCN hierarchy is retained; classifications and component dependencies require validation against the selected design, site and supplier documentation before investment or policy use.</x:v>
      </x:c>
      <x:c r="AA373" s="2" t="str">
        <x:v>Physical deployment of Flow-through dam for flood control requires catchment or coast, treatment and storage sites, conveyance and drainage network, power supply, laboratory, control room and safe access; interfaces, foundations, access and environmental protection are sized to the specific resource and design load.</x:v>
      </x:c>
      <x:c r="AB373" s="2" t="str">
        <x:v>For Flow-through dam for flood control,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3" s="2" t="str">
        <x:v>Construction and operation use concrete, steel, ductile iron or polymers, filter media, membranes, treatment chemicals, geotextiles, soil, rock and vegetation according to the measure. For Flow-through dam for flood control, specifications must include durability, compatibility, recycled content and recoverability.</x:v>
      </x:c>
      <x:c r="AD373" s="2" t="str">
        <x:v>Maintenance of Flow-through dam for flood control depends on pump and valve parts, seals, meters, sensors, membranes, lamps, filter media, dosing equipment, reagents and erosion-control materials; critical spares are selected from failure-mode, lead-time and safety analysis for its installed configuration.</x:v>
      </x:c>
      <x:c r="AE373" s="2" t="str">
        <x:v>The software stack for Flow-through dam for flood control requires databases, secure communications, version-controlled models, computing, backup and interfaces with field or operational systems.</x:v>
      </x:c>
      <x:c r="AF373" s="2" t="str">
        <x:v>For Flow-through dam for flood control, software-related energy is electricity for sensing, computing, storage, communication and cooling; it is normally secondary but must be included for data-intensive or continuous services.</x:v>
      </x:c>
      <x:c r="AG373" s="2" t="str">
        <x:v>The non-physical inputs are calibrated data, metadata, algorithms, boundary conditions, emission or hazard factors, manuals and validation records specific to Flow-through dam for flood control.</x:v>
      </x:c>
      <x:c r="AH373" s="2" t="str">
        <x:v>Software continuity for Flow-through dam for flood control requires licences where applicable, updates, cybersecurity patches, backups, calibration files, model validation and technical support.</x:v>
      </x:c>
      <x:c r="AI373" s="2" t="str">
        <x:v>Orgware depends on the institutions, laboratories, training providers, regulators, operators and community interfaces needed to govern Flow-through dam for flood control.</x:v>
      </x:c>
      <x:c r="AJ373" s="2" t="str">
        <x:v>The orgware supporting Flow-through dam for flood control has mainly indirect energy use from offices, meetings, training and information systems; travel and field supervision may be material at dispersed sites.</x:v>
      </x:c>
      <x:c r="AK373" s="2" t="str">
        <x:v>Its organisational inputs are permits, budgets, trained staff, competence records, contracts, procedures, safeguards, monitoring evidence and stakeholder agreements tailored to Flow-through dam for flood control.</x:v>
      </x:c>
      <x:c r="AL373" s="2" t="str">
        <x:v>Sustained implementation of Flow-through dam for flood control requires procurement and service contracts, audit protocols, training material, reporting templates, insurance or guarantees and periodic independent review.</x:v>
      </x:c>
      <x:c r="AM373" s="2" t="str">
        <x:v>Iron ore / steel inputs; Copper; Tin; Limestone / cement raw materials</x:v>
      </x:c>
      <x:c r="AN373" s="2" t="str">
        <x:v>Australia; Brazil; China; Chile; Democratic Republic of the Congo; Peru; Indonesia; Myanmar; India; Vietnam</x:v>
      </x:c>
      <x:c r="AO373" s="2" t="str">
        <x:v>China; India; Japan; Chile; Democratic Republic of the Congo; Indonesia; Malaysia; Vietnam</x:v>
      </x:c>
      <x:c r="AP373" s="2" t="str">
        <x:v>Flow-through dam for flood control: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3" s="2" t="str">
        <x:v>2024–2025</x:v>
      </x:c>
      <x:c r="AR373" s="2" t="str">
        <x:v>https://pubs.usgs.gov/periodicals/mcs2026/mcs2026.pdf</x:v>
      </x:c>
    </x:row>
    <x:row r="374" ht="240" customHeight="1">
      <x:c r="A374" s="2" t="str">
        <x:v>ADP-0104</x:v>
      </x:c>
      <x:c r="B374" s="2" t="str">
        <x:v>Adaptation</x:v>
      </x:c>
      <x:c r="C374" s="2" t="str">
        <x:v>Water</x:v>
      </x:c>
      <x:c r="D374" s="2" t="str">
        <x:v>Riverine flood protection</x:v>
      </x:c>
      <x:c r="E374" s="2" t="str">
        <x:v>Artificial lowering of glacial lakes</x:v>
      </x:c>
      <x:c r="F374" s="2" t="str">
        <x:v>Artificial lowering of glacial lakes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Artificial lowering of glacial lakes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4" s="2" t="str">
        <x:v>Mixed: adaptable design, site-specific implementation</x:v>
      </x:c>
      <x:c r="H374" s="2" t="str">
        <x:v>Artificial lowering of glacial lakes is adaptable in capacity and configuration but site-specific in final engineering. Its principle remains the same, but resource quality, climate, scale, interfaces and safety constraints must be recalculated for each deployment.</x:v>
      </x:c>
      <x:c r="I374" s="2" t="str">
        <x:v>Primarily hard, with a soft component</x:v>
      </x:c>
      <x:c r="J374" s="2" t="str">
        <x:v>Artificial lowering of glacial lakes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4" s="2" t="str">
        <x:v>Equipment and operation</x:v>
      </x:c>
      <x:c r="L374" s="2" t="str">
        <x:v>Artificial lowering of glacial lakes is embodied mainly as an equipment-and-operation system. The deliverable is accepted only when measurable service, quality, safety and climate-performance criteria are met under real conditions.</x:v>
      </x:c>
      <x:c r="M374" s="2" t="str">
        <x:v>Yes, subject to life-cycle safeguards</x:v>
      </x:c>
      <x:c r="N374" s="2" t="str">
        <x:v>Artificial lowering of glacial lakes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4" s="2" t="str">
        <x:v>Artificial lowering of glacial lakes: intakes, pipes, pumps, meters, valves, tanks, treatment units, drainage or flood structures, monitoring stations and nature-based elements as applicable.</x:v>
      </x:c>
      <x:c r="P374" s="2" t="str">
        <x:v>Artificial lowering of glacial lakes: water balance, hydraulic and hydrological modelling, demand forecasting, water-quality analysis, asset management, drought or flood rules and decision support.</x:v>
      </x:c>
      <x:c r="Q374" s="2" t="str">
        <x:v>Artificial lowering of glacial lakes: water rights and permits, utility responsibilities, basin governance, service standards, emergency protocols, tariffs, maintenance funding and stakeholder agreements.</x:v>
      </x:c>
      <x:c r="R374" s="2" t="str">
        <x:v>Artificial lowering of glacial lakes: catchment or coast, treatment and storage sites, conveyance and drainage network, power supply, laboratory, control room and safe access.</x:v>
      </x:c>
      <x:c r="S374" s="2" t="str">
        <x:v>Artificial lowering of glacial lakes: electricity or fuel for pumping, aeration, desalination, treatment and controls; gravity and ecosystem processes can reduce auxiliary demand.</x:v>
      </x:c>
      <x:c r="T374" s="2" t="str">
        <x:v>Artificial lowering of glacial lakes: concrete, steel, ductile iron or polymers, filter media, membranes, treatment chemicals, geotextiles, soil, rock and vegetation according to the measure.</x:v>
      </x:c>
      <x:c r="U374" s="2" t="str">
        <x:v>Artificial lowering of glacial lakes: pump and valve parts, seals, meters, sensors, membranes, lamps, filter media, dosing equipment, reagents and erosion-control materials.</x:v>
      </x:c>
      <x:c r="V374" s="2" t="str">
        <x:v>https://www.ctc-n.org/sites/default/files/resources/ctcn_taxonomy_0.pdf</x:v>
      </x:c>
      <x:c r="W374" s="2" t="str">
        <x:v>https://institutoagricoladepueblobello.edu.co/colegiapp/archivostemas/GUIA%209.%5B25%5D.pdf</x:v>
      </x:c>
      <x:c r="X374" s="2" t="str">
        <x:v>https://iiasa.ac.at/what-is-technology</x:v>
      </x:c>
      <x:c r="Y374" s="2" t="str">
        <x:v>https://www.unwater.org/water-facts/climate-change</x:v>
      </x:c>
      <x:c r="Z374" s="2" t="str">
        <x:v>Technology-specific analytical synthesis. The CTCN hierarchy is retained; classifications and component dependencies require validation against the selected design, site and supplier documentation before investment or policy use.</x:v>
      </x:c>
      <x:c r="AA374" s="2" t="str">
        <x:v>Physical deployment of Artificial lowering of glacial lakes requires catchment or coast, treatment and storage sites, conveyance and drainage network, power supply, laboratory, control room and safe access; interfaces, foundations, access and environmental protection are sized to the specific resource and design load.</x:v>
      </x:c>
      <x:c r="AB374" s="2" t="str">
        <x:v>For Artificial lowering of glacial lakes,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4" s="2" t="str">
        <x:v>Construction and operation use concrete, steel, ductile iron or polymers, filter media, membranes, treatment chemicals, geotextiles, soil, rock and vegetation according to the measure. For Artificial lowering of glacial lakes, specifications must include durability, compatibility, recycled content and recoverability.</x:v>
      </x:c>
      <x:c r="AD374" s="2" t="str">
        <x:v>Maintenance of Artificial lowering of glacial lakes depends on pump and valve parts, seals, meters, sensors, membranes, lamps, filter media, dosing equipment, reagents and erosion-control materials; critical spares are selected from failure-mode, lead-time and safety analysis for its installed configuration.</x:v>
      </x:c>
      <x:c r="AE374" s="2" t="str">
        <x:v>The software stack for Artificial lowering of glacial lakes requires databases, secure communications, version-controlled models, computing, backup and interfaces with field or operational systems.</x:v>
      </x:c>
      <x:c r="AF374" s="2" t="str">
        <x:v>For Artificial lowering of glacial lakes, software-related energy is electricity for sensing, computing, storage, communication and cooling; it is normally secondary but must be included for data-intensive or continuous services.</x:v>
      </x:c>
      <x:c r="AG374" s="2" t="str">
        <x:v>The non-physical inputs are calibrated data, metadata, algorithms, boundary conditions, emission or hazard factors, manuals and validation records specific to Artificial lowering of glacial lakes.</x:v>
      </x:c>
      <x:c r="AH374" s="2" t="str">
        <x:v>Software continuity for Artificial lowering of glacial lakes requires licences where applicable, updates, cybersecurity patches, backups, calibration files, model validation and technical support.</x:v>
      </x:c>
      <x:c r="AI374" s="2" t="str">
        <x:v>Orgware depends on the institutions, laboratories, training providers, regulators, operators and community interfaces needed to govern Artificial lowering of glacial lakes.</x:v>
      </x:c>
      <x:c r="AJ374" s="2" t="str">
        <x:v>The orgware supporting Artificial lowering of glacial lakes has mainly indirect energy use from offices, meetings, training and information systems; travel and field supervision may be material at dispersed sites.</x:v>
      </x:c>
      <x:c r="AK374" s="2" t="str">
        <x:v>Its organisational inputs are permits, budgets, trained staff, competence records, contracts, procedures, safeguards, monitoring evidence and stakeholder agreements tailored to Artificial lowering of glacial lakes.</x:v>
      </x:c>
      <x:c r="AL374" s="2" t="str">
        <x:v>Sustained implementation of Artificial lowering of glacial lakes requires procurement and service contracts, audit protocols, training material, reporting templates, insurance or guarantees and periodic independent review.</x:v>
      </x:c>
      <x:c r="AM374" s="2" t="str">
        <x:v>Iron ore / steel inputs</x:v>
      </x:c>
      <x:c r="AN374" s="2" t="str">
        <x:v>Australia; Brazil; China</x:v>
      </x:c>
      <x:c r="AO374" s="2" t="str">
        <x:v>China; India; Japan</x:v>
      </x:c>
      <x:c r="AP374" s="2" t="str">
        <x:v>Artificial lowering of glacial lakes: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4" s="2" t="str">
        <x:v>2024–2025</x:v>
      </x:c>
      <x:c r="AR374" s="2" t="str">
        <x:v>https://pubs.usgs.gov/periodicals/mcs2026/mcs2026.pdf</x:v>
      </x:c>
    </x:row>
    <x:row r="375" ht="240" customHeight="1">
      <x:c r="A375" s="2" t="str">
        <x:v>ADP-0105</x:v>
      </x:c>
      <x:c r="B375" s="2" t="str">
        <x:v>Adaptation</x:v>
      </x:c>
      <x:c r="C375" s="2" t="str">
        <x:v>Water</x:v>
      </x:c>
      <x:c r="D375" s="2" t="str">
        <x:v>Riverine flood protection</x:v>
      </x:c>
      <x:c r="E375" s="2" t="str">
        <x:v>Re-connecting rivers with floodplains</x:v>
      </x:c>
      <x:c r="F375" s="2" t="str">
        <x:v>Re-connecting rivers with floodplains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Re-connecting rivers with floodplains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5" s="2" t="str">
        <x:v>Mixed: adaptable design, site-specific implementation</x:v>
      </x:c>
      <x:c r="H375" s="2" t="str">
        <x:v>Re-connecting rivers with floodplains is adaptable in capacity and configuration but site-specific in final engineering. Its principle remains the same, but resource quality, climate, scale, interfaces and safety constraints must be recalculated for each deployment.</x:v>
      </x:c>
      <x:c r="I375" s="2" t="str">
        <x:v>Primarily hard, with a soft component</x:v>
      </x:c>
      <x:c r="J375" s="2" t="str">
        <x:v>Re-connecting rivers with floodplains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5" s="2" t="str">
        <x:v>Equipment and operation</x:v>
      </x:c>
      <x:c r="L375" s="2" t="str">
        <x:v>Re-connecting rivers with floodplains is embodied mainly as an equipment-and-operation system. The deliverable is accepted only when measurable service, quality, safety and climate-performance criteria are met under real conditions.</x:v>
      </x:c>
      <x:c r="M375" s="2" t="str">
        <x:v>Yes, subject to life-cycle safeguards</x:v>
      </x:c>
      <x:c r="N375" s="2" t="str">
        <x:v>Re-connecting rivers with floodplains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5" s="2" t="str">
        <x:v>Re-connecting rivers with floodplains: intakes, pipes, pumps, meters, valves, tanks, treatment units, drainage or flood structures, monitoring stations and nature-based elements as applicable.</x:v>
      </x:c>
      <x:c r="P375" s="2" t="str">
        <x:v>Re-connecting rivers with floodplains: water balance, hydraulic and hydrological modelling, demand forecasting, water-quality analysis, asset management, drought or flood rules and decision support.</x:v>
      </x:c>
      <x:c r="Q375" s="2" t="str">
        <x:v>Re-connecting rivers with floodplains: water rights and permits, utility responsibilities, basin governance, service standards, emergency protocols, tariffs, maintenance funding and stakeholder agreements.</x:v>
      </x:c>
      <x:c r="R375" s="2" t="str">
        <x:v>Re-connecting rivers with floodplains: catchment or coast, treatment and storage sites, conveyance and drainage network, power supply, laboratory, control room and safe access.</x:v>
      </x:c>
      <x:c r="S375" s="2" t="str">
        <x:v>Re-connecting rivers with floodplains: electricity or fuel for pumping, aeration, desalination, treatment and controls; gravity and ecosystem processes can reduce auxiliary demand.</x:v>
      </x:c>
      <x:c r="T375" s="2" t="str">
        <x:v>Re-connecting rivers with floodplains: concrete, steel, ductile iron or polymers, filter media, membranes, treatment chemicals, geotextiles, soil, rock and vegetation according to the measure.</x:v>
      </x:c>
      <x:c r="U375" s="2" t="str">
        <x:v>Re-connecting rivers with floodplains: pump and valve parts, seals, meters, sensors, membranes, lamps, filter media, dosing equipment, reagents and erosion-control materials.</x:v>
      </x:c>
      <x:c r="V375" s="2" t="str">
        <x:v>https://www.ctc-n.org/sites/default/files/resources/ctcn_taxonomy_0.pdf</x:v>
      </x:c>
      <x:c r="W375" s="2" t="str">
        <x:v>https://institutoagricoladepueblobello.edu.co/colegiapp/archivostemas/GUIA%209.%5B25%5D.pdf</x:v>
      </x:c>
      <x:c r="X375" s="2" t="str">
        <x:v>https://iiasa.ac.at/what-is-technology</x:v>
      </x:c>
      <x:c r="Y375" s="2" t="str">
        <x:v>https://www.unwater.org/water-facts/climate-change</x:v>
      </x:c>
      <x:c r="Z375" s="2" t="str">
        <x:v>Technology-specific analytical synthesis. The CTCN hierarchy is retained; classifications and component dependencies require validation against the selected design, site and supplier documentation before investment or policy use.</x:v>
      </x:c>
      <x:c r="AA375" s="2" t="str">
        <x:v>Physical deployment of Re-connecting rivers with floodplains requires catchment or coast, treatment and storage sites, conveyance and drainage network, power supply, laboratory, control room and safe access; interfaces, foundations, access and environmental protection are sized to the specific resource and design load.</x:v>
      </x:c>
      <x:c r="AB375" s="2" t="str">
        <x:v>For Re-connecting rivers with floodplains,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5" s="2" t="str">
        <x:v>Construction and operation use concrete, steel, ductile iron or polymers, filter media, membranes, treatment chemicals, geotextiles, soil, rock and vegetation according to the measure. For Re-connecting rivers with floodplains, specifications must include durability, compatibility, recycled content and recoverability.</x:v>
      </x:c>
      <x:c r="AD375" s="2" t="str">
        <x:v>Maintenance of Re-connecting rivers with floodplains depends on pump and valve parts, seals, meters, sensors, membranes, lamps, filter media, dosing equipment, reagents and erosion-control materials; critical spares are selected from failure-mode, lead-time and safety analysis for its installed configuration.</x:v>
      </x:c>
      <x:c r="AE375" s="2" t="str">
        <x:v>The software stack for Re-connecting rivers with floodplains requires databases, secure communications, version-controlled models, computing, backup and interfaces with field or operational systems.</x:v>
      </x:c>
      <x:c r="AF375" s="2" t="str">
        <x:v>For Re-connecting rivers with floodplains, software-related energy is electricity for sensing, computing, storage, communication and cooling; it is normally secondary but must be included for data-intensive or continuous services.</x:v>
      </x:c>
      <x:c r="AG375" s="2" t="str">
        <x:v>The non-physical inputs are calibrated data, metadata, algorithms, boundary conditions, emission or hazard factors, manuals and validation records specific to Re-connecting rivers with floodplains.</x:v>
      </x:c>
      <x:c r="AH375" s="2" t="str">
        <x:v>Software continuity for Re-connecting rivers with floodplains requires licences where applicable, updates, cybersecurity patches, backups, calibration files, model validation and technical support.</x:v>
      </x:c>
      <x:c r="AI375" s="2" t="str">
        <x:v>Orgware depends on the institutions, laboratories, training providers, regulators, operators and community interfaces needed to govern Re-connecting rivers with floodplains.</x:v>
      </x:c>
      <x:c r="AJ375" s="2" t="str">
        <x:v>The orgware supporting Re-connecting rivers with floodplains has mainly indirect energy use from offices, meetings, training and information systems; travel and field supervision may be material at dispersed sites.</x:v>
      </x:c>
      <x:c r="AK375" s="2" t="str">
        <x:v>Its organisational inputs are permits, budgets, trained staff, competence records, contracts, procedures, safeguards, monitoring evidence and stakeholder agreements tailored to Re-connecting rivers with floodplains.</x:v>
      </x:c>
      <x:c r="AL375" s="2" t="str">
        <x:v>Sustained implementation of Re-connecting rivers with floodplains requires procurement and service contracts, audit protocols, training material, reporting templates, insurance or guarantees and periodic independent review.</x:v>
      </x:c>
      <x:c r="AM375" s="2" t="str">
        <x:v>Iron ore / steel inputs</x:v>
      </x:c>
      <x:c r="AN375" s="2" t="str">
        <x:v>Australia; Brazil; China</x:v>
      </x:c>
      <x:c r="AO375" s="2" t="str">
        <x:v>China; India; Japan</x:v>
      </x:c>
      <x:c r="AP375" s="2" t="str">
        <x:v>Re-connecting rivers with floodplains: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5" s="2" t="str">
        <x:v>2024–2025</x:v>
      </x:c>
      <x:c r="AR375" s="2" t="str">
        <x:v>https://pubs.usgs.gov/periodicals/mcs2026/mcs2026.pdf</x:v>
      </x:c>
    </x:row>
    <x:row r="376" ht="240" customHeight="1">
      <x:c r="A376" s="2" t="str">
        <x:v>ADP-0106</x:v>
      </x:c>
      <x:c r="B376" s="2" t="str">
        <x:v>Adaptation</x:v>
      </x:c>
      <x:c r="C376" s="2" t="str">
        <x:v>Water</x:v>
      </x:c>
      <x:c r="D376" s="2" t="str">
        <x:v>Riverine flood protection</x:v>
      </x:c>
      <x:c r="E376" s="2" t="str">
        <x:v>Disaster preparedness plans</x:v>
      </x:c>
      <x:c r="F376" s="2" t="str">
        <x:v>Disaster preparedness plans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Disaster preparedness plans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6" s="2" t="str">
        <x:v>Mixed: adaptable design, site-specific implementation</x:v>
      </x:c>
      <x:c r="H376" s="2" t="str">
        <x:v>Disaster preparedness plans is adaptable in capacity and configuration but site-specific in final engineering. Its principle remains the same, but resource quality, climate, scale, interfaces and safety constraints must be recalculated for each deployment.</x:v>
      </x:c>
      <x:c r="I376" s="2" t="str">
        <x:v>Primarily hard, with a soft component</x:v>
      </x:c>
      <x:c r="J376" s="2" t="str">
        <x:v>Disaster preparedness plans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6" s="2" t="str">
        <x:v>Equipment and operation</x:v>
      </x:c>
      <x:c r="L376" s="2" t="str">
        <x:v>Disaster preparedness plans is embodied mainly as an equipment-and-operation system. The deliverable is accepted only when measurable service, quality, safety and climate-performance criteria are met under real conditions.</x:v>
      </x:c>
      <x:c r="M376" s="2" t="str">
        <x:v>Yes, subject to life-cycle safeguards</x:v>
      </x:c>
      <x:c r="N376" s="2" t="str">
        <x:v>Disaster preparedness plans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6" s="2" t="str">
        <x:v>Disaster preparedness plans: intakes, pipes, pumps, meters, valves, tanks, treatment units, drainage or flood structures, monitoring stations and nature-based elements as applicable.</x:v>
      </x:c>
      <x:c r="P376" s="2" t="str">
        <x:v>Disaster preparedness plans: water balance, hydraulic and hydrological modelling, demand forecasting, water-quality analysis, asset management, drought or flood rules and decision support.</x:v>
      </x:c>
      <x:c r="Q376" s="2" t="str">
        <x:v>Disaster preparedness plans: water rights and permits, utility responsibilities, basin governance, service standards, emergency protocols, tariffs, maintenance funding and stakeholder agreements.</x:v>
      </x:c>
      <x:c r="R376" s="2" t="str">
        <x:v>Disaster preparedness plans: catchment or coast, treatment and storage sites, conveyance and drainage network, power supply, laboratory, control room and safe access.</x:v>
      </x:c>
      <x:c r="S376" s="2" t="str">
        <x:v>Disaster preparedness plans: electricity or fuel for pumping, aeration, desalination, treatment and controls; gravity and ecosystem processes can reduce auxiliary demand.</x:v>
      </x:c>
      <x:c r="T376" s="2" t="str">
        <x:v>Disaster preparedness plans: concrete, steel, ductile iron or polymers, filter media, membranes, treatment chemicals, geotextiles, soil, rock and vegetation according to the measure.</x:v>
      </x:c>
      <x:c r="U376" s="2" t="str">
        <x:v>Disaster preparedness plans: pump and valve parts, seals, meters, sensors, membranes, lamps, filter media, dosing equipment, reagents and erosion-control materials.</x:v>
      </x:c>
      <x:c r="V376" s="2" t="str">
        <x:v>https://www.ctc-n.org/sites/default/files/resources/ctcn_taxonomy_0.pdf</x:v>
      </x:c>
      <x:c r="W376" s="2" t="str">
        <x:v>https://institutoagricoladepueblobello.edu.co/colegiapp/archivostemas/GUIA%209.%5B25%5D.pdf</x:v>
      </x:c>
      <x:c r="X376" s="2" t="str">
        <x:v>https://iiasa.ac.at/what-is-technology</x:v>
      </x:c>
      <x:c r="Y376" s="2" t="str">
        <x:v>https://www.unwater.org/water-facts/climate-change</x:v>
      </x:c>
      <x:c r="Z376" s="2" t="str">
        <x:v>Technology-specific analytical synthesis. The CTCN hierarchy is retained; classifications and component dependencies require validation against the selected design, site and supplier documentation before investment or policy use.</x:v>
      </x:c>
      <x:c r="AA376" s="2" t="str">
        <x:v>Physical deployment of Disaster preparedness plans requires catchment or coast, treatment and storage sites, conveyance and drainage network, power supply, laboratory, control room and safe access; interfaces, foundations, access and environmental protection are sized to the specific resource and design load.</x:v>
      </x:c>
      <x:c r="AB376" s="2" t="str">
        <x:v>For Disaster preparedness plans,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6" s="2" t="str">
        <x:v>Construction and operation use concrete, steel, ductile iron or polymers, filter media, membranes, treatment chemicals, geotextiles, soil, rock and vegetation according to the measure. For Disaster preparedness plans, specifications must include durability, compatibility, recycled content and recoverability.</x:v>
      </x:c>
      <x:c r="AD376" s="2" t="str">
        <x:v>Maintenance of Disaster preparedness plans depends on pump and valve parts, seals, meters, sensors, membranes, lamps, filter media, dosing equipment, reagents and erosion-control materials; critical spares are selected from failure-mode, lead-time and safety analysis for its installed configuration.</x:v>
      </x:c>
      <x:c r="AE376" s="2" t="str">
        <x:v>The software stack for Disaster preparedness plans requires databases, secure communications, version-controlled models, computing, backup and interfaces with field or operational systems.</x:v>
      </x:c>
      <x:c r="AF376" s="2" t="str">
        <x:v>For Disaster preparedness plans, software-related energy is electricity for sensing, computing, storage, communication and cooling; it is normally secondary but must be included for data-intensive or continuous services.</x:v>
      </x:c>
      <x:c r="AG376" s="2" t="str">
        <x:v>The non-physical inputs are calibrated data, metadata, algorithms, boundary conditions, emission or hazard factors, manuals and validation records specific to Disaster preparedness plans.</x:v>
      </x:c>
      <x:c r="AH376" s="2" t="str">
        <x:v>Software continuity for Disaster preparedness plans requires licences where applicable, updates, cybersecurity patches, backups, calibration files, model validation and technical support.</x:v>
      </x:c>
      <x:c r="AI376" s="2" t="str">
        <x:v>Orgware depends on the institutions, laboratories, training providers, regulators, operators and community interfaces needed to govern Disaster preparedness plans.</x:v>
      </x:c>
      <x:c r="AJ376" s="2" t="str">
        <x:v>The orgware supporting Disaster preparedness plans has mainly indirect energy use from offices, meetings, training and information systems; travel and field supervision may be material at dispersed sites.</x:v>
      </x:c>
      <x:c r="AK376" s="2" t="str">
        <x:v>Its organisational inputs are permits, budgets, trained staff, competence records, contracts, procedures, safeguards, monitoring evidence and stakeholder agreements tailored to Disaster preparedness plans.</x:v>
      </x:c>
      <x:c r="AL376" s="2" t="str">
        <x:v>Sustained implementation of Disaster preparedness plans requires procurement and service contracts, audit protocols, training material, reporting templates, insurance or guarantees and periodic independent review.</x:v>
      </x:c>
      <x:c r="AM376" s="2" t="str">
        <x:v>Iron ore / steel inputs</x:v>
      </x:c>
      <x:c r="AN376" s="2" t="str">
        <x:v>Australia; Brazil; China</x:v>
      </x:c>
      <x:c r="AO376" s="2" t="str">
        <x:v>China; India; Japan</x:v>
      </x:c>
      <x:c r="AP376" s="2" t="str">
        <x:v>Disaster preparedness plans: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6" s="2" t="str">
        <x:v>2024–2025</x:v>
      </x:c>
      <x:c r="AR376" s="2" t="str">
        <x:v>https://pubs.usgs.gov/periodicals/mcs2026/mcs2026.pdf</x:v>
      </x:c>
    </x:row>
    <x:row r="377" ht="240" customHeight="1">
      <x:c r="A377" s="2" t="str">
        <x:v>ADP-0107</x:v>
      </x:c>
      <x:c r="B377" s="2" t="str">
        <x:v>Adaptation</x:v>
      </x:c>
      <x:c r="C377" s="2" t="str">
        <x:v>Water</x:v>
      </x:c>
      <x:c r="D377" s="2" t="str">
        <x:v>Riverine flood protection</x:v>
      </x:c>
      <x:c r="E377" s="2" t="str">
        <x:v>Accommodation for flooding</x:v>
      </x:c>
      <x:c r="F377" s="2" t="str">
        <x:v>Accommodation for flooding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Accommodation for flooding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7" s="2" t="str">
        <x:v>Mixed: adaptable design, site-specific implementation</x:v>
      </x:c>
      <x:c r="H377" s="2" t="str">
        <x:v>Accommodation for flooding is adaptable in capacity and configuration but site-specific in final engineering. Its principle remains the same, but resource quality, climate, scale, interfaces and safety constraints must be recalculated for each deployment.</x:v>
      </x:c>
      <x:c r="I377" s="2" t="str">
        <x:v>Primarily hard, with a soft component</x:v>
      </x:c>
      <x:c r="J377" s="2" t="str">
        <x:v>Accommodation for flooding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7" s="2" t="str">
        <x:v>Equipment and operation</x:v>
      </x:c>
      <x:c r="L377" s="2" t="str">
        <x:v>Accommodation for flooding is embodied mainly as an equipment-and-operation system. The deliverable is accepted only when measurable service, quality, safety and climate-performance criteria are met under real conditions.</x:v>
      </x:c>
      <x:c r="M377" s="2" t="str">
        <x:v>Yes, subject to life-cycle safeguards</x:v>
      </x:c>
      <x:c r="N377" s="2" t="str">
        <x:v>Accommodation for flooding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7" s="2" t="str">
        <x:v>Accommodation for flooding: intakes, pipes, pumps, meters, valves, tanks, treatment units, drainage or flood structures, monitoring stations and nature-based elements as applicable.</x:v>
      </x:c>
      <x:c r="P377" s="2" t="str">
        <x:v>Accommodation for flooding: water balance, hydraulic and hydrological modelling, demand forecasting, water-quality analysis, asset management, drought or flood rules and decision support.</x:v>
      </x:c>
      <x:c r="Q377" s="2" t="str">
        <x:v>Accommodation for flooding: water rights and permits, utility responsibilities, basin governance, service standards, emergency protocols, tariffs, maintenance funding and stakeholder agreements.</x:v>
      </x:c>
      <x:c r="R377" s="2" t="str">
        <x:v>Accommodation for flooding: catchment or coast, treatment and storage sites, conveyance and drainage network, power supply, laboratory, control room and safe access.</x:v>
      </x:c>
      <x:c r="S377" s="2" t="str">
        <x:v>Accommodation for flooding: electricity or fuel for pumping, aeration, desalination, treatment and controls; gravity and ecosystem processes can reduce auxiliary demand.</x:v>
      </x:c>
      <x:c r="T377" s="2" t="str">
        <x:v>Accommodation for flooding: concrete, steel, ductile iron or polymers, filter media, membranes, treatment chemicals, geotextiles, soil, rock and vegetation according to the measure.</x:v>
      </x:c>
      <x:c r="U377" s="2" t="str">
        <x:v>Accommodation for flooding: pump and valve parts, seals, meters, sensors, membranes, lamps, filter media, dosing equipment, reagents and erosion-control materials.</x:v>
      </x:c>
      <x:c r="V377" s="2" t="str">
        <x:v>https://www.ctc-n.org/sites/default/files/resources/ctcn_taxonomy_0.pdf</x:v>
      </x:c>
      <x:c r="W377" s="2" t="str">
        <x:v>https://institutoagricoladepueblobello.edu.co/colegiapp/archivostemas/GUIA%209.%5B25%5D.pdf</x:v>
      </x:c>
      <x:c r="X377" s="2" t="str">
        <x:v>https://iiasa.ac.at/what-is-technology</x:v>
      </x:c>
      <x:c r="Y377" s="2" t="str">
        <x:v>https://www.unwater.org/water-facts/climate-change</x:v>
      </x:c>
      <x:c r="Z377" s="2" t="str">
        <x:v>Technology-specific analytical synthesis. The CTCN hierarchy is retained; classifications and component dependencies require validation against the selected design, site and supplier documentation before investment or policy use.</x:v>
      </x:c>
      <x:c r="AA377" s="2" t="str">
        <x:v>Physical deployment of Accommodation for flooding requires catchment or coast, treatment and storage sites, conveyance and drainage network, power supply, laboratory, control room and safe access; interfaces, foundations, access and environmental protection are sized to the specific resource and design load.</x:v>
      </x:c>
      <x:c r="AB377" s="2" t="str">
        <x:v>For Accommodation for flooding,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7" s="2" t="str">
        <x:v>Construction and operation use concrete, steel, ductile iron or polymers, filter media, membranes, treatment chemicals, geotextiles, soil, rock and vegetation according to the measure. For Accommodation for flooding, specifications must include durability, compatibility, recycled content and recoverability.</x:v>
      </x:c>
      <x:c r="AD377" s="2" t="str">
        <x:v>Maintenance of Accommodation for flooding depends on pump and valve parts, seals, meters, sensors, membranes, lamps, filter media, dosing equipment, reagents and erosion-control materials; critical spares are selected from failure-mode, lead-time and safety analysis for its installed configuration.</x:v>
      </x:c>
      <x:c r="AE377" s="2" t="str">
        <x:v>The software stack for Accommodation for flooding requires databases, secure communications, version-controlled models, computing, backup and interfaces with field or operational systems.</x:v>
      </x:c>
      <x:c r="AF377" s="2" t="str">
        <x:v>For Accommodation for flooding, software-related energy is electricity for sensing, computing, storage, communication and cooling; it is normally secondary but must be included for data-intensive or continuous services.</x:v>
      </x:c>
      <x:c r="AG377" s="2" t="str">
        <x:v>The non-physical inputs are calibrated data, metadata, algorithms, boundary conditions, emission or hazard factors, manuals and validation records specific to Accommodation for flooding.</x:v>
      </x:c>
      <x:c r="AH377" s="2" t="str">
        <x:v>Software continuity for Accommodation for flooding requires licences where applicable, updates, cybersecurity patches, backups, calibration files, model validation and technical support.</x:v>
      </x:c>
      <x:c r="AI377" s="2" t="str">
        <x:v>Orgware depends on the institutions, laboratories, training providers, regulators, operators and community interfaces needed to govern Accommodation for flooding.</x:v>
      </x:c>
      <x:c r="AJ377" s="2" t="str">
        <x:v>The orgware supporting Accommodation for flooding has mainly indirect energy use from offices, meetings, training and information systems; travel and field supervision may be material at dispersed sites.</x:v>
      </x:c>
      <x:c r="AK377" s="2" t="str">
        <x:v>Its organisational inputs are permits, budgets, trained staff, competence records, contracts, procedures, safeguards, monitoring evidence and stakeholder agreements tailored to Accommodation for flooding.</x:v>
      </x:c>
      <x:c r="AL377" s="2" t="str">
        <x:v>Sustained implementation of Accommodation for flooding requires procurement and service contracts, audit protocols, training material, reporting templates, insurance or guarantees and periodic independent review.</x:v>
      </x:c>
      <x:c r="AM377" s="2" t="str">
        <x:v>Iron ore / steel inputs</x:v>
      </x:c>
      <x:c r="AN377" s="2" t="str">
        <x:v>Australia; Brazil; China</x:v>
      </x:c>
      <x:c r="AO377" s="2" t="str">
        <x:v>China; India; Japan</x:v>
      </x:c>
      <x:c r="AP377" s="2" t="str">
        <x:v>Accommodation for flooding: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7" s="2" t="str">
        <x:v>2024–2025</x:v>
      </x:c>
      <x:c r="AR377" s="2" t="str">
        <x:v>https://pubs.usgs.gov/periodicals/mcs2026/mcs2026.pdf</x:v>
      </x:c>
    </x:row>
    <x:row r="378" ht="240" customHeight="1">
      <x:c r="A378" s="2" t="str">
        <x:v>ADP-0108</x:v>
      </x:c>
      <x:c r="B378" s="2" t="str">
        <x:v>Adaptation</x:v>
      </x:c>
      <x:c r="C378" s="2" t="str">
        <x:v>Water</x:v>
      </x:c>
      <x:c r="D378" s="2" t="str">
        <x:v>Riverine flood protection</x:v>
      </x:c>
      <x:c r="E378" s="2" t="str">
        <x:v>Sandbags against flooding</x:v>
      </x:c>
      <x:c r="F378" s="2" t="str">
        <x:v>Sandbags against flooding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Sandbags against flooding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8" s="2" t="str">
        <x:v>Mixed: adaptable design, site-specific implementation</x:v>
      </x:c>
      <x:c r="H378" s="2" t="str">
        <x:v>Sandbags against flooding is adaptable in capacity and configuration but site-specific in final engineering. Its principle remains the same, but resource quality, climate, scale, interfaces and safety constraints must be recalculated for each deployment.</x:v>
      </x:c>
      <x:c r="I378" s="2" t="str">
        <x:v>Primarily hard, with a soft component</x:v>
      </x:c>
      <x:c r="J378" s="2" t="str">
        <x:v>Sandbags against flooding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8" s="2" t="str">
        <x:v>Equipment and operation</x:v>
      </x:c>
      <x:c r="L378" s="2" t="str">
        <x:v>Sandbags against flooding is embodied mainly as an equipment-and-operation system. The deliverable is accepted only when measurable service, quality, safety and climate-performance criteria are met under real conditions.</x:v>
      </x:c>
      <x:c r="M378" s="2" t="str">
        <x:v>Yes, subject to life-cycle safeguards</x:v>
      </x:c>
      <x:c r="N378" s="2" t="str">
        <x:v>Sandbags against flooding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8" s="2" t="str">
        <x:v>Sandbags against flooding: intakes, pipes, pumps, meters, valves, tanks, treatment units, drainage or flood structures, monitoring stations and nature-based elements as applicable.</x:v>
      </x:c>
      <x:c r="P378" s="2" t="str">
        <x:v>Sandbags against flooding: water balance, hydraulic and hydrological modelling, demand forecasting, water-quality analysis, asset management, drought or flood rules and decision support.</x:v>
      </x:c>
      <x:c r="Q378" s="2" t="str">
        <x:v>Sandbags against flooding: water rights and permits, utility responsibilities, basin governance, service standards, emergency protocols, tariffs, maintenance funding and stakeholder agreements.</x:v>
      </x:c>
      <x:c r="R378" s="2" t="str">
        <x:v>Sandbags against flooding: catchment or coast, treatment and storage sites, conveyance and drainage network, power supply, laboratory, control room and safe access.</x:v>
      </x:c>
      <x:c r="S378" s="2" t="str">
        <x:v>Sandbags against flooding: electricity or fuel for pumping, aeration, desalination, treatment and controls; gravity and ecosystem processes can reduce auxiliary demand.</x:v>
      </x:c>
      <x:c r="T378" s="2" t="str">
        <x:v>Sandbags against flooding: concrete, steel, ductile iron or polymers, filter media, membranes, treatment chemicals, geotextiles, soil, rock and vegetation according to the measure.</x:v>
      </x:c>
      <x:c r="U378" s="2" t="str">
        <x:v>Sandbags against flooding: pump and valve parts, seals, meters, sensors, membranes, lamps, filter media, dosing equipment, reagents and erosion-control materials.</x:v>
      </x:c>
      <x:c r="V378" s="2" t="str">
        <x:v>https://www.ctc-n.org/sites/default/files/resources/ctcn_taxonomy_0.pdf</x:v>
      </x:c>
      <x:c r="W378" s="2" t="str">
        <x:v>https://institutoagricoladepueblobello.edu.co/colegiapp/archivostemas/GUIA%209.%5B25%5D.pdf</x:v>
      </x:c>
      <x:c r="X378" s="2" t="str">
        <x:v>https://iiasa.ac.at/what-is-technology</x:v>
      </x:c>
      <x:c r="Y378" s="2" t="str">
        <x:v>https://www.unwater.org/water-facts/climate-change</x:v>
      </x:c>
      <x:c r="Z378" s="2" t="str">
        <x:v>Technology-specific analytical synthesis. The CTCN hierarchy is retained; classifications and component dependencies require validation against the selected design, site and supplier documentation before investment or policy use.</x:v>
      </x:c>
      <x:c r="AA378" s="2" t="str">
        <x:v>Physical deployment of Sandbags against flooding requires catchment or coast, treatment and storage sites, conveyance and drainage network, power supply, laboratory, control room and safe access; interfaces, foundations, access and environmental protection are sized to the specific resource and design load.</x:v>
      </x:c>
      <x:c r="AB378" s="2" t="str">
        <x:v>For Sandbags against flooding,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8" s="2" t="str">
        <x:v>Construction and operation use concrete, steel, ductile iron or polymers, filter media, membranes, treatment chemicals, geotextiles, soil, rock and vegetation according to the measure. For Sandbags against flooding, specifications must include durability, compatibility, recycled content and recoverability.</x:v>
      </x:c>
      <x:c r="AD378" s="2" t="str">
        <x:v>Maintenance of Sandbags against flooding depends on pump and valve parts, seals, meters, sensors, membranes, lamps, filter media, dosing equipment, reagents and erosion-control materials; critical spares are selected from failure-mode, lead-time and safety analysis for its installed configuration.</x:v>
      </x:c>
      <x:c r="AE378" s="2" t="str">
        <x:v>The software stack for Sandbags against flooding requires databases, secure communications, version-controlled models, computing, backup and interfaces with field or operational systems.</x:v>
      </x:c>
      <x:c r="AF378" s="2" t="str">
        <x:v>For Sandbags against flooding, software-related energy is electricity for sensing, computing, storage, communication and cooling; it is normally secondary but must be included for data-intensive or continuous services.</x:v>
      </x:c>
      <x:c r="AG378" s="2" t="str">
        <x:v>The non-physical inputs are calibrated data, metadata, algorithms, boundary conditions, emission or hazard factors, manuals and validation records specific to Sandbags against flooding.</x:v>
      </x:c>
      <x:c r="AH378" s="2" t="str">
        <x:v>Software continuity for Sandbags against flooding requires licences where applicable, updates, cybersecurity patches, backups, calibration files, model validation and technical support.</x:v>
      </x:c>
      <x:c r="AI378" s="2" t="str">
        <x:v>Orgware depends on the institutions, laboratories, training providers, regulators, operators and community interfaces needed to govern Sandbags against flooding.</x:v>
      </x:c>
      <x:c r="AJ378" s="2" t="str">
        <x:v>The orgware supporting Sandbags against flooding has mainly indirect energy use from offices, meetings, training and information systems; travel and field supervision may be material at dispersed sites.</x:v>
      </x:c>
      <x:c r="AK378" s="2" t="str">
        <x:v>Its organisational inputs are permits, budgets, trained staff, competence records, contracts, procedures, safeguards, monitoring evidence and stakeholder agreements tailored to Sandbags against flooding.</x:v>
      </x:c>
      <x:c r="AL378" s="2" t="str">
        <x:v>Sustained implementation of Sandbags against flooding requires procurement and service contracts, audit protocols, training material, reporting templates, insurance or guarantees and periodic independent review.</x:v>
      </x:c>
      <x:c r="AM378" s="2" t="str">
        <x:v>Iron ore / steel inputs</x:v>
      </x:c>
      <x:c r="AN378" s="2" t="str">
        <x:v>Australia; Brazil; China</x:v>
      </x:c>
      <x:c r="AO378" s="2" t="str">
        <x:v>China; India; Japan</x:v>
      </x:c>
      <x:c r="AP378" s="2" t="str">
        <x:v>Sandbags against flooding: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8" s="2" t="str">
        <x:v>2024–2025</x:v>
      </x:c>
      <x:c r="AR378" s="2" t="str">
        <x:v>https://pubs.usgs.gov/periodicals/mcs2026/mcs2026.pdf</x:v>
      </x:c>
    </x:row>
    <x:row r="379" ht="240" customHeight="1">
      <x:c r="A379" s="2" t="str">
        <x:v>ADP-0109</x:v>
      </x:c>
      <x:c r="B379" s="2" t="str">
        <x:v>Adaptation</x:v>
      </x:c>
      <x:c r="C379" s="2" t="str">
        <x:v>Water</x:v>
      </x:c>
      <x:c r="D379" s="2" t="str">
        <x:v>Riverine flood protection</x:v>
      </x:c>
      <x:c r="E379" s="2" t="str">
        <x:v>Flood proof wells</x:v>
      </x:c>
      <x:c r="F379" s="2" t="str">
        <x:v>Flood proof wells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Flood proof wells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79" s="2" t="str">
        <x:v>Mixed: adaptable design, site-specific implementation</x:v>
      </x:c>
      <x:c r="H379" s="2" t="str">
        <x:v>Flood proof wells is adaptable in capacity and configuration but site-specific in final engineering. Its principle remains the same, but resource quality, climate, scale, interfaces and safety constraints must be recalculated for each deployment.</x:v>
      </x:c>
      <x:c r="I379" s="2" t="str">
        <x:v>Primarily hard, with a soft component</x:v>
      </x:c>
      <x:c r="J379" s="2" t="str">
        <x:v>Flood proof wells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79" s="2" t="str">
        <x:v>Equipment and operation</x:v>
      </x:c>
      <x:c r="L379" s="2" t="str">
        <x:v>Flood proof wells is embodied mainly as an equipment-and-operation system. The deliverable is accepted only when measurable service, quality, safety and climate-performance criteria are met under real conditions.</x:v>
      </x:c>
      <x:c r="M379" s="2" t="str">
        <x:v>Yes, subject to life-cycle safeguards</x:v>
      </x:c>
      <x:c r="N379" s="2" t="str">
        <x:v>Flood proof wells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79" s="2" t="str">
        <x:v>Flood proof wells: intakes, pipes, pumps, meters, valves, tanks, treatment units, drainage or flood structures, monitoring stations and nature-based elements as applicable.</x:v>
      </x:c>
      <x:c r="P379" s="2" t="str">
        <x:v>Flood proof wells: water balance, hydraulic and hydrological modelling, demand forecasting, water-quality analysis, asset management, drought or flood rules and decision support.</x:v>
      </x:c>
      <x:c r="Q379" s="2" t="str">
        <x:v>Flood proof wells: water rights and permits, utility responsibilities, basin governance, service standards, emergency protocols, tariffs, maintenance funding and stakeholder agreements.</x:v>
      </x:c>
      <x:c r="R379" s="2" t="str">
        <x:v>Flood proof wells: catchment or coast, treatment and storage sites, conveyance and drainage network, power supply, laboratory, control room and safe access.</x:v>
      </x:c>
      <x:c r="S379" s="2" t="str">
        <x:v>Flood proof wells: electricity or fuel for pumping, aeration, desalination, treatment and controls; gravity and ecosystem processes can reduce auxiliary demand.</x:v>
      </x:c>
      <x:c r="T379" s="2" t="str">
        <x:v>Flood proof wells: concrete, steel, ductile iron or polymers, filter media, membranes, treatment chemicals, geotextiles, soil, rock and vegetation according to the measure.</x:v>
      </x:c>
      <x:c r="U379" s="2" t="str">
        <x:v>Flood proof wells: pump and valve parts, seals, meters, sensors, membranes, lamps, filter media, dosing equipment, reagents and erosion-control materials.</x:v>
      </x:c>
      <x:c r="V379" s="2" t="str">
        <x:v>https://www.ctc-n.org/sites/default/files/resources/ctcn_taxonomy_0.pdf</x:v>
      </x:c>
      <x:c r="W379" s="2" t="str">
        <x:v>https://institutoagricoladepueblobello.edu.co/colegiapp/archivostemas/GUIA%209.%5B25%5D.pdf</x:v>
      </x:c>
      <x:c r="X379" s="2" t="str">
        <x:v>https://iiasa.ac.at/what-is-technology</x:v>
      </x:c>
      <x:c r="Y379" s="2" t="str">
        <x:v>https://www.unwater.org/water-facts/climate-change</x:v>
      </x:c>
      <x:c r="Z379" s="2" t="str">
        <x:v>Technology-specific analytical synthesis. The CTCN hierarchy is retained; classifications and component dependencies require validation against the selected design, site and supplier documentation before investment or policy use.</x:v>
      </x:c>
      <x:c r="AA379" s="2" t="str">
        <x:v>Physical deployment of Flood proof wells requires catchment or coast, treatment and storage sites, conveyance and drainage network, power supply, laboratory, control room and safe access; interfaces, foundations, access and environmental protection are sized to the specific resource and design load.</x:v>
      </x:c>
      <x:c r="AB379" s="2" t="str">
        <x:v>For Flood proof wells,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79" s="2" t="str">
        <x:v>Construction and operation use concrete, steel, ductile iron or polymers, filter media, membranes, treatment chemicals, geotextiles, soil, rock and vegetation according to the measure. For Flood proof wells, specifications must include durability, compatibility, recycled content and recoverability.</x:v>
      </x:c>
      <x:c r="AD379" s="2" t="str">
        <x:v>Maintenance of Flood proof wells depends on pump and valve parts, seals, meters, sensors, membranes, lamps, filter media, dosing equipment, reagents and erosion-control materials; critical spares are selected from failure-mode, lead-time and safety analysis for its installed configuration.</x:v>
      </x:c>
      <x:c r="AE379" s="2" t="str">
        <x:v>The software stack for Flood proof wells requires databases, secure communications, version-controlled models, computing, backup and interfaces with field or operational systems.</x:v>
      </x:c>
      <x:c r="AF379" s="2" t="str">
        <x:v>For Flood proof wells, software-related energy is electricity for sensing, computing, storage, communication and cooling; it is normally secondary but must be included for data-intensive or continuous services.</x:v>
      </x:c>
      <x:c r="AG379" s="2" t="str">
        <x:v>The non-physical inputs are calibrated data, metadata, algorithms, boundary conditions, emission or hazard factors, manuals and validation records specific to Flood proof wells.</x:v>
      </x:c>
      <x:c r="AH379" s="2" t="str">
        <x:v>Software continuity for Flood proof wells requires licences where applicable, updates, cybersecurity patches, backups, calibration files, model validation and technical support.</x:v>
      </x:c>
      <x:c r="AI379" s="2" t="str">
        <x:v>Orgware depends on the institutions, laboratories, training providers, regulators, operators and community interfaces needed to govern Flood proof wells.</x:v>
      </x:c>
      <x:c r="AJ379" s="2" t="str">
        <x:v>The orgware supporting Flood proof wells has mainly indirect energy use from offices, meetings, training and information systems; travel and field supervision may be material at dispersed sites.</x:v>
      </x:c>
      <x:c r="AK379" s="2" t="str">
        <x:v>Its organisational inputs are permits, budgets, trained staff, competence records, contracts, procedures, safeguards, monitoring evidence and stakeholder agreements tailored to Flood proof wells.</x:v>
      </x:c>
      <x:c r="AL379" s="2" t="str">
        <x:v>Sustained implementation of Flood proof wells requires procurement and service contracts, audit protocols, training material, reporting templates, insurance or guarantees and periodic independent review.</x:v>
      </x:c>
      <x:c r="AM379" s="2" t="str">
        <x:v>Iron ore / steel inputs</x:v>
      </x:c>
      <x:c r="AN379" s="2" t="str">
        <x:v>Australia; Brazil; China</x:v>
      </x:c>
      <x:c r="AO379" s="2" t="str">
        <x:v>China; India; Japan</x:v>
      </x:c>
      <x:c r="AP379" s="2" t="str">
        <x:v>Flood proof wells: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9" s="2" t="str">
        <x:v>2024–2025</x:v>
      </x:c>
      <x:c r="AR379" s="2" t="str">
        <x:v>https://pubs.usgs.gov/periodicals/mcs2026/mcs2026.pdf</x:v>
      </x:c>
    </x:row>
    <x:row r="380" ht="240" customHeight="1">
      <x:c r="A380" s="2" t="str">
        <x:v>ADP-0110</x:v>
      </x:c>
      <x:c r="B380" s="2" t="str">
        <x:v>Adaptation</x:v>
      </x:c>
      <x:c r="C380" s="2" t="str">
        <x:v>Water</x:v>
      </x:c>
      <x:c r="D380" s="2" t="str">
        <x:v>Riverine flood protection</x:v>
      </x:c>
      <x:c r="E380" s="2" t="str">
        <x:v>Floodplain zoning</x:v>
      </x:c>
      <x:c r="F380" s="2" t="str">
        <x:v>Floodplain zoning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Floodplain zoning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0" s="2" t="str">
        <x:v>Flexible</x:v>
      </x:c>
      <x:c r="H380" s="2" t="str">
        <x:v>Floodplain zoning is transferable through configurable methods, rules and operating parameters. Its principle remains the same, but resource quality, climate, scale, interfaces and safety constraints must be recalculated for each deployment.</x:v>
      </x:c>
      <x:c r="I380" s="2" t="str">
        <x:v>Primarily soft, with physical support</x:v>
      </x:c>
      <x:c r="J380" s="2" t="str">
        <x:v>Floodplain zoning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0" s="2" t="str">
        <x:v>Operation</x:v>
      </x:c>
      <x:c r="L380" s="2" t="str">
        <x:v>Floodplain zoning is embodied mainly as an operating practice. The deliverable is accepted only when measurable service, quality, safety and climate-performance criteria are met under real conditions.</x:v>
      </x:c>
      <x:c r="M380" s="2" t="str">
        <x:v>Yes, subject to life-cycle safeguards</x:v>
      </x:c>
      <x:c r="N380" s="2" t="str">
        <x:v>Floodplain zoning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0" s="2" t="str">
        <x:v>Floodplain zoning: intakes, pipes, pumps, meters, valves, tanks, treatment units, drainage or flood structures, monitoring stations and nature-based elements as applicable.</x:v>
      </x:c>
      <x:c r="P380" s="2" t="str">
        <x:v>Floodplain zoning: water balance, hydraulic and hydrological modelling, demand forecasting, water-quality analysis, asset management, drought or flood rules and decision support.</x:v>
      </x:c>
      <x:c r="Q380" s="2" t="str">
        <x:v>Floodplain zoning: water rights and permits, utility responsibilities, basin governance, service standards, emergency protocols, tariffs, maintenance funding and stakeholder agreements.</x:v>
      </x:c>
      <x:c r="R380" s="2" t="str">
        <x:v>Floodplain zoning: catchment or coast, treatment and storage sites, conveyance and drainage network, power supply, laboratory, control room and safe access.</x:v>
      </x:c>
      <x:c r="S380" s="2" t="str">
        <x:v>Floodplain zoning: electricity or fuel for pumping, aeration, desalination, treatment and controls; gravity and ecosystem processes can reduce auxiliary demand.</x:v>
      </x:c>
      <x:c r="T380" s="2" t="str">
        <x:v>Floodplain zoning: concrete, steel, ductile iron or polymers, filter media, membranes, treatment chemicals, geotextiles, soil, rock and vegetation according to the measure.</x:v>
      </x:c>
      <x:c r="U380" s="2" t="str">
        <x:v>Floodplain zoning: pump and valve parts, seals, meters, sensors, membranes, lamps, filter media, dosing equipment, reagents and erosion-control materials.</x:v>
      </x:c>
      <x:c r="V380" s="2" t="str">
        <x:v>https://www.ctc-n.org/sites/default/files/resources/ctcn_taxonomy_0.pdf</x:v>
      </x:c>
      <x:c r="W380" s="2" t="str">
        <x:v>https://institutoagricoladepueblobello.edu.co/colegiapp/archivostemas/GUIA%209.%5B25%5D.pdf</x:v>
      </x:c>
      <x:c r="X380" s="2" t="str">
        <x:v>https://iiasa.ac.at/what-is-technology</x:v>
      </x:c>
      <x:c r="Y380" s="2" t="str">
        <x:v>https://www.unwater.org/water-facts/climate-change</x:v>
      </x:c>
      <x:c r="Z380" s="2" t="str">
        <x:v>Technology-specific analytical synthesis. The CTCN hierarchy is retained; classifications and component dependencies require validation against the selected design, site and supplier documentation before investment or policy use.</x:v>
      </x:c>
      <x:c r="AA380" s="2" t="str">
        <x:v>Physical deployment of Floodplain zoning requires catchment or coast, treatment and storage sites, conveyance and drainage network, power supply, laboratory, control room and safe access; interfaces, foundations, access and environmental protection are sized to the specific resource and design load.</x:v>
      </x:c>
      <x:c r="AB380" s="2" t="str">
        <x:v>For Floodplain zoning,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0" s="2" t="str">
        <x:v>Construction and operation use concrete, steel, ductile iron or polymers, filter media, membranes, treatment chemicals, geotextiles, soil, rock and vegetation according to the measure. For Floodplain zoning, specifications must include durability, compatibility, recycled content and recoverability.</x:v>
      </x:c>
      <x:c r="AD380" s="2" t="str">
        <x:v>Maintenance of Floodplain zoning depends on pump and valve parts, seals, meters, sensors, membranes, lamps, filter media, dosing equipment, reagents and erosion-control materials; critical spares are selected from failure-mode, lead-time and safety analysis for its installed configuration.</x:v>
      </x:c>
      <x:c r="AE380" s="2" t="str">
        <x:v>The software stack for Floodplain zoning requires databases, secure communications, version-controlled models, computing, backup and interfaces with field or operational systems.</x:v>
      </x:c>
      <x:c r="AF380" s="2" t="str">
        <x:v>For Floodplain zoning, software-related energy is electricity for sensing, computing, storage, communication and cooling; it is normally secondary but must be included for data-intensive or continuous services.</x:v>
      </x:c>
      <x:c r="AG380" s="2" t="str">
        <x:v>The non-physical inputs are calibrated data, metadata, algorithms, boundary conditions, emission or hazard factors, manuals and validation records specific to Floodplain zoning.</x:v>
      </x:c>
      <x:c r="AH380" s="2" t="str">
        <x:v>Software continuity for Floodplain zoning requires licences where applicable, updates, cybersecurity patches, backups, calibration files, model validation and technical support.</x:v>
      </x:c>
      <x:c r="AI380" s="2" t="str">
        <x:v>Orgware depends on the institutions, laboratories, training providers, regulators, operators and community interfaces needed to govern Floodplain zoning.</x:v>
      </x:c>
      <x:c r="AJ380" s="2" t="str">
        <x:v>The orgware supporting Floodplain zoning has mainly indirect energy use from offices, meetings, training and information systems; travel and field supervision may be material at dispersed sites.</x:v>
      </x:c>
      <x:c r="AK380" s="2" t="str">
        <x:v>Its organisational inputs are permits, budgets, trained staff, competence records, contracts, procedures, safeguards, monitoring evidence and stakeholder agreements tailored to Floodplain zoning.</x:v>
      </x:c>
      <x:c r="AL380" s="2" t="str">
        <x:v>Sustained implementation of Floodplain zoning requires procurement and service contracts, audit protocols, training material, reporting templates, insurance or guarantees and periodic independent review.</x:v>
      </x:c>
      <x:c r="AM380" s="2" t="str">
        <x:v>Iron ore / steel inputs</x:v>
      </x:c>
      <x:c r="AN380" s="2" t="str">
        <x:v>Australia; Brazil; China</x:v>
      </x:c>
      <x:c r="AO380" s="2" t="str">
        <x:v>China; India; Japan</x:v>
      </x:c>
      <x:c r="AP380" s="2" t="str">
        <x:v>Floodplain zoning: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0" s="2" t="str">
        <x:v>2024–2025</x:v>
      </x:c>
      <x:c r="AR380" s="2" t="str">
        <x:v>https://pubs.usgs.gov/periodicals/mcs2026/mcs2026.pdf</x:v>
      </x:c>
    </x:row>
    <x:row r="381" ht="240" customHeight="1">
      <x:c r="A381" s="2" t="str">
        <x:v>ADP-0111</x:v>
      </x:c>
      <x:c r="B381" s="2" t="str">
        <x:v>Adaptation</x:v>
      </x:c>
      <x:c r="C381" s="2" t="str">
        <x:v>Water</x:v>
      </x:c>
      <x:c r="D381" s="2" t="str">
        <x:v>Urban storm water management</x:v>
      </x:c>
      <x:c r="E381" s="2" t="str">
        <x:v>Canals and drainage systems</x:v>
      </x:c>
      <x:c r="F381" s="2" t="str">
        <x:v>Canals and drainage systems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Canals and drainage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1" s="2" t="str">
        <x:v>Flexible</x:v>
      </x:c>
      <x:c r="H381" s="2" t="str">
        <x:v>Canals and drainage systems is transferable through configurable methods, rules and operating parameters. Its principle remains the same, but resource quality, climate, scale, interfaces and safety constraints must be recalculated for each deployment.</x:v>
      </x:c>
      <x:c r="I381" s="2" t="str">
        <x:v>Primarily soft, with physical support</x:v>
      </x:c>
      <x:c r="J381" s="2" t="str">
        <x:v>Canals and drainage systems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1" s="2" t="str">
        <x:v>Operation</x:v>
      </x:c>
      <x:c r="L381" s="2" t="str">
        <x:v>Canals and drainage systems is embodied mainly as an operating practice. The deliverable is accepted only when measurable service, quality, safety and climate-performance criteria are met under real conditions.</x:v>
      </x:c>
      <x:c r="M381" s="2" t="str">
        <x:v>Yes, subject to life-cycle safeguards</x:v>
      </x:c>
      <x:c r="N381" s="2" t="str">
        <x:v>Canals and drainage systems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1" s="2" t="str">
        <x:v>Canals and drainage systems: intakes, pipes, pumps, meters, valves, tanks, treatment units, drainage or flood structures, monitoring stations and nature-based elements as applicable.</x:v>
      </x:c>
      <x:c r="P381" s="2" t="str">
        <x:v>Canals and drainage systems: water balance, hydraulic and hydrological modelling, demand forecasting, water-quality analysis, asset management, drought or flood rules and decision support.</x:v>
      </x:c>
      <x:c r="Q381" s="2" t="str">
        <x:v>Canals and drainage systems: water rights and permits, utility responsibilities, basin governance, service standards, emergency protocols, tariffs, maintenance funding and stakeholder agreements.</x:v>
      </x:c>
      <x:c r="R381" s="2" t="str">
        <x:v>Canals and drainage systems: catchment or coast, treatment and storage sites, conveyance and drainage network, power supply, laboratory, control room and safe access.</x:v>
      </x:c>
      <x:c r="S381" s="2" t="str">
        <x:v>Canals and drainage systems: electricity or fuel for pumping, aeration, desalination, treatment and controls; gravity and ecosystem processes can reduce auxiliary demand.</x:v>
      </x:c>
      <x:c r="T381" s="2" t="str">
        <x:v>Canals and drainage systems: concrete, steel, ductile iron or polymers, filter media, membranes, treatment chemicals, geotextiles, soil, rock and vegetation according to the measure.</x:v>
      </x:c>
      <x:c r="U381" s="2" t="str">
        <x:v>Canals and drainage systems: pump and valve parts, seals, meters, sensors, membranes, lamps, filter media, dosing equipment, reagents and erosion-control materials.</x:v>
      </x:c>
      <x:c r="V381" s="2" t="str">
        <x:v>https://www.ctc-n.org/sites/default/files/resources/ctcn_taxonomy_0.pdf</x:v>
      </x:c>
      <x:c r="W381" s="2" t="str">
        <x:v>https://institutoagricoladepueblobello.edu.co/colegiapp/archivostemas/GUIA%209.%5B25%5D.pdf</x:v>
      </x:c>
      <x:c r="X381" s="2" t="str">
        <x:v>https://iiasa.ac.at/what-is-technology</x:v>
      </x:c>
      <x:c r="Y381" s="2" t="str">
        <x:v>https://www.unwater.org/water-facts/climate-change</x:v>
      </x:c>
      <x:c r="Z381" s="2" t="str">
        <x:v>Technology-specific analytical synthesis. The CTCN hierarchy is retained; classifications and component dependencies require validation against the selected design, site and supplier documentation before investment or policy use.</x:v>
      </x:c>
      <x:c r="AA381" s="2" t="str">
        <x:v>Physical deployment of Canals and drainage systems requires catchment or coast, treatment and storage sites, conveyance and drainage network, power supply, laboratory, control room and safe access; interfaces, foundations, access and environmental protection are sized to the specific resource and design load.</x:v>
      </x:c>
      <x:c r="AB381" s="2" t="str">
        <x:v>For Canals and drainage systems,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1" s="2" t="str">
        <x:v>Construction and operation use concrete, steel, ductile iron or polymers, filter media, membranes, treatment chemicals, geotextiles, soil, rock and vegetation according to the measure. For Canals and drainage systems, specifications must include durability, compatibility, recycled content and recoverability.</x:v>
      </x:c>
      <x:c r="AD381" s="2" t="str">
        <x:v>Maintenance of Canals and drainage systems depends on pump and valve parts, seals, meters, sensors, membranes, lamps, filter media, dosing equipment, reagents and erosion-control materials; critical spares are selected from failure-mode, lead-time and safety analysis for its installed configuration.</x:v>
      </x:c>
      <x:c r="AE381" s="2" t="str">
        <x:v>The software stack for Canals and drainage systems requires databases, secure communications, version-controlled models, computing, backup and interfaces with field or operational systems.</x:v>
      </x:c>
      <x:c r="AF381" s="2" t="str">
        <x:v>For Canals and drainage systems, software-related energy is electricity for sensing, computing, storage, communication and cooling; it is normally secondary but must be included for data-intensive or continuous services.</x:v>
      </x:c>
      <x:c r="AG381" s="2" t="str">
        <x:v>The non-physical inputs are calibrated data, metadata, algorithms, boundary conditions, emission or hazard factors, manuals and validation records specific to Canals and drainage systems.</x:v>
      </x:c>
      <x:c r="AH381" s="2" t="str">
        <x:v>Software continuity for Canals and drainage systems requires licences where applicable, updates, cybersecurity patches, backups, calibration files, model validation and technical support.</x:v>
      </x:c>
      <x:c r="AI381" s="2" t="str">
        <x:v>Orgware depends on the institutions, laboratories, training providers, regulators, operators and community interfaces needed to govern Canals and drainage systems.</x:v>
      </x:c>
      <x:c r="AJ381" s="2" t="str">
        <x:v>The orgware supporting Canals and drainage systems has mainly indirect energy use from offices, meetings, training and information systems; travel and field supervision may be material at dispersed sites.</x:v>
      </x:c>
      <x:c r="AK381" s="2" t="str">
        <x:v>Its organisational inputs are permits, budgets, trained staff, competence records, contracts, procedures, safeguards, monitoring evidence and stakeholder agreements tailored to Canals and drainage systems.</x:v>
      </x:c>
      <x:c r="AL381" s="2" t="str">
        <x:v>Sustained implementation of Canals and drainage systems requires procurement and service contracts, audit protocols, training material, reporting templates, insurance or guarantees and periodic independent review.</x:v>
      </x:c>
      <x:c r="AM381" s="2" t="str">
        <x:v>Iron ore / steel inputs; Limestone / cement raw materials</x:v>
      </x:c>
      <x:c r="AN381" s="2" t="str">
        <x:v>Australia; Brazil; China; India; Vietnam</x:v>
      </x:c>
      <x:c r="AO381" s="2" t="str">
        <x:v>China; India; Japan; Vietnam</x:v>
      </x:c>
      <x:c r="AP381" s="2" t="str">
        <x:v>Canals and drainage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1" s="2" t="str">
        <x:v>2024–2025</x:v>
      </x:c>
      <x:c r="AR381" s="2" t="str">
        <x:v>https://pubs.usgs.gov/periodicals/mcs2026/mcs2026.pdf</x:v>
      </x:c>
    </x:row>
    <x:row r="382" ht="240" customHeight="1">
      <x:c r="A382" s="2" t="str">
        <x:v>ADP-0112</x:v>
      </x:c>
      <x:c r="B382" s="2" t="str">
        <x:v>Adaptation</x:v>
      </x:c>
      <x:c r="C382" s="2" t="str">
        <x:v>Water</x:v>
      </x:c>
      <x:c r="D382" s="2" t="str">
        <x:v>Urban storm water management</x:v>
      </x:c>
      <x:c r="E382" s="2" t="str">
        <x:v>Runoff control structures to temporarily store rainfall</x:v>
      </x:c>
      <x:c r="F382" s="2" t="str">
        <x:v>Runoff control structures to temporarily store rainfall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Runoff control structures to temporarily store rainfall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2" s="2" t="str">
        <x:v>Flexible</x:v>
      </x:c>
      <x:c r="H382" s="2" t="str">
        <x:v>Runoff control structures to temporarily store rainfall is transferable through configurable methods, rules and operating parameters. Its principle remains the same, but resource quality, climate, scale, interfaces and safety constraints must be recalculated for each deployment.</x:v>
      </x:c>
      <x:c r="I382" s="2" t="str">
        <x:v>Primarily soft, with physical support</x:v>
      </x:c>
      <x:c r="J382" s="2" t="str">
        <x:v>Runoff control structures to temporarily store rainfall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2" s="2" t="str">
        <x:v>Operation</x:v>
      </x:c>
      <x:c r="L382" s="2" t="str">
        <x:v>Runoff control structures to temporarily store rainfall is embodied mainly as an operating practice. The deliverable is accepted only when measurable service, quality, safety and climate-performance criteria are met under real conditions.</x:v>
      </x:c>
      <x:c r="M382" s="2" t="str">
        <x:v>Yes, subject to life-cycle safeguards</x:v>
      </x:c>
      <x:c r="N382" s="2" t="str">
        <x:v>Runoff control structures to temporarily store rainfall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2" s="2" t="str">
        <x:v>Runoff control structures to temporarily store rainfall: intakes, pipes, pumps, meters, valves, tanks, treatment units, drainage or flood structures, monitoring stations and nature-based elements as applicable.</x:v>
      </x:c>
      <x:c r="P382" s="2" t="str">
        <x:v>Runoff control structures to temporarily store rainfall: water balance, hydraulic and hydrological modelling, demand forecasting, water-quality analysis, asset management, drought or flood rules and decision support.</x:v>
      </x:c>
      <x:c r="Q382" s="2" t="str">
        <x:v>Runoff control structures to temporarily store rainfall: water rights and permits, utility responsibilities, basin governance, service standards, emergency protocols, tariffs, maintenance funding and stakeholder agreements.</x:v>
      </x:c>
      <x:c r="R382" s="2" t="str">
        <x:v>Runoff control structures to temporarily store rainfall: catchment or coast, treatment and storage sites, conveyance and drainage network, power supply, laboratory, control room and safe access.</x:v>
      </x:c>
      <x:c r="S382" s="2" t="str">
        <x:v>Runoff control structures to temporarily store rainfall: electricity or fuel for pumping, aeration, desalination, treatment and controls; gravity and ecosystem processes can reduce auxiliary demand.</x:v>
      </x:c>
      <x:c r="T382" s="2" t="str">
        <x:v>Runoff control structures to temporarily store rainfall: concrete, steel, ductile iron or polymers, filter media, membranes, treatment chemicals, geotextiles, soil, rock and vegetation according to the measure.</x:v>
      </x:c>
      <x:c r="U382" s="2" t="str">
        <x:v>Runoff control structures to temporarily store rainfall: pump and valve parts, seals, meters, sensors, membranes, lamps, filter media, dosing equipment, reagents and erosion-control materials.</x:v>
      </x:c>
      <x:c r="V382" s="2" t="str">
        <x:v>https://www.ctc-n.org/sites/default/files/resources/ctcn_taxonomy_0.pdf</x:v>
      </x:c>
      <x:c r="W382" s="2" t="str">
        <x:v>https://institutoagricoladepueblobello.edu.co/colegiapp/archivostemas/GUIA%209.%5B25%5D.pdf</x:v>
      </x:c>
      <x:c r="X382" s="2" t="str">
        <x:v>https://iiasa.ac.at/what-is-technology</x:v>
      </x:c>
      <x:c r="Y382" s="2" t="str">
        <x:v>https://www.unwater.org/water-facts/climate-change</x:v>
      </x:c>
      <x:c r="Z382" s="2" t="str">
        <x:v>Technology-specific analytical synthesis. The CTCN hierarchy is retained; classifications and component dependencies require validation against the selected design, site and supplier documentation before investment or policy use.</x:v>
      </x:c>
      <x:c r="AA382" s="2" t="str">
        <x:v>Physical deployment of Runoff control structures to temporarily store rainfall requires catchment or coast, treatment and storage sites, conveyance and drainage network, power supply, laboratory, control room and safe access; interfaces, foundations, access and environmental protection are sized to the specific resource and design load.</x:v>
      </x:c>
      <x:c r="AB382" s="2" t="str">
        <x:v>For Runoff control structures to temporarily store rainfall,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2" s="2" t="str">
        <x:v>Construction and operation use concrete, steel, ductile iron or polymers, filter media, membranes, treatment chemicals, geotextiles, soil, rock and vegetation according to the measure. For Runoff control structures to temporarily store rainfall, specifications must include durability, compatibility, recycled content and recoverability.</x:v>
      </x:c>
      <x:c r="AD382" s="2" t="str">
        <x:v>Maintenance of Runoff control structures to temporarily store rainfall depends on pump and valve parts, seals, meters, sensors, membranes, lamps, filter media, dosing equipment, reagents and erosion-control materials; critical spares are selected from failure-mode, lead-time and safety analysis for its installed configuration.</x:v>
      </x:c>
      <x:c r="AE382" s="2" t="str">
        <x:v>The software stack for Runoff control structures to temporarily store rainfall requires databases, secure communications, version-controlled models, computing, backup and interfaces with field or operational systems.</x:v>
      </x:c>
      <x:c r="AF382" s="2" t="str">
        <x:v>For Runoff control structures to temporarily store rainfall, software-related energy is electricity for sensing, computing, storage, communication and cooling; it is normally secondary but must be included for data-intensive or continuous services.</x:v>
      </x:c>
      <x:c r="AG382" s="2" t="str">
        <x:v>The non-physical inputs are calibrated data, metadata, algorithms, boundary conditions, emission or hazard factors, manuals and validation records specific to Runoff control structures to temporarily store rainfall.</x:v>
      </x:c>
      <x:c r="AH382" s="2" t="str">
        <x:v>Software continuity for Runoff control structures to temporarily store rainfall requires licences where applicable, updates, cybersecurity patches, backups, calibration files, model validation and technical support.</x:v>
      </x:c>
      <x:c r="AI382" s="2" t="str">
        <x:v>Orgware depends on the institutions, laboratories, training providers, regulators, operators and community interfaces needed to govern Runoff control structures to temporarily store rainfall.</x:v>
      </x:c>
      <x:c r="AJ382" s="2" t="str">
        <x:v>The orgware supporting Runoff control structures to temporarily store rainfall has mainly indirect energy use from offices, meetings, training and information systems; travel and field supervision may be material at dispersed sites.</x:v>
      </x:c>
      <x:c r="AK382" s="2" t="str">
        <x:v>Its organisational inputs are permits, budgets, trained staff, competence records, contracts, procedures, safeguards, monitoring evidence and stakeholder agreements tailored to Runoff control structures to temporarily store rainfall.</x:v>
      </x:c>
      <x:c r="AL382" s="2" t="str">
        <x:v>Sustained implementation of Runoff control structures to temporarily store rainfall requires procurement and service contracts, audit protocols, training material, reporting templates, insurance or guarantees and periodic independent review.</x:v>
      </x:c>
      <x:c r="AM382" s="2" t="str">
        <x:v>Iron ore / steel inputs; Copper; Tin</x:v>
      </x:c>
      <x:c r="AN382" s="2" t="str">
        <x:v>Australia; Brazil; China; Chile; Democratic Republic of the Congo; Peru; Indonesia; Myanmar</x:v>
      </x:c>
      <x:c r="AO382" s="2" t="str">
        <x:v>China; India; Japan; Chile; Democratic Republic of the Congo; Indonesia; Malaysia</x:v>
      </x:c>
      <x:c r="AP382" s="2" t="str">
        <x:v>Runoff control structures to temporarily store rainfall: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2" s="2" t="str">
        <x:v>2024–2025</x:v>
      </x:c>
      <x:c r="AR382" s="2" t="str">
        <x:v>https://pubs.usgs.gov/periodicals/mcs2026/mcs2026.pdf</x:v>
      </x:c>
    </x:row>
    <x:row r="383" ht="240" customHeight="1">
      <x:c r="A383" s="2" t="str">
        <x:v>ADP-0113</x:v>
      </x:c>
      <x:c r="B383" s="2" t="str">
        <x:v>Adaptation</x:v>
      </x:c>
      <x:c r="C383" s="2" t="str">
        <x:v>Water</x:v>
      </x:c>
      <x:c r="D383" s="2" t="str">
        <x:v>Urban storm water management</x:v>
      </x:c>
      <x:c r="E383" s="2" t="str">
        <x:v>Permeable parking lots</x:v>
      </x:c>
      <x:c r="F383" s="2" t="str">
        <x:v>Permeable parking lots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It slows, stores and infiltrates runoff through porous media, vegetation and soil–microbe processes, reducing peak flow while filtering sediments and selected pollutants.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3" s="2" t="str">
        <x:v>Flexible</x:v>
      </x:c>
      <x:c r="H383" s="2" t="str">
        <x:v>Permeable parking lots is transferable through configurable methods, rules and operating parameters. Its principle remains the same, but resource quality, climate, scale, interfaces and safety constraints must be recalculated for each deployment.</x:v>
      </x:c>
      <x:c r="I383" s="2" t="str">
        <x:v>Primarily soft, with physical support</x:v>
      </x:c>
      <x:c r="J383" s="2" t="str">
        <x:v>Permeable parking lots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3" s="2" t="str">
        <x:v>Operation</x:v>
      </x:c>
      <x:c r="L383" s="2" t="str">
        <x:v>Permeable parking lots is embodied mainly as an operating practice. The deliverable is accepted only when measurable service, quality, safety and climate-performance criteria are met under real conditions.</x:v>
      </x:c>
      <x:c r="M383" s="2" t="str">
        <x:v>Yes, subject to life-cycle safeguards</x:v>
      </x:c>
      <x:c r="N383" s="2" t="str">
        <x:v>Permeable parking lots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3" s="2" t="str">
        <x:v>Permeable parking lots: intakes, pipes, pumps, meters, valves, tanks, treatment units, drainage or flood structures, monitoring stations and nature-based elements as applicable.</x:v>
      </x:c>
      <x:c r="P383" s="2" t="str">
        <x:v>Permeable parking lots: water balance, hydraulic and hydrological modelling, demand forecasting, water-quality analysis, asset management, drought or flood rules and decision support.</x:v>
      </x:c>
      <x:c r="Q383" s="2" t="str">
        <x:v>Permeable parking lots: water rights and permits, utility responsibilities, basin governance, service standards, emergency protocols, tariffs, maintenance funding and stakeholder agreements.</x:v>
      </x:c>
      <x:c r="R383" s="2" t="str">
        <x:v>Permeable parking lots: catchment or coast, treatment and storage sites, conveyance and drainage network, power supply, laboratory, control room and safe access.</x:v>
      </x:c>
      <x:c r="S383" s="2" t="str">
        <x:v>Permeable parking lots: electricity or fuel for pumping, aeration, desalination, treatment and controls; gravity and ecosystem processes can reduce auxiliary demand.</x:v>
      </x:c>
      <x:c r="T383" s="2" t="str">
        <x:v>Permeable parking lots: concrete, steel, ductile iron or polymers, filter media, membranes, treatment chemicals, geotextiles, soil, rock and vegetation according to the measure.</x:v>
      </x:c>
      <x:c r="U383" s="2" t="str">
        <x:v>Permeable parking lots: pump and valve parts, seals, meters, sensors, membranes, lamps, filter media, dosing equipment, reagents and erosion-control materials.</x:v>
      </x:c>
      <x:c r="V383" s="2" t="str">
        <x:v>https://www.ctc-n.org/sites/default/files/resources/ctcn_taxonomy_0.pdf</x:v>
      </x:c>
      <x:c r="W383" s="2" t="str">
        <x:v>https://institutoagricoladepueblobello.edu.co/colegiapp/archivostemas/GUIA%209.%5B25%5D.pdf</x:v>
      </x:c>
      <x:c r="X383" s="2" t="str">
        <x:v>https://iiasa.ac.at/what-is-technology</x:v>
      </x:c>
      <x:c r="Y383" s="2" t="str">
        <x:v>https://www.unwater.org/water-facts/climate-change</x:v>
      </x:c>
      <x:c r="Z383" s="2" t="str">
        <x:v>Technology-specific analytical synthesis. The CTCN hierarchy is retained; classifications and component dependencies require validation against the selected design, site and supplier documentation before investment or policy use.</x:v>
      </x:c>
      <x:c r="AA383" s="2" t="str">
        <x:v>Physical deployment of Permeable parking lots requires catchment or coast, treatment and storage sites, conveyance and drainage network, power supply, laboratory, control room and safe access; interfaces, foundations, access and environmental protection are sized to the specific resource and design load.</x:v>
      </x:c>
      <x:c r="AB383" s="2" t="str">
        <x:v>For Permeable parking lots,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3" s="2" t="str">
        <x:v>Construction and operation use concrete, steel, ductile iron or polymers, filter media, membranes, treatment chemicals, geotextiles, soil, rock and vegetation according to the measure. For Permeable parking lots, specifications must include durability, compatibility, recycled content and recoverability.</x:v>
      </x:c>
      <x:c r="AD383" s="2" t="str">
        <x:v>Maintenance of Permeable parking lots depends on pump and valve parts, seals, meters, sensors, membranes, lamps, filter media, dosing equipment, reagents and erosion-control materials; critical spares are selected from failure-mode, lead-time and safety analysis for its installed configuration.</x:v>
      </x:c>
      <x:c r="AE383" s="2" t="str">
        <x:v>The software stack for Permeable parking lots requires databases, secure communications, version-controlled models, computing, backup and interfaces with field or operational systems.</x:v>
      </x:c>
      <x:c r="AF383" s="2" t="str">
        <x:v>For Permeable parking lots, software-related energy is electricity for sensing, computing, storage, communication and cooling; it is normally secondary but must be included for data-intensive or continuous services.</x:v>
      </x:c>
      <x:c r="AG383" s="2" t="str">
        <x:v>The non-physical inputs are calibrated data, metadata, algorithms, boundary conditions, emission or hazard factors, manuals and validation records specific to Permeable parking lots.</x:v>
      </x:c>
      <x:c r="AH383" s="2" t="str">
        <x:v>Software continuity for Permeable parking lots requires licences where applicable, updates, cybersecurity patches, backups, calibration files, model validation and technical support.</x:v>
      </x:c>
      <x:c r="AI383" s="2" t="str">
        <x:v>Orgware depends on the institutions, laboratories, training providers, regulators, operators and community interfaces needed to govern Permeable parking lots.</x:v>
      </x:c>
      <x:c r="AJ383" s="2" t="str">
        <x:v>The orgware supporting Permeable parking lots has mainly indirect energy use from offices, meetings, training and information systems; travel and field supervision may be material at dispersed sites.</x:v>
      </x:c>
      <x:c r="AK383" s="2" t="str">
        <x:v>Its organisational inputs are permits, budgets, trained staff, competence records, contracts, procedures, safeguards, monitoring evidence and stakeholder agreements tailored to Permeable parking lots.</x:v>
      </x:c>
      <x:c r="AL383" s="2" t="str">
        <x:v>Sustained implementation of Permeable parking lots requires procurement and service contracts, audit protocols, training material, reporting templates, insurance or guarantees and periodic independent review.</x:v>
      </x:c>
      <x:c r="AM383" s="2" t="str">
        <x:v>Iron ore / steel inputs</x:v>
      </x:c>
      <x:c r="AN383" s="2" t="str">
        <x:v>Australia; Brazil; China</x:v>
      </x:c>
      <x:c r="AO383" s="2" t="str">
        <x:v>China; India; Japan</x:v>
      </x:c>
      <x:c r="AP383" s="2" t="str">
        <x:v>Permeable parking lots: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3" s="2" t="str">
        <x:v>2024–2025</x:v>
      </x:c>
      <x:c r="AR383" s="2" t="str">
        <x:v>https://pubs.usgs.gov/periodicals/mcs2026/mcs2026.pdf</x:v>
      </x:c>
    </x:row>
    <x:row r="384" ht="240" customHeight="1">
      <x:c r="A384" s="2" t="str">
        <x:v>ADP-0114</x:v>
      </x:c>
      <x:c r="B384" s="2" t="str">
        <x:v>Adaptation</x:v>
      </x:c>
      <x:c r="C384" s="2" t="str">
        <x:v>Water</x:v>
      </x:c>
      <x:c r="D384" s="2" t="str">
        <x:v>Urban storm water management</x:v>
      </x:c>
      <x:c r="E384" s="2" t="str">
        <x:v>Drainage gradient</x:v>
      </x:c>
      <x:c r="F384" s="2" t="str">
        <x:v>Drainage gradient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Drainage gradient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4" s="2" t="str">
        <x:v>Flexible</x:v>
      </x:c>
      <x:c r="H384" s="2" t="str">
        <x:v>Drainage gradient is transferable through configurable methods, rules and operating parameters. Its principle remains the same, but resource quality, climate, scale, interfaces and safety constraints must be recalculated for each deployment.</x:v>
      </x:c>
      <x:c r="I384" s="2" t="str">
        <x:v>Primarily soft, with physical support</x:v>
      </x:c>
      <x:c r="J384" s="2" t="str">
        <x:v>Drainage gradient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4" s="2" t="str">
        <x:v>Operation</x:v>
      </x:c>
      <x:c r="L384" s="2" t="str">
        <x:v>Drainage gradient is embodied mainly as an operating practice. The deliverable is accepted only when measurable service, quality, safety and climate-performance criteria are met under real conditions.</x:v>
      </x:c>
      <x:c r="M384" s="2" t="str">
        <x:v>Yes, subject to life-cycle safeguards</x:v>
      </x:c>
      <x:c r="N384" s="2" t="str">
        <x:v>Drainage gradient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4" s="2" t="str">
        <x:v>Drainage gradient: intakes, pipes, pumps, meters, valves, tanks, treatment units, drainage or flood structures, monitoring stations and nature-based elements as applicable.</x:v>
      </x:c>
      <x:c r="P384" s="2" t="str">
        <x:v>Drainage gradient: water balance, hydraulic and hydrological modelling, demand forecasting, water-quality analysis, asset management, drought or flood rules and decision support.</x:v>
      </x:c>
      <x:c r="Q384" s="2" t="str">
        <x:v>Drainage gradient: water rights and permits, utility responsibilities, basin governance, service standards, emergency protocols, tariffs, maintenance funding and stakeholder agreements.</x:v>
      </x:c>
      <x:c r="R384" s="2" t="str">
        <x:v>Drainage gradient: catchment or coast, treatment and storage sites, conveyance and drainage network, power supply, laboratory, control room and safe access.</x:v>
      </x:c>
      <x:c r="S384" s="2" t="str">
        <x:v>Drainage gradient: electricity or fuel for pumping, aeration, desalination, treatment and controls; gravity and ecosystem processes can reduce auxiliary demand.</x:v>
      </x:c>
      <x:c r="T384" s="2" t="str">
        <x:v>Drainage gradient: concrete, steel, ductile iron or polymers, filter media, membranes, treatment chemicals, geotextiles, soil, rock and vegetation according to the measure.</x:v>
      </x:c>
      <x:c r="U384" s="2" t="str">
        <x:v>Drainage gradient: pump and valve parts, seals, meters, sensors, membranes, lamps, filter media, dosing equipment, reagents and erosion-control materials.</x:v>
      </x:c>
      <x:c r="V384" s="2" t="str">
        <x:v>https://www.ctc-n.org/sites/default/files/resources/ctcn_taxonomy_0.pdf</x:v>
      </x:c>
      <x:c r="W384" s="2" t="str">
        <x:v>https://institutoagricoladepueblobello.edu.co/colegiapp/archivostemas/GUIA%209.%5B25%5D.pdf</x:v>
      </x:c>
      <x:c r="X384" s="2" t="str">
        <x:v>https://iiasa.ac.at/what-is-technology</x:v>
      </x:c>
      <x:c r="Y384" s="2" t="str">
        <x:v>https://www.unwater.org/water-facts/climate-change</x:v>
      </x:c>
      <x:c r="Z384" s="2" t="str">
        <x:v>Technology-specific analytical synthesis. The CTCN hierarchy is retained; classifications and component dependencies require validation against the selected design, site and supplier documentation before investment or policy use.</x:v>
      </x:c>
      <x:c r="AA384" s="2" t="str">
        <x:v>Physical deployment of Drainage gradient requires catchment or coast, treatment and storage sites, conveyance and drainage network, power supply, laboratory, control room and safe access; interfaces, foundations, access and environmental protection are sized to the specific resource and design load.</x:v>
      </x:c>
      <x:c r="AB384" s="2" t="str">
        <x:v>For Drainage gradient,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4" s="2" t="str">
        <x:v>Construction and operation use concrete, steel, ductile iron or polymers, filter media, membranes, treatment chemicals, geotextiles, soil, rock and vegetation according to the measure. For Drainage gradient, specifications must include durability, compatibility, recycled content and recoverability.</x:v>
      </x:c>
      <x:c r="AD384" s="2" t="str">
        <x:v>Maintenance of Drainage gradient depends on pump and valve parts, seals, meters, sensors, membranes, lamps, filter media, dosing equipment, reagents and erosion-control materials; critical spares are selected from failure-mode, lead-time and safety analysis for its installed configuration.</x:v>
      </x:c>
      <x:c r="AE384" s="2" t="str">
        <x:v>The software stack for Drainage gradient requires databases, secure communications, version-controlled models, computing, backup and interfaces with field or operational systems.</x:v>
      </x:c>
      <x:c r="AF384" s="2" t="str">
        <x:v>For Drainage gradient, software-related energy is electricity for sensing, computing, storage, communication and cooling; it is normally secondary but must be included for data-intensive or continuous services.</x:v>
      </x:c>
      <x:c r="AG384" s="2" t="str">
        <x:v>The non-physical inputs are calibrated data, metadata, algorithms, boundary conditions, emission or hazard factors, manuals and validation records specific to Drainage gradient.</x:v>
      </x:c>
      <x:c r="AH384" s="2" t="str">
        <x:v>Software continuity for Drainage gradient requires licences where applicable, updates, cybersecurity patches, backups, calibration files, model validation and technical support.</x:v>
      </x:c>
      <x:c r="AI384" s="2" t="str">
        <x:v>Orgware depends on the institutions, laboratories, training providers, regulators, operators and community interfaces needed to govern Drainage gradient.</x:v>
      </x:c>
      <x:c r="AJ384" s="2" t="str">
        <x:v>The orgware supporting Drainage gradient has mainly indirect energy use from offices, meetings, training and information systems; travel and field supervision may be material at dispersed sites.</x:v>
      </x:c>
      <x:c r="AK384" s="2" t="str">
        <x:v>Its organisational inputs are permits, budgets, trained staff, competence records, contracts, procedures, safeguards, monitoring evidence and stakeholder agreements tailored to Drainage gradient.</x:v>
      </x:c>
      <x:c r="AL384" s="2" t="str">
        <x:v>Sustained implementation of Drainage gradient requires procurement and service contracts, audit protocols, training material, reporting templates, insurance or guarantees and periodic independent review.</x:v>
      </x:c>
      <x:c r="AM384" s="2" t="str">
        <x:v>Iron ore / steel inputs; Limestone / cement raw materials</x:v>
      </x:c>
      <x:c r="AN384" s="2" t="str">
        <x:v>Australia; Brazil; China; India; Vietnam</x:v>
      </x:c>
      <x:c r="AO384" s="2" t="str">
        <x:v>China; India; Japan; Vietnam</x:v>
      </x:c>
      <x:c r="AP384" s="2" t="str">
        <x:v>Drainage gradient: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4" s="2" t="str">
        <x:v>2024–2025</x:v>
      </x:c>
      <x:c r="AR384" s="2" t="str">
        <x:v>https://pubs.usgs.gov/periodicals/mcs2026/mcs2026.pdf</x:v>
      </x:c>
    </x:row>
    <x:row r="385" ht="240" customHeight="1">
      <x:c r="A385" s="2" t="str">
        <x:v>ADP-0115</x:v>
      </x:c>
      <x:c r="B385" s="2" t="str">
        <x:v>Adaptation</x:v>
      </x:c>
      <x:c r="C385" s="2" t="str">
        <x:v>Water</x:v>
      </x:c>
      <x:c r="D385" s="2" t="str">
        <x:v>Urban storm water management</x:v>
      </x:c>
      <x:c r="E385" s="2" t="str">
        <x:v>Bioswales</x:v>
      </x:c>
      <x:c r="F385" s="2" t="str">
        <x:v>Bioswales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It slows, stores and infiltrates runoff through porous media, vegetation and soil–microbe processes, reducing peak flow while filtering sediments and selected pollutants.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5" s="2" t="str">
        <x:v>Flexible</x:v>
      </x:c>
      <x:c r="H385" s="2" t="str">
        <x:v>Bioswales is transferable through configurable methods, rules and operating parameters. Its principle remains the same, but resource quality, climate, scale, interfaces and safety constraints must be recalculated for each deployment.</x:v>
      </x:c>
      <x:c r="I385" s="2" t="str">
        <x:v>Primarily soft, with physical support</x:v>
      </x:c>
      <x:c r="J385" s="2" t="str">
        <x:v>Bioswales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5" s="2" t="str">
        <x:v>Operation</x:v>
      </x:c>
      <x:c r="L385" s="2" t="str">
        <x:v>Bioswales is embodied mainly as an operating practice. The deliverable is accepted only when measurable service, quality, safety and climate-performance criteria are met under real conditions.</x:v>
      </x:c>
      <x:c r="M385" s="2" t="str">
        <x:v>Yes, subject to life-cycle safeguards</x:v>
      </x:c>
      <x:c r="N385" s="2" t="str">
        <x:v>Bioswales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5" s="2" t="str">
        <x:v>Bioswales: intakes, pipes, pumps, meters, valves, tanks, treatment units, drainage or flood structures, monitoring stations and nature-based elements as applicable.</x:v>
      </x:c>
      <x:c r="P385" s="2" t="str">
        <x:v>Bioswales: water balance, hydraulic and hydrological modelling, demand forecasting, water-quality analysis, asset management, drought or flood rules and decision support.</x:v>
      </x:c>
      <x:c r="Q385" s="2" t="str">
        <x:v>Bioswales: water rights and permits, utility responsibilities, basin governance, service standards, emergency protocols, tariffs, maintenance funding and stakeholder agreements.</x:v>
      </x:c>
      <x:c r="R385" s="2" t="str">
        <x:v>Bioswales: catchment or coast, treatment and storage sites, conveyance and drainage network, power supply, laboratory, control room and safe access.</x:v>
      </x:c>
      <x:c r="S385" s="2" t="str">
        <x:v>Bioswales: electricity or fuel for pumping, aeration, desalination, treatment and controls; gravity and ecosystem processes can reduce auxiliary demand.</x:v>
      </x:c>
      <x:c r="T385" s="2" t="str">
        <x:v>Bioswales: concrete, steel, ductile iron or polymers, filter media, membranes, treatment chemicals, geotextiles, soil, rock and vegetation according to the measure.</x:v>
      </x:c>
      <x:c r="U385" s="2" t="str">
        <x:v>Bioswales: pump and valve parts, seals, meters, sensors, membranes, lamps, filter media, dosing equipment, reagents and erosion-control materials.</x:v>
      </x:c>
      <x:c r="V385" s="2" t="str">
        <x:v>https://www.ctc-n.org/sites/default/files/resources/ctcn_taxonomy_0.pdf</x:v>
      </x:c>
      <x:c r="W385" s="2" t="str">
        <x:v>https://institutoagricoladepueblobello.edu.co/colegiapp/archivostemas/GUIA%209.%5B25%5D.pdf</x:v>
      </x:c>
      <x:c r="X385" s="2" t="str">
        <x:v>https://iiasa.ac.at/what-is-technology</x:v>
      </x:c>
      <x:c r="Y385" s="2" t="str">
        <x:v>https://www.unwater.org/water-facts/climate-change</x:v>
      </x:c>
      <x:c r="Z385" s="2" t="str">
        <x:v>Technology-specific analytical synthesis. The CTCN hierarchy is retained; classifications and component dependencies require validation against the selected design, site and supplier documentation before investment or policy use.</x:v>
      </x:c>
      <x:c r="AA385" s="2" t="str">
        <x:v>Physical deployment of Bioswales requires catchment or coast, treatment and storage sites, conveyance and drainage network, power supply, laboratory, control room and safe access; interfaces, foundations, access and environmental protection are sized to the specific resource and design load.</x:v>
      </x:c>
      <x:c r="AB385" s="2" t="str">
        <x:v>For Bioswales,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5" s="2" t="str">
        <x:v>Construction and operation use concrete, steel, ductile iron or polymers, filter media, membranes, treatment chemicals, geotextiles, soil, rock and vegetation according to the measure. For Bioswales, specifications must include durability, compatibility, recycled content and recoverability.</x:v>
      </x:c>
      <x:c r="AD385" s="2" t="str">
        <x:v>Maintenance of Bioswales depends on pump and valve parts, seals, meters, sensors, membranes, lamps, filter media, dosing equipment, reagents and erosion-control materials; critical spares are selected from failure-mode, lead-time and safety analysis for its installed configuration.</x:v>
      </x:c>
      <x:c r="AE385" s="2" t="str">
        <x:v>The software stack for Bioswales requires databases, secure communications, version-controlled models, computing, backup and interfaces with field or operational systems.</x:v>
      </x:c>
      <x:c r="AF385" s="2" t="str">
        <x:v>For Bioswales, software-related energy is electricity for sensing, computing, storage, communication and cooling; it is normally secondary but must be included for data-intensive or continuous services.</x:v>
      </x:c>
      <x:c r="AG385" s="2" t="str">
        <x:v>The non-physical inputs are calibrated data, metadata, algorithms, boundary conditions, emission or hazard factors, manuals and validation records specific to Bioswales.</x:v>
      </x:c>
      <x:c r="AH385" s="2" t="str">
        <x:v>Software continuity for Bioswales requires licences where applicable, updates, cybersecurity patches, backups, calibration files, model validation and technical support.</x:v>
      </x:c>
      <x:c r="AI385" s="2" t="str">
        <x:v>Orgware depends on the institutions, laboratories, training providers, regulators, operators and community interfaces needed to govern Bioswales.</x:v>
      </x:c>
      <x:c r="AJ385" s="2" t="str">
        <x:v>The orgware supporting Bioswales has mainly indirect energy use from offices, meetings, training and information systems; travel and field supervision may be material at dispersed sites.</x:v>
      </x:c>
      <x:c r="AK385" s="2" t="str">
        <x:v>Its organisational inputs are permits, budgets, trained staff, competence records, contracts, procedures, safeguards, monitoring evidence and stakeholder agreements tailored to Bioswales.</x:v>
      </x:c>
      <x:c r="AL385" s="2" t="str">
        <x:v>Sustained implementation of Bioswales requires procurement and service contracts, audit protocols, training material, reporting templates, insurance or guarantees and periodic independent review.</x:v>
      </x:c>
      <x:c r="AM385" s="2" t="str">
        <x:v>Iron ore / steel inputs</x:v>
      </x:c>
      <x:c r="AN385" s="2" t="str">
        <x:v>Australia; Brazil; China</x:v>
      </x:c>
      <x:c r="AO385" s="2" t="str">
        <x:v>China; India; Japan</x:v>
      </x:c>
      <x:c r="AP385" s="2" t="str">
        <x:v>Bioswales: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5" s="2" t="str">
        <x:v>2024–2025</x:v>
      </x:c>
      <x:c r="AR385" s="2" t="str">
        <x:v>https://pubs.usgs.gov/periodicals/mcs2026/mcs2026.pdf</x:v>
      </x:c>
    </x:row>
    <x:row r="386" ht="240" customHeight="1">
      <x:c r="A386" s="2" t="str">
        <x:v>ADP-0116</x:v>
      </x:c>
      <x:c r="B386" s="2" t="str">
        <x:v>Adaptation</x:v>
      </x:c>
      <x:c r="C386" s="2" t="str">
        <x:v>Water</x:v>
      </x:c>
      <x:c r="D386" s="2" t="str">
        <x:v>Water storage</x:v>
      </x:c>
      <x:c r="E386" s="2" t="str">
        <x:v>Ponds and tanks</x:v>
      </x:c>
      <x:c r="F386" s="2" t="str">
        <x:v>Ponds and tanks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Ponds and tanks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6" s="2" t="str">
        <x:v>Mixed: adaptable design, site-specific implementation</x:v>
      </x:c>
      <x:c r="H386" s="2" t="str">
        <x:v>Ponds and tanks is adaptable in capacity and configuration but site-specific in final engineering. Its principle remains the same, but resource quality, climate, scale, interfaces and safety constraints must be recalculated for each deployment.</x:v>
      </x:c>
      <x:c r="I386" s="2" t="str">
        <x:v>Primarily hard, with a soft component</x:v>
      </x:c>
      <x:c r="J386" s="2" t="str">
        <x:v>Ponds and tanks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6" s="2" t="str">
        <x:v>Equipment and operation</x:v>
      </x:c>
      <x:c r="L386" s="2" t="str">
        <x:v>Ponds and tanks is embodied mainly as an equipment-and-operation system. The deliverable is accepted only when measurable service, quality, safety and climate-performance criteria are met under real conditions.</x:v>
      </x:c>
      <x:c r="M386" s="2" t="str">
        <x:v>Yes, subject to life-cycle safeguards</x:v>
      </x:c>
      <x:c r="N386" s="2" t="str">
        <x:v>Ponds and tanks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6" s="2" t="str">
        <x:v>Ponds and tanks: intakes, pipes, pumps, meters, valves, tanks, treatment units, drainage or flood structures, monitoring stations and nature-based elements as applicable.</x:v>
      </x:c>
      <x:c r="P386" s="2" t="str">
        <x:v>Ponds and tanks: water balance, hydraulic and hydrological modelling, demand forecasting, water-quality analysis, asset management, drought or flood rules and decision support.</x:v>
      </x:c>
      <x:c r="Q386" s="2" t="str">
        <x:v>Ponds and tanks: water rights and permits, utility responsibilities, basin governance, service standards, emergency protocols, tariffs, maintenance funding and stakeholder agreements.</x:v>
      </x:c>
      <x:c r="R386" s="2" t="str">
        <x:v>Ponds and tanks: catchment or coast, treatment and storage sites, conveyance and drainage network, power supply, laboratory, control room and safe access.</x:v>
      </x:c>
      <x:c r="S386" s="2" t="str">
        <x:v>Ponds and tanks: electricity or fuel for pumping, aeration, desalination, treatment and controls; gravity and ecosystem processes can reduce auxiliary demand.</x:v>
      </x:c>
      <x:c r="T386" s="2" t="str">
        <x:v>Ponds and tanks: concrete, steel, ductile iron or polymers, filter media, membranes, treatment chemicals, geotextiles, soil, rock and vegetation according to the measure.</x:v>
      </x:c>
      <x:c r="U386" s="2" t="str">
        <x:v>Ponds and tanks: pump and valve parts, seals, meters, sensors, membranes, lamps, filter media, dosing equipment, reagents and erosion-control materials.</x:v>
      </x:c>
      <x:c r="V386" s="2" t="str">
        <x:v>https://www.ctc-n.org/sites/default/files/resources/ctcn_taxonomy_0.pdf</x:v>
      </x:c>
      <x:c r="W386" s="2" t="str">
        <x:v>https://institutoagricoladepueblobello.edu.co/colegiapp/archivostemas/GUIA%209.%5B25%5D.pdf</x:v>
      </x:c>
      <x:c r="X386" s="2" t="str">
        <x:v>https://iiasa.ac.at/what-is-technology</x:v>
      </x:c>
      <x:c r="Y386" s="2" t="str">
        <x:v>https://www.unwater.org/water-facts/climate-change</x:v>
      </x:c>
      <x:c r="Z386" s="2" t="str">
        <x:v>Technology-specific analytical synthesis. The CTCN hierarchy is retained; classifications and component dependencies require validation against the selected design, site and supplier documentation before investment or policy use.</x:v>
      </x:c>
      <x:c r="AA386" s="2" t="str">
        <x:v>Physical deployment of Ponds and tanks requires catchment or coast, treatment and storage sites, conveyance and drainage network, power supply, laboratory, control room and safe access; interfaces, foundations, access and environmental protection are sized to the specific resource and design load.</x:v>
      </x:c>
      <x:c r="AB386" s="2" t="str">
        <x:v>For Ponds and tanks,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6" s="2" t="str">
        <x:v>Construction and operation use concrete, steel, ductile iron or polymers, filter media, membranes, treatment chemicals, geotextiles, soil, rock and vegetation according to the measure. For Ponds and tanks, specifications must include durability, compatibility, recycled content and recoverability.</x:v>
      </x:c>
      <x:c r="AD386" s="2" t="str">
        <x:v>Maintenance of Ponds and tanks depends on pump and valve parts, seals, meters, sensors, membranes, lamps, filter media, dosing equipment, reagents and erosion-control materials; critical spares are selected from failure-mode, lead-time and safety analysis for its installed configuration.</x:v>
      </x:c>
      <x:c r="AE386" s="2" t="str">
        <x:v>The software stack for Ponds and tanks requires databases, secure communications, version-controlled models, computing, backup and interfaces with field or operational systems.</x:v>
      </x:c>
      <x:c r="AF386" s="2" t="str">
        <x:v>For Ponds and tanks, software-related energy is electricity for sensing, computing, storage, communication and cooling; it is normally secondary but must be included for data-intensive or continuous services.</x:v>
      </x:c>
      <x:c r="AG386" s="2" t="str">
        <x:v>The non-physical inputs are calibrated data, metadata, algorithms, boundary conditions, emission or hazard factors, manuals and validation records specific to Ponds and tanks.</x:v>
      </x:c>
      <x:c r="AH386" s="2" t="str">
        <x:v>Software continuity for Ponds and tanks requires licences where applicable, updates, cybersecurity patches, backups, calibration files, model validation and technical support.</x:v>
      </x:c>
      <x:c r="AI386" s="2" t="str">
        <x:v>Orgware depends on the institutions, laboratories, training providers, regulators, operators and community interfaces needed to govern Ponds and tanks.</x:v>
      </x:c>
      <x:c r="AJ386" s="2" t="str">
        <x:v>The orgware supporting Ponds and tanks has mainly indirect energy use from offices, meetings, training and information systems; travel and field supervision may be material at dispersed sites.</x:v>
      </x:c>
      <x:c r="AK386" s="2" t="str">
        <x:v>Its organisational inputs are permits, budgets, trained staff, competence records, contracts, procedures, safeguards, monitoring evidence and stakeholder agreements tailored to Ponds and tanks.</x:v>
      </x:c>
      <x:c r="AL386" s="2" t="str">
        <x:v>Sustained implementation of Ponds and tanks requires procurement and service contracts, audit protocols, training material, reporting templates, insurance or guarantees and periodic independent review.</x:v>
      </x:c>
      <x:c r="AM386" s="2" t="str">
        <x:v>Iron ore / steel inputs</x:v>
      </x:c>
      <x:c r="AN386" s="2" t="str">
        <x:v>Australia; Brazil; China</x:v>
      </x:c>
      <x:c r="AO386" s="2" t="str">
        <x:v>China; India; Japan</x:v>
      </x:c>
      <x:c r="AP386" s="2" t="str">
        <x:v>Ponds and tanks: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6" s="2" t="str">
        <x:v>2024–2025</x:v>
      </x:c>
      <x:c r="AR386" s="2" t="str">
        <x:v>https://pubs.usgs.gov/periodicals/mcs2026/mcs2026.pdf</x:v>
      </x:c>
    </x:row>
    <x:row r="387" ht="240" customHeight="1">
      <x:c r="A387" s="2" t="str">
        <x:v>ADP-0117</x:v>
      </x:c>
      <x:c r="B387" s="2" t="str">
        <x:v>Adaptation</x:v>
      </x:c>
      <x:c r="C387" s="2" t="str">
        <x:v>Water</x:v>
      </x:c>
      <x:c r="D387" s="2" t="str">
        <x:v>Water storage</x:v>
      </x:c>
      <x:c r="E387" s="2" t="str">
        <x:v>Natural wetlands and green infrastructure</x:v>
      </x:c>
      <x:c r="F387" s="2" t="str">
        <x:v>Natural wetlands and green infrastructure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It slows, stores and infiltrates runoff through porous media, vegetation and soil–microbe processes, reducing peak flow while filtering sediments and selected pollutants.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7" s="2" t="str">
        <x:v>Mixed: adaptable design, site-specific implementation</x:v>
      </x:c>
      <x:c r="H387" s="2" t="str">
        <x:v>Natural wetlands and green infrastructure is adaptable in capacity and configuration but site-specific in final engineering. Its principle remains the same, but resource quality, climate, scale, interfaces and safety constraints must be recalculated for each deployment.</x:v>
      </x:c>
      <x:c r="I387" s="2" t="str">
        <x:v>Primarily hard, with a soft component</x:v>
      </x:c>
      <x:c r="J387" s="2" t="str">
        <x:v>Natural wetlands and green infrastructure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7" s="2" t="str">
        <x:v>Equipment and operation</x:v>
      </x:c>
      <x:c r="L387" s="2" t="str">
        <x:v>Natural wetlands and green infrastructure is embodied mainly as an equipment-and-operation system. The deliverable is accepted only when measurable service, quality, safety and climate-performance criteria are met under real conditions.</x:v>
      </x:c>
      <x:c r="M387" s="2" t="str">
        <x:v>Yes, subject to life-cycle safeguards</x:v>
      </x:c>
      <x:c r="N387" s="2" t="str">
        <x:v>Natural wetlands and green infrastructure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7" s="2" t="str">
        <x:v>Natural wetlands and green infrastructure: intakes, pipes, pumps, meters, valves, tanks, treatment units, drainage or flood structures, monitoring stations and nature-based elements as applicable.</x:v>
      </x:c>
      <x:c r="P387" s="2" t="str">
        <x:v>Natural wetlands and green infrastructure: water balance, hydraulic and hydrological modelling, demand forecasting, water-quality analysis, asset management, drought or flood rules and decision support.</x:v>
      </x:c>
      <x:c r="Q387" s="2" t="str">
        <x:v>Natural wetlands and green infrastructure: water rights and permits, utility responsibilities, basin governance, service standards, emergency protocols, tariffs, maintenance funding and stakeholder agreements.</x:v>
      </x:c>
      <x:c r="R387" s="2" t="str">
        <x:v>Natural wetlands and green infrastructure: catchment or coast, treatment and storage sites, conveyance and drainage network, power supply, laboratory, control room and safe access.</x:v>
      </x:c>
      <x:c r="S387" s="2" t="str">
        <x:v>Natural wetlands and green infrastructure: electricity or fuel for pumping, aeration, desalination, treatment and controls; gravity and ecosystem processes can reduce auxiliary demand.</x:v>
      </x:c>
      <x:c r="T387" s="2" t="str">
        <x:v>Natural wetlands and green infrastructure: concrete, steel, ductile iron or polymers, filter media, membranes, treatment chemicals, geotextiles, soil, rock and vegetation according to the measure.</x:v>
      </x:c>
      <x:c r="U387" s="2" t="str">
        <x:v>Natural wetlands and green infrastructure: pump and valve parts, seals, meters, sensors, membranes, lamps, filter media, dosing equipment, reagents and erosion-control materials.</x:v>
      </x:c>
      <x:c r="V387" s="2" t="str">
        <x:v>https://www.ctc-n.org/sites/default/files/resources/ctcn_taxonomy_0.pdf</x:v>
      </x:c>
      <x:c r="W387" s="2" t="str">
        <x:v>https://institutoagricoladepueblobello.edu.co/colegiapp/archivostemas/GUIA%209.%5B25%5D.pdf</x:v>
      </x:c>
      <x:c r="X387" s="2" t="str">
        <x:v>https://iiasa.ac.at/what-is-technology</x:v>
      </x:c>
      <x:c r="Y387" s="2" t="str">
        <x:v>https://www.unwater.org/water-facts/climate-change</x:v>
      </x:c>
      <x:c r="Z387" s="2" t="str">
        <x:v>Technology-specific analytical synthesis. The CTCN hierarchy is retained; classifications and component dependencies require validation against the selected design, site and supplier documentation before investment or policy use.</x:v>
      </x:c>
      <x:c r="AA387" s="2" t="str">
        <x:v>Physical deployment of Natural wetlands and green infrastructure requires catchment or coast, treatment and storage sites, conveyance and drainage network, power supply, laboratory, control room and safe access; interfaces, foundations, access and environmental protection are sized to the specific resource and design load.</x:v>
      </x:c>
      <x:c r="AB387" s="2" t="str">
        <x:v>For Natural wetlands and green infrastructure,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7" s="2" t="str">
        <x:v>Construction and operation use concrete, steel, ductile iron or polymers, filter media, membranes, treatment chemicals, geotextiles, soil, rock and vegetation according to the measure. For Natural wetlands and green infrastructure, specifications must include durability, compatibility, recycled content and recoverability.</x:v>
      </x:c>
      <x:c r="AD387" s="2" t="str">
        <x:v>Maintenance of Natural wetlands and green infrastructure depends on pump and valve parts, seals, meters, sensors, membranes, lamps, filter media, dosing equipment, reagents and erosion-control materials; critical spares are selected from failure-mode, lead-time and safety analysis for its installed configuration.</x:v>
      </x:c>
      <x:c r="AE387" s="2" t="str">
        <x:v>The software stack for Natural wetlands and green infrastructure requires databases, secure communications, version-controlled models, computing, backup and interfaces with field or operational systems.</x:v>
      </x:c>
      <x:c r="AF387" s="2" t="str">
        <x:v>For Natural wetlands and green infrastructure, software-related energy is electricity for sensing, computing, storage, communication and cooling; it is normally secondary but must be included for data-intensive or continuous services.</x:v>
      </x:c>
      <x:c r="AG387" s="2" t="str">
        <x:v>The non-physical inputs are calibrated data, metadata, algorithms, boundary conditions, emission or hazard factors, manuals and validation records specific to Natural wetlands and green infrastructure.</x:v>
      </x:c>
      <x:c r="AH387" s="2" t="str">
        <x:v>Software continuity for Natural wetlands and green infrastructure requires licences where applicable, updates, cybersecurity patches, backups, calibration files, model validation and technical support.</x:v>
      </x:c>
      <x:c r="AI387" s="2" t="str">
        <x:v>Orgware depends on the institutions, laboratories, training providers, regulators, operators and community interfaces needed to govern Natural wetlands and green infrastructure.</x:v>
      </x:c>
      <x:c r="AJ387" s="2" t="str">
        <x:v>The orgware supporting Natural wetlands and green infrastructure has mainly indirect energy use from offices, meetings, training and information systems; travel and field supervision may be material at dispersed sites.</x:v>
      </x:c>
      <x:c r="AK387" s="2" t="str">
        <x:v>Its organisational inputs are permits, budgets, trained staff, competence records, contracts, procedures, safeguards, monitoring evidence and stakeholder agreements tailored to Natural wetlands and green infrastructure.</x:v>
      </x:c>
      <x:c r="AL387" s="2" t="str">
        <x:v>Sustained implementation of Natural wetlands and green infrastructure requires procurement and service contracts, audit protocols, training material, reporting templates, insurance or guarantees and periodic independent review.</x:v>
      </x:c>
      <x:c r="AM387" s="2" t="str">
        <x:v>Iron ore / steel inputs; Limestone / cement raw materials</x:v>
      </x:c>
      <x:c r="AN387" s="2" t="str">
        <x:v>Australia; Brazil; China; India; Vietnam</x:v>
      </x:c>
      <x:c r="AO387" s="2" t="str">
        <x:v>China; India; Japan; Vietnam</x:v>
      </x:c>
      <x:c r="AP387" s="2" t="str">
        <x:v>Natural wetlands and green infrastructure: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7" s="2" t="str">
        <x:v>2024–2025</x:v>
      </x:c>
      <x:c r="AR387" s="2" t="str">
        <x:v>https://pubs.usgs.gov/periodicals/mcs2026/mcs2026.pdf</x:v>
      </x:c>
    </x:row>
    <x:row r="388" ht="240" customHeight="1">
      <x:c r="A388" s="2" t="str">
        <x:v>ADP-0118</x:v>
      </x:c>
      <x:c r="B388" s="2" t="str">
        <x:v>Adaptation</x:v>
      </x:c>
      <x:c r="C388" s="2" t="str">
        <x:v>Water</x:v>
      </x:c>
      <x:c r="D388" s="2" t="str">
        <x:v>Water storage</x:v>
      </x:c>
      <x:c r="E388" s="2" t="str">
        <x:v>Water reservoirs</x:v>
      </x:c>
      <x:c r="F388" s="2" t="str">
        <x:v>Water reservoirs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Water reservoirs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88" s="2" t="str">
        <x:v>Primarily fixed</x:v>
      </x:c>
      <x:c r="H388" s="2" t="str">
        <x:v>Water reservoirs is tied to long-lived, site-specific assets and design loads. Its principle remains the same, but resource quality, climate, scale, interfaces and safety constraints must be recalculated for each deployment.</x:v>
      </x:c>
      <x:c r="I388" s="2" t="str">
        <x:v>Primarily hard, with a soft component</x:v>
      </x:c>
      <x:c r="J388" s="2" t="str">
        <x:v>Water reservoirs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88" s="2" t="str">
        <x:v>Equipment and operation</x:v>
      </x:c>
      <x:c r="L388" s="2" t="str">
        <x:v>Water reservoirs is embodied mainly as an equipment-and-operation system. The deliverable is accepted only when measurable service, quality, safety and climate-performance criteria are met under real conditions.</x:v>
      </x:c>
      <x:c r="M388" s="2" t="str">
        <x:v>Yes, subject to life-cycle safeguards</x:v>
      </x:c>
      <x:c r="N388" s="2" t="str">
        <x:v>Water reservoirs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88" s="2" t="str">
        <x:v>Water reservoirs: intakes, pipes, pumps, meters, valves, tanks, treatment units, drainage or flood structures, monitoring stations and nature-based elements as applicable.</x:v>
      </x:c>
      <x:c r="P388" s="2" t="str">
        <x:v>Water reservoirs: water balance, hydraulic and hydrological modelling, demand forecasting, water-quality analysis, asset management, drought or flood rules and decision support.</x:v>
      </x:c>
      <x:c r="Q388" s="2" t="str">
        <x:v>Water reservoirs: water rights and permits, utility responsibilities, basin governance, service standards, emergency protocols, tariffs, maintenance funding and stakeholder agreements.</x:v>
      </x:c>
      <x:c r="R388" s="2" t="str">
        <x:v>Water reservoirs: catchment or coast, treatment and storage sites, conveyance and drainage network, power supply, laboratory, control room and safe access.</x:v>
      </x:c>
      <x:c r="S388" s="2" t="str">
        <x:v>Water reservoirs: electricity or fuel for pumping, aeration, desalination, treatment and controls; gravity and ecosystem processes can reduce auxiliary demand.</x:v>
      </x:c>
      <x:c r="T388" s="2" t="str">
        <x:v>Water reservoirs: concrete, steel, ductile iron or polymers, filter media, membranes, treatment chemicals, geotextiles, soil, rock and vegetation according to the measure.</x:v>
      </x:c>
      <x:c r="U388" s="2" t="str">
        <x:v>Water reservoirs: pump and valve parts, seals, meters, sensors, membranes, lamps, filter media, dosing equipment, reagents and erosion-control materials.</x:v>
      </x:c>
      <x:c r="V388" s="2" t="str">
        <x:v>https://www.ctc-n.org/sites/default/files/resources/ctcn_taxonomy_0.pdf</x:v>
      </x:c>
      <x:c r="W388" s="2" t="str">
        <x:v>https://institutoagricoladepueblobello.edu.co/colegiapp/archivostemas/GUIA%209.%5B25%5D.pdf</x:v>
      </x:c>
      <x:c r="X388" s="2" t="str">
        <x:v>https://iiasa.ac.at/what-is-technology</x:v>
      </x:c>
      <x:c r="Y388" s="2" t="str">
        <x:v>https://www.unwater.org/water-facts/climate-change</x:v>
      </x:c>
      <x:c r="Z388" s="2" t="str">
        <x:v>Technology-specific analytical synthesis. The CTCN hierarchy is retained; classifications and component dependencies require validation against the selected design, site and supplier documentation before investment or policy use.</x:v>
      </x:c>
      <x:c r="AA388" s="2" t="str">
        <x:v>Physical deployment of Water reservoirs requires catchment or coast, treatment and storage sites, conveyance and drainage network, power supply, laboratory, control room and safe access; interfaces, foundations, access and environmental protection are sized to the specific resource and design load.</x:v>
      </x:c>
      <x:c r="AB388" s="2" t="str">
        <x:v>For Water reservoirs,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88" s="2" t="str">
        <x:v>Construction and operation use concrete, steel, ductile iron or polymers, filter media, membranes, treatment chemicals, geotextiles, soil, rock and vegetation according to the measure. For Water reservoirs, specifications must include durability, compatibility, recycled content and recoverability.</x:v>
      </x:c>
      <x:c r="AD388" s="2" t="str">
        <x:v>Maintenance of Water reservoirs depends on pump and valve parts, seals, meters, sensors, membranes, lamps, filter media, dosing equipment, reagents and erosion-control materials; critical spares are selected from failure-mode, lead-time and safety analysis for its installed configuration.</x:v>
      </x:c>
      <x:c r="AE388" s="2" t="str">
        <x:v>The software stack for Water reservoirs requires databases, secure communications, version-controlled models, computing, backup and interfaces with field or operational systems.</x:v>
      </x:c>
      <x:c r="AF388" s="2" t="str">
        <x:v>For Water reservoirs, software-related energy is electricity for sensing, computing, storage, communication and cooling; it is normally secondary but must be included for data-intensive or continuous services.</x:v>
      </x:c>
      <x:c r="AG388" s="2" t="str">
        <x:v>The non-physical inputs are calibrated data, metadata, algorithms, boundary conditions, emission or hazard factors, manuals and validation records specific to Water reservoirs.</x:v>
      </x:c>
      <x:c r="AH388" s="2" t="str">
        <x:v>Software continuity for Water reservoirs requires licences where applicable, updates, cybersecurity patches, backups, calibration files, model validation and technical support.</x:v>
      </x:c>
      <x:c r="AI388" s="2" t="str">
        <x:v>Orgware depends on the institutions, laboratories, training providers, regulators, operators and community interfaces needed to govern Water reservoirs.</x:v>
      </x:c>
      <x:c r="AJ388" s="2" t="str">
        <x:v>The orgware supporting Water reservoirs has mainly indirect energy use from offices, meetings, training and information systems; travel and field supervision may be material at dispersed sites.</x:v>
      </x:c>
      <x:c r="AK388" s="2" t="str">
        <x:v>Its organisational inputs are permits, budgets, trained staff, competence records, contracts, procedures, safeguards, monitoring evidence and stakeholder agreements tailored to Water reservoirs.</x:v>
      </x:c>
      <x:c r="AL388" s="2" t="str">
        <x:v>Sustained implementation of Water reservoirs requires procurement and service contracts, audit protocols, training material, reporting templates, insurance or guarantees and periodic independent review.</x:v>
      </x:c>
      <x:c r="AM388" s="2" t="str">
        <x:v>Iron ore / steel inputs; Limestone / cement raw materials</x:v>
      </x:c>
      <x:c r="AN388" s="2" t="str">
        <x:v>Australia; Brazil; China; India; Vietnam</x:v>
      </x:c>
      <x:c r="AO388" s="2" t="str">
        <x:v>China; India; Japan; Vietnam</x:v>
      </x:c>
      <x:c r="AP388" s="2" t="str">
        <x:v>Water reservoirs: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8" s="2" t="str">
        <x:v>2024–2025</x:v>
      </x:c>
      <x:c r="AR388" s="2" t="str">
        <x:v>https://pubs.usgs.gov/periodicals/mcs2026/mcs2026.pdf</x:v>
      </x:c>
    </x:row>
    <x:row r="389" ht="240" customHeight="1">
      <x:c r="A389" s="2" t="str">
        <x:v>ADP-0119</x:v>
      </x:c>
      <x:c r="B389" s="2" t="str">
        <x:v>Adaptation</x:v>
      </x:c>
      <x:c r="C389" s="2" t="str">
        <x:v>Water</x:v>
      </x:c>
      <x:c r="D389" s="2" t="str">
        <x:v>Water storage</x:v>
      </x:c>
      <x:c r="E389" s="2" t="str">
        <x:v>Limiting land conversion &amp; deforestation</x:v>
      </x:c>
      <x:c r="F389" s="2" t="str">
        <x:v>Limiting land conversion &amp; deforestation is a adaptation technology in the Water sector and the Water storage technology group. It is defined as a combined hardware–software–orgware system that changes vegetation, soil, nutrient, water, crop or livestock management to protect carbon stocks, increase resilience and productivity, and reduce CO₂, CH₄ or N₂O emissions. Limiting land conversion &amp; deforestation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89" s="2" t="str">
        <x:v>Mixed: adaptable design, site-specific implementation</x:v>
      </x:c>
      <x:c r="H389" s="2" t="str">
        <x:v>Limiting land conversion &amp; deforestation is adaptable in capacity and configuration but site-specific in final engineering. Its principle remains the same, but resource quality, climate, scale, interfaces and safety constraints must be recalculated for each deployment.</x:v>
      </x:c>
      <x:c r="I389" s="2" t="str">
        <x:v>Primarily hard, with a soft component</x:v>
      </x:c>
      <x:c r="J389" s="2" t="str">
        <x:v>Limiting land conversion &amp; deforestation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89" s="2" t="str">
        <x:v>Operation</x:v>
      </x:c>
      <x:c r="L389" s="2" t="str">
        <x:v>Limiting land conversion &amp; deforestation is embodied mainly as an operating practice. The deliverable is accepted only when measurable service, quality, safety and climate-performance criteria are met under real conditions.</x:v>
      </x:c>
      <x:c r="M389" s="2" t="str">
        <x:v>Yes, subject to life-cycle safeguards</x:v>
      </x:c>
      <x:c r="N389" s="2" t="str">
        <x:v>Limiting land conversion &amp; deforestation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89" s="2" t="str">
        <x:v>Limiting land conversion &amp; deforestation: field or forest implements, planting and irrigation equipment, storage or livestock facilities, sampling tools, sensors and protective structures as required.</x:v>
      </x:c>
      <x:c r="P389" s="2" t="str">
        <x:v>Limiting land conversion &amp; deforestation: soil–crop–livestock knowledge, nutrient and water budgets, emission factors, carbon accounting, climate services, monitoring protocols and adaptive management.</x:v>
      </x:c>
      <x:c r="Q389" s="2" t="str">
        <x:v>Limiting land conversion &amp; deforestation: land tenure, extension, producer organisations, veterinary or phytosanitary services, incentives, safeguards, certification and monitoring arrangements.</x:v>
      </x:c>
      <x:c r="R389" s="2" t="str">
        <x:v>Limiting land conversion &amp; deforestation: nurseries or seed banks, field access, water and storage systems, laboratories, extension centres, monitoring plots and processing or market facilities.</x:v>
      </x:c>
      <x:c r="S389" s="2" t="str">
        <x:v>Limiting land conversion &amp; deforestation: human and mechanical work, electricity or fuel for machinery, pumping, cooling and processing; biological energy and solar radiation dominate field processes.</x:v>
      </x:c>
      <x:c r="T389" s="2" t="str">
        <x:v>Limiting land conversion &amp; deforestation: seed or planting stock, organic matter, fertilisers, soil amendments, water, fencing or structural materials, veterinary inputs and monitoring consumables.</x:v>
      </x:c>
      <x:c r="U389" s="2" t="str">
        <x:v>Limiting land conversion &amp; deforestation: seed, inoculants, filters, drip lines, nozzles, tool parts, sampling containers, sensor batteries, veterinary supplies and protective equipment.</x:v>
      </x:c>
      <x:c r="V389" s="2" t="str">
        <x:v>https://www.ctc-n.org/sites/default/files/resources/ctcn_taxonomy_0.pdf</x:v>
      </x:c>
      <x:c r="W389" s="2" t="str">
        <x:v>https://institutoagricoladepueblobello.edu.co/colegiapp/archivostemas/GUIA%209.%5B25%5D.pdf</x:v>
      </x:c>
      <x:c r="X389" s="2" t="str">
        <x:v>https://iiasa.ac.at/what-is-technology</x:v>
      </x:c>
      <x:c r="Y389" s="2" t="str">
        <x:v>https://www.unwater.org/water-facts/climate-change; https://www.ipcc.ch/report/ar6/wg3/chapter/chapter-7/; https://openknowledge.fao.org/server/api/core/bitstreams/b21f2087-f398-4718-8461-b92afc82e617/content</x:v>
      </x:c>
      <x:c r="Z389" s="2" t="str">
        <x:v>Technology-specific analytical synthesis. The CTCN hierarchy is retained; classifications and component dependencies require validation against the selected design, site and supplier documentation before investment or policy use.</x:v>
      </x:c>
      <x:c r="AA389" s="2" t="str">
        <x:v>Physical deployment of Limiting land conversion &amp; deforestation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389" s="2" t="str">
        <x:v>For Limiting land conversion &amp; deforestation,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89" s="2" t="str">
        <x:v>Construction and operation use seed or planting stock, organic matter, fertilisers, soil amendments, water, fencing or structural materials, veterinary inputs and monitoring consumables. For Limiting land conversion &amp; deforestation, specifications must include durability, compatibility, recycled content and recoverability.</x:v>
      </x:c>
      <x:c r="AD389" s="2" t="str">
        <x:v>Maintenance of Limiting land conversion &amp; deforestation depends on seed, inoculants, filters, drip lines, nozzles, tool parts, sampling containers, sensor batteries, veterinary supplies and protective equipment; critical spares are selected from failure-mode, lead-time and safety analysis for its installed configuration.</x:v>
      </x:c>
      <x:c r="AE389" s="2" t="str">
        <x:v>The software stack for Limiting land conversion &amp; deforestation requires databases, secure communications, version-controlled models, computing, backup and interfaces with field or operational systems.</x:v>
      </x:c>
      <x:c r="AF389" s="2" t="str">
        <x:v>For Limiting land conversion &amp; deforestation, software-related energy is electricity for sensing, computing, storage, communication and cooling; it is normally secondary but must be included for data-intensive or continuous services.</x:v>
      </x:c>
      <x:c r="AG389" s="2" t="str">
        <x:v>The non-physical inputs are calibrated data, metadata, algorithms, boundary conditions, emission or hazard factors, manuals and validation records specific to Limiting land conversion &amp; deforestation.</x:v>
      </x:c>
      <x:c r="AH389" s="2" t="str">
        <x:v>Software continuity for Limiting land conversion &amp; deforestation requires licences where applicable, updates, cybersecurity patches, backups, calibration files, model validation and technical support.</x:v>
      </x:c>
      <x:c r="AI389" s="2" t="str">
        <x:v>Orgware depends on the institutions, laboratories, training providers, regulators, operators and community interfaces needed to govern Limiting land conversion &amp; deforestation.</x:v>
      </x:c>
      <x:c r="AJ389" s="2" t="str">
        <x:v>The orgware supporting Limiting land conversion &amp; deforestation has mainly indirect energy use from offices, meetings, training and information systems; travel and field supervision may be material at dispersed sites.</x:v>
      </x:c>
      <x:c r="AK389" s="2" t="str">
        <x:v>Its organisational inputs are permits, budgets, trained staff, competence records, contracts, procedures, safeguards, monitoring evidence and stakeholder agreements tailored to Limiting land conversion &amp; deforestation.</x:v>
      </x:c>
      <x:c r="AL389" s="2" t="str">
        <x:v>Sustained implementation of Limiting land conversion &amp; deforestation requires procurement and service contracts, audit protocols, training material, reporting templates, insurance or guarantees and periodic independent review.</x:v>
      </x:c>
      <x:c r="AM389" s="2" t="str">
        <x:v>No critical or strategic raw material is identifiable at taxonomy level; site-specific bulk materials may still be required.</x:v>
      </x:c>
      <x:c r="AN389" s="2" t="str"/>
      <x:c r="AO389" s="2" t="str"/>
      <x:c r="AP389" s="2" t="str">
        <x:v>Limiting land conversion &amp; deforestation: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9" s="2" t="str">
        <x:v>2024–2025</x:v>
      </x:c>
      <x:c r="AR389" s="2" t="str">
        <x:v>https://pubs.usgs.gov/periodicals/mcs2026/mcs2026.pdf; https://www.iea.org/reports/global-critical-minerals-outlook-2025</x:v>
      </x:c>
    </x:row>
    <x:row r="390" ht="240" customHeight="1">
      <x:c r="A390" s="2" t="str">
        <x:v>ADP-0120</x:v>
      </x:c>
      <x:c r="B390" s="2" t="str">
        <x:v>Adaptation</x:v>
      </x:c>
      <x:c r="C390" s="2" t="str">
        <x:v>Water</x:v>
      </x:c>
      <x:c r="D390" s="2" t="str">
        <x:v>Water storage</x:v>
      </x:c>
      <x:c r="E390" s="2" t="str">
        <x:v>Designing protected areas</x:v>
      </x:c>
      <x:c r="F390" s="2" t="str">
        <x:v>Designing protected areas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Designing protected areas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90" s="2" t="str">
        <x:v>Flexible</x:v>
      </x:c>
      <x:c r="H390" s="2" t="str">
        <x:v>Designing protected areas is transferable through configurable methods, rules and operating parameters. Its principle remains the same, but resource quality, climate, scale, interfaces and safety constraints must be recalculated for each deployment.</x:v>
      </x:c>
      <x:c r="I390" s="2" t="str">
        <x:v>Primarily soft, with physical support</x:v>
      </x:c>
      <x:c r="J390" s="2" t="str">
        <x:v>Designing protected areas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90" s="2" t="str">
        <x:v>Operation</x:v>
      </x:c>
      <x:c r="L390" s="2" t="str">
        <x:v>Designing protected areas is embodied mainly as an operating practice. The deliverable is accepted only when measurable service, quality, safety and climate-performance criteria are met under real conditions.</x:v>
      </x:c>
      <x:c r="M390" s="2" t="str">
        <x:v>Yes, subject to life-cycle safeguards</x:v>
      </x:c>
      <x:c r="N390" s="2" t="str">
        <x:v>Designing protected areas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90" s="2" t="str">
        <x:v>Designing protected areas: intakes, pipes, pumps, meters, valves, tanks, treatment units, drainage or flood structures, monitoring stations and nature-based elements as applicable.</x:v>
      </x:c>
      <x:c r="P390" s="2" t="str">
        <x:v>Designing protected areas: water balance, hydraulic and hydrological modelling, demand forecasting, water-quality analysis, asset management, drought or flood rules and decision support.</x:v>
      </x:c>
      <x:c r="Q390" s="2" t="str">
        <x:v>Designing protected areas: water rights and permits, utility responsibilities, basin governance, service standards, emergency protocols, tariffs, maintenance funding and stakeholder agreements.</x:v>
      </x:c>
      <x:c r="R390" s="2" t="str">
        <x:v>Designing protected areas: catchment or coast, treatment and storage sites, conveyance and drainage network, power supply, laboratory, control room and safe access.</x:v>
      </x:c>
      <x:c r="S390" s="2" t="str">
        <x:v>Designing protected areas: electricity or fuel for pumping, aeration, desalination, treatment and controls; gravity and ecosystem processes can reduce auxiliary demand.</x:v>
      </x:c>
      <x:c r="T390" s="2" t="str">
        <x:v>Designing protected areas: concrete, steel, ductile iron or polymers, filter media, membranes, treatment chemicals, geotextiles, soil, rock and vegetation according to the measure.</x:v>
      </x:c>
      <x:c r="U390" s="2" t="str">
        <x:v>Designing protected areas: pump and valve parts, seals, meters, sensors, membranes, lamps, filter media, dosing equipment, reagents and erosion-control materials.</x:v>
      </x:c>
      <x:c r="V390" s="2" t="str">
        <x:v>https://www.ctc-n.org/sites/default/files/resources/ctcn_taxonomy_0.pdf</x:v>
      </x:c>
      <x:c r="W390" s="2" t="str">
        <x:v>https://institutoagricoladepueblobello.edu.co/colegiapp/archivostemas/GUIA%209.%5B25%5D.pdf</x:v>
      </x:c>
      <x:c r="X390" s="2" t="str">
        <x:v>https://iiasa.ac.at/what-is-technology</x:v>
      </x:c>
      <x:c r="Y390" s="2" t="str">
        <x:v>https://www.unwater.org/water-facts/climate-change</x:v>
      </x:c>
      <x:c r="Z390" s="2" t="str">
        <x:v>Technology-specific analytical synthesis. The CTCN hierarchy is retained; classifications and component dependencies require validation against the selected design, site and supplier documentation before investment or policy use.</x:v>
      </x:c>
      <x:c r="AA390" s="2" t="str">
        <x:v>Physical deployment of Designing protected areas requires catchment or coast, treatment and storage sites, conveyance and drainage network, power supply, laboratory, control room and safe access; interfaces, foundations, access and environmental protection are sized to the specific resource and design load.</x:v>
      </x:c>
      <x:c r="AB390" s="2" t="str">
        <x:v>For Designing protected areas,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90" s="2" t="str">
        <x:v>Construction and operation use concrete, steel, ductile iron or polymers, filter media, membranes, treatment chemicals, geotextiles, soil, rock and vegetation according to the measure. For Designing protected areas, specifications must include durability, compatibility, recycled content and recoverability.</x:v>
      </x:c>
      <x:c r="AD390" s="2" t="str">
        <x:v>Maintenance of Designing protected areas depends on pump and valve parts, seals, meters, sensors, membranes, lamps, filter media, dosing equipment, reagents and erosion-control materials; critical spares are selected from failure-mode, lead-time and safety analysis for its installed configuration.</x:v>
      </x:c>
      <x:c r="AE390" s="2" t="str">
        <x:v>The software stack for Designing protected areas requires databases, secure communications, version-controlled models, computing, backup and interfaces with field or operational systems.</x:v>
      </x:c>
      <x:c r="AF390" s="2" t="str">
        <x:v>For Designing protected areas, software-related energy is electricity for sensing, computing, storage, communication and cooling; it is normally secondary but must be included for data-intensive or continuous services.</x:v>
      </x:c>
      <x:c r="AG390" s="2" t="str">
        <x:v>The non-physical inputs are calibrated data, metadata, algorithms, boundary conditions, emission or hazard factors, manuals and validation records specific to Designing protected areas.</x:v>
      </x:c>
      <x:c r="AH390" s="2" t="str">
        <x:v>Software continuity for Designing protected areas requires licences where applicable, updates, cybersecurity patches, backups, calibration files, model validation and technical support.</x:v>
      </x:c>
      <x:c r="AI390" s="2" t="str">
        <x:v>Orgware depends on the institutions, laboratories, training providers, regulators, operators and community interfaces needed to govern Designing protected areas.</x:v>
      </x:c>
      <x:c r="AJ390" s="2" t="str">
        <x:v>The orgware supporting Designing protected areas has mainly indirect energy use from offices, meetings, training and information systems; travel and field supervision may be material at dispersed sites.</x:v>
      </x:c>
      <x:c r="AK390" s="2" t="str">
        <x:v>Its organisational inputs are permits, budgets, trained staff, competence records, contracts, procedures, safeguards, monitoring evidence and stakeholder agreements tailored to Designing protected areas.</x:v>
      </x:c>
      <x:c r="AL390" s="2" t="str">
        <x:v>Sustained implementation of Designing protected areas requires procurement and service contracts, audit protocols, training material, reporting templates, insurance or guarantees and periodic independent review.</x:v>
      </x:c>
      <x:c r="AM390" s="2" t="str">
        <x:v>Iron ore / steel inputs</x:v>
      </x:c>
      <x:c r="AN390" s="2" t="str">
        <x:v>Australia; Brazil; China</x:v>
      </x:c>
      <x:c r="AO390" s="2" t="str">
        <x:v>China; India; Japan</x:v>
      </x:c>
      <x:c r="AP390" s="2" t="str">
        <x:v>Designing protected areas: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0" s="2" t="str">
        <x:v>2024–2025</x:v>
      </x:c>
      <x:c r="AR390" s="2" t="str">
        <x:v>https://pubs.usgs.gov/periodicals/mcs2026/mcs2026.pdf</x:v>
      </x:c>
    </x:row>
    <x:row r="391" ht="240" customHeight="1">
      <x:c r="A391" s="2" t="str">
        <x:v>ADP-0121</x:v>
      </x:c>
      <x:c r="B391" s="2" t="str">
        <x:v>Adaptation</x:v>
      </x:c>
      <x:c r="C391" s="2" t="str">
        <x:v>Water</x:v>
      </x:c>
      <x:c r="D391" s="2" t="str">
        <x:v>Water storage</x:v>
      </x:c>
      <x:c r="E391" s="2" t="str">
        <x:v>Soil moisture conservation techniques</x:v>
      </x:c>
      <x:c r="F391" s="2" t="str">
        <x:v>Soil moisture conservation techniques is a adaptation technology in the Water sector and the Water storage technology group. It is defined as a combined hardware–software–orgware system that changes vegetation, soil, nutrient, water, crop or livestock management to protect carbon stocks, increase resilience and productivity, and reduce CO₂, CH₄ or N₂O emissions. Soil moisture conservation techniques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91" s="2" t="str">
        <x:v>Mixed: adaptable design, site-specific implementation</x:v>
      </x:c>
      <x:c r="H391" s="2" t="str">
        <x:v>Soil moisture conservation techniques is adaptable in capacity and configuration but site-specific in final engineering. Its principle remains the same, but resource quality, climate, scale, interfaces and safety constraints must be recalculated for each deployment.</x:v>
      </x:c>
      <x:c r="I391" s="2" t="str">
        <x:v>Primarily hard, with a soft component</x:v>
      </x:c>
      <x:c r="J391" s="2" t="str">
        <x:v>Soil moisture conservation techniques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91" s="2" t="str">
        <x:v>Operation</x:v>
      </x:c>
      <x:c r="L391" s="2" t="str">
        <x:v>Soil moisture conservation techniques is embodied mainly as an operating practice. The deliverable is accepted only when measurable service, quality, safety and climate-performance criteria are met under real conditions.</x:v>
      </x:c>
      <x:c r="M391" s="2" t="str">
        <x:v>Yes, subject to life-cycle safeguards</x:v>
      </x:c>
      <x:c r="N391" s="2" t="str">
        <x:v>Soil moisture conservation techniques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91" s="2" t="str">
        <x:v>Soil moisture conservation techniques: field or forest implements, planting and irrigation equipment, storage or livestock facilities, sampling tools, sensors and protective structures as required.</x:v>
      </x:c>
      <x:c r="P391" s="2" t="str">
        <x:v>Soil moisture conservation techniques: soil–crop–livestock knowledge, nutrient and water budgets, emission factors, carbon accounting, climate services, monitoring protocols and adaptive management.</x:v>
      </x:c>
      <x:c r="Q391" s="2" t="str">
        <x:v>Soil moisture conservation techniques: land tenure, extension, producer organisations, veterinary or phytosanitary services, incentives, safeguards, certification and monitoring arrangements.</x:v>
      </x:c>
      <x:c r="R391" s="2" t="str">
        <x:v>Soil moisture conservation techniques: nurseries or seed banks, field access, water and storage systems, laboratories, extension centres, monitoring plots and processing or market facilities.</x:v>
      </x:c>
      <x:c r="S391" s="2" t="str">
        <x:v>Soil moisture conservation techniques: human and mechanical work, electricity or fuel for machinery, pumping, cooling and processing; biological energy and solar radiation dominate field processes.</x:v>
      </x:c>
      <x:c r="T391" s="2" t="str">
        <x:v>Soil moisture conservation techniques: seed or planting stock, organic matter, fertilisers, soil amendments, water, fencing or structural materials, veterinary inputs and monitoring consumables.</x:v>
      </x:c>
      <x:c r="U391" s="2" t="str">
        <x:v>Soil moisture conservation techniques: seed, inoculants, filters, drip lines, nozzles, tool parts, sampling containers, sensor batteries, veterinary supplies and protective equipment.</x:v>
      </x:c>
      <x:c r="V391" s="2" t="str">
        <x:v>https://www.ctc-n.org/sites/default/files/resources/ctcn_taxonomy_0.pdf</x:v>
      </x:c>
      <x:c r="W391" s="2" t="str">
        <x:v>https://institutoagricoladepueblobello.edu.co/colegiapp/archivostemas/GUIA%209.%5B25%5D.pdf</x:v>
      </x:c>
      <x:c r="X391" s="2" t="str">
        <x:v>https://iiasa.ac.at/what-is-technology</x:v>
      </x:c>
      <x:c r="Y391" s="2" t="str">
        <x:v>https://www.unwater.org/water-facts/climate-change; https://www.ipcc.ch/report/ar6/wg3/chapter/chapter-7/; https://openknowledge.fao.org/server/api/core/bitstreams/b21f2087-f398-4718-8461-b92afc82e617/content</x:v>
      </x:c>
      <x:c r="Z391" s="2" t="str">
        <x:v>Technology-specific analytical synthesis. The CTCN hierarchy is retained; classifications and component dependencies require validation against the selected design, site and supplier documentation before investment or policy use.</x:v>
      </x:c>
      <x:c r="AA391" s="2" t="str">
        <x:v>Physical deployment of Soil moisture conservation techniques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91" s="2" t="str">
        <x:v>For Soil moisture conservation techniques,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91" s="2" t="str">
        <x:v>Construction and operation use seed or planting stock, organic matter, fertilisers, soil amendments, water, fencing or structural materials, veterinary inputs and monitoring consumables. For Soil moisture conservation techniques, specifications must include durability, compatibility, recycled content and recoverability.</x:v>
      </x:c>
      <x:c r="AD391" s="2" t="str">
        <x:v>Maintenance of Soil moisture conservation techniques depends on seed, inoculants, filters, drip lines, nozzles, tool parts, sampling containers, sensor batteries, veterinary supplies and protective equipment; critical spares are selected from failure-mode, lead-time and safety analysis for its installed configuration.</x:v>
      </x:c>
      <x:c r="AE391" s="2" t="str">
        <x:v>The software stack for Soil moisture conservation techniques requires databases, secure communications, version-controlled models, computing, backup and interfaces with field or operational systems.</x:v>
      </x:c>
      <x:c r="AF391" s="2" t="str">
        <x:v>For Soil moisture conservation techniques, software-related energy is electricity for sensing, computing, storage, communication and cooling; it is normally secondary but must be included for data-intensive or continuous services.</x:v>
      </x:c>
      <x:c r="AG391" s="2" t="str">
        <x:v>The non-physical inputs are calibrated data, metadata, algorithms, boundary conditions, emission or hazard factors, manuals and validation records specific to Soil moisture conservation techniques.</x:v>
      </x:c>
      <x:c r="AH391" s="2" t="str">
        <x:v>Software continuity for Soil moisture conservation techniques requires licences where applicable, updates, cybersecurity patches, backups, calibration files, model validation and technical support.</x:v>
      </x:c>
      <x:c r="AI391" s="2" t="str">
        <x:v>Orgware depends on the institutions, laboratories, training providers, regulators, operators and community interfaces needed to govern Soil moisture conservation techniques.</x:v>
      </x:c>
      <x:c r="AJ391" s="2" t="str">
        <x:v>The orgware supporting Soil moisture conservation techniques has mainly indirect energy use from offices, meetings, training and information systems; travel and field supervision may be material at dispersed sites.</x:v>
      </x:c>
      <x:c r="AK391" s="2" t="str">
        <x:v>Its organisational inputs are permits, budgets, trained staff, competence records, contracts, procedures, safeguards, monitoring evidence and stakeholder agreements tailored to Soil moisture conservation techniques.</x:v>
      </x:c>
      <x:c r="AL391" s="2" t="str">
        <x:v>Sustained implementation of Soil moisture conservation techniques requires procurement and service contracts, audit protocols, training material, reporting templates, insurance or guarantees and periodic independent review.</x:v>
      </x:c>
      <x:c r="AM391" s="2" t="str">
        <x:v>Phosphate rock; Potash</x:v>
      </x:c>
      <x:c r="AN391" s="2" t="str">
        <x:v>China; Morocco; United States; Canada; Russia; Belarus</x:v>
      </x:c>
      <x:c r="AO391" s="2" t="str">
        <x:v>China; Morocco; United States; Canada; Russia; Belarus</x:v>
      </x:c>
      <x:c r="AP391" s="2" t="str">
        <x:v>Soil moisture conservation techniques: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1" s="2" t="str">
        <x:v>2024–2025</x:v>
      </x:c>
      <x:c r="AR391" s="2" t="str">
        <x:v>https://pubs.usgs.gov/periodicals/mcs2026/mcs2026.pdf</x:v>
      </x:c>
    </x:row>
    <x:row r="392" ht="240" customHeight="1">
      <x:c r="A392" s="2" t="str">
        <x:v>ADP-0122</x:v>
      </x:c>
      <x:c r="B392" s="2" t="str">
        <x:v>Adaptation</x:v>
      </x:c>
      <x:c r="C392" s="2" t="str">
        <x:v>Water</x:v>
      </x:c>
      <x:c r="D392" s="2" t="str">
        <x:v>Water storage</x:v>
      </x:c>
      <x:c r="E392" s="2" t="str">
        <x:v>Indigenous water storage structures</x:v>
      </x:c>
      <x:c r="F392" s="2" t="str">
        <x:v>Indigenous water storage structures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Indigenous water storage structures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92" s="2" t="str">
        <x:v>Mixed: adaptable design, site-specific implementation</x:v>
      </x:c>
      <x:c r="H392" s="2" t="str">
        <x:v>Indigenous water storage structures is adaptable in capacity and configuration but site-specific in final engineering. Its principle remains the same, but resource quality, climate, scale, interfaces and safety constraints must be recalculated for each deployment.</x:v>
      </x:c>
      <x:c r="I392" s="2" t="str">
        <x:v>Primarily hard, with a soft component</x:v>
      </x:c>
      <x:c r="J392" s="2" t="str">
        <x:v>Indigenous water storage structures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92" s="2" t="str">
        <x:v>Equipment and operation</x:v>
      </x:c>
      <x:c r="L392" s="2" t="str">
        <x:v>Indigenous water storage structures is embodied mainly as an equipment-and-operation system. The deliverable is accepted only when measurable service, quality, safety and climate-performance criteria are met under real conditions.</x:v>
      </x:c>
      <x:c r="M392" s="2" t="str">
        <x:v>Yes, subject to life-cycle safeguards</x:v>
      </x:c>
      <x:c r="N392" s="2" t="str">
        <x:v>Indigenous water storage structures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92" s="2" t="str">
        <x:v>Indigenous water storage structures: intakes, pipes, pumps, meters, valves, tanks, treatment units, drainage or flood structures, monitoring stations and nature-based elements as applicable.</x:v>
      </x:c>
      <x:c r="P392" s="2" t="str">
        <x:v>Indigenous water storage structures: water balance, hydraulic and hydrological modelling, demand forecasting, water-quality analysis, asset management, drought or flood rules and decision support.</x:v>
      </x:c>
      <x:c r="Q392" s="2" t="str">
        <x:v>Indigenous water storage structures: water rights and permits, utility responsibilities, basin governance, service standards, emergency protocols, tariffs, maintenance funding and stakeholder agreements.</x:v>
      </x:c>
      <x:c r="R392" s="2" t="str">
        <x:v>Indigenous water storage structures: catchment or coast, treatment and storage sites, conveyance and drainage network, power supply, laboratory, control room and safe access.</x:v>
      </x:c>
      <x:c r="S392" s="2" t="str">
        <x:v>Indigenous water storage structures: electricity or fuel for pumping, aeration, desalination, treatment and controls; gravity and ecosystem processes can reduce auxiliary demand.</x:v>
      </x:c>
      <x:c r="T392" s="2" t="str">
        <x:v>Indigenous water storage structures: concrete, steel, ductile iron or polymers, filter media, membranes, treatment chemicals, geotextiles, soil, rock and vegetation according to the measure.</x:v>
      </x:c>
      <x:c r="U392" s="2" t="str">
        <x:v>Indigenous water storage structures: pump and valve parts, seals, meters, sensors, membranes, lamps, filter media, dosing equipment, reagents and erosion-control materials.</x:v>
      </x:c>
      <x:c r="V392" s="2" t="str">
        <x:v>https://www.ctc-n.org/sites/default/files/resources/ctcn_taxonomy_0.pdf</x:v>
      </x:c>
      <x:c r="W392" s="2" t="str">
        <x:v>https://institutoagricoladepueblobello.edu.co/colegiapp/archivostemas/GUIA%209.%5B25%5D.pdf</x:v>
      </x:c>
      <x:c r="X392" s="2" t="str">
        <x:v>https://iiasa.ac.at/what-is-technology</x:v>
      </x:c>
      <x:c r="Y392" s="2" t="str">
        <x:v>https://www.unwater.org/water-facts/climate-change</x:v>
      </x:c>
      <x:c r="Z392" s="2" t="str">
        <x:v>Technology-specific analytical synthesis. The CTCN hierarchy is retained; classifications and component dependencies require validation against the selected design, site and supplier documentation before investment or policy use.</x:v>
      </x:c>
      <x:c r="AA392" s="2" t="str">
        <x:v>Physical deployment of Indigenous water storage structures requires catchment or coast, treatment and storage sites, conveyance and drainage network, power supply, laboratory, control room and safe access; interfaces, foundations, access and environmental protection are sized to the specific resource and design load.</x:v>
      </x:c>
      <x:c r="AB392" s="2" t="str">
        <x:v>For Indigenous water storage structures,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92" s="2" t="str">
        <x:v>Construction and operation use concrete, steel, ductile iron or polymers, filter media, membranes, treatment chemicals, geotextiles, soil, rock and vegetation according to the measure. For Indigenous water storage structures, specifications must include durability, compatibility, recycled content and recoverability.</x:v>
      </x:c>
      <x:c r="AD392" s="2" t="str">
        <x:v>Maintenance of Indigenous water storage structures depends on pump and valve parts, seals, meters, sensors, membranes, lamps, filter media, dosing equipment, reagents and erosion-control materials; critical spares are selected from failure-mode, lead-time and safety analysis for its installed configuration.</x:v>
      </x:c>
      <x:c r="AE392" s="2" t="str">
        <x:v>The software stack for Indigenous water storage structures requires databases, secure communications, version-controlled models, computing, backup and interfaces with field or operational systems.</x:v>
      </x:c>
      <x:c r="AF392" s="2" t="str">
        <x:v>For Indigenous water storage structures, software-related energy is electricity for sensing, computing, storage, communication and cooling; it is normally secondary but must be included for data-intensive or continuous services.</x:v>
      </x:c>
      <x:c r="AG392" s="2" t="str">
        <x:v>The non-physical inputs are calibrated data, metadata, algorithms, boundary conditions, emission or hazard factors, manuals and validation records specific to Indigenous water storage structures.</x:v>
      </x:c>
      <x:c r="AH392" s="2" t="str">
        <x:v>Software continuity for Indigenous water storage structures requires licences where applicable, updates, cybersecurity patches, backups, calibration files, model validation and technical support.</x:v>
      </x:c>
      <x:c r="AI392" s="2" t="str">
        <x:v>Orgware depends on the institutions, laboratories, training providers, regulators, operators and community interfaces needed to govern Indigenous water storage structures.</x:v>
      </x:c>
      <x:c r="AJ392" s="2" t="str">
        <x:v>The orgware supporting Indigenous water storage structures has mainly indirect energy use from offices, meetings, training and information systems; travel and field supervision may be material at dispersed sites.</x:v>
      </x:c>
      <x:c r="AK392" s="2" t="str">
        <x:v>Its organisational inputs are permits, budgets, trained staff, competence records, contracts, procedures, safeguards, monitoring evidence and stakeholder agreements tailored to Indigenous water storage structures.</x:v>
      </x:c>
      <x:c r="AL392" s="2" t="str">
        <x:v>Sustained implementation of Indigenous water storage structures requires procurement and service contracts, audit protocols, training material, reporting templates, insurance or guarantees and periodic independent review.</x:v>
      </x:c>
      <x:c r="AM392" s="2" t="str">
        <x:v>Iron ore / steel inputs</x:v>
      </x:c>
      <x:c r="AN392" s="2" t="str">
        <x:v>Australia; Brazil; China</x:v>
      </x:c>
      <x:c r="AO392" s="2" t="str">
        <x:v>China; India; Japan</x:v>
      </x:c>
      <x:c r="AP392" s="2" t="str">
        <x:v>Indigenous water storage structures: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2" s="2" t="str">
        <x:v>2024–2025</x:v>
      </x:c>
      <x:c r="AR392" s="2" t="str">
        <x:v>https://pubs.usgs.gov/periodicals/mcs2026/mcs2026.pdf</x:v>
      </x:c>
    </x:row>
    <x:row r="393" ht="240" customHeight="1">
      <x:c r="A393" s="2" t="str">
        <x:v>ADP-0123</x:v>
      </x:c>
      <x:c r="B393" s="2" t="str">
        <x:v>Adaptation</x:v>
      </x:c>
      <x:c r="C393" s="2" t="str">
        <x:v>Water</x:v>
      </x:c>
      <x:c r="D393" s="2" t="str">
        <x:v>Use of alternative water sources</x:v>
      </x:c>
      <x:c r="E393" s="2" t="str">
        <x:v>Seawater desalination</x:v>
      </x:c>
      <x:c r="F393" s="2" t="str">
        <x:v>Seawater desalination is a adaptation technology in the Water sector and the Use of alternative water sources technology group. It is defined as a combined hardware–software–orgware system that manages water quantity, quality, timing or exposure through demand reduction, capture, storage, treatment, allocation, hydraulic protection and ecosystem functions. It separates dissolved salts by membrane pressure or phase change and produces a freshwater stream plus a concentrated residual stream requiring energy-efficient operation and controlled disposal.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93" s="2" t="str">
        <x:v>Mixed: adaptable design, site-specific implementation</x:v>
      </x:c>
      <x:c r="H393" s="2" t="str">
        <x:v>Seawater desalination is adaptable in capacity and configuration but site-specific in final engineering. Its principle remains the same, but resource quality, climate, scale, interfaces and safety constraints must be recalculated for each deployment.</x:v>
      </x:c>
      <x:c r="I393" s="2" t="str">
        <x:v>Primarily hard, with a soft component</x:v>
      </x:c>
      <x:c r="J393" s="2" t="str">
        <x:v>Seawater desalination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93" s="2" t="str">
        <x:v>Equipment and operation</x:v>
      </x:c>
      <x:c r="L393" s="2" t="str">
        <x:v>Seawater desalination is embodied mainly as an equipment-and-operation system. The deliverable is accepted only when measurable service, quality, safety and climate-performance criteria are met under real conditions.</x:v>
      </x:c>
      <x:c r="M393" s="2" t="str">
        <x:v>Yes, subject to life-cycle safeguards</x:v>
      </x:c>
      <x:c r="N393" s="2" t="str">
        <x:v>Seawater desalination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93" s="2" t="str">
        <x:v>Seawater desalination: intakes, pipes, pumps, meters, valves, tanks, treatment units, drainage or flood structures, monitoring stations and nature-based elements as applicable.</x:v>
      </x:c>
      <x:c r="P393" s="2" t="str">
        <x:v>Seawater desalination: water balance, hydraulic and hydrological modelling, demand forecasting, water-quality analysis, asset management, drought or flood rules and decision support.</x:v>
      </x:c>
      <x:c r="Q393" s="2" t="str">
        <x:v>Seawater desalination: water rights and permits, utility responsibilities, basin governance, service standards, emergency protocols, tariffs, maintenance funding and stakeholder agreements.</x:v>
      </x:c>
      <x:c r="R393" s="2" t="str">
        <x:v>Seawater desalination: catchment or coast, treatment and storage sites, conveyance and drainage network, power supply, laboratory, control room and safe access.</x:v>
      </x:c>
      <x:c r="S393" s="2" t="str">
        <x:v>Seawater desalination: electricity or fuel for pumping, aeration, desalination, treatment and controls; gravity and ecosystem processes can reduce auxiliary demand.</x:v>
      </x:c>
      <x:c r="T393" s="2" t="str">
        <x:v>Seawater desalination: concrete, steel, ductile iron or polymers, filter media, membranes, treatment chemicals, geotextiles, soil, rock and vegetation according to the measure.</x:v>
      </x:c>
      <x:c r="U393" s="2" t="str">
        <x:v>Seawater desalination: pump and valve parts, seals, meters, sensors, membranes, lamps, filter media, dosing equipment, reagents and erosion-control materials.</x:v>
      </x:c>
      <x:c r="V393" s="2" t="str">
        <x:v>https://www.ctc-n.org/sites/default/files/resources/ctcn_taxonomy_0.pdf</x:v>
      </x:c>
      <x:c r="W393" s="2" t="str">
        <x:v>https://institutoagricoladepueblobello.edu.co/colegiapp/archivostemas/GUIA%209.%5B25%5D.pdf</x:v>
      </x:c>
      <x:c r="X393" s="2" t="str">
        <x:v>https://iiasa.ac.at/what-is-technology</x:v>
      </x:c>
      <x:c r="Y393" s="2" t="str">
        <x:v>https://www.unwater.org/water-facts/climate-change</x:v>
      </x:c>
      <x:c r="Z393" s="2" t="str">
        <x:v>Technology-specific analytical synthesis. The CTCN hierarchy is retained; classifications and component dependencies require validation against the selected design, site and supplier documentation before investment or policy use.</x:v>
      </x:c>
      <x:c r="AA393" s="2" t="str">
        <x:v>Physical deployment of Seawater desalination requires catchment or coast, treatment and storage sites, conveyance and drainage network, power supply, laboratory, control room and safe access; interfaces, foundations, access and environmental protection are sized to the specific resource and design load.</x:v>
      </x:c>
      <x:c r="AB393" s="2" t="str">
        <x:v>For Seawater desalination,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93" s="2" t="str">
        <x:v>Construction and operation use concrete, steel, ductile iron or polymers, filter media, membranes, treatment chemicals, geotextiles, soil, rock and vegetation according to the measure. For Seawater desalination, specifications must include durability, compatibility, recycled content and recoverability.</x:v>
      </x:c>
      <x:c r="AD393" s="2" t="str">
        <x:v>Maintenance of Seawater desalination depends on pump and valve parts, seals, meters, sensors, membranes, lamps, filter media, dosing equipment, reagents and erosion-control materials; critical spares are selected from failure-mode, lead-time and safety analysis for its installed configuration.</x:v>
      </x:c>
      <x:c r="AE393" s="2" t="str">
        <x:v>The software stack for Seawater desalination requires databases, secure communications, version-controlled models, computing, backup and interfaces with field or operational systems.</x:v>
      </x:c>
      <x:c r="AF393" s="2" t="str">
        <x:v>For Seawater desalination, software-related energy is electricity for sensing, computing, storage, communication and cooling; it is normally secondary but must be included for data-intensive or continuous services.</x:v>
      </x:c>
      <x:c r="AG393" s="2" t="str">
        <x:v>The non-physical inputs are calibrated data, metadata, algorithms, boundary conditions, emission or hazard factors, manuals and validation records specific to Seawater desalination.</x:v>
      </x:c>
      <x:c r="AH393" s="2" t="str">
        <x:v>Software continuity for Seawater desalination requires licences where applicable, updates, cybersecurity patches, backups, calibration files, model validation and technical support.</x:v>
      </x:c>
      <x:c r="AI393" s="2" t="str">
        <x:v>Orgware depends on the institutions, laboratories, training providers, regulators, operators and community interfaces needed to govern Seawater desalination.</x:v>
      </x:c>
      <x:c r="AJ393" s="2" t="str">
        <x:v>The orgware supporting Seawater desalination has mainly indirect energy use from offices, meetings, training and information systems; travel and field supervision may be material at dispersed sites.</x:v>
      </x:c>
      <x:c r="AK393" s="2" t="str">
        <x:v>Its organisational inputs are permits, budgets, trained staff, competence records, contracts, procedures, safeguards, monitoring evidence and stakeholder agreements tailored to Seawater desalination.</x:v>
      </x:c>
      <x:c r="AL393" s="2" t="str">
        <x:v>Sustained implementation of Seawater desalination requires procurement and service contracts, audit protocols, training material, reporting templates, insurance or guarantees and periodic independent review.</x:v>
      </x:c>
      <x:c r="AM393" s="2" t="str">
        <x:v>Iron ore / steel inputs; Nickel; Chromium</x:v>
      </x:c>
      <x:c r="AN393" s="2" t="str">
        <x:v>Australia; Brazil; China; Indonesia; Philippines; Russia; South Africa; Kazakhstan; Turkey</x:v>
      </x:c>
      <x:c r="AO393" s="2" t="str">
        <x:v>China; India; Japan; Indonesia; South Africa; Kazakhstan</x:v>
      </x:c>
      <x:c r="AP393" s="2" t="str">
        <x:v>Seawater desalination: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3" s="2" t="str">
        <x:v>2024–2025</x:v>
      </x:c>
      <x:c r="AR393" s="2" t="str">
        <x:v>https://pubs.usgs.gov/periodicals/mcs2026/mcs2026.pdf; https://www.iea.org/reports/global-critical-minerals-outlook-2025</x:v>
      </x:c>
    </x:row>
    <x:row r="394" ht="240" customHeight="1">
      <x:c r="A394" s="2" t="str">
        <x:v>ADP-0124</x:v>
      </x:c>
      <x:c r="B394" s="2" t="str">
        <x:v>Adaptation</x:v>
      </x:c>
      <x:c r="C394" s="2" t="str">
        <x:v>Water</x:v>
      </x:c>
      <x:c r="D394" s="2" t="str">
        <x:v>Use of alternative water sources</x:v>
      </x:c>
      <x:c r="E394" s="2" t="str">
        <x:v>Interbasin transfers</x:v>
      </x:c>
      <x:c r="F394" s="2" t="str">
        <x:v>Interbasin transfers is a adaptation technology in the Water sector and the Use of alternative water sources technology group. It is defined as a combined hardware–software–orgware system that manages water quantity, quality, timing or exposure through demand reduction, capture, storage, treatment, allocation, hydraulic protection and ecosystem functions. Interbasin transfers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94" s="2" t="str">
        <x:v>Mixed: adaptable design, site-specific implementation</x:v>
      </x:c>
      <x:c r="H394" s="2" t="str">
        <x:v>Interbasin transfers is adaptable in capacity and configuration but site-specific in final engineering. Its principle remains the same, but resource quality, climate, scale, interfaces and safety constraints must be recalculated for each deployment.</x:v>
      </x:c>
      <x:c r="I394" s="2" t="str">
        <x:v>Primarily hard, with a soft component</x:v>
      </x:c>
      <x:c r="J394" s="2" t="str">
        <x:v>Interbasin transfers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94" s="2" t="str">
        <x:v>Equipment and operation</x:v>
      </x:c>
      <x:c r="L394" s="2" t="str">
        <x:v>Interbasin transfers is embodied mainly as an equipment-and-operation system. The deliverable is accepted only when measurable service, quality, safety and climate-performance criteria are met under real conditions.</x:v>
      </x:c>
      <x:c r="M394" s="2" t="str">
        <x:v>Conditional on performance and life cycle</x:v>
      </x:c>
      <x:c r="N394" s="2" t="str">
        <x:v>Interbasin transfers is classified as conditional.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94" s="2" t="str">
        <x:v>Interbasin transfers: intakes, pipes, pumps, meters, valves, tanks, treatment units, drainage or flood structures, monitoring stations and nature-based elements as applicable.</x:v>
      </x:c>
      <x:c r="P394" s="2" t="str">
        <x:v>Interbasin transfers: water balance, hydraulic and hydrological modelling, demand forecasting, water-quality analysis, asset management, drought or flood rules and decision support.</x:v>
      </x:c>
      <x:c r="Q394" s="2" t="str">
        <x:v>Interbasin transfers: water rights and permits, utility responsibilities, basin governance, service standards, emergency protocols, tariffs, maintenance funding and stakeholder agreements.</x:v>
      </x:c>
      <x:c r="R394" s="2" t="str">
        <x:v>Interbasin transfers: catchment or coast, treatment and storage sites, conveyance and drainage network, power supply, laboratory, control room and safe access.</x:v>
      </x:c>
      <x:c r="S394" s="2" t="str">
        <x:v>Interbasin transfers: electricity or fuel for pumping, aeration, desalination, treatment and controls; gravity and ecosystem processes can reduce auxiliary demand.</x:v>
      </x:c>
      <x:c r="T394" s="2" t="str">
        <x:v>Interbasin transfers: concrete, steel, ductile iron or polymers, filter media, membranes, treatment chemicals, geotextiles, soil, rock and vegetation according to the measure.</x:v>
      </x:c>
      <x:c r="U394" s="2" t="str">
        <x:v>Interbasin transfers: pump and valve parts, seals, meters, sensors, membranes, lamps, filter media, dosing equipment, reagents and erosion-control materials.</x:v>
      </x:c>
      <x:c r="V394" s="2" t="str">
        <x:v>https://www.ctc-n.org/sites/default/files/resources/ctcn_taxonomy_0.pdf</x:v>
      </x:c>
      <x:c r="W394" s="2" t="str">
        <x:v>https://institutoagricoladepueblobello.edu.co/colegiapp/archivostemas/GUIA%209.%5B25%5D.pdf</x:v>
      </x:c>
      <x:c r="X394" s="2" t="str">
        <x:v>https://iiasa.ac.at/what-is-technology</x:v>
      </x:c>
      <x:c r="Y394" s="2" t="str">
        <x:v>https://www.unwater.org/water-facts/climate-change</x:v>
      </x:c>
      <x:c r="Z394" s="2" t="str">
        <x:v>Technology-specific analytical synthesis. The CTCN hierarchy is retained; classifications and component dependencies require validation against the selected design, site and supplier documentation before investment or policy use.</x:v>
      </x:c>
      <x:c r="AA394" s="2" t="str">
        <x:v>Physical deployment of Interbasin transfers requires catchment or coast, treatment and storage sites, conveyance and drainage network, power supply, laboratory, control room and safe access; interfaces, foundations, access and environmental protection are sized to the specific resource and design load.</x:v>
      </x:c>
      <x:c r="AB394" s="2" t="str">
        <x:v>For Interbasin transfers,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94" s="2" t="str">
        <x:v>Construction and operation use concrete, steel, ductile iron or polymers, filter media, membranes, treatment chemicals, geotextiles, soil, rock and vegetation according to the measure. For Interbasin transfers, specifications must include durability, compatibility, recycled content and recoverability.</x:v>
      </x:c>
      <x:c r="AD394" s="2" t="str">
        <x:v>Maintenance of Interbasin transfers depends on pump and valve parts, seals, meters, sensors, membranes, lamps, filter media, dosing equipment, reagents and erosion-control materials; critical spares are selected from failure-mode, lead-time and safety analysis for its installed configuration.</x:v>
      </x:c>
      <x:c r="AE394" s="2" t="str">
        <x:v>The software stack for Interbasin transfers requires databases, secure communications, version-controlled models, computing, backup and interfaces with field or operational systems.</x:v>
      </x:c>
      <x:c r="AF394" s="2" t="str">
        <x:v>For Interbasin transfers, software-related energy is electricity for sensing, computing, storage, communication and cooling; it is normally secondary but must be included for data-intensive or continuous services.</x:v>
      </x:c>
      <x:c r="AG394" s="2" t="str">
        <x:v>The non-physical inputs are calibrated data, metadata, algorithms, boundary conditions, emission or hazard factors, manuals and validation records specific to Interbasin transfers.</x:v>
      </x:c>
      <x:c r="AH394" s="2" t="str">
        <x:v>Software continuity for Interbasin transfers requires licences where applicable, updates, cybersecurity patches, backups, calibration files, model validation and technical support.</x:v>
      </x:c>
      <x:c r="AI394" s="2" t="str">
        <x:v>Orgware depends on the institutions, laboratories, training providers, regulators, operators and community interfaces needed to govern Interbasin transfers.</x:v>
      </x:c>
      <x:c r="AJ394" s="2" t="str">
        <x:v>The orgware supporting Interbasin transfers has mainly indirect energy use from offices, meetings, training and information systems; travel and field supervision may be material at dispersed sites.</x:v>
      </x:c>
      <x:c r="AK394" s="2" t="str">
        <x:v>Its organisational inputs are permits, budgets, trained staff, competence records, contracts, procedures, safeguards, monitoring evidence and stakeholder agreements tailored to Interbasin transfers.</x:v>
      </x:c>
      <x:c r="AL394" s="2" t="str">
        <x:v>Sustained implementation of Interbasin transfers requires procurement and service contracts, audit protocols, training material, reporting templates, insurance or guarantees and periodic independent review.</x:v>
      </x:c>
      <x:c r="AM394" s="2" t="str">
        <x:v>Iron ore / steel inputs</x:v>
      </x:c>
      <x:c r="AN394" s="2" t="str">
        <x:v>Australia; Brazil; China</x:v>
      </x:c>
      <x:c r="AO394" s="2" t="str">
        <x:v>China; India; Japan</x:v>
      </x:c>
      <x:c r="AP394" s="2" t="str">
        <x:v>Interbasin transfers: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4" s="2" t="str">
        <x:v>2024–2025</x:v>
      </x:c>
      <x:c r="AR394" s="2" t="str">
        <x:v>https://pubs.usgs.gov/periodicals/mcs2026/mcs2026.pdf</x:v>
      </x:c>
    </x:row>
    <x:row r="395" ht="240" customHeight="1">
      <x:c r="A395" s="2" t="str">
        <x:v>ADP-0125</x:v>
      </x:c>
      <x:c r="B395" s="2" t="str">
        <x:v>Adaptation</x:v>
      </x:c>
      <x:c r="C395" s="2" t="str">
        <x:v>Water</x:v>
      </x:c>
      <x:c r="D395" s="2" t="str">
        <x:v>Use of alternative water sources</x:v>
      </x:c>
      <x:c r="E395" s="2" t="str">
        <x:v>Solar water distillation</x:v>
      </x:c>
      <x:c r="F395" s="2" t="str">
        <x:v>Solar water distillation is a adaptation technology in the Water sector and the Use of alternative water sources technology group. It is defined as a combined hardware–software–orgware system that converts a renewable solar, wind, water, ocean, geothermal or chemical resource into electricity, heat or mechanical work while controlling variability and conversion losses. It separates dissolved salts by membrane pressure or phase change and produces a freshwater stream plus a concentrated residual stream requiring energy-efficient operation and controlled disposal.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395" s="2" t="str">
        <x:v>Mixed: adaptable design, site-specific implementation</x:v>
      </x:c>
      <x:c r="H395" s="2" t="str">
        <x:v>Solar water distillation is adaptable in capacity and configuration but site-specific in final engineering. Its principle remains the same, but resource quality, climate, scale, interfaces and safety constraints must be recalculated for each deployment.</x:v>
      </x:c>
      <x:c r="I395" s="2" t="str">
        <x:v>Primarily hard, with a soft component</x:v>
      </x:c>
      <x:c r="J395" s="2" t="str">
        <x:v>Solar water distillation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395" s="2" t="str">
        <x:v>Equipment and operation</x:v>
      </x:c>
      <x:c r="L395" s="2" t="str">
        <x:v>Solar water distillation is embodied mainly as an equipment-and-operation system. The deliverable is accepted only when measurable service, quality, safety and climate-performance criteria are met under real conditions.</x:v>
      </x:c>
      <x:c r="M395" s="2" t="str">
        <x:v>Yes, subject to life-cycle safeguards</x:v>
      </x:c>
      <x:c r="N395" s="2" t="str">
        <x:v>Solar water distillation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395" s="2" t="str">
        <x:v>Solar water distillation: resource collector or prime mover, generator or heat exchanger, support structure, power conversion, protection, metering and connection equipment.</x:v>
      </x:c>
      <x:c r="P395" s="2" t="str">
        <x:v>Solar water distillation: resource assessment, energy-yield modelling, forecasting, maximum-power or process control, dispatch, condition monitoring and maintenance planning.</x:v>
      </x:c>
      <x:c r="Q395" s="2" t="str">
        <x:v>Solar water distillation: resource and land or sea rights, environmental licensing, grid code, safety, community participation, revenue contract and decommissioning plan.</x:v>
      </x:c>
      <x:c r="R395" s="2" t="str">
        <x:v>Solar water distillation: foundations, access, electrical or thermal network, substation, control and communications, drainage and construction or marine logistics.</x:v>
      </x:c>
      <x:c r="S395" s="2" t="str">
        <x:v>Solar water distillation: the renewable resource is the primary input; auxiliary electricity, start-up fuel, pumping or thermal energy may be required depending on the design.</x:v>
      </x:c>
      <x:c r="T395" s="2" t="str">
        <x:v>Solar water distillation: steel, concrete, copper, aluminium, polymers, glass and technology-specific materials such as silicon, magnets, coatings, catalysts or working fluids.</x:v>
      </x:c>
      <x:c r="U395" s="2" t="str">
        <x:v>Solar water distillation: bearings, seals, filters, lubricants, sensors, converter parts, cables, fasteners, coatings and replaceable collector or heat-exchanger components.</x:v>
      </x:c>
      <x:c r="V395" s="2" t="str">
        <x:v>https://www.ctc-n.org/sites/default/files/resources/ctcn_taxonomy_0.pdf</x:v>
      </x:c>
      <x:c r="W395" s="2" t="str">
        <x:v>https://institutoagricoladepueblobello.edu.co/colegiapp/archivostemas/GUIA%209.%5B25%5D.pdf</x:v>
      </x:c>
      <x:c r="X395" s="2" t="str">
        <x:v>https://iiasa.ac.at/what-is-technology</x:v>
      </x:c>
      <x:c r="Y395" s="2" t="str">
        <x:v>https://www.unwater.org/water-facts/climate-change; https://www.iea.org/data-and-statistics/data-tools/etp-clean-energy-technology-guide</x:v>
      </x:c>
      <x:c r="Z395" s="2" t="str">
        <x:v>Technology-specific analytical synthesis. The CTCN hierarchy is retained; classifications and component dependencies require validation against the selected design, site and supplier documentation before investment or policy use.</x:v>
      </x:c>
      <x:c r="AA395" s="2" t="str">
        <x:v>Physical deployment of Solar water distillation requires foundations, access, electrical or thermal network, substation, control and communications, drainage and construction or marine logistics; interfaces, foundations, access and environmental protection are sized to the specific resource and design load.</x:v>
      </x:c>
      <x:c r="AB395" s="2" t="str">
        <x:v>For Solar water distillation,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395" s="2" t="str">
        <x:v>Construction and operation use steel, concrete, copper, aluminium, polymers, glass and technology-specific materials such as silicon, magnets, coatings, catalysts or working fluids. For Solar water distillation, specifications must include durability, compatibility, recycled content and recoverability.</x:v>
      </x:c>
      <x:c r="AD395" s="2" t="str">
        <x:v>Maintenance of Solar water distillation depends on bearings, seals, filters, lubricants, sensors, converter parts, cables, fasteners, coatings and replaceable collector or heat-exchanger components; critical spares are selected from failure-mode, lead-time and safety analysis for its installed configuration.</x:v>
      </x:c>
      <x:c r="AE395" s="2" t="str">
        <x:v>The software stack for Solar water distillation requires databases, secure communications, version-controlled models, computing, backup and interfaces with field or operational systems.</x:v>
      </x:c>
      <x:c r="AF395" s="2" t="str">
        <x:v>For Solar water distillation, software-related energy is electricity for sensing, computing, storage, communication and cooling; it is normally secondary but must be included for data-intensive or continuous services.</x:v>
      </x:c>
      <x:c r="AG395" s="2" t="str">
        <x:v>The non-physical inputs are calibrated data, metadata, algorithms, boundary conditions, emission or hazard factors, manuals and validation records specific to Solar water distillation.</x:v>
      </x:c>
      <x:c r="AH395" s="2" t="str">
        <x:v>Software continuity for Solar water distillation requires licences where applicable, updates, cybersecurity patches, backups, calibration files, model validation and technical support.</x:v>
      </x:c>
      <x:c r="AI395" s="2" t="str">
        <x:v>Orgware depends on the institutions, laboratories, training providers, regulators, operators and community interfaces needed to govern Solar water distillation.</x:v>
      </x:c>
      <x:c r="AJ395" s="2" t="str">
        <x:v>The orgware supporting Solar water distillation has mainly indirect energy use from offices, meetings, training and information systems; travel and field supervision may be material at dispersed sites.</x:v>
      </x:c>
      <x:c r="AK395" s="2" t="str">
        <x:v>Its organisational inputs are permits, budgets, trained staff, competence records, contracts, procedures, safeguards, monitoring evidence and stakeholder agreements tailored to Solar water distillation.</x:v>
      </x:c>
      <x:c r="AL395" s="2" t="str">
        <x:v>Sustained implementation of Solar water distillation requires procurement and service contracts, audit protocols, training material, reporting templates, insurance or guarantees and periodic independent review.</x:v>
      </x:c>
      <x:c r="AM395" s="2" t="str">
        <x:v>Iron ore / steel inputs; Copper; Tin; Bauxite / aluminium</x:v>
      </x:c>
      <x:c r="AN395" s="2" t="str">
        <x:v>Australia; Brazil; China; Chile; Democratic Republic of the Congo; Peru; Indonesia; Myanmar; Guinea</x:v>
      </x:c>
      <x:c r="AO395" s="2" t="str">
        <x:v>China; India; Japan; Chile; Democratic Republic of the Congo; Indonesia; Malaysia; Russia</x:v>
      </x:c>
      <x:c r="AP395" s="2" t="str">
        <x:v>Solar water distillation: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5" s="2" t="str">
        <x:v>2024–2025</x:v>
      </x:c>
      <x:c r="AR395" s="2" t="str">
        <x:v>https://pubs.usgs.gov/periodicals/mcs2026/mcs2026.pdf</x:v>
      </x:c>
    </x:row>
    <x:row r="396" ht="240" customHeight="1">
      <x:c r="A396" s="2" t="str">
        <x:v>ADP-0126</x:v>
      </x:c>
      <x:c r="B396" s="2" t="str">
        <x:v>Adaptation</x:v>
      </x:c>
      <x:c r="C396" s="2" t="str">
        <x:v>Water</x:v>
      </x:c>
      <x:c r="D396" s="2" t="str">
        <x:v>Use of alternative water sources</x:v>
      </x:c>
      <x:c r="E396" s="2" t="str">
        <x:v>Water recycling and reclamation</x:v>
      </x:c>
      <x:c r="F396" s="2" t="str">
        <x:v>Water recycling and reclamation is a adaptation technology in the Water sector and the Use of alternative water sources technology group. It is defined as a combined hardware–software–orgware system that changes vehicle kilometres, modal share, occupancy, speed profiles, routing or logistics so that the same mobility service is delivered with less final energy and fewer tailpipe emissions. It applies treatment and risk barriers matched to the intended reuse, then distributes reclaimed water through controlled storage and, where necessary, a separate network.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396" s="2" t="str">
        <x:v>Mixed: adaptable design, site-specific implementation</x:v>
      </x:c>
      <x:c r="H396" s="2" t="str">
        <x:v>Water recycling and reclamation is adaptable in capacity and configuration but site-specific in final engineering. Its principle remains the same, but resource quality, climate, scale, interfaces and safety constraints must be recalculated for each deployment.</x:v>
      </x:c>
      <x:c r="I396" s="2" t="str">
        <x:v>Primarily hard, with a soft component</x:v>
      </x:c>
      <x:c r="J396" s="2" t="str">
        <x:v>Water recycling and reclamation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396" s="2" t="str">
        <x:v>Equipment and operation</x:v>
      </x:c>
      <x:c r="L396" s="2" t="str">
        <x:v>Water recycling and reclamation is embodied mainly as an equipment-and-operation system. The deliverable is accepted only when measurable service, quality, safety and climate-performance criteria are met under real conditions.</x:v>
      </x:c>
      <x:c r="M396" s="2" t="str">
        <x:v>Yes, subject to life-cycle safeguards</x:v>
      </x:c>
      <x:c r="N396" s="2" t="str">
        <x:v>Water recycling and reclamation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396" s="2" t="str">
        <x:v>Water recycling and reclamation: corridor and station infrastructure, signalling, ticketing, communications, fleet equipment, traffic sensors and user interfaces as applicable.</x:v>
      </x:c>
      <x:c r="P396" s="2" t="str">
        <x:v>Water recycling and reclamation: network and timetable design, demand models, traffic control, fleet dispatch, logistics optimisation, safety analysis and service-performance analytics.</x:v>
      </x:c>
      <x:c r="Q396" s="2" t="str">
        <x:v>Water recycling and reclamation: transport authority mandates, operating contracts, tariffs, enforcement, street-space allocation, accessibility rules and coordination with land-use planning.</x:v>
      </x:c>
      <x:c r="R396" s="2" t="str">
        <x:v>Water recycling and reclamation: rights-of-way, stops or terminals, depots, interchanges, control centres, communications and safe pedestrian or cycling access.</x:v>
      </x:c>
      <x:c r="S396" s="2" t="str">
        <x:v>Water recycling and reclamation: electricity for control and stations plus the energy used by the affected vehicle fleet; the net result is governed by modal shift and occupancy.</x:v>
      </x:c>
      <x:c r="T396" s="2" t="str">
        <x:v>Water recycling and reclamation: concrete, steel, asphalt, copper, signalling electronics, pavement materials and vehicle-related materials where new infrastructure is built.</x:v>
      </x:c>
      <x:c r="U396" s="2" t="str">
        <x:v>Water recycling and reclamation: signal modules, communications equipment, validators, sensors, pavement components, station equipment and fleet consumables.</x:v>
      </x:c>
      <x:c r="V396" s="2" t="str">
        <x:v>https://www.ctc-n.org/sites/default/files/resources/ctcn_taxonomy_0.pdf</x:v>
      </x:c>
      <x:c r="W396" s="2" t="str">
        <x:v>https://institutoagricoladepueblobello.edu.co/colegiapp/archivostemas/GUIA%209.%5B25%5D.pdf</x:v>
      </x:c>
      <x:c r="X396" s="2" t="str">
        <x:v>https://iiasa.ac.at/what-is-technology</x:v>
      </x:c>
      <x:c r="Y396" s="2" t="str">
        <x:v>https://www.unwater.org/water-facts/climate-change; https://www.ipcc.ch/report/ar6/wg3/chapter/chapter-10/; https://ppp.worldbank.org/print/pdf/node/7300</x:v>
      </x:c>
      <x:c r="Z396" s="2" t="str">
        <x:v>Technology-specific analytical synthesis. The CTCN hierarchy is retained; classifications and component dependencies require validation against the selected design, site and supplier documentation before investment or policy use.</x:v>
      </x:c>
      <x:c r="AA396" s="2" t="str">
        <x:v>Physical deployment of Water recycling and reclamation requires rights-of-way, stops or terminals, depots, interchanges, control centres, communications and safe pedestrian or cycling access; interfaces, foundations, access and environmental protection are sized to the specific resource and design load.</x:v>
      </x:c>
      <x:c r="AB396" s="2" t="str">
        <x:v>For Water recycling and reclamation,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396" s="2" t="str">
        <x:v>Construction and operation use concrete, steel, asphalt, copper, signalling electronics, pavement materials and vehicle-related materials where new infrastructure is built. For Water recycling and reclamation, specifications must include durability, compatibility, recycled content and recoverability.</x:v>
      </x:c>
      <x:c r="AD396" s="2" t="str">
        <x:v>Maintenance of Water recycling and reclamation depends on signal modules, communications equipment, validators, sensors, pavement components, station equipment and fleet consumables; critical spares are selected from failure-mode, lead-time and safety analysis for its installed configuration.</x:v>
      </x:c>
      <x:c r="AE396" s="2" t="str">
        <x:v>The software stack for Water recycling and reclamation requires databases, secure communications, version-controlled models, computing, backup and interfaces with field or operational systems.</x:v>
      </x:c>
      <x:c r="AF396" s="2" t="str">
        <x:v>For Water recycling and reclamation, software-related energy is electricity for sensing, computing, storage, communication and cooling; it is normally secondary but must be included for data-intensive or continuous services.</x:v>
      </x:c>
      <x:c r="AG396" s="2" t="str">
        <x:v>The non-physical inputs are calibrated data, metadata, algorithms, boundary conditions, emission or hazard factors, manuals and validation records specific to Water recycling and reclamation.</x:v>
      </x:c>
      <x:c r="AH396" s="2" t="str">
        <x:v>Software continuity for Water recycling and reclamation requires licences where applicable, updates, cybersecurity patches, backups, calibration files, model validation and technical support.</x:v>
      </x:c>
      <x:c r="AI396" s="2" t="str">
        <x:v>Orgware depends on the institutions, laboratories, training providers, regulators, operators and community interfaces needed to govern Water recycling and reclamation.</x:v>
      </x:c>
      <x:c r="AJ396" s="2" t="str">
        <x:v>The orgware supporting Water recycling and reclamation has mainly indirect energy use from offices, meetings, training and information systems; travel and field supervision may be material at dispersed sites.</x:v>
      </x:c>
      <x:c r="AK396" s="2" t="str">
        <x:v>Its organisational inputs are permits, budgets, trained staff, competence records, contracts, procedures, safeguards, monitoring evidence and stakeholder agreements tailored to Water recycling and reclamation.</x:v>
      </x:c>
      <x:c r="AL396" s="2" t="str">
        <x:v>Sustained implementation of Water recycling and reclamation requires procurement and service contracts, audit protocols, training material, reporting templates, insurance or guarantees and periodic independent review.</x:v>
      </x:c>
      <x:c r="AM396" s="2" t="str">
        <x:v>Iron ore / steel inputs</x:v>
      </x:c>
      <x:c r="AN396" s="2" t="str">
        <x:v>Australia; Brazil; China</x:v>
      </x:c>
      <x:c r="AO396" s="2" t="str">
        <x:v>China; India; Japan</x:v>
      </x:c>
      <x:c r="AP396" s="2" t="str">
        <x:v>Water recycling and reclamation: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6" s="2" t="str">
        <x:v>2024–2025</x:v>
      </x:c>
      <x:c r="AR396" s="2" t="str">
        <x:v>https://pubs.usgs.gov/periodicals/mcs2026/mcs2026.pdf</x:v>
      </x:c>
    </x:row>
    <x:row r="397" ht="240" customHeight="1">
      <x:c r="A397" s="2" t="str">
        <x:v>ADP-0127</x:v>
      </x:c>
      <x:c r="B397" s="2" t="str">
        <x:v>Adaptation</x:v>
      </x:c>
      <x:c r="C397" s="2" t="str">
        <x:v>Water</x:v>
      </x:c>
      <x:c r="D397" s="2" t="str">
        <x:v>Use of alternative water sources</x:v>
      </x:c>
      <x:c r="E397" s="2" t="str">
        <x:v>Fog harvesting</x:v>
      </x:c>
      <x:c r="F397" s="2" t="str">
        <x:v>Fog harvesting is a adaptation technology in the Water sector and the Use of alternative water sources technology group. It is defined as a combined hardware–software–orgware system that manages water quantity, quality, timing or exposure through demand reduction, capture, storage, treatment, allocation, hydraulic protection and ecosystem functions. Fog harvesting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97" s="2" t="str">
        <x:v>Mixed: adaptable design, site-specific implementation</x:v>
      </x:c>
      <x:c r="H397" s="2" t="str">
        <x:v>Fog harvesting is adaptable in capacity and configuration but site-specific in final engineering. Its principle remains the same, but resource quality, climate, scale, interfaces and safety constraints must be recalculated for each deployment.</x:v>
      </x:c>
      <x:c r="I397" s="2" t="str">
        <x:v>Primarily hard, with a soft component</x:v>
      </x:c>
      <x:c r="J397" s="2" t="str">
        <x:v>Fog harvesting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97" s="2" t="str">
        <x:v>Equipment and operation</x:v>
      </x:c>
      <x:c r="L397" s="2" t="str">
        <x:v>Fog harvesting is embodied mainly as an equipment-and-operation system. The deliverable is accepted only when measurable service, quality, safety and climate-performance criteria are met under real conditions.</x:v>
      </x:c>
      <x:c r="M397" s="2" t="str">
        <x:v>Yes, subject to life-cycle safeguards</x:v>
      </x:c>
      <x:c r="N397" s="2" t="str">
        <x:v>Fog harvesting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97" s="2" t="str">
        <x:v>Fog harvesting: intakes, pipes, pumps, meters, valves, tanks, treatment units, drainage or flood structures, monitoring stations and nature-based elements as applicable.</x:v>
      </x:c>
      <x:c r="P397" s="2" t="str">
        <x:v>Fog harvesting: water balance, hydraulic and hydrological modelling, demand forecasting, water-quality analysis, asset management, drought or flood rules and decision support.</x:v>
      </x:c>
      <x:c r="Q397" s="2" t="str">
        <x:v>Fog harvesting: water rights and permits, utility responsibilities, basin governance, service standards, emergency protocols, tariffs, maintenance funding and stakeholder agreements.</x:v>
      </x:c>
      <x:c r="R397" s="2" t="str">
        <x:v>Fog harvesting: catchment or coast, treatment and storage sites, conveyance and drainage network, power supply, laboratory, control room and safe access.</x:v>
      </x:c>
      <x:c r="S397" s="2" t="str">
        <x:v>Fog harvesting: electricity or fuel for pumping, aeration, desalination, treatment and controls; gravity and ecosystem processes can reduce auxiliary demand.</x:v>
      </x:c>
      <x:c r="T397" s="2" t="str">
        <x:v>Fog harvesting: concrete, steel, ductile iron or polymers, filter media, membranes, treatment chemicals, geotextiles, soil, rock and vegetation according to the measure.</x:v>
      </x:c>
      <x:c r="U397" s="2" t="str">
        <x:v>Fog harvesting: pump and valve parts, seals, meters, sensors, membranes, lamps, filter media, dosing equipment, reagents and erosion-control materials.</x:v>
      </x:c>
      <x:c r="V397" s="2" t="str">
        <x:v>https://www.ctc-n.org/sites/default/files/resources/ctcn_taxonomy_0.pdf</x:v>
      </x:c>
      <x:c r="W397" s="2" t="str">
        <x:v>https://institutoagricoladepueblobello.edu.co/colegiapp/archivostemas/GUIA%209.%5B25%5D.pdf</x:v>
      </x:c>
      <x:c r="X397" s="2" t="str">
        <x:v>https://iiasa.ac.at/what-is-technology</x:v>
      </x:c>
      <x:c r="Y397" s="2" t="str">
        <x:v>https://www.unwater.org/water-facts/climate-change</x:v>
      </x:c>
      <x:c r="Z397" s="2" t="str">
        <x:v>Technology-specific analytical synthesis. The CTCN hierarchy is retained; classifications and component dependencies require validation against the selected design, site and supplier documentation before investment or policy use.</x:v>
      </x:c>
      <x:c r="AA397" s="2" t="str">
        <x:v>Physical deployment of Fog harvesting requires catchment or coast, treatment and storage sites, conveyance and drainage network, power supply, laboratory, control room and safe access; interfaces, foundations, access and environmental protection are sized to the specific resource and design load.</x:v>
      </x:c>
      <x:c r="AB397" s="2" t="str">
        <x:v>For Fog harvesting,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97" s="2" t="str">
        <x:v>Construction and operation use concrete, steel, ductile iron or polymers, filter media, membranes, treatment chemicals, geotextiles, soil, rock and vegetation according to the measure. For Fog harvesting, specifications must include durability, compatibility, recycled content and recoverability.</x:v>
      </x:c>
      <x:c r="AD397" s="2" t="str">
        <x:v>Maintenance of Fog harvesting depends on pump and valve parts, seals, meters, sensors, membranes, lamps, filter media, dosing equipment, reagents and erosion-control materials; critical spares are selected from failure-mode, lead-time and safety analysis for its installed configuration.</x:v>
      </x:c>
      <x:c r="AE397" s="2" t="str">
        <x:v>The software stack for Fog harvesting requires databases, secure communications, version-controlled models, computing, backup and interfaces with field or operational systems.</x:v>
      </x:c>
      <x:c r="AF397" s="2" t="str">
        <x:v>For Fog harvesting, software-related energy is electricity for sensing, computing, storage, communication and cooling; it is normally secondary but must be included for data-intensive or continuous services.</x:v>
      </x:c>
      <x:c r="AG397" s="2" t="str">
        <x:v>The non-physical inputs are calibrated data, metadata, algorithms, boundary conditions, emission or hazard factors, manuals and validation records specific to Fog harvesting.</x:v>
      </x:c>
      <x:c r="AH397" s="2" t="str">
        <x:v>Software continuity for Fog harvesting requires licences where applicable, updates, cybersecurity patches, backups, calibration files, model validation and technical support.</x:v>
      </x:c>
      <x:c r="AI397" s="2" t="str">
        <x:v>Orgware depends on the institutions, laboratories, training providers, regulators, operators and community interfaces needed to govern Fog harvesting.</x:v>
      </x:c>
      <x:c r="AJ397" s="2" t="str">
        <x:v>The orgware supporting Fog harvesting has mainly indirect energy use from offices, meetings, training and information systems; travel and field supervision may be material at dispersed sites.</x:v>
      </x:c>
      <x:c r="AK397" s="2" t="str">
        <x:v>Its organisational inputs are permits, budgets, trained staff, competence records, contracts, procedures, safeguards, monitoring evidence and stakeholder agreements tailored to Fog harvesting.</x:v>
      </x:c>
      <x:c r="AL397" s="2" t="str">
        <x:v>Sustained implementation of Fog harvesting requires procurement and service contracts, audit protocols, training material, reporting templates, insurance or guarantees and periodic independent review.</x:v>
      </x:c>
      <x:c r="AM397" s="2" t="str">
        <x:v>Iron ore / steel inputs</x:v>
      </x:c>
      <x:c r="AN397" s="2" t="str">
        <x:v>Australia; Brazil; China</x:v>
      </x:c>
      <x:c r="AO397" s="2" t="str">
        <x:v>China; India; Japan</x:v>
      </x:c>
      <x:c r="AP397" s="2" t="str">
        <x:v>Fog harvesting: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7" s="2" t="str">
        <x:v>2024–2025</x:v>
      </x:c>
      <x:c r="AR397" s="2" t="str">
        <x:v>https://pubs.usgs.gov/periodicals/mcs2026/mcs2026.pdf</x:v>
      </x:c>
    </x:row>
    <x:row r="398" ht="240" customHeight="1">
      <x:c r="A398" s="2" t="str">
        <x:v>ADP-0128</x:v>
      </x:c>
      <x:c r="B398" s="2" t="str">
        <x:v>Adaptation</x:v>
      </x:c>
      <x:c r="C398" s="2" t="str">
        <x:v>Water</x:v>
      </x:c>
      <x:c r="D398" s="2" t="str">
        <x:v>Integrated planning</x:v>
      </x:c>
      <x:c r="E398" s="2" t="str">
        <x:v>Basin level planning</x:v>
      </x:c>
      <x:c r="F398" s="2" t="str">
        <x:v>Basin level planning is a adaptation technology in the Water sector and the Integrated planning technology group. It is defined as a combined hardware–software–orgware system that manages water quantity, quality, timing or exposure through demand reduction, capture, storage, treatment, allocation, hydraulic protection and ecosystem functions. Basin level planning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98" s="2" t="str">
        <x:v>Flexible</x:v>
      </x:c>
      <x:c r="H398" s="2" t="str">
        <x:v>Basin level planning is transferable through configurable methods, rules and operating parameters. Its principle remains the same, but resource quality, climate, scale, interfaces and safety constraints must be recalculated for each deployment.</x:v>
      </x:c>
      <x:c r="I398" s="2" t="str">
        <x:v>Hard and soft</x:v>
      </x:c>
      <x:c r="J398" s="2" t="str">
        <x:v>Basin level planning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98" s="2" t="str">
        <x:v>Operation and information service</x:v>
      </x:c>
      <x:c r="L398" s="2" t="str">
        <x:v>Basin level planning is embodied mainly as an information and decision service. The deliverable is accepted only when measurable service, quality, safety and climate-performance criteria are met under real conditions.</x:v>
      </x:c>
      <x:c r="M398" s="2" t="str">
        <x:v>Yes, subject to life-cycle safeguards</x:v>
      </x:c>
      <x:c r="N398" s="2" t="str">
        <x:v>Basin level planning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98" s="2" t="str">
        <x:v>Basin level planning: intakes, pipes, pumps, meters, valves, tanks, treatment units, drainage or flood structures, monitoring stations and nature-based elements as applicable.</x:v>
      </x:c>
      <x:c r="P398" s="2" t="str">
        <x:v>Basin level planning: water balance, hydraulic and hydrological modelling, demand forecasting, water-quality analysis, asset management, drought or flood rules and decision support.</x:v>
      </x:c>
      <x:c r="Q398" s="2" t="str">
        <x:v>Basin level planning: water rights and permits, utility responsibilities, basin governance, service standards, emergency protocols, tariffs, maintenance funding and stakeholder agreements.</x:v>
      </x:c>
      <x:c r="R398" s="2" t="str">
        <x:v>Basin level planning: catchment or coast, treatment and storage sites, conveyance and drainage network, power supply, laboratory, control room and safe access.</x:v>
      </x:c>
      <x:c r="S398" s="2" t="str">
        <x:v>Basin level planning: electricity or fuel for pumping, aeration, desalination, treatment and controls; gravity and ecosystem processes can reduce auxiliary demand.</x:v>
      </x:c>
      <x:c r="T398" s="2" t="str">
        <x:v>Basin level planning: concrete, steel, ductile iron or polymers, filter media, membranes, treatment chemicals, geotextiles, soil, rock and vegetation according to the measure.</x:v>
      </x:c>
      <x:c r="U398" s="2" t="str">
        <x:v>Basin level planning: pump and valve parts, seals, meters, sensors, membranes, lamps, filter media, dosing equipment, reagents and erosion-control materials.</x:v>
      </x:c>
      <x:c r="V398" s="2" t="str">
        <x:v>https://www.ctc-n.org/sites/default/files/resources/ctcn_taxonomy_0.pdf</x:v>
      </x:c>
      <x:c r="W398" s="2" t="str">
        <x:v>https://institutoagricoladepueblobello.edu.co/colegiapp/archivostemas/GUIA%209.%5B25%5D.pdf</x:v>
      </x:c>
      <x:c r="X398" s="2" t="str">
        <x:v>https://iiasa.ac.at/what-is-technology</x:v>
      </x:c>
      <x:c r="Y398" s="2" t="str">
        <x:v>https://www.unwater.org/water-facts/climate-change</x:v>
      </x:c>
      <x:c r="Z398" s="2" t="str">
        <x:v>Technology-specific analytical synthesis. The CTCN hierarchy is retained; classifications and component dependencies require validation against the selected design, site and supplier documentation before investment or policy use.</x:v>
      </x:c>
      <x:c r="AA398" s="2" t="str">
        <x:v>Physical deployment of Basin level planning requires catchment or coast, treatment and storage sites, conveyance and drainage network, power supply, laboratory, control room and safe access; interfaces, foundations, access and environmental protection are sized to the specific resource and design load.</x:v>
      </x:c>
      <x:c r="AB398" s="2" t="str">
        <x:v>For Basin level planning,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98" s="2" t="str">
        <x:v>Construction and operation use concrete, steel, ductile iron or polymers, filter media, membranes, treatment chemicals, geotextiles, soil, rock and vegetation according to the measure. For Basin level planning, specifications must include durability, compatibility, recycled content and recoverability.</x:v>
      </x:c>
      <x:c r="AD398" s="2" t="str">
        <x:v>Maintenance of Basin level planning depends on pump and valve parts, seals, meters, sensors, membranes, lamps, filter media, dosing equipment, reagents and erosion-control materials; critical spares are selected from failure-mode, lead-time and safety analysis for its installed configuration.</x:v>
      </x:c>
      <x:c r="AE398" s="2" t="str">
        <x:v>The software stack for Basin level planning requires databases, secure communications, version-controlled models, computing, backup and interfaces with field or operational systems.</x:v>
      </x:c>
      <x:c r="AF398" s="2" t="str">
        <x:v>For Basin level planning, software-related energy is electricity for sensing, computing, storage, communication and cooling; it is normally secondary but must be included for data-intensive or continuous services.</x:v>
      </x:c>
      <x:c r="AG398" s="2" t="str">
        <x:v>The non-physical inputs are calibrated data, metadata, algorithms, boundary conditions, emission or hazard factors, manuals and validation records specific to Basin level planning.</x:v>
      </x:c>
      <x:c r="AH398" s="2" t="str">
        <x:v>Software continuity for Basin level planning requires licences where applicable, updates, cybersecurity patches, backups, calibration files, model validation and technical support.</x:v>
      </x:c>
      <x:c r="AI398" s="2" t="str">
        <x:v>Orgware depends on the institutions, laboratories, training providers, regulators, operators and community interfaces needed to govern Basin level planning.</x:v>
      </x:c>
      <x:c r="AJ398" s="2" t="str">
        <x:v>The orgware supporting Basin level planning has mainly indirect energy use from offices, meetings, training and information systems; travel and field supervision may be material at dispersed sites.</x:v>
      </x:c>
      <x:c r="AK398" s="2" t="str">
        <x:v>Its organisational inputs are permits, budgets, trained staff, competence records, contracts, procedures, safeguards, monitoring evidence and stakeholder agreements tailored to Basin level planning.</x:v>
      </x:c>
      <x:c r="AL398" s="2" t="str">
        <x:v>Sustained implementation of Basin level planning requires procurement and service contracts, audit protocols, training material, reporting templates, insurance or guarantees and periodic independent review.</x:v>
      </x:c>
      <x:c r="AM398" s="2" t="str">
        <x:v>No critical or strategic raw material is identifiable at taxonomy level; site-specific bulk materials may still be required.</x:v>
      </x:c>
      <x:c r="AN398" s="2" t="str"/>
      <x:c r="AO398" s="2" t="str"/>
      <x:c r="AP398" s="2" t="str">
        <x:v>Basin level planning: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8" s="2" t="str">
        <x:v>2024–2025</x:v>
      </x:c>
      <x:c r="AR398" s="2" t="str">
        <x:v>https://pubs.usgs.gov/periodicals/mcs2026/mcs2026.pdf</x:v>
      </x:c>
    </x:row>
    <x:row r="399" ht="240" customHeight="1">
      <x:c r="A399" s="2" t="str">
        <x:v>ADP-0129</x:v>
      </x:c>
      <x:c r="B399" s="2" t="str">
        <x:v>Adaptation</x:v>
      </x:c>
      <x:c r="C399" s="2" t="str">
        <x:v>Water</x:v>
      </x:c>
      <x:c r="D399" s="2" t="str">
        <x:v>Integrated planning</x:v>
      </x:c>
      <x:c r="E399" s="2" t="str">
        <x:v>Integrated Water Resources Management</x:v>
      </x:c>
      <x:c r="F399" s="2" t="str">
        <x:v>Integrated Water Resources Management is a adaptation technology in the Water sector and the Integrated planning technology group. It is defined as a combined hardware–software–orgware system that manages water quantity, quality, timing or exposure through demand reduction, capture, storage, treatment, allocation, hydraulic protection and ecosystem functions. Integrated Water Resources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399" s="2" t="str">
        <x:v>Flexible</x:v>
      </x:c>
      <x:c r="H399" s="2" t="str">
        <x:v>Integrated Water Resources Management is transferable through configurable methods, rules and operating parameters. Its principle remains the same, but resource quality, climate, scale, interfaces and safety constraints must be recalculated for each deployment.</x:v>
      </x:c>
      <x:c r="I399" s="2" t="str">
        <x:v>Hard and soft</x:v>
      </x:c>
      <x:c r="J399" s="2" t="str">
        <x:v>Integrated Water Resources Management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399" s="2" t="str">
        <x:v>Operation and information service</x:v>
      </x:c>
      <x:c r="L399" s="2" t="str">
        <x:v>Integrated Water Resources Management is embodied mainly as an information and decision service. The deliverable is accepted only when measurable service, quality, safety and climate-performance criteria are met under real conditions.</x:v>
      </x:c>
      <x:c r="M399" s="2" t="str">
        <x:v>Yes, subject to life-cycle safeguards</x:v>
      </x:c>
      <x:c r="N399" s="2" t="str">
        <x:v>Integrated Water Resources Management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399" s="2" t="str">
        <x:v>Integrated Water Resources Management: intakes, pipes, pumps, meters, valves, tanks, treatment units, drainage or flood structures, monitoring stations and nature-based elements as applicable.</x:v>
      </x:c>
      <x:c r="P399" s="2" t="str">
        <x:v>Integrated Water Resources Management: water balance, hydraulic and hydrological modelling, demand forecasting, water-quality analysis, asset management, drought or flood rules and decision support.</x:v>
      </x:c>
      <x:c r="Q399" s="2" t="str">
        <x:v>Integrated Water Resources Management: water rights and permits, utility responsibilities, basin governance, service standards, emergency protocols, tariffs, maintenance funding and stakeholder agreements.</x:v>
      </x:c>
      <x:c r="R399" s="2" t="str">
        <x:v>Integrated Water Resources Management: catchment or coast, treatment and storage sites, conveyance and drainage network, power supply, laboratory, control room and safe access.</x:v>
      </x:c>
      <x:c r="S399" s="2" t="str">
        <x:v>Integrated Water Resources Management: electricity or fuel for pumping, aeration, desalination, treatment and controls; gravity and ecosystem processes can reduce auxiliary demand.</x:v>
      </x:c>
      <x:c r="T399" s="2" t="str">
        <x:v>Integrated Water Resources Management: concrete, steel, ductile iron or polymers, filter media, membranes, treatment chemicals, geotextiles, soil, rock and vegetation according to the measure.</x:v>
      </x:c>
      <x:c r="U399" s="2" t="str">
        <x:v>Integrated Water Resources Management: pump and valve parts, seals, meters, sensors, membranes, lamps, filter media, dosing equipment, reagents and erosion-control materials.</x:v>
      </x:c>
      <x:c r="V399" s="2" t="str">
        <x:v>https://www.ctc-n.org/sites/default/files/resources/ctcn_taxonomy_0.pdf</x:v>
      </x:c>
      <x:c r="W399" s="2" t="str">
        <x:v>https://institutoagricoladepueblobello.edu.co/colegiapp/archivostemas/GUIA%209.%5B25%5D.pdf</x:v>
      </x:c>
      <x:c r="X399" s="2" t="str">
        <x:v>https://iiasa.ac.at/what-is-technology</x:v>
      </x:c>
      <x:c r="Y399" s="2" t="str">
        <x:v>https://www.unwater.org/water-facts/climate-change</x:v>
      </x:c>
      <x:c r="Z399" s="2" t="str">
        <x:v>Technology-specific analytical synthesis. The CTCN hierarchy is retained; classifications and component dependencies require validation against the selected design, site and supplier documentation before investment or policy use.</x:v>
      </x:c>
      <x:c r="AA399" s="2" t="str">
        <x:v>Physical deployment of Integrated Water Resources Management requires catchment or coast, treatment and storage sites, conveyance and drainage network, power supply, laboratory, control room and safe access; interfaces, foundations, access and environmental protection are sized to the specific resource and design load.</x:v>
      </x:c>
      <x:c r="AB399" s="2" t="str">
        <x:v>For Integrated Water Resources Management,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399" s="2" t="str">
        <x:v>Construction and operation use concrete, steel, ductile iron or polymers, filter media, membranes, treatment chemicals, geotextiles, soil, rock and vegetation according to the measure. For Integrated Water Resources Management, specifications must include durability, compatibility, recycled content and recoverability.</x:v>
      </x:c>
      <x:c r="AD399" s="2" t="str">
        <x:v>Maintenance of Integrated Water Resources Management depends on pump and valve parts, seals, meters, sensors, membranes, lamps, filter media, dosing equipment, reagents and erosion-control materials; critical spares are selected from failure-mode, lead-time and safety analysis for its installed configuration.</x:v>
      </x:c>
      <x:c r="AE399" s="2" t="str">
        <x:v>The software stack for Integrated Water Resources Management requires databases, secure communications, version-controlled models, computing, backup and interfaces with field or operational systems.</x:v>
      </x:c>
      <x:c r="AF399" s="2" t="str">
        <x:v>For Integrated Water Resources Management, software-related energy is electricity for sensing, computing, storage, communication and cooling; it is normally secondary but must be included for data-intensive or continuous services.</x:v>
      </x:c>
      <x:c r="AG399" s="2" t="str">
        <x:v>The non-physical inputs are calibrated data, metadata, algorithms, boundary conditions, emission or hazard factors, manuals and validation records specific to Integrated Water Resources Management.</x:v>
      </x:c>
      <x:c r="AH399" s="2" t="str">
        <x:v>Software continuity for Integrated Water Resources Management requires licences where applicable, updates, cybersecurity patches, backups, calibration files, model validation and technical support.</x:v>
      </x:c>
      <x:c r="AI399" s="2" t="str">
        <x:v>Orgware depends on the institutions, laboratories, training providers, regulators, operators and community interfaces needed to govern Integrated Water Resources Management.</x:v>
      </x:c>
      <x:c r="AJ399" s="2" t="str">
        <x:v>The orgware supporting Integrated Water Resources Management has mainly indirect energy use from offices, meetings, training and information systems; travel and field supervision may be material at dispersed sites.</x:v>
      </x:c>
      <x:c r="AK399" s="2" t="str">
        <x:v>Its organisational inputs are permits, budgets, trained staff, competence records, contracts, procedures, safeguards, monitoring evidence and stakeholder agreements tailored to Integrated Water Resources Management.</x:v>
      </x:c>
      <x:c r="AL399" s="2" t="str">
        <x:v>Sustained implementation of Integrated Water Resources Management requires procurement and service contracts, audit protocols, training material, reporting templates, insurance or guarantees and periodic independent review.</x:v>
      </x:c>
      <x:c r="AM399" s="2" t="str">
        <x:v>No critical or strategic raw material is identifiable at taxonomy level; site-specific bulk materials may still be required.</x:v>
      </x:c>
      <x:c r="AN399" s="2" t="str"/>
      <x:c r="AO399" s="2" t="str"/>
      <x:c r="AP399" s="2" t="str">
        <x:v>Integrated Water Resources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9" s="2" t="str">
        <x:v>2024–2025</x:v>
      </x:c>
      <x:c r="AR399" s="2" t="str">
        <x:v>https://pubs.usgs.gov/periodicals/mcs2026/mcs2026.pdf</x:v>
      </x:c>
    </x:row>
    <x:row r="400" ht="240" customHeight="1">
      <x:c r="A400" s="2" t="str">
        <x:v>ADP-0130</x:v>
      </x:c>
      <x:c r="B400" s="2" t="str">
        <x:v>Adaptation</x:v>
      </x:c>
      <x:c r="C400" s="2" t="str">
        <x:v>Water</x:v>
      </x:c>
      <x:c r="D400" s="2" t="str">
        <x:v>Integrated planning</x:v>
      </x:c>
      <x:c r="E400" s="2" t="str">
        <x:v>Hydrological modelling</x:v>
      </x:c>
      <x:c r="F400" s="2" t="str">
        <x:v>Hydrological modelling is a adaptation technology in the Water sector and the Integrated planning technology group. It is defined as a combined hardware–software–orgware system that converts a renewable solar, wind, water, ocean, geothermal or chemical resource into electricity, heat or mechanical work while controlling variability and conversion losses. Hydrological modelling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400" s="2" t="str">
        <x:v>Flexible</x:v>
      </x:c>
      <x:c r="H400" s="2" t="str">
        <x:v>Hydrological modelling is transferable through configurable methods, rules and operating parameters. Its principle remains the same, but resource quality, climate, scale, interfaces and safety constraints must be recalculated for each deployment.</x:v>
      </x:c>
      <x:c r="I400" s="2" t="str">
        <x:v>Hard and soft</x:v>
      </x:c>
      <x:c r="J400" s="2" t="str">
        <x:v>Hydrological modelling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400" s="2" t="str">
        <x:v>Operation and information service</x:v>
      </x:c>
      <x:c r="L400" s="2" t="str">
        <x:v>Hydrological modelling is embodied mainly as an information and decision service. The deliverable is accepted only when measurable service, quality, safety and climate-performance criteria are met under real conditions.</x:v>
      </x:c>
      <x:c r="M400" s="2" t="str">
        <x:v>Yes, subject to life-cycle safeguards</x:v>
      </x:c>
      <x:c r="N400" s="2" t="str">
        <x:v>Hydrological modelling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400" s="2" t="str">
        <x:v>Hydrological modelling: resource collector or prime mover, generator or heat exchanger, support structure, power conversion, protection, metering and connection equipment.</x:v>
      </x:c>
      <x:c r="P400" s="2" t="str">
        <x:v>Hydrological modelling: resource assessment, energy-yield modelling, forecasting, maximum-power or process control, dispatch, condition monitoring and maintenance planning.</x:v>
      </x:c>
      <x:c r="Q400" s="2" t="str">
        <x:v>Hydrological modelling: resource and land or sea rights, environmental licensing, grid code, safety, community participation, revenue contract and decommissioning plan.</x:v>
      </x:c>
      <x:c r="R400" s="2" t="str">
        <x:v>Hydrological modelling: foundations, access, electrical or thermal network, substation, control and communications, drainage and construction or marine logistics.</x:v>
      </x:c>
      <x:c r="S400" s="2" t="str">
        <x:v>Hydrological modelling: the renewable resource is the primary input; auxiliary electricity, start-up fuel, pumping or thermal energy may be required depending on the design.</x:v>
      </x:c>
      <x:c r="T400" s="2" t="str">
        <x:v>Hydrological modelling: steel, concrete, copper, aluminium, polymers, glass and technology-specific materials such as silicon, magnets, coatings, catalysts or working fluids.</x:v>
      </x:c>
      <x:c r="U400" s="2" t="str">
        <x:v>Hydrological modelling: bearings, seals, filters, lubricants, sensors, converter parts, cables, fasteners, coatings and replaceable collector or heat-exchanger components.</x:v>
      </x:c>
      <x:c r="V400" s="2" t="str">
        <x:v>https://www.ctc-n.org/sites/default/files/resources/ctcn_taxonomy_0.pdf</x:v>
      </x:c>
      <x:c r="W400" s="2" t="str">
        <x:v>https://institutoagricoladepueblobello.edu.co/colegiapp/archivostemas/GUIA%209.%5B25%5D.pdf</x:v>
      </x:c>
      <x:c r="X400" s="2" t="str">
        <x:v>https://iiasa.ac.at/what-is-technology</x:v>
      </x:c>
      <x:c r="Y400" s="2" t="str">
        <x:v>https://www.unwater.org/water-facts/climate-change; https://www.iea.org/data-and-statistics/data-tools/etp-clean-energy-technology-guide</x:v>
      </x:c>
      <x:c r="Z400" s="2" t="str">
        <x:v>Technology-specific analytical synthesis. The CTCN hierarchy is retained; classifications and component dependencies require validation against the selected design, site and supplier documentation before investment or policy use.</x:v>
      </x:c>
      <x:c r="AA400" s="2" t="str">
        <x:v>Physical deployment of Hydrological modelling requires foundations, access, electrical or thermal network, substation, control and communications, drainage and construction or marine logistics; interfaces, foundations, access and environmental protection are sized to the specific resource and design load.</x:v>
      </x:c>
      <x:c r="AB400" s="2" t="str">
        <x:v>For Hydrological modelling,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400" s="2" t="str">
        <x:v>Construction and operation use steel, concrete, copper, aluminium, polymers, glass and technology-specific materials such as silicon, magnets, coatings, catalysts or working fluids. For Hydrological modelling, specifications must include durability, compatibility, recycled content and recoverability.</x:v>
      </x:c>
      <x:c r="AD400" s="2" t="str">
        <x:v>Maintenance of Hydrological modelling depends on bearings, seals, filters, lubricants, sensors, converter parts, cables, fasteners, coatings and replaceable collector or heat-exchanger components; critical spares are selected from failure-mode, lead-time and safety analysis for its installed configuration.</x:v>
      </x:c>
      <x:c r="AE400" s="2" t="str">
        <x:v>The software stack for Hydrological modelling requires databases, secure communications, version-controlled models, computing, backup and interfaces with field or operational systems.</x:v>
      </x:c>
      <x:c r="AF400" s="2" t="str">
        <x:v>For Hydrological modelling, software-related energy is electricity for sensing, computing, storage, communication and cooling; it is normally secondary but must be included for data-intensive or continuous services.</x:v>
      </x:c>
      <x:c r="AG400" s="2" t="str">
        <x:v>The non-physical inputs are calibrated data, metadata, algorithms, boundary conditions, emission or hazard factors, manuals and validation records specific to Hydrological modelling.</x:v>
      </x:c>
      <x:c r="AH400" s="2" t="str">
        <x:v>Software continuity for Hydrological modelling requires licences where applicable, updates, cybersecurity patches, backups, calibration files, model validation and technical support.</x:v>
      </x:c>
      <x:c r="AI400" s="2" t="str">
        <x:v>Orgware depends on the institutions, laboratories, training providers, regulators, operators and community interfaces needed to govern Hydrological modelling.</x:v>
      </x:c>
      <x:c r="AJ400" s="2" t="str">
        <x:v>The orgware supporting Hydrological modelling has mainly indirect energy use from offices, meetings, training and information systems; travel and field supervision may be material at dispersed sites.</x:v>
      </x:c>
      <x:c r="AK400" s="2" t="str">
        <x:v>Its organisational inputs are permits, budgets, trained staff, competence records, contracts, procedures, safeguards, monitoring evidence and stakeholder agreements tailored to Hydrological modelling.</x:v>
      </x:c>
      <x:c r="AL400" s="2" t="str">
        <x:v>Sustained implementation of Hydrological modelling requires procurement and service contracts, audit protocols, training material, reporting templates, insurance or guarantees and periodic independent review.</x:v>
      </x:c>
      <x:c r="AM400" s="2" t="str">
        <x:v>No critical or strategic raw material is identifiable at taxonomy level; site-specific bulk materials may still be required.</x:v>
      </x:c>
      <x:c r="AN400" s="2" t="str"/>
      <x:c r="AO400" s="2" t="str"/>
      <x:c r="AP400" s="2" t="str">
        <x:v>Hydrological modelling: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0" s="2" t="str">
        <x:v>2024–2025</x:v>
      </x:c>
      <x:c r="AR400" s="2" t="str">
        <x:v>https://pubs.usgs.gov/periodicals/mcs2026/mcs2026.pdf; https://www.iea.org/reports/global-critical-minerals-outlook-2025</x:v>
      </x:c>
    </x:row>
    <x:row r="401" ht="240" customHeight="1">
      <x:c r="A401" s="2" t="str">
        <x:v>ADP-0131</x:v>
      </x:c>
      <x:c r="B401" s="2" t="str">
        <x:v>Adaptation</x:v>
      </x:c>
      <x:c r="C401" s="2" t="str">
        <x:v>Water</x:v>
      </x:c>
      <x:c r="D401" s="2" t="str">
        <x:v>Integrated planning</x:v>
      </x:c>
      <x:c r="E401" s="2" t="str">
        <x:v>Groundwater extraction and monitoring</x:v>
      </x:c>
      <x:c r="F401" s="2" t="str">
        <x:v>Groundwater extraction and monitoring is a adaptation technology in the Water sector and the Integrated planning technology group. It is defined as a combined hardware–software–orgware system that manages water quantity, quality, timing or exposure through demand reduction, capture, storage, treatment, allocation, hydraulic protection and ecosystem functions. Groundwater extraction and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401" s="2" t="str">
        <x:v>Flexible</x:v>
      </x:c>
      <x:c r="H401" s="2" t="str">
        <x:v>Groundwater extraction and monitoring is transferable through configurable methods, rules and operating parameters. Its principle remains the same, but resource quality, climate, scale, interfaces and safety constraints must be recalculated for each deployment.</x:v>
      </x:c>
      <x:c r="I401" s="2" t="str">
        <x:v>Hard and soft</x:v>
      </x:c>
      <x:c r="J401" s="2" t="str">
        <x:v>Groundwater extraction and monitoring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401" s="2" t="str">
        <x:v>Operation and information service</x:v>
      </x:c>
      <x:c r="L401" s="2" t="str">
        <x:v>Groundwater extraction and monitoring is embodied mainly as an information and decision service. The deliverable is accepted only when measurable service, quality, safety and climate-performance criteria are met under real conditions.</x:v>
      </x:c>
      <x:c r="M401" s="2" t="str">
        <x:v>Yes, subject to life-cycle safeguards</x:v>
      </x:c>
      <x:c r="N401" s="2" t="str">
        <x:v>Groundwater extraction and monitoring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401" s="2" t="str">
        <x:v>Groundwater extraction and monitoring: intakes, pipes, pumps, meters, valves, tanks, treatment units, drainage or flood structures, monitoring stations and nature-based elements as applicable.</x:v>
      </x:c>
      <x:c r="P401" s="2" t="str">
        <x:v>Groundwater extraction and monitoring: water balance, hydraulic and hydrological modelling, demand forecasting, water-quality analysis, asset management, drought or flood rules and decision support.</x:v>
      </x:c>
      <x:c r="Q401" s="2" t="str">
        <x:v>Groundwater extraction and monitoring: water rights and permits, utility responsibilities, basin governance, service standards, emergency protocols, tariffs, maintenance funding and stakeholder agreements.</x:v>
      </x:c>
      <x:c r="R401" s="2" t="str">
        <x:v>Groundwater extraction and monitoring: catchment or coast, treatment and storage sites, conveyance and drainage network, power supply, laboratory, control room and safe access.</x:v>
      </x:c>
      <x:c r="S401" s="2" t="str">
        <x:v>Groundwater extraction and monitoring: electricity or fuel for pumping, aeration, desalination, treatment and controls; gravity and ecosystem processes can reduce auxiliary demand.</x:v>
      </x:c>
      <x:c r="T401" s="2" t="str">
        <x:v>Groundwater extraction and monitoring: concrete, steel, ductile iron or polymers, filter media, membranes, treatment chemicals, geotextiles, soil, rock and vegetation according to the measure.</x:v>
      </x:c>
      <x:c r="U401" s="2" t="str">
        <x:v>Groundwater extraction and monitoring: pump and valve parts, seals, meters, sensors, membranes, lamps, filter media, dosing equipment, reagents and erosion-control materials.</x:v>
      </x:c>
      <x:c r="V401" s="2" t="str">
        <x:v>https://www.ctc-n.org/sites/default/files/resources/ctcn_taxonomy_0.pdf</x:v>
      </x:c>
      <x:c r="W401" s="2" t="str">
        <x:v>https://institutoagricoladepueblobello.edu.co/colegiapp/archivostemas/GUIA%209.%5B25%5D.pdf</x:v>
      </x:c>
      <x:c r="X401" s="2" t="str">
        <x:v>https://iiasa.ac.at/what-is-technology</x:v>
      </x:c>
      <x:c r="Y401" s="2" t="str">
        <x:v>https://www.unwater.org/water-facts/climate-change</x:v>
      </x:c>
      <x:c r="Z401" s="2" t="str">
        <x:v>Technology-specific analytical synthesis. The CTCN hierarchy is retained; classifications and component dependencies require validation against the selected design, site and supplier documentation before investment or policy use.</x:v>
      </x:c>
      <x:c r="AA401" s="2" t="str">
        <x:v>Physical deployment of Groundwater extraction and monitoring requires catchment or coast, treatment and storage sites, conveyance and drainage network, power supply, laboratory, control room and safe access; interfaces, foundations, access and environmental protection are sized to the specific resource and design load.</x:v>
      </x:c>
      <x:c r="AB401" s="2" t="str">
        <x:v>For Groundwater extraction and monitoring,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401" s="2" t="str">
        <x:v>Construction and operation use concrete, steel, ductile iron or polymers, filter media, membranes, treatment chemicals, geotextiles, soil, rock and vegetation according to the measure. For Groundwater extraction and monitoring, specifications must include durability, compatibility, recycled content and recoverability.</x:v>
      </x:c>
      <x:c r="AD401" s="2" t="str">
        <x:v>Maintenance of Groundwater extraction and monitoring depends on pump and valve parts, seals, meters, sensors, membranes, lamps, filter media, dosing equipment, reagents and erosion-control materials; critical spares are selected from failure-mode, lead-time and safety analysis for its installed configuration.</x:v>
      </x:c>
      <x:c r="AE401" s="2" t="str">
        <x:v>The software stack for Groundwater extraction and monitoring requires databases, secure communications, version-controlled models, computing, backup and interfaces with field or operational systems.</x:v>
      </x:c>
      <x:c r="AF401" s="2" t="str">
        <x:v>For Groundwater extraction and monitoring, software-related energy is electricity for sensing, computing, storage, communication and cooling; it is normally secondary but must be included for data-intensive or continuous services.</x:v>
      </x:c>
      <x:c r="AG401" s="2" t="str">
        <x:v>The non-physical inputs are calibrated data, metadata, algorithms, boundary conditions, emission or hazard factors, manuals and validation records specific to Groundwater extraction and monitoring.</x:v>
      </x:c>
      <x:c r="AH401" s="2" t="str">
        <x:v>Software continuity for Groundwater extraction and monitoring requires licences where applicable, updates, cybersecurity patches, backups, calibration files, model validation and technical support.</x:v>
      </x:c>
      <x:c r="AI401" s="2" t="str">
        <x:v>Orgware depends on the institutions, laboratories, training providers, regulators, operators and community interfaces needed to govern Groundwater extraction and monitoring.</x:v>
      </x:c>
      <x:c r="AJ401" s="2" t="str">
        <x:v>The orgware supporting Groundwater extraction and monitoring has mainly indirect energy use from offices, meetings, training and information systems; travel and field supervision may be material at dispersed sites.</x:v>
      </x:c>
      <x:c r="AK401" s="2" t="str">
        <x:v>Its organisational inputs are permits, budgets, trained staff, competence records, contracts, procedures, safeguards, monitoring evidence and stakeholder agreements tailored to Groundwater extraction and monitoring.</x:v>
      </x:c>
      <x:c r="AL401" s="2" t="str">
        <x:v>Sustained implementation of Groundwater extraction and monitoring requires procurement and service contracts, audit protocols, training material, reporting templates, insurance or guarantees and periodic independent review.</x:v>
      </x:c>
      <x:c r="AM401" s="2" t="str">
        <x:v>Copper; Tin</x:v>
      </x:c>
      <x:c r="AN401" s="2" t="str">
        <x:v>Chile; Democratic Republic of the Congo; Peru; China; Indonesia; Myanmar</x:v>
      </x:c>
      <x:c r="AO401" s="2" t="str">
        <x:v>China; Chile; Democratic Republic of the Congo; Indonesia; Malaysia</x:v>
      </x:c>
      <x:c r="AP401" s="2" t="str">
        <x:v>Groundwater extraction and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1" s="2" t="str">
        <x:v>2024–2025</x:v>
      </x:c>
      <x:c r="AR401" s="2" t="str">
        <x:v>https://pubs.usgs.gov/periodicals/mcs2026/mcs2026.pdf</x:v>
      </x:c>
    </x:row>
    <x:row r="402" ht="240" customHeight="1">
      <x:c r="A402" s="2" t="str">
        <x:v>ADP-0132</x:v>
      </x:c>
      <x:c r="B402" s="2" t="str">
        <x:v>Adaptation</x:v>
      </x:c>
      <x:c r="C402" s="2" t="str">
        <x:v>Water</x:v>
      </x:c>
      <x:c r="D402" s="2" t="str">
        <x:v>Limiting nutrient leakage</x:v>
      </x:c>
      <x:c r="E402" s="2" t="str">
        <x:v>Riparian buffers</x:v>
      </x:c>
      <x:c r="F402" s="2" t="str">
        <x:v>Riparian buffers is a adaptation technology in the Water sector and the Limiting nutrient leakage technology group. It is defined as a combined hardware–software–orgware system that manages water quantity, quality, timing or exposure through demand reduction, capture, storage, treatment, allocation, hydraulic protection and ecosystem functions. Riparian buffers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402" s="2" t="str">
        <x:v>Mixed: adaptable design, site-specific implementation</x:v>
      </x:c>
      <x:c r="H402" s="2" t="str">
        <x:v>Riparian buffers is adaptable in capacity and configuration but site-specific in final engineering. Its principle remains the same, but resource quality, climate, scale, interfaces and safety constraints must be recalculated for each deployment.</x:v>
      </x:c>
      <x:c r="I402" s="2" t="str">
        <x:v>Primarily hard, with a soft component</x:v>
      </x:c>
      <x:c r="J402" s="2" t="str">
        <x:v>Riparian buffers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402" s="2" t="str">
        <x:v>Equipment and operation</x:v>
      </x:c>
      <x:c r="L402" s="2" t="str">
        <x:v>Riparian buffers is embodied mainly as an equipment-and-operation system. The deliverable is accepted only when measurable service, quality, safety and climate-performance criteria are met under real conditions.</x:v>
      </x:c>
      <x:c r="M402" s="2" t="str">
        <x:v>Yes, subject to life-cycle safeguards</x:v>
      </x:c>
      <x:c r="N402" s="2" t="str">
        <x:v>Riparian buffers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402" s="2" t="str">
        <x:v>Riparian buffers: intakes, pipes, pumps, meters, valves, tanks, treatment units, drainage or flood structures, monitoring stations and nature-based elements as applicable.</x:v>
      </x:c>
      <x:c r="P402" s="2" t="str">
        <x:v>Riparian buffers: water balance, hydraulic and hydrological modelling, demand forecasting, water-quality analysis, asset management, drought or flood rules and decision support.</x:v>
      </x:c>
      <x:c r="Q402" s="2" t="str">
        <x:v>Riparian buffers: water rights and permits, utility responsibilities, basin governance, service standards, emergency protocols, tariffs, maintenance funding and stakeholder agreements.</x:v>
      </x:c>
      <x:c r="R402" s="2" t="str">
        <x:v>Riparian buffers: catchment or coast, treatment and storage sites, conveyance and drainage network, power supply, laboratory, control room and safe access.</x:v>
      </x:c>
      <x:c r="S402" s="2" t="str">
        <x:v>Riparian buffers: electricity or fuel for pumping, aeration, desalination, treatment and controls; gravity and ecosystem processes can reduce auxiliary demand.</x:v>
      </x:c>
      <x:c r="T402" s="2" t="str">
        <x:v>Riparian buffers: concrete, steel, ductile iron or polymers, filter media, membranes, treatment chemicals, geotextiles, soil, rock and vegetation according to the measure.</x:v>
      </x:c>
      <x:c r="U402" s="2" t="str">
        <x:v>Riparian buffers: pump and valve parts, seals, meters, sensors, membranes, lamps, filter media, dosing equipment, reagents and erosion-control materials.</x:v>
      </x:c>
      <x:c r="V402" s="2" t="str">
        <x:v>https://www.ctc-n.org/sites/default/files/resources/ctcn_taxonomy_0.pdf</x:v>
      </x:c>
      <x:c r="W402" s="2" t="str">
        <x:v>https://institutoagricoladepueblobello.edu.co/colegiapp/archivostemas/GUIA%209.%5B25%5D.pdf</x:v>
      </x:c>
      <x:c r="X402" s="2" t="str">
        <x:v>https://iiasa.ac.at/what-is-technology</x:v>
      </x:c>
      <x:c r="Y402" s="2" t="str">
        <x:v>https://www.unwater.org/water-facts/climate-change</x:v>
      </x:c>
      <x:c r="Z402" s="2" t="str">
        <x:v>Technology-specific analytical synthesis. The CTCN hierarchy is retained; classifications and component dependencies require validation against the selected design, site and supplier documentation before investment or policy use.</x:v>
      </x:c>
      <x:c r="AA402" s="2" t="str">
        <x:v>Physical deployment of Riparian buffers requires catchment or coast, treatment and storage sites, conveyance and drainage network, power supply, laboratory, control room and safe access; interfaces, foundations, access and environmental protection are sized to the specific resource and design load.</x:v>
      </x:c>
      <x:c r="AB402" s="2" t="str">
        <x:v>For Riparian buffers,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402" s="2" t="str">
        <x:v>Construction and operation use concrete, steel, ductile iron or polymers, filter media, membranes, treatment chemicals, geotextiles, soil, rock and vegetation according to the measure. For Riparian buffers, specifications must include durability, compatibility, recycled content and recoverability.</x:v>
      </x:c>
      <x:c r="AD402" s="2" t="str">
        <x:v>Maintenance of Riparian buffers depends on pump and valve parts, seals, meters, sensors, membranes, lamps, filter media, dosing equipment, reagents and erosion-control materials; critical spares are selected from failure-mode, lead-time and safety analysis for its installed configuration.</x:v>
      </x:c>
      <x:c r="AE402" s="2" t="str">
        <x:v>The software stack for Riparian buffers requires databases, secure communications, version-controlled models, computing, backup and interfaces with field or operational systems.</x:v>
      </x:c>
      <x:c r="AF402" s="2" t="str">
        <x:v>For Riparian buffers, software-related energy is electricity for sensing, computing, storage, communication and cooling; it is normally secondary but must be included for data-intensive or continuous services.</x:v>
      </x:c>
      <x:c r="AG402" s="2" t="str">
        <x:v>The non-physical inputs are calibrated data, metadata, algorithms, boundary conditions, emission or hazard factors, manuals and validation records specific to Riparian buffers.</x:v>
      </x:c>
      <x:c r="AH402" s="2" t="str">
        <x:v>Software continuity for Riparian buffers requires licences where applicable, updates, cybersecurity patches, backups, calibration files, model validation and technical support.</x:v>
      </x:c>
      <x:c r="AI402" s="2" t="str">
        <x:v>Orgware depends on the institutions, laboratories, training providers, regulators, operators and community interfaces needed to govern Riparian buffers.</x:v>
      </x:c>
      <x:c r="AJ402" s="2" t="str">
        <x:v>The orgware supporting Riparian buffers has mainly indirect energy use from offices, meetings, training and information systems; travel and field supervision may be material at dispersed sites.</x:v>
      </x:c>
      <x:c r="AK402" s="2" t="str">
        <x:v>Its organisational inputs are permits, budgets, trained staff, competence records, contracts, procedures, safeguards, monitoring evidence and stakeholder agreements tailored to Riparian buffers.</x:v>
      </x:c>
      <x:c r="AL402" s="2" t="str">
        <x:v>Sustained implementation of Riparian buffers requires procurement and service contracts, audit protocols, training material, reporting templates, insurance or guarantees and periodic independent review.</x:v>
      </x:c>
      <x:c r="AM402" s="2" t="str">
        <x:v>Iron ore / steel inputs; Phosphate rock; Potash</x:v>
      </x:c>
      <x:c r="AN402" s="2" t="str">
        <x:v>Australia; Brazil; China; Morocco; United States; Canada; Russia; Belarus</x:v>
      </x:c>
      <x:c r="AO402" s="2" t="str">
        <x:v>China; India; Japan; Morocco; United States; Canada; Russia; Belarus</x:v>
      </x:c>
      <x:c r="AP402" s="2" t="str">
        <x:v>Riparian buffers: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2" s="2" t="str">
        <x:v>2024–2025</x:v>
      </x:c>
      <x:c r="AR402" s="2" t="str">
        <x:v>https://pubs.usgs.gov/periodicals/mcs2026/mcs2026.pdf</x:v>
      </x:c>
    </x:row>
    <x:row r="403" ht="240" customHeight="1">
      <x:c r="A403" s="2" t="str">
        <x:v>ADP-0133</x:v>
      </x:c>
      <x:c r="B403" s="2" t="str">
        <x:v>Adaptation</x:v>
      </x:c>
      <x:c r="C403" s="2" t="str">
        <x:v>Water</x:v>
      </x:c>
      <x:c r="D403" s="2" t="str">
        <x:v>Limiting nutrient leakage</x:v>
      </x:c>
      <x:c r="E403" s="2" t="str">
        <x:v>Land use limitations</x:v>
      </x:c>
      <x:c r="F403" s="2" t="str">
        <x:v>Land use limitations is a adaptation technology in the Water sector and the Limiting nutrient leakage technology group. It is defined as a combined hardware–software–orgware system that manages water quantity, quality, timing or exposure through demand reduction, capture, storage, treatment, allocation, hydraulic protection and ecosystem functions. Land use limitations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403" s="2" t="str">
        <x:v>Mixed: adaptable design, site-specific implementation</x:v>
      </x:c>
      <x:c r="H403" s="2" t="str">
        <x:v>Land use limitations is adaptable in capacity and configuration but site-specific in final engineering. Its principle remains the same, but resource quality, climate, scale, interfaces and safety constraints must be recalculated for each deployment.</x:v>
      </x:c>
      <x:c r="I403" s="2" t="str">
        <x:v>Primarily hard, with a soft component</x:v>
      </x:c>
      <x:c r="J403" s="2" t="str">
        <x:v>Land use limitations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403" s="2" t="str">
        <x:v>Equipment and operation</x:v>
      </x:c>
      <x:c r="L403" s="2" t="str">
        <x:v>Land use limitations is embodied mainly as an equipment-and-operation system. The deliverable is accepted only when measurable service, quality, safety and climate-performance criteria are met under real conditions.</x:v>
      </x:c>
      <x:c r="M403" s="2" t="str">
        <x:v>Yes, subject to life-cycle safeguards</x:v>
      </x:c>
      <x:c r="N403" s="2" t="str">
        <x:v>Land use limitations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403" s="2" t="str">
        <x:v>Land use limitations: intakes, pipes, pumps, meters, valves, tanks, treatment units, drainage or flood structures, monitoring stations and nature-based elements as applicable.</x:v>
      </x:c>
      <x:c r="P403" s="2" t="str">
        <x:v>Land use limitations: water balance, hydraulic and hydrological modelling, demand forecasting, water-quality analysis, asset management, drought or flood rules and decision support.</x:v>
      </x:c>
      <x:c r="Q403" s="2" t="str">
        <x:v>Land use limitations: water rights and permits, utility responsibilities, basin governance, service standards, emergency protocols, tariffs, maintenance funding and stakeholder agreements.</x:v>
      </x:c>
      <x:c r="R403" s="2" t="str">
        <x:v>Land use limitations: catchment or coast, treatment and storage sites, conveyance and drainage network, power supply, laboratory, control room and safe access.</x:v>
      </x:c>
      <x:c r="S403" s="2" t="str">
        <x:v>Land use limitations: electricity or fuel for pumping, aeration, desalination, treatment and controls; gravity and ecosystem processes can reduce auxiliary demand.</x:v>
      </x:c>
      <x:c r="T403" s="2" t="str">
        <x:v>Land use limitations: concrete, steel, ductile iron or polymers, filter media, membranes, treatment chemicals, geotextiles, soil, rock and vegetation according to the measure.</x:v>
      </x:c>
      <x:c r="U403" s="2" t="str">
        <x:v>Land use limitations: pump and valve parts, seals, meters, sensors, membranes, lamps, filter media, dosing equipment, reagents and erosion-control materials.</x:v>
      </x:c>
      <x:c r="V403" s="2" t="str">
        <x:v>https://www.ctc-n.org/sites/default/files/resources/ctcn_taxonomy_0.pdf</x:v>
      </x:c>
      <x:c r="W403" s="2" t="str">
        <x:v>https://institutoagricoladepueblobello.edu.co/colegiapp/archivostemas/GUIA%209.%5B25%5D.pdf</x:v>
      </x:c>
      <x:c r="X403" s="2" t="str">
        <x:v>https://iiasa.ac.at/what-is-technology</x:v>
      </x:c>
      <x:c r="Y403" s="2" t="str">
        <x:v>https://www.unwater.org/water-facts/climate-change</x:v>
      </x:c>
      <x:c r="Z403" s="2" t="str">
        <x:v>Technology-specific analytical synthesis. The CTCN hierarchy is retained; classifications and component dependencies require validation against the selected design, site and supplier documentation before investment or policy use.</x:v>
      </x:c>
      <x:c r="AA403" s="2" t="str">
        <x:v>Physical deployment of Land use limitations requires catchment or coast, treatment and storage sites, conveyance and drainage network, power supply, laboratory, control room and safe access; interfaces, foundations, access and environmental protection are sized to the specific resource and design load.</x:v>
      </x:c>
      <x:c r="AB403" s="2" t="str">
        <x:v>For Land use limitations,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403" s="2" t="str">
        <x:v>Construction and operation use concrete, steel, ductile iron or polymers, filter media, membranes, treatment chemicals, geotextiles, soil, rock and vegetation according to the measure. For Land use limitations, specifications must include durability, compatibility, recycled content and recoverability.</x:v>
      </x:c>
      <x:c r="AD403" s="2" t="str">
        <x:v>Maintenance of Land use limitations depends on pump and valve parts, seals, meters, sensors, membranes, lamps, filter media, dosing equipment, reagents and erosion-control materials; critical spares are selected from failure-mode, lead-time and safety analysis for its installed configuration.</x:v>
      </x:c>
      <x:c r="AE403" s="2" t="str">
        <x:v>The software stack for Land use limitations requires databases, secure communications, version-controlled models, computing, backup and interfaces with field or operational systems.</x:v>
      </x:c>
      <x:c r="AF403" s="2" t="str">
        <x:v>For Land use limitations, software-related energy is electricity for sensing, computing, storage, communication and cooling; it is normally secondary but must be included for data-intensive or continuous services.</x:v>
      </x:c>
      <x:c r="AG403" s="2" t="str">
        <x:v>The non-physical inputs are calibrated data, metadata, algorithms, boundary conditions, emission or hazard factors, manuals and validation records specific to Land use limitations.</x:v>
      </x:c>
      <x:c r="AH403" s="2" t="str">
        <x:v>Software continuity for Land use limitations requires licences where applicable, updates, cybersecurity patches, backups, calibration files, model validation and technical support.</x:v>
      </x:c>
      <x:c r="AI403" s="2" t="str">
        <x:v>Orgware depends on the institutions, laboratories, training providers, regulators, operators and community interfaces needed to govern Land use limitations.</x:v>
      </x:c>
      <x:c r="AJ403" s="2" t="str">
        <x:v>The orgware supporting Land use limitations has mainly indirect energy use from offices, meetings, training and information systems; travel and field supervision may be material at dispersed sites.</x:v>
      </x:c>
      <x:c r="AK403" s="2" t="str">
        <x:v>Its organisational inputs are permits, budgets, trained staff, competence records, contracts, procedures, safeguards, monitoring evidence and stakeholder agreements tailored to Land use limitations.</x:v>
      </x:c>
      <x:c r="AL403" s="2" t="str">
        <x:v>Sustained implementation of Land use limitations requires procurement and service contracts, audit protocols, training material, reporting templates, insurance or guarantees and periodic independent review.</x:v>
      </x:c>
      <x:c r="AM403" s="2" t="str">
        <x:v>Iron ore / steel inputs; Phosphate rock; Potash</x:v>
      </x:c>
      <x:c r="AN403" s="2" t="str">
        <x:v>Australia; Brazil; China; Morocco; United States; Canada; Russia; Belarus</x:v>
      </x:c>
      <x:c r="AO403" s="2" t="str">
        <x:v>China; India; Japan; Morocco; United States; Canada; Russia; Belarus</x:v>
      </x:c>
      <x:c r="AP403" s="2" t="str">
        <x:v>Land use limitations: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3" s="2" t="str">
        <x:v>2024–2025</x:v>
      </x:c>
      <x:c r="AR403" s="2" t="str">
        <x:v>https://pubs.usgs.gov/periodicals/mcs2026/mcs2026.pdf</x:v>
      </x:c>
    </x:row>
    <x:row r="404" ht="240" customHeight="1">
      <x:c r="A404" s="2" t="str">
        <x:v>ADP-0134</x:v>
      </x:c>
      <x:c r="B404" s="2" t="str">
        <x:v>Adaptation</x:v>
      </x:c>
      <x:c r="C404" s="2" t="str">
        <x:v>Water</x:v>
      </x:c>
      <x:c r="D404" s="2" t="str">
        <x:v>Limiting nutrient leakage</x:v>
      </x:c>
      <x:c r="E404" s="2" t="str">
        <x:v>Designing protected areas</x:v>
      </x:c>
      <x:c r="F404" s="2" t="str">
        <x:v>Designing protected areas is a adaptation technology in the Water sector and the Limiting nutrient leakage technology group. It is defined as a combined hardware–software–orgware system that manages water quantity, quality, timing or exposure through demand reduction, capture, storage, treatment, allocation, hydraulic protection and ecosystem functions. Designing protected areas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404" s="2" t="str">
        <x:v>Flexible</x:v>
      </x:c>
      <x:c r="H404" s="2" t="str">
        <x:v>Designing protected areas is transferable through configurable methods, rules and operating parameters. Its principle remains the same, but resource quality, climate, scale, interfaces and safety constraints must be recalculated for each deployment.</x:v>
      </x:c>
      <x:c r="I404" s="2" t="str">
        <x:v>Primarily soft, with physical support</x:v>
      </x:c>
      <x:c r="J404" s="2" t="str">
        <x:v>Designing protected areas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404" s="2" t="str">
        <x:v>Operation</x:v>
      </x:c>
      <x:c r="L404" s="2" t="str">
        <x:v>Designing protected areas is embodied mainly as an operating practice. The deliverable is accepted only when measurable service, quality, safety and climate-performance criteria are met under real conditions.</x:v>
      </x:c>
      <x:c r="M404" s="2" t="str">
        <x:v>Yes, subject to life-cycle safeguards</x:v>
      </x:c>
      <x:c r="N404" s="2" t="str">
        <x:v>Designing protected areas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404" s="2" t="str">
        <x:v>Designing protected areas: intakes, pipes, pumps, meters, valves, tanks, treatment units, drainage or flood structures, monitoring stations and nature-based elements as applicable.</x:v>
      </x:c>
      <x:c r="P404" s="2" t="str">
        <x:v>Designing protected areas: water balance, hydraulic and hydrological modelling, demand forecasting, water-quality analysis, asset management, drought or flood rules and decision support.</x:v>
      </x:c>
      <x:c r="Q404" s="2" t="str">
        <x:v>Designing protected areas: water rights and permits, utility responsibilities, basin governance, service standards, emergency protocols, tariffs, maintenance funding and stakeholder agreements.</x:v>
      </x:c>
      <x:c r="R404" s="2" t="str">
        <x:v>Designing protected areas: catchment or coast, treatment and storage sites, conveyance and drainage network, power supply, laboratory, control room and safe access.</x:v>
      </x:c>
      <x:c r="S404" s="2" t="str">
        <x:v>Designing protected areas: electricity or fuel for pumping, aeration, desalination, treatment and controls; gravity and ecosystem processes can reduce auxiliary demand.</x:v>
      </x:c>
      <x:c r="T404" s="2" t="str">
        <x:v>Designing protected areas: concrete, steel, ductile iron or polymers, filter media, membranes, treatment chemicals, geotextiles, soil, rock and vegetation according to the measure.</x:v>
      </x:c>
      <x:c r="U404" s="2" t="str">
        <x:v>Designing protected areas: pump and valve parts, seals, meters, sensors, membranes, lamps, filter media, dosing equipment, reagents and erosion-control materials.</x:v>
      </x:c>
      <x:c r="V404" s="2" t="str">
        <x:v>https://www.ctc-n.org/sites/default/files/resources/ctcn_taxonomy_0.pdf</x:v>
      </x:c>
      <x:c r="W404" s="2" t="str">
        <x:v>https://institutoagricoladepueblobello.edu.co/colegiapp/archivostemas/GUIA%209.%5B25%5D.pdf</x:v>
      </x:c>
      <x:c r="X404" s="2" t="str">
        <x:v>https://iiasa.ac.at/what-is-technology</x:v>
      </x:c>
      <x:c r="Y404" s="2" t="str">
        <x:v>https://www.unwater.org/water-facts/climate-change</x:v>
      </x:c>
      <x:c r="Z404" s="2" t="str">
        <x:v>Technology-specific analytical synthesis. The CTCN hierarchy is retained; classifications and component dependencies require validation against the selected design, site and supplier documentation before investment or policy use.</x:v>
      </x:c>
      <x:c r="AA404" s="2" t="str">
        <x:v>Physical deployment of Designing protected areas requires catchment or coast, treatment and storage sites, conveyance and drainage network, power supply, laboratory, control room and safe access; interfaces, foundations, access and environmental protection are sized to the specific resource and design load.</x:v>
      </x:c>
      <x:c r="AB404" s="2" t="str">
        <x:v>For Designing protected areas,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404" s="2" t="str">
        <x:v>Construction and operation use concrete, steel, ductile iron or polymers, filter media, membranes, treatment chemicals, geotextiles, soil, rock and vegetation according to the measure. For Designing protected areas, specifications must include durability, compatibility, recycled content and recoverability.</x:v>
      </x:c>
      <x:c r="AD404" s="2" t="str">
        <x:v>Maintenance of Designing protected areas depends on pump and valve parts, seals, meters, sensors, membranes, lamps, filter media, dosing equipment, reagents and erosion-control materials; critical spares are selected from failure-mode, lead-time and safety analysis for its installed configuration.</x:v>
      </x:c>
      <x:c r="AE404" s="2" t="str">
        <x:v>The software stack for Designing protected areas requires databases, secure communications, version-controlled models, computing, backup and interfaces with field or operational systems.</x:v>
      </x:c>
      <x:c r="AF404" s="2" t="str">
        <x:v>For Designing protected areas, software-related energy is electricity for sensing, computing, storage, communication and cooling; it is normally secondary but must be included for data-intensive or continuous services.</x:v>
      </x:c>
      <x:c r="AG404" s="2" t="str">
        <x:v>The non-physical inputs are calibrated data, metadata, algorithms, boundary conditions, emission or hazard factors, manuals and validation records specific to Designing protected areas.</x:v>
      </x:c>
      <x:c r="AH404" s="2" t="str">
        <x:v>Software continuity for Designing protected areas requires licences where applicable, updates, cybersecurity patches, backups, calibration files, model validation and technical support.</x:v>
      </x:c>
      <x:c r="AI404" s="2" t="str">
        <x:v>Orgware depends on the institutions, laboratories, training providers, regulators, operators and community interfaces needed to govern Designing protected areas.</x:v>
      </x:c>
      <x:c r="AJ404" s="2" t="str">
        <x:v>The orgware supporting Designing protected areas has mainly indirect energy use from offices, meetings, training and information systems; travel and field supervision may be material at dispersed sites.</x:v>
      </x:c>
      <x:c r="AK404" s="2" t="str">
        <x:v>Its organisational inputs are permits, budgets, trained staff, competence records, contracts, procedures, safeguards, monitoring evidence and stakeholder agreements tailored to Designing protected areas.</x:v>
      </x:c>
      <x:c r="AL404" s="2" t="str">
        <x:v>Sustained implementation of Designing protected areas requires procurement and service contracts, audit protocols, training material, reporting templates, insurance or guarantees and periodic independent review.</x:v>
      </x:c>
      <x:c r="AM404" s="2" t="str">
        <x:v>Iron ore / steel inputs; Phosphate rock; Potash</x:v>
      </x:c>
      <x:c r="AN404" s="2" t="str">
        <x:v>Australia; Brazil; China; Morocco; United States; Canada; Russia; Belarus</x:v>
      </x:c>
      <x:c r="AO404" s="2" t="str">
        <x:v>China; India; Japan; Morocco; United States; Canada; Russia; Belarus</x:v>
      </x:c>
      <x:c r="AP404" s="2" t="str">
        <x:v>Designing protected areas: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4" s="2" t="str">
        <x:v>2024–2025</x:v>
      </x:c>
      <x:c r="AR404" s="2" t="str">
        <x:v>https://pubs.usgs.gov/periodicals/mcs2026/mcs2026.pdf</x:v>
      </x:c>
    </x:row>
    <x:row r="405" ht="240" customHeight="1">
      <x:c r="A405" s="2" t="str">
        <x:v>ADP-0135</x:v>
      </x:c>
      <x:c r="B405" s="2" t="str">
        <x:v>Adaptation</x:v>
      </x:c>
      <x:c r="C405" s="2" t="str">
        <x:v>Water</x:v>
      </x:c>
      <x:c r="D405" s="2" t="str">
        <x:v>Limiting nutrient leakage</x:v>
      </x:c>
      <x:c r="E405" s="2" t="str">
        <x:v>Change in land use practices</x:v>
      </x:c>
      <x:c r="F405" s="2" t="str">
        <x:v>Change in land use practices is a adaptation technology in the Water sector and the Limiting nutrient leakage technology group. It is defined as a combined hardware–software–orgware system that manages water quantity, quality, timing or exposure through demand reduction, capture, storage, treatment, allocation, hydraulic protection and ecosystem functions. Change in land use practices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405" s="2" t="str">
        <x:v>Mixed: adaptable design, site-specific implementation</x:v>
      </x:c>
      <x:c r="H405" s="2" t="str">
        <x:v>Change in land use practices is adaptable in capacity and configuration but site-specific in final engineering. Its principle remains the same, but resource quality, climate, scale, interfaces and safety constraints must be recalculated for each deployment.</x:v>
      </x:c>
      <x:c r="I405" s="2" t="str">
        <x:v>Primarily hard, with a soft component</x:v>
      </x:c>
      <x:c r="J405" s="2" t="str">
        <x:v>Change in land use practices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405" s="2" t="str">
        <x:v>Equipment and operation</x:v>
      </x:c>
      <x:c r="L405" s="2" t="str">
        <x:v>Change in land use practices is embodied mainly as an equipment-and-operation system. The deliverable is accepted only when measurable service, quality, safety and climate-performance criteria are met under real conditions.</x:v>
      </x:c>
      <x:c r="M405" s="2" t="str">
        <x:v>Yes, subject to life-cycle safeguards</x:v>
      </x:c>
      <x:c r="N405" s="2" t="str">
        <x:v>Change in land use practices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405" s="2" t="str">
        <x:v>Change in land use practices: intakes, pipes, pumps, meters, valves, tanks, treatment units, drainage or flood structures, monitoring stations and nature-based elements as applicable.</x:v>
      </x:c>
      <x:c r="P405" s="2" t="str">
        <x:v>Change in land use practices: water balance, hydraulic and hydrological modelling, demand forecasting, water-quality analysis, asset management, drought or flood rules and decision support.</x:v>
      </x:c>
      <x:c r="Q405" s="2" t="str">
        <x:v>Change in land use practices: water rights and permits, utility responsibilities, basin governance, service standards, emergency protocols, tariffs, maintenance funding and stakeholder agreements.</x:v>
      </x:c>
      <x:c r="R405" s="2" t="str">
        <x:v>Change in land use practices: catchment or coast, treatment and storage sites, conveyance and drainage network, power supply, laboratory, control room and safe access.</x:v>
      </x:c>
      <x:c r="S405" s="2" t="str">
        <x:v>Change in land use practices: electricity or fuel for pumping, aeration, desalination, treatment and controls; gravity and ecosystem processes can reduce auxiliary demand.</x:v>
      </x:c>
      <x:c r="T405" s="2" t="str">
        <x:v>Change in land use practices: concrete, steel, ductile iron or polymers, filter media, membranes, treatment chemicals, geotextiles, soil, rock and vegetation according to the measure.</x:v>
      </x:c>
      <x:c r="U405" s="2" t="str">
        <x:v>Change in land use practices: pump and valve parts, seals, meters, sensors, membranes, lamps, filter media, dosing equipment, reagents and erosion-control materials.</x:v>
      </x:c>
      <x:c r="V405" s="2" t="str">
        <x:v>https://www.ctc-n.org/sites/default/files/resources/ctcn_taxonomy_0.pdf</x:v>
      </x:c>
      <x:c r="W405" s="2" t="str">
        <x:v>https://institutoagricoladepueblobello.edu.co/colegiapp/archivostemas/GUIA%209.%5B25%5D.pdf</x:v>
      </x:c>
      <x:c r="X405" s="2" t="str">
        <x:v>https://iiasa.ac.at/what-is-technology</x:v>
      </x:c>
      <x:c r="Y405" s="2" t="str">
        <x:v>https://www.unwater.org/water-facts/climate-change</x:v>
      </x:c>
      <x:c r="Z405" s="2" t="str">
        <x:v>Technology-specific analytical synthesis. The CTCN hierarchy is retained; classifications and component dependencies require validation against the selected design, site and supplier documentation before investment or policy use.</x:v>
      </x:c>
      <x:c r="AA405" s="2" t="str">
        <x:v>Physical deployment of Change in land use practices requires catchment or coast, treatment and storage sites, conveyance and drainage network, power supply, laboratory, control room and safe access; interfaces, foundations, access and environmental protection are sized to the specific resource and design load.</x:v>
      </x:c>
      <x:c r="AB405" s="2" t="str">
        <x:v>For Change in land use practices,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405" s="2" t="str">
        <x:v>Construction and operation use concrete, steel, ductile iron or polymers, filter media, membranes, treatment chemicals, geotextiles, soil, rock and vegetation according to the measure. For Change in land use practices, specifications must include durability, compatibility, recycled content and recoverability.</x:v>
      </x:c>
      <x:c r="AD405" s="2" t="str">
        <x:v>Maintenance of Change in land use practices depends on pump and valve parts, seals, meters, sensors, membranes, lamps, filter media, dosing equipment, reagents and erosion-control materials; critical spares are selected from failure-mode, lead-time and safety analysis for its installed configuration.</x:v>
      </x:c>
      <x:c r="AE405" s="2" t="str">
        <x:v>The software stack for Change in land use practices requires databases, secure communications, version-controlled models, computing, backup and interfaces with field or operational systems.</x:v>
      </x:c>
      <x:c r="AF405" s="2" t="str">
        <x:v>For Change in land use practices, software-related energy is electricity for sensing, computing, storage, communication and cooling; it is normally secondary but must be included for data-intensive or continuous services.</x:v>
      </x:c>
      <x:c r="AG405" s="2" t="str">
        <x:v>The non-physical inputs are calibrated data, metadata, algorithms, boundary conditions, emission or hazard factors, manuals and validation records specific to Change in land use practices.</x:v>
      </x:c>
      <x:c r="AH405" s="2" t="str">
        <x:v>Software continuity for Change in land use practices requires licences where applicable, updates, cybersecurity patches, backups, calibration files, model validation and technical support.</x:v>
      </x:c>
      <x:c r="AI405" s="2" t="str">
        <x:v>Orgware depends on the institutions, laboratories, training providers, regulators, operators and community interfaces needed to govern Change in land use practices.</x:v>
      </x:c>
      <x:c r="AJ405" s="2" t="str">
        <x:v>The orgware supporting Change in land use practices has mainly indirect energy use from offices, meetings, training and information systems; travel and field supervision may be material at dispersed sites.</x:v>
      </x:c>
      <x:c r="AK405" s="2" t="str">
        <x:v>Its organisational inputs are permits, budgets, trained staff, competence records, contracts, procedures, safeguards, monitoring evidence and stakeholder agreements tailored to Change in land use practices.</x:v>
      </x:c>
      <x:c r="AL405" s="2" t="str">
        <x:v>Sustained implementation of Change in land use practices requires procurement and service contracts, audit protocols, training material, reporting templates, insurance or guarantees and periodic independent review.</x:v>
      </x:c>
      <x:c r="AM405" s="2" t="str">
        <x:v>Iron ore / steel inputs; Phosphate rock; Potash</x:v>
      </x:c>
      <x:c r="AN405" s="2" t="str">
        <x:v>Australia; Brazil; China; Morocco; United States; Canada; Russia; Belarus</x:v>
      </x:c>
      <x:c r="AO405" s="2" t="str">
        <x:v>China; India; Japan; Morocco; United States; Canada; Russia; Belarus</x:v>
      </x:c>
      <x:c r="AP405" s="2" t="str">
        <x:v>Change in land use practices: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5" s="2" t="str">
        <x:v>2024–2025</x:v>
      </x:c>
      <x:c r="AR405" s="2" t="str">
        <x:v>https://pubs.usgs.gov/periodicals/mcs2026/mcs2026.pdf</x:v>
      </x:c>
    </x:row>
    <x:row r="406" ht="240" customHeight="1">
      <x:c r="A406" s="2" t="str">
        <x:v>ADP-0136</x:v>
      </x:c>
      <x:c r="B406" s="2" t="str">
        <x:v>Adaptation</x:v>
      </x:c>
      <x:c r="C406" s="2" t="str">
        <x:v>Water</x:v>
      </x:c>
      <x:c r="D406" s="2" t="str">
        <x:v>Water allocation</x:v>
      </x:c>
      <x:c r="E406" s="2" t="str">
        <x:v>Seasonal water restrictions</x:v>
      </x:c>
      <x:c r="F406" s="2" t="str">
        <x:v>Seasonal water restrictions is a adaptation technology in the Water sector and the Water allocation technology group. It is defined as a combined hardware–software–orgware system that manages water quantity, quality, timing or exposure through demand reduction, capture, storage, treatment, allocation, hydraulic protection and ecosystem functions. Seasonal water restrictions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406" s="2" t="str">
        <x:v>Mixed: adaptable design, site-specific implementation</x:v>
      </x:c>
      <x:c r="H406" s="2" t="str">
        <x:v>Seasonal water restrictions is adaptable in capacity and configuration but site-specific in final engineering. Its principle remains the same, but resource quality, climate, scale, interfaces and safety constraints must be recalculated for each deployment.</x:v>
      </x:c>
      <x:c r="I406" s="2" t="str">
        <x:v>Primarily hard, with a soft component</x:v>
      </x:c>
      <x:c r="J406" s="2" t="str">
        <x:v>Seasonal water restrictions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406" s="2" t="str">
        <x:v>Equipment and operation</x:v>
      </x:c>
      <x:c r="L406" s="2" t="str">
        <x:v>Seasonal water restrictions is embodied mainly as an equipment-and-operation system. The deliverable is accepted only when measurable service, quality, safety and climate-performance criteria are met under real conditions.</x:v>
      </x:c>
      <x:c r="M406" s="2" t="str">
        <x:v>Yes, subject to life-cycle safeguards</x:v>
      </x:c>
      <x:c r="N406" s="2" t="str">
        <x:v>Seasonal water restrictions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406" s="2" t="str">
        <x:v>Seasonal water restrictions: intakes, pipes, pumps, meters, valves, tanks, treatment units, drainage or flood structures, monitoring stations and nature-based elements as applicable.</x:v>
      </x:c>
      <x:c r="P406" s="2" t="str">
        <x:v>Seasonal water restrictions: water balance, hydraulic and hydrological modelling, demand forecasting, water-quality analysis, asset management, drought or flood rules and decision support.</x:v>
      </x:c>
      <x:c r="Q406" s="2" t="str">
        <x:v>Seasonal water restrictions: water rights and permits, utility responsibilities, basin governance, service standards, emergency protocols, tariffs, maintenance funding and stakeholder agreements.</x:v>
      </x:c>
      <x:c r="R406" s="2" t="str">
        <x:v>Seasonal water restrictions: catchment or coast, treatment and storage sites, conveyance and drainage network, power supply, laboratory, control room and safe access.</x:v>
      </x:c>
      <x:c r="S406" s="2" t="str">
        <x:v>Seasonal water restrictions: electricity or fuel for pumping, aeration, desalination, treatment and controls; gravity and ecosystem processes can reduce auxiliary demand.</x:v>
      </x:c>
      <x:c r="T406" s="2" t="str">
        <x:v>Seasonal water restrictions: concrete, steel, ductile iron or polymers, filter media, membranes, treatment chemicals, geotextiles, soil, rock and vegetation according to the measure.</x:v>
      </x:c>
      <x:c r="U406" s="2" t="str">
        <x:v>Seasonal water restrictions: pump and valve parts, seals, meters, sensors, membranes, lamps, filter media, dosing equipment, reagents and erosion-control materials.</x:v>
      </x:c>
      <x:c r="V406" s="2" t="str">
        <x:v>https://www.ctc-n.org/sites/default/files/resources/ctcn_taxonomy_0.pdf</x:v>
      </x:c>
      <x:c r="W406" s="2" t="str">
        <x:v>https://institutoagricoladepueblobello.edu.co/colegiapp/archivostemas/GUIA%209.%5B25%5D.pdf</x:v>
      </x:c>
      <x:c r="X406" s="2" t="str">
        <x:v>https://iiasa.ac.at/what-is-technology</x:v>
      </x:c>
      <x:c r="Y406" s="2" t="str">
        <x:v>https://www.unwater.org/water-facts/climate-change</x:v>
      </x:c>
      <x:c r="Z406" s="2" t="str">
        <x:v>Technology-specific analytical synthesis. The CTCN hierarchy is retained; classifications and component dependencies require validation against the selected design, site and supplier documentation before investment or policy use.</x:v>
      </x:c>
      <x:c r="AA406" s="2" t="str">
        <x:v>Physical deployment of Seasonal water restrictions requires catchment or coast, treatment and storage sites, conveyance and drainage network, power supply, laboratory, control room and safe access; interfaces, foundations, access and environmental protection are sized to the specific resource and design load.</x:v>
      </x:c>
      <x:c r="AB406" s="2" t="str">
        <x:v>For Seasonal water restrictions,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406" s="2" t="str">
        <x:v>Construction and operation use concrete, steel, ductile iron or polymers, filter media, membranes, treatment chemicals, geotextiles, soil, rock and vegetation according to the measure. For Seasonal water restrictions, specifications must include durability, compatibility, recycled content and recoverability.</x:v>
      </x:c>
      <x:c r="AD406" s="2" t="str">
        <x:v>Maintenance of Seasonal water restrictions depends on pump and valve parts, seals, meters, sensors, membranes, lamps, filter media, dosing equipment, reagents and erosion-control materials; critical spares are selected from failure-mode, lead-time and safety analysis for its installed configuration.</x:v>
      </x:c>
      <x:c r="AE406" s="2" t="str">
        <x:v>The software stack for Seasonal water restrictions requires databases, secure communications, version-controlled models, computing, backup and interfaces with field or operational systems.</x:v>
      </x:c>
      <x:c r="AF406" s="2" t="str">
        <x:v>For Seasonal water restrictions, software-related energy is electricity for sensing, computing, storage, communication and cooling; it is normally secondary but must be included for data-intensive or continuous services.</x:v>
      </x:c>
      <x:c r="AG406" s="2" t="str">
        <x:v>The non-physical inputs are calibrated data, metadata, algorithms, boundary conditions, emission or hazard factors, manuals and validation records specific to Seasonal water restrictions.</x:v>
      </x:c>
      <x:c r="AH406" s="2" t="str">
        <x:v>Software continuity for Seasonal water restrictions requires licences where applicable, updates, cybersecurity patches, backups, calibration files, model validation and technical support.</x:v>
      </x:c>
      <x:c r="AI406" s="2" t="str">
        <x:v>Orgware depends on the institutions, laboratories, training providers, regulators, operators and community interfaces needed to govern Seasonal water restrictions.</x:v>
      </x:c>
      <x:c r="AJ406" s="2" t="str">
        <x:v>The orgware supporting Seasonal water restrictions has mainly indirect energy use from offices, meetings, training and information systems; travel and field supervision may be material at dispersed sites.</x:v>
      </x:c>
      <x:c r="AK406" s="2" t="str">
        <x:v>Its organisational inputs are permits, budgets, trained staff, competence records, contracts, procedures, safeguards, monitoring evidence and stakeholder agreements tailored to Seasonal water restrictions.</x:v>
      </x:c>
      <x:c r="AL406" s="2" t="str">
        <x:v>Sustained implementation of Seasonal water restrictions requires procurement and service contracts, audit protocols, training material, reporting templates, insurance or guarantees and periodic independent review.</x:v>
      </x:c>
      <x:c r="AM406" s="2" t="str">
        <x:v>Iron ore / steel inputs</x:v>
      </x:c>
      <x:c r="AN406" s="2" t="str">
        <x:v>Australia; Brazil; China</x:v>
      </x:c>
      <x:c r="AO406" s="2" t="str">
        <x:v>China; India; Japan</x:v>
      </x:c>
      <x:c r="AP406" s="2" t="str">
        <x:v>Seasonal water restrictions: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6" s="2" t="str">
        <x:v>2024–2025</x:v>
      </x:c>
      <x:c r="AR406" s="2" t="str">
        <x:v>https://pubs.usgs.gov/periodicals/mcs2026/mcs2026.pdf</x:v>
      </x:c>
    </x:row>
    <x:row r="407" ht="240" customHeight="1">
      <x:c r="A407" s="2" t="str">
        <x:v>ADP-0137</x:v>
      </x:c>
      <x:c r="B407" s="2" t="str">
        <x:v>Adaptation</x:v>
      </x:c>
      <x:c r="C407" s="2" t="str">
        <x:v>Water</x:v>
      </x:c>
      <x:c r="D407" s="2" t="str">
        <x:v>Water allocation</x:v>
      </x:c>
      <x:c r="E407" s="2" t="str">
        <x:v>Basin level modelling for water allocation</x:v>
      </x:c>
      <x:c r="F407" s="2" t="str">
        <x:v>Basin level modelling for water allocation is a adaptation technology in the Water sector and the Water allocation technology group. It is defined as a combined hardware–software–orgware system that manages water quantity, quality, timing or exposure through demand reduction, capture, storage, treatment, allocation, hydraulic protection and ecosystem functions. Basin level modelling for water allocation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407" s="2" t="str">
        <x:v>Mixed: adaptable design, site-specific implementation</x:v>
      </x:c>
      <x:c r="H407" s="2" t="str">
        <x:v>Basin level modelling for water allocation is adaptable in capacity and configuration but site-specific in final engineering. Its principle remains the same, but resource quality, climate, scale, interfaces and safety constraints must be recalculated for each deployment.</x:v>
      </x:c>
      <x:c r="I407" s="2" t="str">
        <x:v>Primarily hard, with a soft component</x:v>
      </x:c>
      <x:c r="J407" s="2" t="str">
        <x:v>Basin level modelling for water allocation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407" s="2" t="str">
        <x:v>Equipment and operation</x:v>
      </x:c>
      <x:c r="L407" s="2" t="str">
        <x:v>Basin level modelling for water allocation is embodied mainly as an equipment-and-operation system. The deliverable is accepted only when measurable service, quality, safety and climate-performance criteria are met under real conditions.</x:v>
      </x:c>
      <x:c r="M407" s="2" t="str">
        <x:v>Yes, subject to life-cycle safeguards</x:v>
      </x:c>
      <x:c r="N407" s="2" t="str">
        <x:v>Basin level modelling for water allocation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407" s="2" t="str">
        <x:v>Basin level modelling for water allocation: intakes, pipes, pumps, meters, valves, tanks, treatment units, drainage or flood structures, monitoring stations and nature-based elements as applicable.</x:v>
      </x:c>
      <x:c r="P407" s="2" t="str">
        <x:v>Basin level modelling for water allocation: water balance, hydraulic and hydrological modelling, demand forecasting, water-quality analysis, asset management, drought or flood rules and decision support.</x:v>
      </x:c>
      <x:c r="Q407" s="2" t="str">
        <x:v>Basin level modelling for water allocation: water rights and permits, utility responsibilities, basin governance, service standards, emergency protocols, tariffs, maintenance funding and stakeholder agreements.</x:v>
      </x:c>
      <x:c r="R407" s="2" t="str">
        <x:v>Basin level modelling for water allocation: catchment or coast, treatment and storage sites, conveyance and drainage network, power supply, laboratory, control room and safe access.</x:v>
      </x:c>
      <x:c r="S407" s="2" t="str">
        <x:v>Basin level modelling for water allocation: electricity or fuel for pumping, aeration, desalination, treatment and controls; gravity and ecosystem processes can reduce auxiliary demand.</x:v>
      </x:c>
      <x:c r="T407" s="2" t="str">
        <x:v>Basin level modelling for water allocation: concrete, steel, ductile iron or polymers, filter media, membranes, treatment chemicals, geotextiles, soil, rock and vegetation according to the measure.</x:v>
      </x:c>
      <x:c r="U407" s="2" t="str">
        <x:v>Basin level modelling for water allocation: pump and valve parts, seals, meters, sensors, membranes, lamps, filter media, dosing equipment, reagents and erosion-control materials.</x:v>
      </x:c>
      <x:c r="V407" s="2" t="str">
        <x:v>https://www.ctc-n.org/sites/default/files/resources/ctcn_taxonomy_0.pdf</x:v>
      </x:c>
      <x:c r="W407" s="2" t="str">
        <x:v>https://institutoagricoladepueblobello.edu.co/colegiapp/archivostemas/GUIA%209.%5B25%5D.pdf</x:v>
      </x:c>
      <x:c r="X407" s="2" t="str">
        <x:v>https://iiasa.ac.at/what-is-technology</x:v>
      </x:c>
      <x:c r="Y407" s="2" t="str">
        <x:v>https://www.unwater.org/water-facts/climate-change</x:v>
      </x:c>
      <x:c r="Z407" s="2" t="str">
        <x:v>Technology-specific analytical synthesis. The CTCN hierarchy is retained; classifications and component dependencies require validation against the selected design, site and supplier documentation before investment or policy use.</x:v>
      </x:c>
      <x:c r="AA407" s="2" t="str">
        <x:v>Physical deployment of Basin level modelling for water allocation requires catchment or coast, treatment and storage sites, conveyance and drainage network, power supply, laboratory, control room and safe access; interfaces, foundations, access and environmental protection are sized to the specific resource and design load.</x:v>
      </x:c>
      <x:c r="AB407" s="2" t="str">
        <x:v>For Basin level modelling for water allocation,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407" s="2" t="str">
        <x:v>Construction and operation use concrete, steel, ductile iron or polymers, filter media, membranes, treatment chemicals, geotextiles, soil, rock and vegetation according to the measure. For Basin level modelling for water allocation, specifications must include durability, compatibility, recycled content and recoverability.</x:v>
      </x:c>
      <x:c r="AD407" s="2" t="str">
        <x:v>Maintenance of Basin level modelling for water allocation depends on pump and valve parts, seals, meters, sensors, membranes, lamps, filter media, dosing equipment, reagents and erosion-control materials; critical spares are selected from failure-mode, lead-time and safety analysis for its installed configuration.</x:v>
      </x:c>
      <x:c r="AE407" s="2" t="str">
        <x:v>The software stack for Basin level modelling for water allocation requires databases, secure communications, version-controlled models, computing, backup and interfaces with field or operational systems.</x:v>
      </x:c>
      <x:c r="AF407" s="2" t="str">
        <x:v>For Basin level modelling for water allocation, software-related energy is electricity for sensing, computing, storage, communication and cooling; it is normally secondary but must be included for data-intensive or continuous services.</x:v>
      </x:c>
      <x:c r="AG407" s="2" t="str">
        <x:v>The non-physical inputs are calibrated data, metadata, algorithms, boundary conditions, emission or hazard factors, manuals and validation records specific to Basin level modelling for water allocation.</x:v>
      </x:c>
      <x:c r="AH407" s="2" t="str">
        <x:v>Software continuity for Basin level modelling for water allocation requires licences where applicable, updates, cybersecurity patches, backups, calibration files, model validation and technical support.</x:v>
      </x:c>
      <x:c r="AI407" s="2" t="str">
        <x:v>Orgware depends on the institutions, laboratories, training providers, regulators, operators and community interfaces needed to govern Basin level modelling for water allocation.</x:v>
      </x:c>
      <x:c r="AJ407" s="2" t="str">
        <x:v>The orgware supporting Basin level modelling for water allocation has mainly indirect energy use from offices, meetings, training and information systems; travel and field supervision may be material at dispersed sites.</x:v>
      </x:c>
      <x:c r="AK407" s="2" t="str">
        <x:v>Its organisational inputs are permits, budgets, trained staff, competence records, contracts, procedures, safeguards, monitoring evidence and stakeholder agreements tailored to Basin level modelling for water allocation.</x:v>
      </x:c>
      <x:c r="AL407" s="2" t="str">
        <x:v>Sustained implementation of Basin level modelling for water allocation requires procurement and service contracts, audit protocols, training material, reporting templates, insurance or guarantees and periodic independent review.</x:v>
      </x:c>
      <x:c r="AM407" s="2" t="str">
        <x:v>Iron ore / steel inputs</x:v>
      </x:c>
      <x:c r="AN407" s="2" t="str">
        <x:v>Australia; Brazil; China</x:v>
      </x:c>
      <x:c r="AO407" s="2" t="str">
        <x:v>China; India; Japan</x:v>
      </x:c>
      <x:c r="AP407" s="2" t="str">
        <x:v>Basin level modelling for water allocation: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7" s="2" t="str">
        <x:v>2024–2025</x:v>
      </x:c>
      <x:c r="AR407" s="2" t="str">
        <x:v>https://pubs.usgs.gov/periodicals/mcs2026/mcs2026.pdf</x:v>
      </x:c>
    </x:row>
    <x:row r="408" ht="240" customHeight="1">
      <x:c r="A408" s="2" t="str">
        <x:v>ADP-0138</x:v>
      </x:c>
      <x:c r="B408" s="2" t="str">
        <x:v>Adaptation</x:v>
      </x:c>
      <x:c r="C408" s="2" t="str">
        <x:v>Water</x:v>
      </x:c>
      <x:c r="D408" s="2" t="str">
        <x:v>Water allocation</x:v>
      </x:c>
      <x:c r="E408" s="2" t="str">
        <x:v>Water reallocation</x:v>
      </x:c>
      <x:c r="F408" s="2" t="str">
        <x:v>Water reallocation is a adaptation technology in the Water sector and the Water allocation technology group. It is defined as a combined hardware–software–orgware system that manages water quantity, quality, timing or exposure through demand reduction, capture, storage, treatment, allocation, hydraulic protection and ecosystem functions. Water reallocation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408" s="2" t="str">
        <x:v>Mixed: adaptable design, site-specific implementation</x:v>
      </x:c>
      <x:c r="H408" s="2" t="str">
        <x:v>Water reallocation is adaptable in capacity and configuration but site-specific in final engineering. Its principle remains the same, but resource quality, climate, scale, interfaces and safety constraints must be recalculated for each deployment.</x:v>
      </x:c>
      <x:c r="I408" s="2" t="str">
        <x:v>Primarily hard, with a soft component</x:v>
      </x:c>
      <x:c r="J408" s="2" t="str">
        <x:v>Water reallocation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408" s="2" t="str">
        <x:v>Equipment and operation</x:v>
      </x:c>
      <x:c r="L408" s="2" t="str">
        <x:v>Water reallocation is embodied mainly as an equipment-and-operation system. The deliverable is accepted only when measurable service, quality, safety and climate-performance criteria are met under real conditions.</x:v>
      </x:c>
      <x:c r="M408" s="2" t="str">
        <x:v>Yes, subject to life-cycle safeguards</x:v>
      </x:c>
      <x:c r="N408" s="2" t="str">
        <x:v>Water reallocation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408" s="2" t="str">
        <x:v>Water reallocation: intakes, pipes, pumps, meters, valves, tanks, treatment units, drainage or flood structures, monitoring stations and nature-based elements as applicable.</x:v>
      </x:c>
      <x:c r="P408" s="2" t="str">
        <x:v>Water reallocation: water balance, hydraulic and hydrological modelling, demand forecasting, water-quality analysis, asset management, drought or flood rules and decision support.</x:v>
      </x:c>
      <x:c r="Q408" s="2" t="str">
        <x:v>Water reallocation: water rights and permits, utility responsibilities, basin governance, service standards, emergency protocols, tariffs, maintenance funding and stakeholder agreements.</x:v>
      </x:c>
      <x:c r="R408" s="2" t="str">
        <x:v>Water reallocation: catchment or coast, treatment and storage sites, conveyance and drainage network, power supply, laboratory, control room and safe access.</x:v>
      </x:c>
      <x:c r="S408" s="2" t="str">
        <x:v>Water reallocation: electricity or fuel for pumping, aeration, desalination, treatment and controls; gravity and ecosystem processes can reduce auxiliary demand.</x:v>
      </x:c>
      <x:c r="T408" s="2" t="str">
        <x:v>Water reallocation: concrete, steel, ductile iron or polymers, filter media, membranes, treatment chemicals, geotextiles, soil, rock and vegetation according to the measure.</x:v>
      </x:c>
      <x:c r="U408" s="2" t="str">
        <x:v>Water reallocation: pump and valve parts, seals, meters, sensors, membranes, lamps, filter media, dosing equipment, reagents and erosion-control materials.</x:v>
      </x:c>
      <x:c r="V408" s="2" t="str">
        <x:v>https://www.ctc-n.org/sites/default/files/resources/ctcn_taxonomy_0.pdf</x:v>
      </x:c>
      <x:c r="W408" s="2" t="str">
        <x:v>https://institutoagricoladepueblobello.edu.co/colegiapp/archivostemas/GUIA%209.%5B25%5D.pdf</x:v>
      </x:c>
      <x:c r="X408" s="2" t="str">
        <x:v>https://iiasa.ac.at/what-is-technology</x:v>
      </x:c>
      <x:c r="Y408" s="2" t="str">
        <x:v>https://www.unwater.org/water-facts/climate-change</x:v>
      </x:c>
      <x:c r="Z408" s="2" t="str">
        <x:v>Technology-specific analytical synthesis. The CTCN hierarchy is retained; classifications and component dependencies require validation against the selected design, site and supplier documentation before investment or policy use.</x:v>
      </x:c>
      <x:c r="AA408" s="2" t="str">
        <x:v>Physical deployment of Water reallocation requires catchment or coast, treatment and storage sites, conveyance and drainage network, power supply, laboratory, control room and safe access; interfaces, foundations, access and environmental protection are sized to the specific resource and design load.</x:v>
      </x:c>
      <x:c r="AB408" s="2" t="str">
        <x:v>For Water reallocation,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408" s="2" t="str">
        <x:v>Construction and operation use concrete, steel, ductile iron or polymers, filter media, membranes, treatment chemicals, geotextiles, soil, rock and vegetation according to the measure. For Water reallocation, specifications must include durability, compatibility, recycled content and recoverability.</x:v>
      </x:c>
      <x:c r="AD408" s="2" t="str">
        <x:v>Maintenance of Water reallocation depends on pump and valve parts, seals, meters, sensors, membranes, lamps, filter media, dosing equipment, reagents and erosion-control materials; critical spares are selected from failure-mode, lead-time and safety analysis for its installed configuration.</x:v>
      </x:c>
      <x:c r="AE408" s="2" t="str">
        <x:v>The software stack for Water reallocation requires databases, secure communications, version-controlled models, computing, backup and interfaces with field or operational systems.</x:v>
      </x:c>
      <x:c r="AF408" s="2" t="str">
        <x:v>For Water reallocation, software-related energy is electricity for sensing, computing, storage, communication and cooling; it is normally secondary but must be included for data-intensive or continuous services.</x:v>
      </x:c>
      <x:c r="AG408" s="2" t="str">
        <x:v>The non-physical inputs are calibrated data, metadata, algorithms, boundary conditions, emission or hazard factors, manuals and validation records specific to Water reallocation.</x:v>
      </x:c>
      <x:c r="AH408" s="2" t="str">
        <x:v>Software continuity for Water reallocation requires licences where applicable, updates, cybersecurity patches, backups, calibration files, model validation and technical support.</x:v>
      </x:c>
      <x:c r="AI408" s="2" t="str">
        <x:v>Orgware depends on the institutions, laboratories, training providers, regulators, operators and community interfaces needed to govern Water reallocation.</x:v>
      </x:c>
      <x:c r="AJ408" s="2" t="str">
        <x:v>The orgware supporting Water reallocation has mainly indirect energy use from offices, meetings, training and information systems; travel and field supervision may be material at dispersed sites.</x:v>
      </x:c>
      <x:c r="AK408" s="2" t="str">
        <x:v>Its organisational inputs are permits, budgets, trained staff, competence records, contracts, procedures, safeguards, monitoring evidence and stakeholder agreements tailored to Water reallocation.</x:v>
      </x:c>
      <x:c r="AL408" s="2" t="str">
        <x:v>Sustained implementation of Water reallocation requires procurement and service contracts, audit protocols, training material, reporting templates, insurance or guarantees and periodic independent review.</x:v>
      </x:c>
      <x:c r="AM408" s="2" t="str">
        <x:v>Iron ore / steel inputs</x:v>
      </x:c>
      <x:c r="AN408" s="2" t="str">
        <x:v>Australia; Brazil; China</x:v>
      </x:c>
      <x:c r="AO408" s="2" t="str">
        <x:v>China; India; Japan</x:v>
      </x:c>
      <x:c r="AP408" s="2" t="str">
        <x:v>Water reallocation: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8" s="2" t="str">
        <x:v>2024–2025</x:v>
      </x:c>
      <x:c r="AR408" s="2" t="str">
        <x:v>https://pubs.usgs.gov/periodicals/mcs2026/mcs2026.pdf</x:v>
      </x:c>
    </x:row>
    <x:row r="409" ht="240" customHeight="1">
      <x:c r="A409" s="2" t="str">
        <x:v>ADP-0139</x:v>
      </x:c>
      <x:c r="B409" s="2" t="str">
        <x:v>Adaptation</x:v>
      </x:c>
      <x:c r="C409" s="2" t="str">
        <x:v>Human Health</x:v>
      </x:c>
      <x:c r="D409" s="2" t="str">
        <x:v>Emergency medical services</x:v>
      </x:c>
      <x:c r="E409" s="2" t="str">
        <x:v>Emergency medical services</x:v>
      </x:c>
      <x:c r="F409" s="2" t="str">
        <x:v>Emergency medical services is a adaptation technology in the Human Health sector and the Emergency medical services technology group. It is defined as a combined hardware–software–orgware system that reduces climate-sensitive morbidity and mortality through surveillance, prevention, diagnosis, vaccination, heat-health action, emergency care and continuity of essential services. Emergency medical services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09" s="2" t="str">
        <x:v>Mixed: adaptable design, site-specific implementation</x:v>
      </x:c>
      <x:c r="H409" s="2" t="str">
        <x:v>Emergency medical services is adaptable in capacity and configuration but site-specific in final engineering. Its principle remains the same, but resource quality, climate, scale, interfaces and safety constraints must be recalculated for each deployment.</x:v>
      </x:c>
      <x:c r="I409" s="2" t="str">
        <x:v>Primarily hard, with a soft component</x:v>
      </x:c>
      <x:c r="J409" s="2" t="str">
        <x:v>Emergency medical services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09" s="2" t="str">
        <x:v>Operation</x:v>
      </x:c>
      <x:c r="L409" s="2" t="str">
        <x:v>Emergency medical services is embodied mainly as an operating practice. The deliverable is accepted only when measurable service, quality, safety and climate-performance criteria are met under real conditions.</x:v>
      </x:c>
      <x:c r="M409" s="2" t="str">
        <x:v>Yes, subject to life-cycle safeguards</x:v>
      </x:c>
      <x:c r="N409" s="2" t="str">
        <x:v>Emergency medical services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09" s="2" t="str">
        <x:v>Emergency medical services: clinical and laboratory equipment, diagnostics, cold chain, vector-control tools, ambulances, communications, backup power and climate-resilient health facilities.</x:v>
      </x:c>
      <x:c r="P409" s="2" t="str">
        <x:v>Emergency medical services: case definitions, epidemiological surveillance, climate–health analytics, risk stratification, logistics, clinical protocols and early-warning thresholds.</x:v>
      </x:c>
      <x:c r="Q409" s="2" t="str">
        <x:v>Emergency medical services: public-health authority, referral network, emergency command, community outreach, procurement, stock management, privacy and equitable access.</x:v>
      </x:c>
      <x:c r="R409" s="2" t="str">
        <x:v>Emergency medical services: health posts and hospitals, laboratories, cold-chain and warehouses, communications, safe water and sanitation, cooling and reliable electricity.</x:v>
      </x:c>
      <x:c r="S409" s="2" t="str">
        <x:v>Emergency medical services: electricity and fuel for facilities, cooling, cold chain, laboratories, digital systems and emergency transport.</x:v>
      </x:c>
      <x:c r="T409" s="2" t="str">
        <x:v>Emergency medical services: medicines, vaccines, diagnostics, disinfectants, protective equipment, insecticides or nets, medical gases and laboratory consumables.</x:v>
      </x:c>
      <x:c r="U409" s="2" t="str">
        <x:v>Emergency medical services: cold-chain parts, test cartridges, filters, batteries, communications equipment, vehicle parts, protective equipment and essential stocks.</x:v>
      </x:c>
      <x:c r="V409" s="2" t="str">
        <x:v>https://www.ctc-n.org/sites/default/files/resources/ctcn_taxonomy_0.pdf</x:v>
      </x:c>
      <x:c r="W409" s="2" t="str">
        <x:v>https://institutoagricoladepueblobello.edu.co/colegiapp/archivostemas/GUIA%209.%5B25%5D.pdf</x:v>
      </x:c>
      <x:c r="X409" s="2" t="str">
        <x:v>https://iiasa.ac.at/what-is-technology</x:v>
      </x:c>
      <x:c r="Y409" s="2" t="str">
        <x:v>https://www.who.int/news-room/fact-sheets/detail/climate-change-and-health</x:v>
      </x:c>
      <x:c r="Z409" s="2" t="str">
        <x:v>Technology-specific analytical synthesis. The CTCN hierarchy is retained; classifications and component dependencies require validation against the selected design, site and supplier documentation before investment or policy use.</x:v>
      </x:c>
      <x:c r="AA409" s="2" t="str">
        <x:v>Physical deployment of Emergency medical services requires health posts and hospitals, laboratories, cold-chain and warehouses, communications, safe water and sanitation, cooling and reliable electricity; interfaces, foundations, access and environmental protection are sized to the specific resource and design load.</x:v>
      </x:c>
      <x:c r="AB409" s="2" t="str">
        <x:v>For Emergency medical services, the hardware energy balance comprises electricity and fuel for facilities, cooling, cold chain, laboratories, digital systems and emergency transport; metering must separate useful output, conversion losses and auxiliaries for the selected design.</x:v>
      </x:c>
      <x:c r="AC409" s="2" t="str">
        <x:v>Construction and operation use medicines, vaccines, diagnostics, disinfectants, protective equipment, insecticides or nets, medical gases and laboratory consumables. For Emergency medical services, specifications must include durability, compatibility, recycled content and recoverability.</x:v>
      </x:c>
      <x:c r="AD409" s="2" t="str">
        <x:v>Maintenance of Emergency medical services depends on cold-chain parts, test cartridges, filters, batteries, communications equipment, vehicle parts, protective equipment and essential stocks; critical spares are selected from failure-mode, lead-time and safety analysis for its installed configuration.</x:v>
      </x:c>
      <x:c r="AE409" s="2" t="str">
        <x:v>The software stack for Emergency medical services requires databases, secure communications, version-controlled models, computing, backup and interfaces with field or operational systems.</x:v>
      </x:c>
      <x:c r="AF409" s="2" t="str">
        <x:v>For Emergency medical services, software-related energy is electricity for sensing, computing, storage, communication and cooling; it is normally secondary but must be included for data-intensive or continuous services.</x:v>
      </x:c>
      <x:c r="AG409" s="2" t="str">
        <x:v>The non-physical inputs are calibrated data, metadata, algorithms, boundary conditions, emission or hazard factors, manuals and validation records specific to Emergency medical services.</x:v>
      </x:c>
      <x:c r="AH409" s="2" t="str">
        <x:v>Software continuity for Emergency medical services requires licences where applicable, updates, cybersecurity patches, backups, calibration files, model validation and technical support.</x:v>
      </x:c>
      <x:c r="AI409" s="2" t="str">
        <x:v>Orgware depends on the institutions, laboratories, training providers, regulators, operators and community interfaces needed to govern Emergency medical services.</x:v>
      </x:c>
      <x:c r="AJ409" s="2" t="str">
        <x:v>The orgware supporting Emergency medical services has mainly indirect energy use from offices, meetings, training and information systems; travel and field supervision may be material at dispersed sites.</x:v>
      </x:c>
      <x:c r="AK409" s="2" t="str">
        <x:v>Its organisational inputs are permits, budgets, trained staff, competence records, contracts, procedures, safeguards, monitoring evidence and stakeholder agreements tailored to Emergency medical services.</x:v>
      </x:c>
      <x:c r="AL409" s="2" t="str">
        <x:v>Sustained implementation of Emergency medical services requires procurement and service contracts, audit protocols, training material, reporting templates, insurance or guarantees and periodic independent review.</x:v>
      </x:c>
      <x:c r="AM409" s="2" t="str">
        <x:v>Iron ore / steel inputs</x:v>
      </x:c>
      <x:c r="AN409" s="2" t="str">
        <x:v>Australia; Brazil; China</x:v>
      </x:c>
      <x:c r="AO409" s="2" t="str">
        <x:v>China; India; Japan</x:v>
      </x:c>
      <x:c r="AP409" s="2" t="str">
        <x:v>Emergency medical services: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9" s="2" t="str">
        <x:v>2024–2025</x:v>
      </x:c>
      <x:c r="AR409" s="2" t="str">
        <x:v>https://pubs.usgs.gov/periodicals/mcs2026/mcs2026.pdf</x:v>
      </x:c>
    </x:row>
    <x:row r="410" ht="240" customHeight="1">
      <x:c r="A410" s="2" t="str">
        <x:v>ADP-0140</x:v>
      </x:c>
      <x:c r="B410" s="2" t="str">
        <x:v>Adaptation</x:v>
      </x:c>
      <x:c r="C410" s="2" t="str">
        <x:v>Human Health</x:v>
      </x:c>
      <x:c r="D410" s="2" t="str">
        <x:v>Advanced IT systems in the health sector</x:v>
      </x:c>
      <x:c r="E410" s="2" t="str">
        <x:v>Disease surveillance systems</x:v>
      </x:c>
      <x:c r="F410" s="2" t="str">
        <x:v>Disease surveillance systems is a adaptation technology in the Human Health sector and the Advanced IT systems in the health sector technology group. It is defined as a combined hardware–software–orgware system that reduces climate-sensitive morbidity and mortality through surveillance, prevention, diagnosis, vaccination, heat-health action, emergency care and continuity of essential services. Disease surveillance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10" s="2" t="str">
        <x:v>Mixed: adaptable design, site-specific implementation</x:v>
      </x:c>
      <x:c r="H410" s="2" t="str">
        <x:v>Disease surveillance systems is adaptable in capacity and configuration but site-specific in final engineering. Its principle remains the same, but resource quality, climate, scale, interfaces and safety constraints must be recalculated for each deployment.</x:v>
      </x:c>
      <x:c r="I410" s="2" t="str">
        <x:v>Hard and soft</x:v>
      </x:c>
      <x:c r="J410" s="2" t="str">
        <x:v>Disease surveillance systems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10" s="2" t="str">
        <x:v>Operation and information service</x:v>
      </x:c>
      <x:c r="L410" s="2" t="str">
        <x:v>Disease surveillance systems is embodied mainly as an information and decision service. The deliverable is accepted only when measurable service, quality, safety and climate-performance criteria are met under real conditions.</x:v>
      </x:c>
      <x:c r="M410" s="2" t="str">
        <x:v>Yes, subject to life-cycle safeguards</x:v>
      </x:c>
      <x:c r="N410" s="2" t="str">
        <x:v>Disease surveillance systems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10" s="2" t="str">
        <x:v>Disease surveillance systems: clinical and laboratory equipment, diagnostics, cold chain, vector-control tools, ambulances, communications, backup power and climate-resilient health facilities.</x:v>
      </x:c>
      <x:c r="P410" s="2" t="str">
        <x:v>Disease surveillance systems: case definitions, epidemiological surveillance, climate–health analytics, risk stratification, logistics, clinical protocols and early-warning thresholds.</x:v>
      </x:c>
      <x:c r="Q410" s="2" t="str">
        <x:v>Disease surveillance systems: public-health authority, referral network, emergency command, community outreach, procurement, stock management, privacy and equitable access.</x:v>
      </x:c>
      <x:c r="R410" s="2" t="str">
        <x:v>Disease surveillance systems: health posts and hospitals, laboratories, cold-chain and warehouses, communications, safe water and sanitation, cooling and reliable electricity.</x:v>
      </x:c>
      <x:c r="S410" s="2" t="str">
        <x:v>Disease surveillance systems: electricity and fuel for facilities, cooling, cold chain, laboratories, digital systems and emergency transport.</x:v>
      </x:c>
      <x:c r="T410" s="2" t="str">
        <x:v>Disease surveillance systems: medicines, vaccines, diagnostics, disinfectants, protective equipment, insecticides or nets, medical gases and laboratory consumables.</x:v>
      </x:c>
      <x:c r="U410" s="2" t="str">
        <x:v>Disease surveillance systems: cold-chain parts, test cartridges, filters, batteries, communications equipment, vehicle parts, protective equipment and essential stocks.</x:v>
      </x:c>
      <x:c r="V410" s="2" t="str">
        <x:v>https://www.ctc-n.org/sites/default/files/resources/ctcn_taxonomy_0.pdf</x:v>
      </x:c>
      <x:c r="W410" s="2" t="str">
        <x:v>https://institutoagricoladepueblobello.edu.co/colegiapp/archivostemas/GUIA%209.%5B25%5D.pdf</x:v>
      </x:c>
      <x:c r="X410" s="2" t="str">
        <x:v>https://iiasa.ac.at/what-is-technology</x:v>
      </x:c>
      <x:c r="Y410" s="2" t="str">
        <x:v>https://www.who.int/news-room/fact-sheets/detail/climate-change-and-health</x:v>
      </x:c>
      <x:c r="Z410" s="2" t="str">
        <x:v>Technology-specific analytical synthesis. The CTCN hierarchy is retained; classifications and component dependencies require validation against the selected design, site and supplier documentation before investment or policy use.</x:v>
      </x:c>
      <x:c r="AA410" s="2" t="str">
        <x:v>Physical deployment of Disease surveillance systems requires health posts and hospitals, laboratories, cold-chain and warehouses, communications, safe water and sanitation, cooling and reliable electricity; interfaces, foundations, access and environmental protection are sized to the specific resource and design load.</x:v>
      </x:c>
      <x:c r="AB410" s="2" t="str">
        <x:v>For Disease surveillance systems, the hardware energy balance comprises electricity and fuel for facilities, cooling, cold chain, laboratories, digital systems and emergency transport; metering must separate useful output, conversion losses and auxiliaries for the selected design.</x:v>
      </x:c>
      <x:c r="AC410" s="2" t="str">
        <x:v>Construction and operation use medicines, vaccines, diagnostics, disinfectants, protective equipment, insecticides or nets, medical gases and laboratory consumables. For Disease surveillance systems, specifications must include durability, compatibility, recycled content and recoverability.</x:v>
      </x:c>
      <x:c r="AD410" s="2" t="str">
        <x:v>Maintenance of Disease surveillance systems depends on cold-chain parts, test cartridges, filters, batteries, communications equipment, vehicle parts, protective equipment and essential stocks; critical spares are selected from failure-mode, lead-time and safety analysis for its installed configuration.</x:v>
      </x:c>
      <x:c r="AE410" s="2" t="str">
        <x:v>The software stack for Disease surveillance systems requires databases, secure communications, version-controlled models, computing, backup and interfaces with field or operational systems.</x:v>
      </x:c>
      <x:c r="AF410" s="2" t="str">
        <x:v>For Disease surveillance systems, software-related energy is electricity for sensing, computing, storage, communication and cooling; it is normally secondary but must be included for data-intensive or continuous services.</x:v>
      </x:c>
      <x:c r="AG410" s="2" t="str">
        <x:v>The non-physical inputs are calibrated data, metadata, algorithms, boundary conditions, emission or hazard factors, manuals and validation records specific to Disease surveillance systems.</x:v>
      </x:c>
      <x:c r="AH410" s="2" t="str">
        <x:v>Software continuity for Disease surveillance systems requires licences where applicable, updates, cybersecurity patches, backups, calibration files, model validation and technical support.</x:v>
      </x:c>
      <x:c r="AI410" s="2" t="str">
        <x:v>Orgware depends on the institutions, laboratories, training providers, regulators, operators and community interfaces needed to govern Disease surveillance systems.</x:v>
      </x:c>
      <x:c r="AJ410" s="2" t="str">
        <x:v>The orgware supporting Disease surveillance systems has mainly indirect energy use from offices, meetings, training and information systems; travel and field supervision may be material at dispersed sites.</x:v>
      </x:c>
      <x:c r="AK410" s="2" t="str">
        <x:v>Its organisational inputs are permits, budgets, trained staff, competence records, contracts, procedures, safeguards, monitoring evidence and stakeholder agreements tailored to Disease surveillance systems.</x:v>
      </x:c>
      <x:c r="AL410" s="2" t="str">
        <x:v>Sustained implementation of Disease surveillance systems requires procurement and service contracts, audit protocols, training material, reporting templates, insurance or guarantees and periodic independent review.</x:v>
      </x:c>
      <x:c r="AM410" s="2" t="str">
        <x:v>Iron ore / steel inputs</x:v>
      </x:c>
      <x:c r="AN410" s="2" t="str">
        <x:v>Australia; Brazil; China</x:v>
      </x:c>
      <x:c r="AO410" s="2" t="str">
        <x:v>China; India; Japan</x:v>
      </x:c>
      <x:c r="AP410" s="2" t="str">
        <x:v>Disease surveillance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0" s="2" t="str">
        <x:v>2024–2025</x:v>
      </x:c>
      <x:c r="AR410" s="2" t="str">
        <x:v>https://pubs.usgs.gov/periodicals/mcs2026/mcs2026.pdf</x:v>
      </x:c>
    </x:row>
    <x:row r="411" ht="240" customHeight="1">
      <x:c r="A411" s="2" t="str">
        <x:v>ADP-0141</x:v>
      </x:c>
      <x:c r="B411" s="2" t="str">
        <x:v>Adaptation</x:v>
      </x:c>
      <x:c r="C411" s="2" t="str">
        <x:v>Human Health</x:v>
      </x:c>
      <x:c r="D411" s="2" t="str">
        <x:v>Advanced IT systems in the health sector</x:v>
      </x:c>
      <x:c r="E411" s="2" t="str">
        <x:v>E-Health</x:v>
      </x:c>
      <x:c r="F411" s="2" t="str">
        <x:v>E-Health is a adaptation technology in the Human Health sector and the Advanced IT systems in the health sector technology group. It is defined as a combined hardware–software–orgware system that reduces climate-sensitive morbidity and mortality through surveillance, prevention, diagnosis, vaccination, heat-health action, emergency care and continuity of essential services. E-Health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11" s="2" t="str">
        <x:v>Mixed: adaptable design, site-specific implementation</x:v>
      </x:c>
      <x:c r="H411" s="2" t="str">
        <x:v>E-Health is adaptable in capacity and configuration but site-specific in final engineering. Its principle remains the same, but resource quality, climate, scale, interfaces and safety constraints must be recalculated for each deployment.</x:v>
      </x:c>
      <x:c r="I411" s="2" t="str">
        <x:v>Hard and soft</x:v>
      </x:c>
      <x:c r="J411" s="2" t="str">
        <x:v>E-Health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11" s="2" t="str">
        <x:v>Operation and information service</x:v>
      </x:c>
      <x:c r="L411" s="2" t="str">
        <x:v>E-Health is embodied mainly as an information and decision service. The deliverable is accepted only when measurable service, quality, safety and climate-performance criteria are met under real conditions.</x:v>
      </x:c>
      <x:c r="M411" s="2" t="str">
        <x:v>Yes, subject to life-cycle safeguards</x:v>
      </x:c>
      <x:c r="N411" s="2" t="str">
        <x:v>E-Health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11" s="2" t="str">
        <x:v>E-Health: clinical and laboratory equipment, diagnostics, cold chain, vector-control tools, ambulances, communications, backup power and climate-resilient health facilities.</x:v>
      </x:c>
      <x:c r="P411" s="2" t="str">
        <x:v>E-Health: case definitions, epidemiological surveillance, climate–health analytics, risk stratification, logistics, clinical protocols and early-warning thresholds.</x:v>
      </x:c>
      <x:c r="Q411" s="2" t="str">
        <x:v>E-Health: public-health authority, referral network, emergency command, community outreach, procurement, stock management, privacy and equitable access.</x:v>
      </x:c>
      <x:c r="R411" s="2" t="str">
        <x:v>E-Health: health posts and hospitals, laboratories, cold-chain and warehouses, communications, safe water and sanitation, cooling and reliable electricity.</x:v>
      </x:c>
      <x:c r="S411" s="2" t="str">
        <x:v>E-Health: electricity and fuel for facilities, cooling, cold chain, laboratories, digital systems and emergency transport.</x:v>
      </x:c>
      <x:c r="T411" s="2" t="str">
        <x:v>E-Health: medicines, vaccines, diagnostics, disinfectants, protective equipment, insecticides or nets, medical gases and laboratory consumables.</x:v>
      </x:c>
      <x:c r="U411" s="2" t="str">
        <x:v>E-Health: cold-chain parts, test cartridges, filters, batteries, communications equipment, vehicle parts, protective equipment and essential stocks.</x:v>
      </x:c>
      <x:c r="V411" s="2" t="str">
        <x:v>https://www.ctc-n.org/sites/default/files/resources/ctcn_taxonomy_0.pdf</x:v>
      </x:c>
      <x:c r="W411" s="2" t="str">
        <x:v>https://institutoagricoladepueblobello.edu.co/colegiapp/archivostemas/GUIA%209.%5B25%5D.pdf</x:v>
      </x:c>
      <x:c r="X411" s="2" t="str">
        <x:v>https://iiasa.ac.at/what-is-technology</x:v>
      </x:c>
      <x:c r="Y411" s="2" t="str">
        <x:v>https://www.who.int/news-room/fact-sheets/detail/climate-change-and-health</x:v>
      </x:c>
      <x:c r="Z411" s="2" t="str">
        <x:v>Technology-specific analytical synthesis. The CTCN hierarchy is retained; classifications and component dependencies require validation against the selected design, site and supplier documentation before investment or policy use.</x:v>
      </x:c>
      <x:c r="AA411" s="2" t="str">
        <x:v>Physical deployment of E-Health requires health posts and hospitals, laboratories, cold-chain and warehouses, communications, safe water and sanitation, cooling and reliable electricity; interfaces, foundations, access and environmental protection are sized to the specific resource and design load.</x:v>
      </x:c>
      <x:c r="AB411" s="2" t="str">
        <x:v>For E-Health, the hardware energy balance comprises electricity and fuel for facilities, cooling, cold chain, laboratories, digital systems and emergency transport; metering must separate useful output, conversion losses and auxiliaries for the selected design.</x:v>
      </x:c>
      <x:c r="AC411" s="2" t="str">
        <x:v>Construction and operation use medicines, vaccines, diagnostics, disinfectants, protective equipment, insecticides or nets, medical gases and laboratory consumables. For E-Health, specifications must include durability, compatibility, recycled content and recoverability.</x:v>
      </x:c>
      <x:c r="AD411" s="2" t="str">
        <x:v>Maintenance of E-Health depends on cold-chain parts, test cartridges, filters, batteries, communications equipment, vehicle parts, protective equipment and essential stocks; critical spares are selected from failure-mode, lead-time and safety analysis for its installed configuration.</x:v>
      </x:c>
      <x:c r="AE411" s="2" t="str">
        <x:v>The software stack for E-Health requires databases, secure communications, version-controlled models, computing, backup and interfaces with field or operational systems.</x:v>
      </x:c>
      <x:c r="AF411" s="2" t="str">
        <x:v>For E-Health, software-related energy is electricity for sensing, computing, storage, communication and cooling; it is normally secondary but must be included for data-intensive or continuous services.</x:v>
      </x:c>
      <x:c r="AG411" s="2" t="str">
        <x:v>The non-physical inputs are calibrated data, metadata, algorithms, boundary conditions, emission or hazard factors, manuals and validation records specific to E-Health.</x:v>
      </x:c>
      <x:c r="AH411" s="2" t="str">
        <x:v>Software continuity for E-Health requires licences where applicable, updates, cybersecurity patches, backups, calibration files, model validation and technical support.</x:v>
      </x:c>
      <x:c r="AI411" s="2" t="str">
        <x:v>Orgware depends on the institutions, laboratories, training providers, regulators, operators and community interfaces needed to govern E-Health.</x:v>
      </x:c>
      <x:c r="AJ411" s="2" t="str">
        <x:v>The orgware supporting E-Health has mainly indirect energy use from offices, meetings, training and information systems; travel and field supervision may be material at dispersed sites.</x:v>
      </x:c>
      <x:c r="AK411" s="2" t="str">
        <x:v>Its organisational inputs are permits, budgets, trained staff, competence records, contracts, procedures, safeguards, monitoring evidence and stakeholder agreements tailored to E-Health.</x:v>
      </x:c>
      <x:c r="AL411" s="2" t="str">
        <x:v>Sustained implementation of E-Health requires procurement and service contracts, audit protocols, training material, reporting templates, insurance or guarantees and periodic independent review.</x:v>
      </x:c>
      <x:c r="AM411" s="2" t="str">
        <x:v>Iron ore / steel inputs</x:v>
      </x:c>
      <x:c r="AN411" s="2" t="str">
        <x:v>Australia; Brazil; China</x:v>
      </x:c>
      <x:c r="AO411" s="2" t="str">
        <x:v>China; India; Japan</x:v>
      </x:c>
      <x:c r="AP411" s="2" t="str">
        <x:v>E-Health: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1" s="2" t="str">
        <x:v>2024–2025</x:v>
      </x:c>
      <x:c r="AR411" s="2" t="str">
        <x:v>https://pubs.usgs.gov/periodicals/mcs2026/mcs2026.pdf</x:v>
      </x:c>
    </x:row>
    <x:row r="412" ht="240" customHeight="1">
      <x:c r="A412" s="2" t="str">
        <x:v>ADP-0142</x:v>
      </x:c>
      <x:c r="B412" s="2" t="str">
        <x:v>Adaptation</x:v>
      </x:c>
      <x:c r="C412" s="2" t="str">
        <x:v>Human Health</x:v>
      </x:c>
      <x:c r="D412" s="2" t="str">
        <x:v>Public health services</x:v>
      </x:c>
      <x:c r="E412" s="2" t="str">
        <x:v>Education of health personnel</x:v>
      </x:c>
      <x:c r="F412" s="2" t="str">
        <x:v>Education of health personnel is a adaptation technology in the Human Health sector and the Public health services technology group. It is defined as a combined hardware–software–orgware system that reduces climate-sensitive morbidity and mortality through surveillance, prevention, diagnosis, vaccination, heat-health action, emergency care and continuity of essential services. Education of health personnel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12" s="2" t="str">
        <x:v>Mixed: adaptable design, site-specific implementation</x:v>
      </x:c>
      <x:c r="H412" s="2" t="str">
        <x:v>Education of health personnel is adaptable in capacity and configuration but site-specific in final engineering. Its principle remains the same, but resource quality, climate, scale, interfaces and safety constraints must be recalculated for each deployment.</x:v>
      </x:c>
      <x:c r="I412" s="2" t="str">
        <x:v>Primarily hard, with a soft component</x:v>
      </x:c>
      <x:c r="J412" s="2" t="str">
        <x:v>Education of health personnel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12" s="2" t="str">
        <x:v>Operation</x:v>
      </x:c>
      <x:c r="L412" s="2" t="str">
        <x:v>Education of health personnel is embodied mainly as an operating practice. The deliverable is accepted only when measurable service, quality, safety and climate-performance criteria are met under real conditions.</x:v>
      </x:c>
      <x:c r="M412" s="2" t="str">
        <x:v>Yes, subject to life-cycle safeguards</x:v>
      </x:c>
      <x:c r="N412" s="2" t="str">
        <x:v>Education of health personnel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12" s="2" t="str">
        <x:v>Education of health personnel: clinical and laboratory equipment, diagnostics, cold chain, vector-control tools, ambulances, communications, backup power and climate-resilient health facilities.</x:v>
      </x:c>
      <x:c r="P412" s="2" t="str">
        <x:v>Education of health personnel: case definitions, epidemiological surveillance, climate–health analytics, risk stratification, logistics, clinical protocols and early-warning thresholds.</x:v>
      </x:c>
      <x:c r="Q412" s="2" t="str">
        <x:v>Education of health personnel: public-health authority, referral network, emergency command, community outreach, procurement, stock management, privacy and equitable access.</x:v>
      </x:c>
      <x:c r="R412" s="2" t="str">
        <x:v>Education of health personnel: health posts and hospitals, laboratories, cold-chain and warehouses, communications, safe water and sanitation, cooling and reliable electricity.</x:v>
      </x:c>
      <x:c r="S412" s="2" t="str">
        <x:v>Education of health personnel: electricity and fuel for facilities, cooling, cold chain, laboratories, digital systems and emergency transport.</x:v>
      </x:c>
      <x:c r="T412" s="2" t="str">
        <x:v>Education of health personnel: medicines, vaccines, diagnostics, disinfectants, protective equipment, insecticides or nets, medical gases and laboratory consumables.</x:v>
      </x:c>
      <x:c r="U412" s="2" t="str">
        <x:v>Education of health personnel: cold-chain parts, test cartridges, filters, batteries, communications equipment, vehicle parts, protective equipment and essential stocks.</x:v>
      </x:c>
      <x:c r="V412" s="2" t="str">
        <x:v>https://www.ctc-n.org/sites/default/files/resources/ctcn_taxonomy_0.pdf</x:v>
      </x:c>
      <x:c r="W412" s="2" t="str">
        <x:v>https://institutoagricoladepueblobello.edu.co/colegiapp/archivostemas/GUIA%209.%5B25%5D.pdf</x:v>
      </x:c>
      <x:c r="X412" s="2" t="str">
        <x:v>https://iiasa.ac.at/what-is-technology</x:v>
      </x:c>
      <x:c r="Y412" s="2" t="str">
        <x:v>https://www.who.int/news-room/fact-sheets/detail/climate-change-and-health</x:v>
      </x:c>
      <x:c r="Z412" s="2" t="str">
        <x:v>Technology-specific analytical synthesis. The CTCN hierarchy is retained; classifications and component dependencies require validation against the selected design, site and supplier documentation before investment or policy use.</x:v>
      </x:c>
      <x:c r="AA412" s="2" t="str">
        <x:v>Physical deployment of Education of health personnel requires health posts and hospitals, laboratories, cold-chain and warehouses, communications, safe water and sanitation, cooling and reliable electricity; interfaces, foundations, access and environmental protection are sized to the specific resource and design load.</x:v>
      </x:c>
      <x:c r="AB412" s="2" t="str">
        <x:v>For Education of health personnel, the hardware energy balance comprises electricity and fuel for facilities, cooling, cold chain, laboratories, digital systems and emergency transport; metering must separate useful output, conversion losses and auxiliaries for the selected design.</x:v>
      </x:c>
      <x:c r="AC412" s="2" t="str">
        <x:v>Construction and operation use medicines, vaccines, diagnostics, disinfectants, protective equipment, insecticides or nets, medical gases and laboratory consumables. For Education of health personnel, specifications must include durability, compatibility, recycled content and recoverability.</x:v>
      </x:c>
      <x:c r="AD412" s="2" t="str">
        <x:v>Maintenance of Education of health personnel depends on cold-chain parts, test cartridges, filters, batteries, communications equipment, vehicle parts, protective equipment and essential stocks; critical spares are selected from failure-mode, lead-time and safety analysis for its installed configuration.</x:v>
      </x:c>
      <x:c r="AE412" s="2" t="str">
        <x:v>The software stack for Education of health personnel requires databases, secure communications, version-controlled models, computing, backup and interfaces with field or operational systems.</x:v>
      </x:c>
      <x:c r="AF412" s="2" t="str">
        <x:v>For Education of health personnel, software-related energy is electricity for sensing, computing, storage, communication and cooling; it is normally secondary but must be included for data-intensive or continuous services.</x:v>
      </x:c>
      <x:c r="AG412" s="2" t="str">
        <x:v>The non-physical inputs are calibrated data, metadata, algorithms, boundary conditions, emission or hazard factors, manuals and validation records specific to Education of health personnel.</x:v>
      </x:c>
      <x:c r="AH412" s="2" t="str">
        <x:v>Software continuity for Education of health personnel requires licences where applicable, updates, cybersecurity patches, backups, calibration files, model validation and technical support.</x:v>
      </x:c>
      <x:c r="AI412" s="2" t="str">
        <x:v>Orgware depends on the institutions, laboratories, training providers, regulators, operators and community interfaces needed to govern Education of health personnel.</x:v>
      </x:c>
      <x:c r="AJ412" s="2" t="str">
        <x:v>The orgware supporting Education of health personnel has mainly indirect energy use from offices, meetings, training and information systems; travel and field supervision may be material at dispersed sites.</x:v>
      </x:c>
      <x:c r="AK412" s="2" t="str">
        <x:v>Its organisational inputs are permits, budgets, trained staff, competence records, contracts, procedures, safeguards, monitoring evidence and stakeholder agreements tailored to Education of health personnel.</x:v>
      </x:c>
      <x:c r="AL412" s="2" t="str">
        <x:v>Sustained implementation of Education of health personnel requires procurement and service contracts, audit protocols, training material, reporting templates, insurance or guarantees and periodic independent review.</x:v>
      </x:c>
      <x:c r="AM412" s="2" t="str">
        <x:v>Iron ore / steel inputs</x:v>
      </x:c>
      <x:c r="AN412" s="2" t="str">
        <x:v>Australia; Brazil; China</x:v>
      </x:c>
      <x:c r="AO412" s="2" t="str">
        <x:v>China; India; Japan</x:v>
      </x:c>
      <x:c r="AP412" s="2" t="str">
        <x:v>Education of health personnel: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2" s="2" t="str">
        <x:v>2024–2025</x:v>
      </x:c>
      <x:c r="AR412" s="2" t="str">
        <x:v>https://pubs.usgs.gov/periodicals/mcs2026/mcs2026.pdf</x:v>
      </x:c>
    </x:row>
    <x:row r="413" ht="240" customHeight="1">
      <x:c r="A413" s="2" t="str">
        <x:v>ADP-0143</x:v>
      </x:c>
      <x:c r="B413" s="2" t="str">
        <x:v>Adaptation</x:v>
      </x:c>
      <x:c r="C413" s="2" t="str">
        <x:v>Human Health</x:v>
      </x:c>
      <x:c r="D413" s="2" t="str">
        <x:v>Public health services</x:v>
      </x:c>
      <x:c r="E413" s="2" t="str">
        <x:v>Heat wave plans and emergency response</x:v>
      </x:c>
      <x:c r="F413" s="2" t="str">
        <x:v>Heat wave plans and emergency response is a adaptation technology in the Human Health sector and the Public health services technology group. It is defined as a combined hardware–software–orgware system that reduces climate-sensitive morbidity and mortality through surveillance, prevention, diagnosis, vaccination, heat-health action, emergency care and continuity of essential services. Heat wave plans and emergency response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13" s="2" t="str">
        <x:v>Mixed: adaptable design, site-specific implementation</x:v>
      </x:c>
      <x:c r="H413" s="2" t="str">
        <x:v>Heat wave plans and emergency response is adaptable in capacity and configuration but site-specific in final engineering. Its principle remains the same, but resource quality, climate, scale, interfaces and safety constraints must be recalculated for each deployment.</x:v>
      </x:c>
      <x:c r="I413" s="2" t="str">
        <x:v>Primarily hard, with a soft component</x:v>
      </x:c>
      <x:c r="J413" s="2" t="str">
        <x:v>Heat wave plans and emergency response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13" s="2" t="str">
        <x:v>Operation</x:v>
      </x:c>
      <x:c r="L413" s="2" t="str">
        <x:v>Heat wave plans and emergency response is embodied mainly as an operating practice. The deliverable is accepted only when measurable service, quality, safety and climate-performance criteria are met under real conditions.</x:v>
      </x:c>
      <x:c r="M413" s="2" t="str">
        <x:v>Yes, subject to life-cycle safeguards</x:v>
      </x:c>
      <x:c r="N413" s="2" t="str">
        <x:v>Heat wave plans and emergency response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13" s="2" t="str">
        <x:v>Heat wave plans and emergency response: clinical and laboratory equipment, diagnostics, cold chain, vector-control tools, ambulances, communications, backup power and climate-resilient health facilities.</x:v>
      </x:c>
      <x:c r="P413" s="2" t="str">
        <x:v>Heat wave plans and emergency response: case definitions, epidemiological surveillance, climate–health analytics, risk stratification, logistics, clinical protocols and early-warning thresholds.</x:v>
      </x:c>
      <x:c r="Q413" s="2" t="str">
        <x:v>Heat wave plans and emergency response: public-health authority, referral network, emergency command, community outreach, procurement, stock management, privacy and equitable access.</x:v>
      </x:c>
      <x:c r="R413" s="2" t="str">
        <x:v>Heat wave plans and emergency response: health posts and hospitals, laboratories, cold-chain and warehouses, communications, safe water and sanitation, cooling and reliable electricity.</x:v>
      </x:c>
      <x:c r="S413" s="2" t="str">
        <x:v>Heat wave plans and emergency response: electricity and fuel for facilities, cooling, cold chain, laboratories, digital systems and emergency transport.</x:v>
      </x:c>
      <x:c r="T413" s="2" t="str">
        <x:v>Heat wave plans and emergency response: medicines, vaccines, diagnostics, disinfectants, protective equipment, insecticides or nets, medical gases and laboratory consumables.</x:v>
      </x:c>
      <x:c r="U413" s="2" t="str">
        <x:v>Heat wave plans and emergency response: cold-chain parts, test cartridges, filters, batteries, communications equipment, vehicle parts, protective equipment and essential stocks.</x:v>
      </x:c>
      <x:c r="V413" s="2" t="str">
        <x:v>https://www.ctc-n.org/sites/default/files/resources/ctcn_taxonomy_0.pdf</x:v>
      </x:c>
      <x:c r="W413" s="2" t="str">
        <x:v>https://institutoagricoladepueblobello.edu.co/colegiapp/archivostemas/GUIA%209.%5B25%5D.pdf</x:v>
      </x:c>
      <x:c r="X413" s="2" t="str">
        <x:v>https://iiasa.ac.at/what-is-technology</x:v>
      </x:c>
      <x:c r="Y413" s="2" t="str">
        <x:v>https://www.who.int/news-room/fact-sheets/detail/climate-change-and-health</x:v>
      </x:c>
      <x:c r="Z413" s="2" t="str">
        <x:v>Technology-specific analytical synthesis. The CTCN hierarchy is retained; classifications and component dependencies require validation against the selected design, site and supplier documentation before investment or policy use.</x:v>
      </x:c>
      <x:c r="AA413" s="2" t="str">
        <x:v>Physical deployment of Heat wave plans and emergency response requires health posts and hospitals, laboratories, cold-chain and warehouses, communications, safe water and sanitation, cooling and reliable electricity; interfaces, foundations, access and environmental protection are sized to the specific resource and design load.</x:v>
      </x:c>
      <x:c r="AB413" s="2" t="str">
        <x:v>For Heat wave plans and emergency response, the hardware energy balance comprises electricity and fuel for facilities, cooling, cold chain, laboratories, digital systems and emergency transport; metering must separate useful output, conversion losses and auxiliaries for the selected design.</x:v>
      </x:c>
      <x:c r="AC413" s="2" t="str">
        <x:v>Construction and operation use medicines, vaccines, diagnostics, disinfectants, protective equipment, insecticides or nets, medical gases and laboratory consumables. For Heat wave plans and emergency response, specifications must include durability, compatibility, recycled content and recoverability.</x:v>
      </x:c>
      <x:c r="AD413" s="2" t="str">
        <x:v>Maintenance of Heat wave plans and emergency response depends on cold-chain parts, test cartridges, filters, batteries, communications equipment, vehicle parts, protective equipment and essential stocks; critical spares are selected from failure-mode, lead-time and safety analysis for its installed configuration.</x:v>
      </x:c>
      <x:c r="AE413" s="2" t="str">
        <x:v>The software stack for Heat wave plans and emergency response requires databases, secure communications, version-controlled models, computing, backup and interfaces with field or operational systems.</x:v>
      </x:c>
      <x:c r="AF413" s="2" t="str">
        <x:v>For Heat wave plans and emergency response, software-related energy is electricity for sensing, computing, storage, communication and cooling; it is normally secondary but must be included for data-intensive or continuous services.</x:v>
      </x:c>
      <x:c r="AG413" s="2" t="str">
        <x:v>The non-physical inputs are calibrated data, metadata, algorithms, boundary conditions, emission or hazard factors, manuals and validation records specific to Heat wave plans and emergency response.</x:v>
      </x:c>
      <x:c r="AH413" s="2" t="str">
        <x:v>Software continuity for Heat wave plans and emergency response requires licences where applicable, updates, cybersecurity patches, backups, calibration files, model validation and technical support.</x:v>
      </x:c>
      <x:c r="AI413" s="2" t="str">
        <x:v>Orgware depends on the institutions, laboratories, training providers, regulators, operators and community interfaces needed to govern Heat wave plans and emergency response.</x:v>
      </x:c>
      <x:c r="AJ413" s="2" t="str">
        <x:v>The orgware supporting Heat wave plans and emergency response has mainly indirect energy use from offices, meetings, training and information systems; travel and field supervision may be material at dispersed sites.</x:v>
      </x:c>
      <x:c r="AK413" s="2" t="str">
        <x:v>Its organisational inputs are permits, budgets, trained staff, competence records, contracts, procedures, safeguards, monitoring evidence and stakeholder agreements tailored to Heat wave plans and emergency response.</x:v>
      </x:c>
      <x:c r="AL413" s="2" t="str">
        <x:v>Sustained implementation of Heat wave plans and emergency response requires procurement and service contracts, audit protocols, training material, reporting templates, insurance or guarantees and periodic independent review.</x:v>
      </x:c>
      <x:c r="AM413" s="2" t="str">
        <x:v>Iron ore / steel inputs</x:v>
      </x:c>
      <x:c r="AN413" s="2" t="str">
        <x:v>Australia; Brazil; China</x:v>
      </x:c>
      <x:c r="AO413" s="2" t="str">
        <x:v>China; India; Japan</x:v>
      </x:c>
      <x:c r="AP413" s="2" t="str">
        <x:v>Heat wave plans and emergency response: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3" s="2" t="str">
        <x:v>2024–2025</x:v>
      </x:c>
      <x:c r="AR413" s="2" t="str">
        <x:v>https://pubs.usgs.gov/periodicals/mcs2026/mcs2026.pdf</x:v>
      </x:c>
    </x:row>
    <x:row r="414" ht="240" customHeight="1">
      <x:c r="A414" s="2" t="str">
        <x:v>ADP-0144</x:v>
      </x:c>
      <x:c r="B414" s="2" t="str">
        <x:v>Adaptation</x:v>
      </x:c>
      <x:c r="C414" s="2" t="str">
        <x:v>Human Health</x:v>
      </x:c>
      <x:c r="D414" s="2" t="str">
        <x:v>Vaccination programs</x:v>
      </x:c>
      <x:c r="E414" s="2" t="str">
        <x:v>Vaccination programs</x:v>
      </x:c>
      <x:c r="F414" s="2" t="str">
        <x:v>Vaccination programs is a adaptation technology in the Human Health sector and the Vaccination programs technology group. It is defined as a combined hardware–software–orgware system that reduces climate-sensitive morbidity and mortality through surveillance, prevention, diagnosis, vaccination, heat-health action, emergency care and continuity of essential services. Vaccination programs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14" s="2" t="str">
        <x:v>Flexible</x:v>
      </x:c>
      <x:c r="H414" s="2" t="str">
        <x:v>Vaccination programs is transferable through configurable methods, rules and operating parameters. Its principle remains the same, but resource quality, climate, scale, interfaces and safety constraints must be recalculated for each deployment.</x:v>
      </x:c>
      <x:c r="I414" s="2" t="str">
        <x:v>Primarily soft, with physical support</x:v>
      </x:c>
      <x:c r="J414" s="2" t="str">
        <x:v>Vaccination programs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14" s="2" t="str">
        <x:v>Operation</x:v>
      </x:c>
      <x:c r="L414" s="2" t="str">
        <x:v>Vaccination programs is embodied mainly as an operating practice. The deliverable is accepted only when measurable service, quality, safety and climate-performance criteria are met under real conditions.</x:v>
      </x:c>
      <x:c r="M414" s="2" t="str">
        <x:v>Yes, subject to life-cycle safeguards</x:v>
      </x:c>
      <x:c r="N414" s="2" t="str">
        <x:v>Vaccination programs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14" s="2" t="str">
        <x:v>Vaccination programs: clinical and laboratory equipment, diagnostics, cold chain, vector-control tools, ambulances, communications, backup power and climate-resilient health facilities.</x:v>
      </x:c>
      <x:c r="P414" s="2" t="str">
        <x:v>Vaccination programs: case definitions, epidemiological surveillance, climate–health analytics, risk stratification, logistics, clinical protocols and early-warning thresholds.</x:v>
      </x:c>
      <x:c r="Q414" s="2" t="str">
        <x:v>Vaccination programs: public-health authority, referral network, emergency command, community outreach, procurement, stock management, privacy and equitable access.</x:v>
      </x:c>
      <x:c r="R414" s="2" t="str">
        <x:v>Vaccination programs: health posts and hospitals, laboratories, cold-chain and warehouses, communications, safe water and sanitation, cooling and reliable electricity.</x:v>
      </x:c>
      <x:c r="S414" s="2" t="str">
        <x:v>Vaccination programs: electricity and fuel for facilities, cooling, cold chain, laboratories, digital systems and emergency transport.</x:v>
      </x:c>
      <x:c r="T414" s="2" t="str">
        <x:v>Vaccination programs: medicines, vaccines, diagnostics, disinfectants, protective equipment, insecticides or nets, medical gases and laboratory consumables.</x:v>
      </x:c>
      <x:c r="U414" s="2" t="str">
        <x:v>Vaccination programs: cold-chain parts, test cartridges, filters, batteries, communications equipment, vehicle parts, protective equipment and essential stocks.</x:v>
      </x:c>
      <x:c r="V414" s="2" t="str">
        <x:v>https://www.ctc-n.org/sites/default/files/resources/ctcn_taxonomy_0.pdf</x:v>
      </x:c>
      <x:c r="W414" s="2" t="str">
        <x:v>https://institutoagricoladepueblobello.edu.co/colegiapp/archivostemas/GUIA%209.%5B25%5D.pdf</x:v>
      </x:c>
      <x:c r="X414" s="2" t="str">
        <x:v>https://iiasa.ac.at/what-is-technology</x:v>
      </x:c>
      <x:c r="Y414" s="2" t="str">
        <x:v>https://www.who.int/news-room/fact-sheets/detail/climate-change-and-health</x:v>
      </x:c>
      <x:c r="Z414" s="2" t="str">
        <x:v>Technology-specific analytical synthesis. The CTCN hierarchy is retained; classifications and component dependencies require validation against the selected design, site and supplier documentation before investment or policy use.</x:v>
      </x:c>
      <x:c r="AA414" s="2" t="str">
        <x:v>Physical deployment of Vaccination programs requires health posts and hospitals, laboratories, cold-chain and warehouses, communications, safe water and sanitation, cooling and reliable electricity; interfaces, foundations, access and environmental protection are sized to the specific resource and design load.</x:v>
      </x:c>
      <x:c r="AB414" s="2" t="str">
        <x:v>For Vaccination programs, the hardware energy balance comprises electricity and fuel for facilities, cooling, cold chain, laboratories, digital systems and emergency transport; metering must separate useful output, conversion losses and auxiliaries for the selected design.</x:v>
      </x:c>
      <x:c r="AC414" s="2" t="str">
        <x:v>Construction and operation use medicines, vaccines, diagnostics, disinfectants, protective equipment, insecticides or nets, medical gases and laboratory consumables. For Vaccination programs, specifications must include durability, compatibility, recycled content and recoverability.</x:v>
      </x:c>
      <x:c r="AD414" s="2" t="str">
        <x:v>Maintenance of Vaccination programs depends on cold-chain parts, test cartridges, filters, batteries, communications equipment, vehicle parts, protective equipment and essential stocks; critical spares are selected from failure-mode, lead-time and safety analysis for its installed configuration.</x:v>
      </x:c>
      <x:c r="AE414" s="2" t="str">
        <x:v>The software stack for Vaccination programs requires databases, secure communications, version-controlled models, computing, backup and interfaces with field or operational systems.</x:v>
      </x:c>
      <x:c r="AF414" s="2" t="str">
        <x:v>For Vaccination programs, software-related energy is electricity for sensing, computing, storage, communication and cooling; it is normally secondary but must be included for data-intensive or continuous services.</x:v>
      </x:c>
      <x:c r="AG414" s="2" t="str">
        <x:v>The non-physical inputs are calibrated data, metadata, algorithms, boundary conditions, emission or hazard factors, manuals and validation records specific to Vaccination programs.</x:v>
      </x:c>
      <x:c r="AH414" s="2" t="str">
        <x:v>Software continuity for Vaccination programs requires licences where applicable, updates, cybersecurity patches, backups, calibration files, model validation and technical support.</x:v>
      </x:c>
      <x:c r="AI414" s="2" t="str">
        <x:v>Orgware depends on the institutions, laboratories, training providers, regulators, operators and community interfaces needed to govern Vaccination programs.</x:v>
      </x:c>
      <x:c r="AJ414" s="2" t="str">
        <x:v>The orgware supporting Vaccination programs has mainly indirect energy use from offices, meetings, training and information systems; travel and field supervision may be material at dispersed sites.</x:v>
      </x:c>
      <x:c r="AK414" s="2" t="str">
        <x:v>Its organisational inputs are permits, budgets, trained staff, competence records, contracts, procedures, safeguards, monitoring evidence and stakeholder agreements tailored to Vaccination programs.</x:v>
      </x:c>
      <x:c r="AL414" s="2" t="str">
        <x:v>Sustained implementation of Vaccination programs requires procurement and service contracts, audit protocols, training material, reporting templates, insurance or guarantees and periodic independent review.</x:v>
      </x:c>
      <x:c r="AM414" s="2" t="str">
        <x:v>Iron ore / steel inputs</x:v>
      </x:c>
      <x:c r="AN414" s="2" t="str">
        <x:v>Australia; Brazil; China</x:v>
      </x:c>
      <x:c r="AO414" s="2" t="str">
        <x:v>China; India; Japan</x:v>
      </x:c>
      <x:c r="AP414" s="2" t="str">
        <x:v>Vaccination programs: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4" s="2" t="str">
        <x:v>2024–2025</x:v>
      </x:c>
      <x:c r="AR414" s="2" t="str">
        <x:v>https://pubs.usgs.gov/periodicals/mcs2026/mcs2026.pdf</x:v>
      </x:c>
    </x:row>
    <x:row r="415" ht="240" customHeight="1">
      <x:c r="A415" s="2" t="str">
        <x:v>ADP-0145</x:v>
      </x:c>
      <x:c r="B415" s="2" t="str">
        <x:v>Adaptation</x:v>
      </x:c>
      <x:c r="C415" s="2" t="str">
        <x:v>Human Health</x:v>
      </x:c>
      <x:c r="D415" s="2" t="str">
        <x:v>Vector-borne diseases</x:v>
      </x:c>
      <x:c r="E415" s="2" t="str">
        <x:v>Rapid diagnostic tests</x:v>
      </x:c>
      <x:c r="F415" s="2" t="str">
        <x:v>Rapid diagnostic tests is a adaptation technology in the Human Health sector and the Vector-borne diseases technology group. It is defined as a combined hardware–software–orgware system that reduces climate-sensitive morbidity and mortality through surveillance, prevention, diagnosis, vaccination, heat-health action, emergency care and continuity of essential services. Rapid diagnostic tests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15" s="2" t="str">
        <x:v>Mixed: adaptable design, site-specific implementation</x:v>
      </x:c>
      <x:c r="H415" s="2" t="str">
        <x:v>Rapid diagnostic tests is adaptable in capacity and configuration but site-specific in final engineering. Its principle remains the same, but resource quality, climate, scale, interfaces and safety constraints must be recalculated for each deployment.</x:v>
      </x:c>
      <x:c r="I415" s="2" t="str">
        <x:v>Primarily hard, with a soft component</x:v>
      </x:c>
      <x:c r="J415" s="2" t="str">
        <x:v>Rapid diagnostic tests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15" s="2" t="str">
        <x:v>Product and equipment; complementary operation</x:v>
      </x:c>
      <x:c r="L415" s="2" t="str">
        <x:v>Rapid diagnostic tests is embodied mainly as a product/equipment package. The deliverable is accepted only when measurable service, quality, safety and climate-performance criteria are met under real conditions.</x:v>
      </x:c>
      <x:c r="M415" s="2" t="str">
        <x:v>Yes, subject to life-cycle safeguards</x:v>
      </x:c>
      <x:c r="N415" s="2" t="str">
        <x:v>Rapid diagnostic tests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15" s="2" t="str">
        <x:v>Rapid diagnostic tests: clinical and laboratory equipment, diagnostics, cold chain, vector-control tools, ambulances, communications, backup power and climate-resilient health facilities.</x:v>
      </x:c>
      <x:c r="P415" s="2" t="str">
        <x:v>Rapid diagnostic tests: case definitions, epidemiological surveillance, climate–health analytics, risk stratification, logistics, clinical protocols and early-warning thresholds.</x:v>
      </x:c>
      <x:c r="Q415" s="2" t="str">
        <x:v>Rapid diagnostic tests: public-health authority, referral network, emergency command, community outreach, procurement, stock management, privacy and equitable access.</x:v>
      </x:c>
      <x:c r="R415" s="2" t="str">
        <x:v>Rapid diagnostic tests: health posts and hospitals, laboratories, cold-chain and warehouses, communications, safe water and sanitation, cooling and reliable electricity.</x:v>
      </x:c>
      <x:c r="S415" s="2" t="str">
        <x:v>Rapid diagnostic tests: electricity and fuel for facilities, cooling, cold chain, laboratories, digital systems and emergency transport.</x:v>
      </x:c>
      <x:c r="T415" s="2" t="str">
        <x:v>Rapid diagnostic tests: medicines, vaccines, diagnostics, disinfectants, protective equipment, insecticides or nets, medical gases and laboratory consumables.</x:v>
      </x:c>
      <x:c r="U415" s="2" t="str">
        <x:v>Rapid diagnostic tests: cold-chain parts, test cartridges, filters, batteries, communications equipment, vehicle parts, protective equipment and essential stocks.</x:v>
      </x:c>
      <x:c r="V415" s="2" t="str">
        <x:v>https://www.ctc-n.org/sites/default/files/resources/ctcn_taxonomy_0.pdf</x:v>
      </x:c>
      <x:c r="W415" s="2" t="str">
        <x:v>https://institutoagricoladepueblobello.edu.co/colegiapp/archivostemas/GUIA%209.%5B25%5D.pdf</x:v>
      </x:c>
      <x:c r="X415" s="2" t="str">
        <x:v>https://iiasa.ac.at/what-is-technology</x:v>
      </x:c>
      <x:c r="Y415" s="2" t="str">
        <x:v>https://www.who.int/news-room/fact-sheets/detail/climate-change-and-health</x:v>
      </x:c>
      <x:c r="Z415" s="2" t="str">
        <x:v>Technology-specific analytical synthesis. The CTCN hierarchy is retained; classifications and component dependencies require validation against the selected design, site and supplier documentation before investment or policy use.</x:v>
      </x:c>
      <x:c r="AA415" s="2" t="str">
        <x:v>Physical deployment of Rapid diagnostic tests requires health posts and hospitals, laboratories, cold-chain and warehouses, communications, safe water and sanitation, cooling and reliable electricity; interfaces, foundations, access and environmental protection are sized to the specific resource and design load.</x:v>
      </x:c>
      <x:c r="AB415" s="2" t="str">
        <x:v>For Rapid diagnostic tests, the hardware energy balance comprises electricity and fuel for facilities, cooling, cold chain, laboratories, digital systems and emergency transport; metering must separate useful output, conversion losses and auxiliaries for the selected design.</x:v>
      </x:c>
      <x:c r="AC415" s="2" t="str">
        <x:v>Construction and operation use medicines, vaccines, diagnostics, disinfectants, protective equipment, insecticides or nets, medical gases and laboratory consumables. For Rapid diagnostic tests, specifications must include durability, compatibility, recycled content and recoverability.</x:v>
      </x:c>
      <x:c r="AD415" s="2" t="str">
        <x:v>Maintenance of Rapid diagnostic tests depends on cold-chain parts, test cartridges, filters, batteries, communications equipment, vehicle parts, protective equipment and essential stocks; critical spares are selected from failure-mode, lead-time and safety analysis for its installed configuration.</x:v>
      </x:c>
      <x:c r="AE415" s="2" t="str">
        <x:v>The software stack for Rapid diagnostic tests requires databases, secure communications, version-controlled models, computing, backup and interfaces with field or operational systems.</x:v>
      </x:c>
      <x:c r="AF415" s="2" t="str">
        <x:v>For Rapid diagnostic tests, software-related energy is electricity for sensing, computing, storage, communication and cooling; it is normally secondary but must be included for data-intensive or continuous services.</x:v>
      </x:c>
      <x:c r="AG415" s="2" t="str">
        <x:v>The non-physical inputs are calibrated data, metadata, algorithms, boundary conditions, emission or hazard factors, manuals and validation records specific to Rapid diagnostic tests.</x:v>
      </x:c>
      <x:c r="AH415" s="2" t="str">
        <x:v>Software continuity for Rapid diagnostic tests requires licences where applicable, updates, cybersecurity patches, backups, calibration files, model validation and technical support.</x:v>
      </x:c>
      <x:c r="AI415" s="2" t="str">
        <x:v>Orgware depends on the institutions, laboratories, training providers, regulators, operators and community interfaces needed to govern Rapid diagnostic tests.</x:v>
      </x:c>
      <x:c r="AJ415" s="2" t="str">
        <x:v>The orgware supporting Rapid diagnostic tests has mainly indirect energy use from offices, meetings, training and information systems; travel and field supervision may be material at dispersed sites.</x:v>
      </x:c>
      <x:c r="AK415" s="2" t="str">
        <x:v>Its organisational inputs are permits, budgets, trained staff, competence records, contracts, procedures, safeguards, monitoring evidence and stakeholder agreements tailored to Rapid diagnostic tests.</x:v>
      </x:c>
      <x:c r="AL415" s="2" t="str">
        <x:v>Sustained implementation of Rapid diagnostic tests requires procurement and service contracts, audit protocols, training material, reporting templates, insurance or guarantees and periodic independent review.</x:v>
      </x:c>
      <x:c r="AM415" s="2" t="str">
        <x:v>Iron ore / steel inputs</x:v>
      </x:c>
      <x:c r="AN415" s="2" t="str">
        <x:v>Australia; Brazil; China</x:v>
      </x:c>
      <x:c r="AO415" s="2" t="str">
        <x:v>China; India; Japan</x:v>
      </x:c>
      <x:c r="AP415" s="2" t="str">
        <x:v>Rapid diagnostic tests: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5" s="2" t="str">
        <x:v>2024–2025</x:v>
      </x:c>
      <x:c r="AR415" s="2" t="str">
        <x:v>https://pubs.usgs.gov/periodicals/mcs2026/mcs2026.pdf</x:v>
      </x:c>
    </x:row>
    <x:row r="416" ht="240" customHeight="1">
      <x:c r="A416" s="2" t="str">
        <x:v>ADP-0146</x:v>
      </x:c>
      <x:c r="B416" s="2" t="str">
        <x:v>Adaptation</x:v>
      </x:c>
      <x:c r="C416" s="2" t="str">
        <x:v>Human Health</x:v>
      </x:c>
      <x:c r="D416" s="2" t="str">
        <x:v>Vector-borne diseases</x:v>
      </x:c>
      <x:c r="E416" s="2" t="str">
        <x:v>Malaria protection and prevention programs</x:v>
      </x:c>
      <x:c r="F416" s="2" t="str">
        <x:v>Malaria protection and prevention programs is a adaptation technology in the Human Health sector and the Vector-borne diseases technology group. It is defined as a combined hardware–software–orgware system that reduces climate-sensitive morbidity and mortality through surveillance, prevention, diagnosis, vaccination, heat-health action, emergency care and continuity of essential services. Malaria protection and prevention programs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16" s="2" t="str">
        <x:v>Flexible</x:v>
      </x:c>
      <x:c r="H416" s="2" t="str">
        <x:v>Malaria protection and prevention programs is transferable through configurable methods, rules and operating parameters. Its principle remains the same, but resource quality, climate, scale, interfaces and safety constraints must be recalculated for each deployment.</x:v>
      </x:c>
      <x:c r="I416" s="2" t="str">
        <x:v>Primarily soft, with physical support</x:v>
      </x:c>
      <x:c r="J416" s="2" t="str">
        <x:v>Malaria protection and prevention programs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16" s="2" t="str">
        <x:v>Operation</x:v>
      </x:c>
      <x:c r="L416" s="2" t="str">
        <x:v>Malaria protection and prevention programs is embodied mainly as an operating practice. The deliverable is accepted only when measurable service, quality, safety and climate-performance criteria are met under real conditions.</x:v>
      </x:c>
      <x:c r="M416" s="2" t="str">
        <x:v>Yes, subject to life-cycle safeguards</x:v>
      </x:c>
      <x:c r="N416" s="2" t="str">
        <x:v>Malaria protection and prevention programs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16" s="2" t="str">
        <x:v>Malaria protection and prevention programs: clinical and laboratory equipment, diagnostics, cold chain, vector-control tools, ambulances, communications, backup power and climate-resilient health facilities.</x:v>
      </x:c>
      <x:c r="P416" s="2" t="str">
        <x:v>Malaria protection and prevention programs: case definitions, epidemiological surveillance, climate–health analytics, risk stratification, logistics, clinical protocols and early-warning thresholds.</x:v>
      </x:c>
      <x:c r="Q416" s="2" t="str">
        <x:v>Malaria protection and prevention programs: public-health authority, referral network, emergency command, community outreach, procurement, stock management, privacy and equitable access.</x:v>
      </x:c>
      <x:c r="R416" s="2" t="str">
        <x:v>Malaria protection and prevention programs: health posts and hospitals, laboratories, cold-chain and warehouses, communications, safe water and sanitation, cooling and reliable electricity.</x:v>
      </x:c>
      <x:c r="S416" s="2" t="str">
        <x:v>Malaria protection and prevention programs: electricity and fuel for facilities, cooling, cold chain, laboratories, digital systems and emergency transport.</x:v>
      </x:c>
      <x:c r="T416" s="2" t="str">
        <x:v>Malaria protection and prevention programs: medicines, vaccines, diagnostics, disinfectants, protective equipment, insecticides or nets, medical gases and laboratory consumables.</x:v>
      </x:c>
      <x:c r="U416" s="2" t="str">
        <x:v>Malaria protection and prevention programs: cold-chain parts, test cartridges, filters, batteries, communications equipment, vehicle parts, protective equipment and essential stocks.</x:v>
      </x:c>
      <x:c r="V416" s="2" t="str">
        <x:v>https://www.ctc-n.org/sites/default/files/resources/ctcn_taxonomy_0.pdf</x:v>
      </x:c>
      <x:c r="W416" s="2" t="str">
        <x:v>https://institutoagricoladepueblobello.edu.co/colegiapp/archivostemas/GUIA%209.%5B25%5D.pdf</x:v>
      </x:c>
      <x:c r="X416" s="2" t="str">
        <x:v>https://iiasa.ac.at/what-is-technology</x:v>
      </x:c>
      <x:c r="Y416" s="2" t="str">
        <x:v>https://www.who.int/news-room/fact-sheets/detail/climate-change-and-health</x:v>
      </x:c>
      <x:c r="Z416" s="2" t="str">
        <x:v>Technology-specific analytical synthesis. The CTCN hierarchy is retained; classifications and component dependencies require validation against the selected design, site and supplier documentation before investment or policy use.</x:v>
      </x:c>
      <x:c r="AA416" s="2" t="str">
        <x:v>Physical deployment of Malaria protection and prevention programs requires health posts and hospitals, laboratories, cold-chain and warehouses, communications, safe water and sanitation, cooling and reliable electricity; interfaces, foundations, access and environmental protection are sized to the specific resource and design load.</x:v>
      </x:c>
      <x:c r="AB416" s="2" t="str">
        <x:v>For Malaria protection and prevention programs, the hardware energy balance comprises electricity and fuel for facilities, cooling, cold chain, laboratories, digital systems and emergency transport; metering must separate useful output, conversion losses and auxiliaries for the selected design.</x:v>
      </x:c>
      <x:c r="AC416" s="2" t="str">
        <x:v>Construction and operation use medicines, vaccines, diagnostics, disinfectants, protective equipment, insecticides or nets, medical gases and laboratory consumables. For Malaria protection and prevention programs, specifications must include durability, compatibility, recycled content and recoverability.</x:v>
      </x:c>
      <x:c r="AD416" s="2" t="str">
        <x:v>Maintenance of Malaria protection and prevention programs depends on cold-chain parts, test cartridges, filters, batteries, communications equipment, vehicle parts, protective equipment and essential stocks; critical spares are selected from failure-mode, lead-time and safety analysis for its installed configuration.</x:v>
      </x:c>
      <x:c r="AE416" s="2" t="str">
        <x:v>The software stack for Malaria protection and prevention programs requires databases, secure communications, version-controlled models, computing, backup and interfaces with field or operational systems.</x:v>
      </x:c>
      <x:c r="AF416" s="2" t="str">
        <x:v>For Malaria protection and prevention programs, software-related energy is electricity for sensing, computing, storage, communication and cooling; it is normally secondary but must be included for data-intensive or continuous services.</x:v>
      </x:c>
      <x:c r="AG416" s="2" t="str">
        <x:v>The non-physical inputs are calibrated data, metadata, algorithms, boundary conditions, emission or hazard factors, manuals and validation records specific to Malaria protection and prevention programs.</x:v>
      </x:c>
      <x:c r="AH416" s="2" t="str">
        <x:v>Software continuity for Malaria protection and prevention programs requires licences where applicable, updates, cybersecurity patches, backups, calibration files, model validation and technical support.</x:v>
      </x:c>
      <x:c r="AI416" s="2" t="str">
        <x:v>Orgware depends on the institutions, laboratories, training providers, regulators, operators and community interfaces needed to govern Malaria protection and prevention programs.</x:v>
      </x:c>
      <x:c r="AJ416" s="2" t="str">
        <x:v>The orgware supporting Malaria protection and prevention programs has mainly indirect energy use from offices, meetings, training and information systems; travel and field supervision may be material at dispersed sites.</x:v>
      </x:c>
      <x:c r="AK416" s="2" t="str">
        <x:v>Its organisational inputs are permits, budgets, trained staff, competence records, contracts, procedures, safeguards, monitoring evidence and stakeholder agreements tailored to Malaria protection and prevention programs.</x:v>
      </x:c>
      <x:c r="AL416" s="2" t="str">
        <x:v>Sustained implementation of Malaria protection and prevention programs requires procurement and service contracts, audit protocols, training material, reporting templates, insurance or guarantees and periodic independent review.</x:v>
      </x:c>
      <x:c r="AM416" s="2" t="str">
        <x:v>Iron ore / steel inputs</x:v>
      </x:c>
      <x:c r="AN416" s="2" t="str">
        <x:v>Australia; Brazil; China</x:v>
      </x:c>
      <x:c r="AO416" s="2" t="str">
        <x:v>China; India; Japan</x:v>
      </x:c>
      <x:c r="AP416" s="2" t="str">
        <x:v>Malaria protection and prevention programs: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6" s="2" t="str">
        <x:v>2024–2025</x:v>
      </x:c>
      <x:c r="AR416" s="2" t="str">
        <x:v>https://pubs.usgs.gov/periodicals/mcs2026/mcs2026.pdf</x:v>
      </x:c>
    </x:row>
    <x:row r="417" ht="240" customHeight="1">
      <x:c r="A417" s="2" t="str">
        <x:v>ADP-0147</x:v>
      </x:c>
      <x:c r="B417" s="2" t="str">
        <x:v>Adaptation</x:v>
      </x:c>
      <x:c r="C417" s="2" t="str">
        <x:v>Human Health</x:v>
      </x:c>
      <x:c r="D417" s="2" t="str">
        <x:v>Vector-borne diseases</x:v>
      </x:c>
      <x:c r="E417" s="2" t="str">
        <x:v>Long-lasting insecticidal bed nets</x:v>
      </x:c>
      <x:c r="F417" s="2" t="str">
        <x:v>Long-lasting insecticidal bed nets is a adaptation technology in the Human Health sector and the Vector-borne diseases technology group. It is defined as a combined hardware–software–orgware system that reduces climate-sensitive morbidity and mortality through surveillance, prevention, diagnosis, vaccination, heat-health action, emergency care and continuity of essential services. Long-lasting insecticidal bed nets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417" s="2" t="str">
        <x:v>Mixed: adaptable design, site-specific implementation</x:v>
      </x:c>
      <x:c r="H417" s="2" t="str">
        <x:v>Long-lasting insecticidal bed nets is adaptable in capacity and configuration but site-specific in final engineering. Its principle remains the same, but resource quality, climate, scale, interfaces and safety constraints must be recalculated for each deployment.</x:v>
      </x:c>
      <x:c r="I417" s="2" t="str">
        <x:v>Primarily hard, with a soft component</x:v>
      </x:c>
      <x:c r="J417" s="2" t="str">
        <x:v>Long-lasting insecticidal bed nets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417" s="2" t="str">
        <x:v>Product and equipment; complementary operation</x:v>
      </x:c>
      <x:c r="L417" s="2" t="str">
        <x:v>Long-lasting insecticidal bed nets is embodied mainly as a product/equipment package. The deliverable is accepted only when measurable service, quality, safety and climate-performance criteria are met under real conditions.</x:v>
      </x:c>
      <x:c r="M417" s="2" t="str">
        <x:v>Yes, subject to life-cycle safeguards</x:v>
      </x:c>
      <x:c r="N417" s="2" t="str">
        <x:v>Long-lasting insecticidal bed nets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417" s="2" t="str">
        <x:v>Long-lasting insecticidal bed nets: clinical and laboratory equipment, diagnostics, cold chain, vector-control tools, ambulances, communications, backup power and climate-resilient health facilities.</x:v>
      </x:c>
      <x:c r="P417" s="2" t="str">
        <x:v>Long-lasting insecticidal bed nets: case definitions, epidemiological surveillance, climate–health analytics, risk stratification, logistics, clinical protocols and early-warning thresholds.</x:v>
      </x:c>
      <x:c r="Q417" s="2" t="str">
        <x:v>Long-lasting insecticidal bed nets: public-health authority, referral network, emergency command, community outreach, procurement, stock management, privacy and equitable access.</x:v>
      </x:c>
      <x:c r="R417" s="2" t="str">
        <x:v>Long-lasting insecticidal bed nets: health posts and hospitals, laboratories, cold-chain and warehouses, communications, safe water and sanitation, cooling and reliable electricity.</x:v>
      </x:c>
      <x:c r="S417" s="2" t="str">
        <x:v>Long-lasting insecticidal bed nets: electricity and fuel for facilities, cooling, cold chain, laboratories, digital systems and emergency transport.</x:v>
      </x:c>
      <x:c r="T417" s="2" t="str">
        <x:v>Long-lasting insecticidal bed nets: medicines, vaccines, diagnostics, disinfectants, protective equipment, insecticides or nets, medical gases and laboratory consumables.</x:v>
      </x:c>
      <x:c r="U417" s="2" t="str">
        <x:v>Long-lasting insecticidal bed nets: cold-chain parts, test cartridges, filters, batteries, communications equipment, vehicle parts, protective equipment and essential stocks.</x:v>
      </x:c>
      <x:c r="V417" s="2" t="str">
        <x:v>https://www.ctc-n.org/sites/default/files/resources/ctcn_taxonomy_0.pdf</x:v>
      </x:c>
      <x:c r="W417" s="2" t="str">
        <x:v>https://institutoagricoladepueblobello.edu.co/colegiapp/archivostemas/GUIA%209.%5B25%5D.pdf</x:v>
      </x:c>
      <x:c r="X417" s="2" t="str">
        <x:v>https://iiasa.ac.at/what-is-technology</x:v>
      </x:c>
      <x:c r="Y417" s="2" t="str">
        <x:v>https://www.who.int/news-room/fact-sheets/detail/climate-change-and-health</x:v>
      </x:c>
      <x:c r="Z417" s="2" t="str">
        <x:v>Technology-specific analytical synthesis. The CTCN hierarchy is retained; classifications and component dependencies require validation against the selected design, site and supplier documentation before investment or policy use.</x:v>
      </x:c>
      <x:c r="AA417" s="2" t="str">
        <x:v>Physical deployment of Long-lasting insecticidal bed nets requires health posts and hospitals, laboratories, cold-chain and warehouses, communications, safe water and sanitation, cooling and reliable electricity; interfaces, foundations, access and environmental protection are sized to the specific resource and design load.</x:v>
      </x:c>
      <x:c r="AB417" s="2" t="str">
        <x:v>For Long-lasting insecticidal bed nets, the hardware energy balance comprises electricity and fuel for facilities, cooling, cold chain, laboratories, digital systems and emergency transport; metering must separate useful output, conversion losses and auxiliaries for the selected design.</x:v>
      </x:c>
      <x:c r="AC417" s="2" t="str">
        <x:v>Construction and operation use medicines, vaccines, diagnostics, disinfectants, protective equipment, insecticides or nets, medical gases and laboratory consumables. For Long-lasting insecticidal bed nets, specifications must include durability, compatibility, recycled content and recoverability.</x:v>
      </x:c>
      <x:c r="AD417" s="2" t="str">
        <x:v>Maintenance of Long-lasting insecticidal bed nets depends on cold-chain parts, test cartridges, filters, batteries, communications equipment, vehicle parts, protective equipment and essential stocks; critical spares are selected from failure-mode, lead-time and safety analysis for its installed configuration.</x:v>
      </x:c>
      <x:c r="AE417" s="2" t="str">
        <x:v>The software stack for Long-lasting insecticidal bed nets requires databases, secure communications, version-controlled models, computing, backup and interfaces with field or operational systems.</x:v>
      </x:c>
      <x:c r="AF417" s="2" t="str">
        <x:v>For Long-lasting insecticidal bed nets, software-related energy is electricity for sensing, computing, storage, communication and cooling; it is normally secondary but must be included for data-intensive or continuous services.</x:v>
      </x:c>
      <x:c r="AG417" s="2" t="str">
        <x:v>The non-physical inputs are calibrated data, metadata, algorithms, boundary conditions, emission or hazard factors, manuals and validation records specific to Long-lasting insecticidal bed nets.</x:v>
      </x:c>
      <x:c r="AH417" s="2" t="str">
        <x:v>Software continuity for Long-lasting insecticidal bed nets requires licences where applicable, updates, cybersecurity patches, backups, calibration files, model validation and technical support.</x:v>
      </x:c>
      <x:c r="AI417" s="2" t="str">
        <x:v>Orgware depends on the institutions, laboratories, training providers, regulators, operators and community interfaces needed to govern Long-lasting insecticidal bed nets.</x:v>
      </x:c>
      <x:c r="AJ417" s="2" t="str">
        <x:v>The orgware supporting Long-lasting insecticidal bed nets has mainly indirect energy use from offices, meetings, training and information systems; travel and field supervision may be material at dispersed sites.</x:v>
      </x:c>
      <x:c r="AK417" s="2" t="str">
        <x:v>Its organisational inputs are permits, budgets, trained staff, competence records, contracts, procedures, safeguards, monitoring evidence and stakeholder agreements tailored to Long-lasting insecticidal bed nets.</x:v>
      </x:c>
      <x:c r="AL417" s="2" t="str">
        <x:v>Sustained implementation of Long-lasting insecticidal bed nets requires procurement and service contracts, audit protocols, training material, reporting templates, insurance or guarantees and periodic independent review.</x:v>
      </x:c>
      <x:c r="AM417" s="2" t="str">
        <x:v>Iron ore / steel inputs</x:v>
      </x:c>
      <x:c r="AN417" s="2" t="str">
        <x:v>Australia; Brazil; China</x:v>
      </x:c>
      <x:c r="AO417" s="2" t="str">
        <x:v>China; India; Japan</x:v>
      </x:c>
      <x:c r="AP417" s="2" t="str">
        <x:v>Long-lasting insecticidal bed nets: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7" s="2" t="str">
        <x:v>2024–2025</x:v>
      </x:c>
      <x:c r="AR417" s="2" t="str">
        <x:v>https://pubs.usgs.gov/periodicals/mcs2026/mcs2026.pdf</x:v>
      </x:c>
    </x:row>
    <x:row r="418" ht="240" customHeight="1">
      <x:c r="A418" s="2" t="str">
        <x:v>ADP-0148</x:v>
      </x:c>
      <x:c r="B418" s="2" t="str">
        <x:v>Adaptation</x:v>
      </x:c>
      <x:c r="C418" s="2" t="str">
        <x:v>Infrastructure and Urban planning</x:v>
      </x:c>
      <x:c r="D418" s="2" t="str">
        <x:v>Ground surface material</x:v>
      </x:c>
      <x:c r="E418" s="2" t="str">
        <x:v>Engineered cementitious composite (ECC)</x:v>
      </x:c>
      <x:c r="F418" s="2" t="str">
        <x:v>Engineered cementitious composite (ECC) is a adaptation technology in the Infrastructure and Urban planning sector and the Ground surface material technology group. It is defined as a combined hardware–software–orgware system that changes industrial chemistry, heat integration, equipment efficiency, material yield, fuel, process route or product design to reduce direct and energy-related emissions per unit of output. Engineered cementitious composite (ECC)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418" s="2" t="str">
        <x:v>Mixed: adaptable design, site-specific implementation</x:v>
      </x:c>
      <x:c r="H418" s="2" t="str">
        <x:v>Engineered cementitious composite (ECC) is adaptable in capacity and configuration but site-specific in final engineering. Its principle remains the same, but resource quality, climate, scale, interfaces and safety constraints must be recalculated for each deployment.</x:v>
      </x:c>
      <x:c r="I418" s="2" t="str">
        <x:v>Primarily hard, with a soft component</x:v>
      </x:c>
      <x:c r="J418" s="2" t="str">
        <x:v>Engineered cementitious composite (ECC)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418" s="2" t="str">
        <x:v>Equipment and operation</x:v>
      </x:c>
      <x:c r="L418" s="2" t="str">
        <x:v>Engineered cementitious composite (ECC) is embodied mainly as an equipment-and-operation system. The deliverable is accepted only when measurable service, quality, safety and climate-performance criteria are met under real conditions.</x:v>
      </x:c>
      <x:c r="M418" s="2" t="str">
        <x:v>Yes, subject to life-cycle safeguards</x:v>
      </x:c>
      <x:c r="N418" s="2" t="str">
        <x:v>Engineered cementitious composite (ECC)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418" s="2" t="str">
        <x:v>Engineered cementitious composite (ECC): process reactors or furnaces, heat exchangers, motors and drives, compressors, burners, controls, pollution abatement, material handling and measurement equipment.</x:v>
      </x:c>
      <x:c r="P418" s="2" t="str">
        <x:v>Engineered cementitious composite (ECC): process simulation, pinch and heat-integration analysis, advanced control, production scheduling, quality control, energy management and life-cycle assessment.</x:v>
      </x:c>
      <x:c r="Q418" s="2" t="str">
        <x:v>Engineered cementitious composite (ECC): industrial permits, product standards, operating procedures, maintenance and competence systems, procurement, energy management and industrial-symbiosis agreements.</x:v>
      </x:c>
      <x:c r="R418" s="2" t="str">
        <x:v>Engineered cementitious composite (ECC): industrial site, utilities, fuel and electricity supply, material storage, process buildings, laboratories, waste handling and logistics.</x:v>
      </x:c>
      <x:c r="S418" s="2" t="str">
        <x:v>Engineered cementitious composite (ECC): electricity, steam, process heat, cooling and fuels; useful-energy efficiency, heat recovery and carbon intensity of supply determine savings.</x:v>
      </x:c>
      <x:c r="T418" s="2" t="str">
        <x:v>Engineered cementitious composite (ECC): process feedstocks, steel and refractory materials, catalysts, solvents, lubricants, insulation, piping, sensors and technology-specific alloying elements.</x:v>
      </x:c>
      <x:c r="U418" s="2" t="str">
        <x:v>Engineered cementitious composite (ECC): refractory linings, bearings, seals, valves, filters, burners, electrodes, sensors, control modules, lubricants and calibrated instruments.</x:v>
      </x:c>
      <x:c r="V418" s="2" t="str">
        <x:v>https://www.ctc-n.org/sites/default/files/resources/ctcn_taxonomy_0.pdf</x:v>
      </x:c>
      <x:c r="W418" s="2" t="str">
        <x:v>https://institutoagricoladepueblobello.edu.co/colegiapp/archivostemas/GUIA%209.%5B25%5D.pdf</x:v>
      </x:c>
      <x:c r="X418" s="2" t="str">
        <x:v>https://iiasa.ac.at/what-is-technology</x:v>
      </x:c>
      <x:c r="Y418" s="2" t="str">
        <x:v>https://www.ipcc.ch/report/ar6/wg2/chapter/chapter-6/; https://www.ipcc.ch/report/ar6/wg3/chapter/chapter-11/</x:v>
      </x:c>
      <x:c r="Z418" s="2" t="str">
        <x:v>Technology-specific analytical synthesis. The CTCN hierarchy is retained; classifications and component dependencies require validation against the selected design, site and supplier documentation before investment or policy use.</x:v>
      </x:c>
      <x:c r="AA418" s="2" t="str">
        <x:v>Physical deployment of Engineered cementitious composite (ECC) requires industrial site, utilities, fuel and electricity supply, material storage, process buildings, laboratories, waste handling and logistics; interfaces, foundations, access and environmental protection are sized to the specific resource and design load.</x:v>
      </x:c>
      <x:c r="AB418" s="2" t="str">
        <x:v>For Engineered cementitious composite (ECC),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418" s="2" t="str">
        <x:v>Construction and operation use process feedstocks, steel and refractory materials, catalysts, solvents, lubricants, insulation, piping, sensors and technology-specific alloying elements. For Engineered cementitious composite (ECC), specifications must include durability, compatibility, recycled content and recoverability.</x:v>
      </x:c>
      <x:c r="AD418" s="2" t="str">
        <x:v>Maintenance of Engineered cementitious composite (ECC) depends on refractory linings, bearings, seals, valves, filters, burners, electrodes, sensors, control modules, lubricants and calibrated instruments; critical spares are selected from failure-mode, lead-time and safety analysis for its installed configuration.</x:v>
      </x:c>
      <x:c r="AE418" s="2" t="str">
        <x:v>The software stack for Engineered cementitious composite (ECC) requires databases, secure communications, version-controlled models, computing, backup and interfaces with field or operational systems.</x:v>
      </x:c>
      <x:c r="AF418" s="2" t="str">
        <x:v>For Engineered cementitious composite (ECC), software-related energy is electricity for sensing, computing, storage, communication and cooling; it is normally secondary but must be included for data-intensive or continuous services.</x:v>
      </x:c>
      <x:c r="AG418" s="2" t="str">
        <x:v>The non-physical inputs are calibrated data, metadata, algorithms, boundary conditions, emission or hazard factors, manuals and validation records specific to Engineered cementitious composite (ECC).</x:v>
      </x:c>
      <x:c r="AH418" s="2" t="str">
        <x:v>Software continuity for Engineered cementitious composite (ECC) requires licences where applicable, updates, cybersecurity patches, backups, calibration files, model validation and technical support.</x:v>
      </x:c>
      <x:c r="AI418" s="2" t="str">
        <x:v>Orgware depends on the institutions, laboratories, training providers, regulators, operators and community interfaces needed to govern Engineered cementitious composite (ECC).</x:v>
      </x:c>
      <x:c r="AJ418" s="2" t="str">
        <x:v>The orgware supporting Engineered cementitious composite (ECC) has mainly indirect energy use from offices, meetings, training and information systems; travel and field supervision may be material at dispersed sites.</x:v>
      </x:c>
      <x:c r="AK418" s="2" t="str">
        <x:v>Its organisational inputs are permits, budgets, trained staff, competence records, contracts, procedures, safeguards, monitoring evidence and stakeholder agreements tailored to Engineered cementitious composite (ECC).</x:v>
      </x:c>
      <x:c r="AL418" s="2" t="str">
        <x:v>Sustained implementation of Engineered cementitious composite (ECC) requires procurement and service contracts, audit protocols, training material, reporting templates, insurance or guarantees and periodic independent review.</x:v>
      </x:c>
      <x:c r="AM418" s="2" t="str">
        <x:v>Iron ore / steel inputs; Nickel; Chromium; Limestone / cement raw materials</x:v>
      </x:c>
      <x:c r="AN418" s="2" t="str">
        <x:v>Australia; Brazil; China; Indonesia; Philippines; Russia; South Africa; Kazakhstan; Turkey; India; Vietnam</x:v>
      </x:c>
      <x:c r="AO418" s="2" t="str">
        <x:v>China; India; Japan; Indonesia; South Africa; Kazakhstan; Vietnam</x:v>
      </x:c>
      <x:c r="AP418" s="2" t="str">
        <x:v>Engineered cementitious composite (ECC):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8" s="2" t="str">
        <x:v>2024–2025</x:v>
      </x:c>
      <x:c r="AR418" s="2" t="str">
        <x:v>https://pubs.usgs.gov/periodicals/mcs2026/mcs2026.pdf; https://www.iea.org/reports/global-critical-minerals-outlook-2025</x:v>
      </x:c>
    </x:row>
    <x:row r="419" ht="240" customHeight="1">
      <x:c r="A419" s="2" t="str">
        <x:v>ADP-0149</x:v>
      </x:c>
      <x:c r="B419" s="2" t="str">
        <x:v>Adaptation</x:v>
      </x:c>
      <x:c r="C419" s="2" t="str">
        <x:v>Infrastructure and Urban planning</x:v>
      </x:c>
      <x:c r="D419" s="2" t="str">
        <x:v>Ground surface material</x:v>
      </x:c>
      <x:c r="E419" s="2" t="str">
        <x:v>Warm-mix asphalt</x:v>
      </x:c>
      <x:c r="F419" s="2" t="str">
        <x:v>Warm-mix asphalt is a adaptation technology in the Infrastructure and Urban planning sector and the Ground surface material technology group. It is defined as a combined hardware–software–orgware system that reduces exposure and physical vulnerability through resilient siting, design loads, protective structures, adaptable construction, ecosystem buffers and planned management of residual risk. Warm-mix asphalt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19" s="2" t="str">
        <x:v>Mixed: adaptable design, site-specific implementation</x:v>
      </x:c>
      <x:c r="H419" s="2" t="str">
        <x:v>Warm-mix asphalt is adaptable in capacity and configuration but site-specific in final engineering. Its principle remains the same, but resource quality, climate, scale, interfaces and safety constraints must be recalculated for each deployment.</x:v>
      </x:c>
      <x:c r="I419" s="2" t="str">
        <x:v>Primarily hard, with a soft component</x:v>
      </x:c>
      <x:c r="J419" s="2" t="str">
        <x:v>Warm-mix asphalt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19" s="2" t="str">
        <x:v>Equipment and operation</x:v>
      </x:c>
      <x:c r="L419" s="2" t="str">
        <x:v>Warm-mix asphalt is embodied mainly as an equipment-and-operation system. The deliverable is accepted only when measurable service, quality, safety and climate-performance criteria are met under real conditions.</x:v>
      </x:c>
      <x:c r="M419" s="2" t="str">
        <x:v>Yes, subject to life-cycle safeguards</x:v>
      </x:c>
      <x:c r="N419" s="2" t="str">
        <x:v>Warm-mix asphalt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19" s="2" t="str">
        <x:v>Warm-mix asphalt: resilient structural, drainage, transport, coastal or utility components; foundations, barriers, armour, geosynthetics, sensors and nature-based elements as applicable.</x:v>
      </x:c>
      <x:c r="P419" s="2" t="str">
        <x:v>Warm-mix asphalt: climate-load and hazard analysis, structural or hydraulic modelling, geotechnical design, spatial planning, asset criticality, inspection and adaptation pathways.</x:v>
      </x:c>
      <x:c r="Q419" s="2" t="str">
        <x:v>Warm-mix asphalt: building and infrastructure codes, zoning, permits, land acquisition or easements, maintenance responsibility, emergency access, environmental safeguards and community participation.</x:v>
      </x:c>
      <x:c r="R419" s="2" t="str">
        <x:v>Warm-mix asphalt: site access, foundations, drainage, utility relocation, monitoring, construction staging, sediment or material supply and long-term maintenance corridors.</x:v>
      </x:c>
      <x:c r="S419" s="2" t="str">
        <x:v>Warm-mix asphalt: construction fuel and electricity plus operational pumping, monitoring, lighting or active control; passive and ecosystem measures have lower operational demand.</x:v>
      </x:c>
      <x:c r="T419" s="2" t="str">
        <x:v>Warm-mix asphalt: concrete, steel, stone, asphalt, timber, geotextiles, soil or sand, corrosion protection, vegetation and locally compatible fill.</x:v>
      </x:c>
      <x:c r="U419" s="2" t="str">
        <x:v>Warm-mix asphalt: drainage and pump parts, expansion joints, fasteners, coatings, sensors, geotextile repair, replacement armour or fill and planting stock.</x:v>
      </x:c>
      <x:c r="V419" s="2" t="str">
        <x:v>https://www.ctc-n.org/sites/default/files/resources/ctcn_taxonomy_0.pdf</x:v>
      </x:c>
      <x:c r="W419" s="2" t="str">
        <x:v>https://institutoagricoladepueblobello.edu.co/colegiapp/archivostemas/GUIA%209.%5B25%5D.pdf</x:v>
      </x:c>
      <x:c r="X419" s="2" t="str">
        <x:v>https://iiasa.ac.at/what-is-technology</x:v>
      </x:c>
      <x:c r="Y419" s="2" t="str">
        <x:v>https://www.ipcc.ch/report/ar6/wg2/chapter/chapter-6/; https://www.ipcc.ch/srocc/chapter/chapter-4-sea-level-rise-and-implications-for-low-lying-islands-coasts-and-communities/; https://www.unep.org/topics/climate-action/adaptation/ecosystem-based-adaptation</x:v>
      </x:c>
      <x:c r="Z419" s="2" t="str">
        <x:v>Technology-specific analytical synthesis. The CTCN hierarchy is retained; classifications and component dependencies require validation against the selected design, site and supplier documentation before investment or policy use.</x:v>
      </x:c>
      <x:c r="AA419" s="2" t="str">
        <x:v>Physical deployment of Warm-mix asphalt requires site access, foundations, drainage, utility relocation, monitoring, construction staging, sediment or material supply and long-term maintenance corridors; interfaces, foundations, access and environmental protection are sized to the specific resource and design load.</x:v>
      </x:c>
      <x:c r="AB419" s="2" t="str">
        <x:v>For Warm-mix asphalt,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19" s="2" t="str">
        <x:v>Construction and operation use concrete, steel, stone, asphalt, timber, geotextiles, soil or sand, corrosion protection, vegetation and locally compatible fill. For Warm-mix asphalt, specifications must include durability, compatibility, recycled content and recoverability.</x:v>
      </x:c>
      <x:c r="AD419" s="2" t="str">
        <x:v>Maintenance of Warm-mix asphalt depends on drainage and pump parts, expansion joints, fasteners, coatings, sensors, geotextile repair, replacement armour or fill and planting stock; critical spares are selected from failure-mode, lead-time and safety analysis for its installed configuration.</x:v>
      </x:c>
      <x:c r="AE419" s="2" t="str">
        <x:v>The software stack for Warm-mix asphalt requires databases, secure communications, version-controlled models, computing, backup and interfaces with field or operational systems.</x:v>
      </x:c>
      <x:c r="AF419" s="2" t="str">
        <x:v>For Warm-mix asphalt, software-related energy is electricity for sensing, computing, storage, communication and cooling; it is normally secondary but must be included for data-intensive or continuous services.</x:v>
      </x:c>
      <x:c r="AG419" s="2" t="str">
        <x:v>The non-physical inputs are calibrated data, metadata, algorithms, boundary conditions, emission or hazard factors, manuals and validation records specific to Warm-mix asphalt.</x:v>
      </x:c>
      <x:c r="AH419" s="2" t="str">
        <x:v>Software continuity for Warm-mix asphalt requires licences where applicable, updates, cybersecurity patches, backups, calibration files, model validation and technical support.</x:v>
      </x:c>
      <x:c r="AI419" s="2" t="str">
        <x:v>Orgware depends on the institutions, laboratories, training providers, regulators, operators and community interfaces needed to govern Warm-mix asphalt.</x:v>
      </x:c>
      <x:c r="AJ419" s="2" t="str">
        <x:v>The orgware supporting Warm-mix asphalt has mainly indirect energy use from offices, meetings, training and information systems; travel and field supervision may be material at dispersed sites.</x:v>
      </x:c>
      <x:c r="AK419" s="2" t="str">
        <x:v>Its organisational inputs are permits, budgets, trained staff, competence records, contracts, procedures, safeguards, monitoring evidence and stakeholder agreements tailored to Warm-mix asphalt.</x:v>
      </x:c>
      <x:c r="AL419" s="2" t="str">
        <x:v>Sustained implementation of Warm-mix asphalt requires procurement and service contracts, audit protocols, training material, reporting templates, insurance or guarantees and periodic independent review.</x:v>
      </x:c>
      <x:c r="AM419" s="2" t="str">
        <x:v>Iron ore / steel inputs; Limestone / cement raw materials</x:v>
      </x:c>
      <x:c r="AN419" s="2" t="str">
        <x:v>Australia; Brazil; China; India; Vietnam</x:v>
      </x:c>
      <x:c r="AO419" s="2" t="str">
        <x:v>China; India; Japan; Vietnam</x:v>
      </x:c>
      <x:c r="AP419" s="2" t="str">
        <x:v>Warm-mix asphalt: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9" s="2" t="str">
        <x:v>2024–2025</x:v>
      </x:c>
      <x:c r="AR419" s="2" t="str">
        <x:v>https://pubs.usgs.gov/periodicals/mcs2026/mcs2026.pdf</x:v>
      </x:c>
    </x:row>
    <x:row r="420" ht="240" customHeight="1">
      <x:c r="A420" s="2" t="str">
        <x:v>ADP-0150</x:v>
      </x:c>
      <x:c r="B420" s="2" t="str">
        <x:v>Adaptation</x:v>
      </x:c>
      <x:c r="C420" s="2" t="str">
        <x:v>Infrastructure and Urban planning</x:v>
      </x:c>
      <x:c r="D420" s="2" t="str">
        <x:v>Sewerage infrastructure</x:v>
      </x:c>
      <x:c r="E420" s="2" t="str">
        <x:v>Sewerage infrastructure</x:v>
      </x:c>
      <x:c r="F420" s="2" t="str">
        <x:v>Sewerage infrastructure is a adaptation technology in the Infrastructure and Urban planning sector and the Sewerage infrastructure technology group. It is defined as a combined hardware–software–orgware system that reduces exposure and physical vulnerability through resilient siting, design loads, protective structures, adaptable construction, ecosystem buffers and planned management of residual risk. Sewerage infrastructure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20" s="2" t="str">
        <x:v>Primarily fixed</x:v>
      </x:c>
      <x:c r="H420" s="2" t="str">
        <x:v>Sewerage infrastructure is tied to long-lived, site-specific assets and design loads. Its principle remains the same, but resource quality, climate, scale, interfaces and safety constraints must be recalculated for each deployment.</x:v>
      </x:c>
      <x:c r="I420" s="2" t="str">
        <x:v>Primarily hard, with a soft component</x:v>
      </x:c>
      <x:c r="J420" s="2" t="str">
        <x:v>Sewerage infrastructure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20" s="2" t="str">
        <x:v>Equipment and operation</x:v>
      </x:c>
      <x:c r="L420" s="2" t="str">
        <x:v>Sewerage infrastructure is embodied mainly as an equipment-and-operation system. The deliverable is accepted only when measurable service, quality, safety and climate-performance criteria are met under real conditions.</x:v>
      </x:c>
      <x:c r="M420" s="2" t="str">
        <x:v>Yes, subject to life-cycle safeguards</x:v>
      </x:c>
      <x:c r="N420" s="2" t="str">
        <x:v>Sewerage infrastructure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20" s="2" t="str">
        <x:v>Sewerage infrastructure: resilient structural, drainage, transport, coastal or utility components; foundations, barriers, armour, geosynthetics, sensors and nature-based elements as applicable.</x:v>
      </x:c>
      <x:c r="P420" s="2" t="str">
        <x:v>Sewerage infrastructure: climate-load and hazard analysis, structural or hydraulic modelling, geotechnical design, spatial planning, asset criticality, inspection and adaptation pathways.</x:v>
      </x:c>
      <x:c r="Q420" s="2" t="str">
        <x:v>Sewerage infrastructure: building and infrastructure codes, zoning, permits, land acquisition or easements, maintenance responsibility, emergency access, environmental safeguards and community participation.</x:v>
      </x:c>
      <x:c r="R420" s="2" t="str">
        <x:v>Sewerage infrastructure: site access, foundations, drainage, utility relocation, monitoring, construction staging, sediment or material supply and long-term maintenance corridors.</x:v>
      </x:c>
      <x:c r="S420" s="2" t="str">
        <x:v>Sewerage infrastructure: construction fuel and electricity plus operational pumping, monitoring, lighting or active control; passive and ecosystem measures have lower operational demand.</x:v>
      </x:c>
      <x:c r="T420" s="2" t="str">
        <x:v>Sewerage infrastructure: concrete, steel, stone, asphalt, timber, geotextiles, soil or sand, corrosion protection, vegetation and locally compatible fill.</x:v>
      </x:c>
      <x:c r="U420" s="2" t="str">
        <x:v>Sewerage infrastructure: drainage and pump parts, expansion joints, fasteners, coatings, sensors, geotextile repair, replacement armour or fill and planting stock.</x:v>
      </x:c>
      <x:c r="V420" s="2" t="str">
        <x:v>https://www.ctc-n.org/sites/default/files/resources/ctcn_taxonomy_0.pdf</x:v>
      </x:c>
      <x:c r="W420" s="2" t="str">
        <x:v>https://institutoagricoladepueblobello.edu.co/colegiapp/archivostemas/GUIA%209.%5B25%5D.pdf</x:v>
      </x:c>
      <x:c r="X420" s="2" t="str">
        <x:v>https://iiasa.ac.at/what-is-technology</x:v>
      </x:c>
      <x:c r="Y420" s="2" t="str">
        <x:v>https://www.ipcc.ch/report/ar6/wg2/chapter/chapter-6/; https://www.ipcc.ch/srocc/chapter/chapter-4-sea-level-rise-and-implications-for-low-lying-islands-coasts-and-communities/; https://www.unep.org/topics/climate-action/adaptation/ecosystem-based-adaptation</x:v>
      </x:c>
      <x:c r="Z420" s="2" t="str">
        <x:v>Technology-specific analytical synthesis. The CTCN hierarchy is retained; classifications and component dependencies require validation against the selected design, site and supplier documentation before investment or policy use.</x:v>
      </x:c>
      <x:c r="AA420" s="2" t="str">
        <x:v>Physical deployment of Sewerage infrastructure requires site access, foundations, drainage, utility relocation, monitoring, construction staging, sediment or material supply and long-term maintenance corridors; interfaces, foundations, access and environmental protection are sized to the specific resource and design load.</x:v>
      </x:c>
      <x:c r="AB420" s="2" t="str">
        <x:v>For Sewerage infrastructure,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20" s="2" t="str">
        <x:v>Construction and operation use concrete, steel, stone, asphalt, timber, geotextiles, soil or sand, corrosion protection, vegetation and locally compatible fill. For Sewerage infrastructure, specifications must include durability, compatibility, recycled content and recoverability.</x:v>
      </x:c>
      <x:c r="AD420" s="2" t="str">
        <x:v>Maintenance of Sewerage infrastructure depends on drainage and pump parts, expansion joints, fasteners, coatings, sensors, geotextile repair, replacement armour or fill and planting stock; critical spares are selected from failure-mode, lead-time and safety analysis for its installed configuration.</x:v>
      </x:c>
      <x:c r="AE420" s="2" t="str">
        <x:v>The software stack for Sewerage infrastructure requires databases, secure communications, version-controlled models, computing, backup and interfaces with field or operational systems.</x:v>
      </x:c>
      <x:c r="AF420" s="2" t="str">
        <x:v>For Sewerage infrastructure, software-related energy is electricity for sensing, computing, storage, communication and cooling; it is normally secondary but must be included for data-intensive or continuous services.</x:v>
      </x:c>
      <x:c r="AG420" s="2" t="str">
        <x:v>The non-physical inputs are calibrated data, metadata, algorithms, boundary conditions, emission or hazard factors, manuals and validation records specific to Sewerage infrastructure.</x:v>
      </x:c>
      <x:c r="AH420" s="2" t="str">
        <x:v>Software continuity for Sewerage infrastructure requires licences where applicable, updates, cybersecurity patches, backups, calibration files, model validation and technical support.</x:v>
      </x:c>
      <x:c r="AI420" s="2" t="str">
        <x:v>Orgware depends on the institutions, laboratories, training providers, regulators, operators and community interfaces needed to govern Sewerage infrastructure.</x:v>
      </x:c>
      <x:c r="AJ420" s="2" t="str">
        <x:v>The orgware supporting Sewerage infrastructure has mainly indirect energy use from offices, meetings, training and information systems; travel and field supervision may be material at dispersed sites.</x:v>
      </x:c>
      <x:c r="AK420" s="2" t="str">
        <x:v>Its organisational inputs are permits, budgets, trained staff, competence records, contracts, procedures, safeguards, monitoring evidence and stakeholder agreements tailored to Sewerage infrastructure.</x:v>
      </x:c>
      <x:c r="AL420" s="2" t="str">
        <x:v>Sustained implementation of Sewerage infrastructure requires procurement and service contracts, audit protocols, training material, reporting templates, insurance or guarantees and periodic independent review.</x:v>
      </x:c>
      <x:c r="AM420" s="2" t="str">
        <x:v>Iron ore / steel inputs; Limestone / cement raw materials</x:v>
      </x:c>
      <x:c r="AN420" s="2" t="str">
        <x:v>Australia; Brazil; China; India; Vietnam</x:v>
      </x:c>
      <x:c r="AO420" s="2" t="str">
        <x:v>China; India; Japan; Vietnam</x:v>
      </x:c>
      <x:c r="AP420" s="2" t="str">
        <x:v>Sewerage infrastructure: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0" s="2" t="str">
        <x:v>2024–2025</x:v>
      </x:c>
      <x:c r="AR420" s="2" t="str">
        <x:v>https://pubs.usgs.gov/periodicals/mcs2026/mcs2026.pdf</x:v>
      </x:c>
    </x:row>
    <x:row r="421" ht="240" customHeight="1">
      <x:c r="A421" s="2" t="str">
        <x:v>ADP-0151</x:v>
      </x:c>
      <x:c r="B421" s="2" t="str">
        <x:v>Adaptation</x:v>
      </x:c>
      <x:c r="C421" s="2" t="str">
        <x:v>Infrastructure and Urban planning</x:v>
      </x:c>
      <x:c r="D421" s="2" t="str">
        <x:v>Land use in human settlements</x:v>
      </x:c>
      <x:c r="E421" s="2" t="str">
        <x:v>Land use in human settlements</x:v>
      </x:c>
      <x:c r="F421" s="2" t="str">
        <x:v>Land use in human settlements is a adaptation technology in the Infrastructure and Urban planning sector and the Land use in human settlements technology group. It is defined as a combined hardware–software–orgware system that reduces exposure and physical vulnerability through resilient siting, design loads, protective structures, adaptable construction, ecosystem buffers and planned management of residual risk. Land use in human settlements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21" s="2" t="str">
        <x:v>Mixed: adaptable design, site-specific implementation</x:v>
      </x:c>
      <x:c r="H421" s="2" t="str">
        <x:v>Land use in human settlements is adaptable in capacity and configuration but site-specific in final engineering. Its principle remains the same, but resource quality, climate, scale, interfaces and safety constraints must be recalculated for each deployment.</x:v>
      </x:c>
      <x:c r="I421" s="2" t="str">
        <x:v>Primarily hard, with a soft component</x:v>
      </x:c>
      <x:c r="J421" s="2" t="str">
        <x:v>Land use in human settlements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21" s="2" t="str">
        <x:v>Equipment and operation</x:v>
      </x:c>
      <x:c r="L421" s="2" t="str">
        <x:v>Land use in human settlements is embodied mainly as an equipment-and-operation system. The deliverable is accepted only when measurable service, quality, safety and climate-performance criteria are met under real conditions.</x:v>
      </x:c>
      <x:c r="M421" s="2" t="str">
        <x:v>Yes, subject to life-cycle safeguards</x:v>
      </x:c>
      <x:c r="N421" s="2" t="str">
        <x:v>Land use in human settlements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21" s="2" t="str">
        <x:v>Land use in human settlements: resilient structural, drainage, transport, coastal or utility components; foundations, barriers, armour, geosynthetics, sensors and nature-based elements as applicable.</x:v>
      </x:c>
      <x:c r="P421" s="2" t="str">
        <x:v>Land use in human settlements: climate-load and hazard analysis, structural or hydraulic modelling, geotechnical design, spatial planning, asset criticality, inspection and adaptation pathways.</x:v>
      </x:c>
      <x:c r="Q421" s="2" t="str">
        <x:v>Land use in human settlements: building and infrastructure codes, zoning, permits, land acquisition or easements, maintenance responsibility, emergency access, environmental safeguards and community participation.</x:v>
      </x:c>
      <x:c r="R421" s="2" t="str">
        <x:v>Land use in human settlements: site access, foundations, drainage, utility relocation, monitoring, construction staging, sediment or material supply and long-term maintenance corridors.</x:v>
      </x:c>
      <x:c r="S421" s="2" t="str">
        <x:v>Land use in human settlements: construction fuel and electricity plus operational pumping, monitoring, lighting or active control; passive and ecosystem measures have lower operational demand.</x:v>
      </x:c>
      <x:c r="T421" s="2" t="str">
        <x:v>Land use in human settlements: concrete, steel, stone, asphalt, timber, geotextiles, soil or sand, corrosion protection, vegetation and locally compatible fill.</x:v>
      </x:c>
      <x:c r="U421" s="2" t="str">
        <x:v>Land use in human settlements: drainage and pump parts, expansion joints, fasteners, coatings, sensors, geotextile repair, replacement armour or fill and planting stock.</x:v>
      </x:c>
      <x:c r="V421" s="2" t="str">
        <x:v>https://www.ctc-n.org/sites/default/files/resources/ctcn_taxonomy_0.pdf</x:v>
      </x:c>
      <x:c r="W421" s="2" t="str">
        <x:v>https://institutoagricoladepueblobello.edu.co/colegiapp/archivostemas/GUIA%209.%5B25%5D.pdf</x:v>
      </x:c>
      <x:c r="X421" s="2" t="str">
        <x:v>https://iiasa.ac.at/what-is-technology</x:v>
      </x:c>
      <x:c r="Y421" s="2" t="str">
        <x:v>https://www.ipcc.ch/report/ar6/wg2/chapter/chapter-6/; https://www.ipcc.ch/srocc/chapter/chapter-4-sea-level-rise-and-implications-for-low-lying-islands-coasts-and-communities/; https://www.unep.org/topics/climate-action/adaptation/ecosystem-based-adaptation</x:v>
      </x:c>
      <x:c r="Z421" s="2" t="str">
        <x:v>Technology-specific analytical synthesis. The CTCN hierarchy is retained; classifications and component dependencies require validation against the selected design, site and supplier documentation before investment or policy use.</x:v>
      </x:c>
      <x:c r="AA421" s="2" t="str">
        <x:v>Physical deployment of Land use in human settlements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21" s="2" t="str">
        <x:v>For Land use in human settlements,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21" s="2" t="str">
        <x:v>Construction and operation use concrete, steel, stone, asphalt, timber, geotextiles, soil or sand, corrosion protection, vegetation and locally compatible fill. For Land use in human settlements, specifications must include durability, compatibility, recycled content and recoverability.</x:v>
      </x:c>
      <x:c r="AD421" s="2" t="str">
        <x:v>Maintenance of Land use in human settlements depends on drainage and pump parts, expansion joints, fasteners, coatings, sensors, geotextile repair, replacement armour or fill and planting stock; critical spares are selected from failure-mode, lead-time and safety analysis for its installed configuration.</x:v>
      </x:c>
      <x:c r="AE421" s="2" t="str">
        <x:v>The software stack for Land use in human settlements requires databases, secure communications, version-controlled models, computing, backup and interfaces with field or operational systems.</x:v>
      </x:c>
      <x:c r="AF421" s="2" t="str">
        <x:v>For Land use in human settlements, software-related energy is electricity for sensing, computing, storage, communication and cooling; it is normally secondary but must be included for data-intensive or continuous services.</x:v>
      </x:c>
      <x:c r="AG421" s="2" t="str">
        <x:v>The non-physical inputs are calibrated data, metadata, algorithms, boundary conditions, emission or hazard factors, manuals and validation records specific to Land use in human settlements.</x:v>
      </x:c>
      <x:c r="AH421" s="2" t="str">
        <x:v>Software continuity for Land use in human settlements requires licences where applicable, updates, cybersecurity patches, backups, calibration files, model validation and technical support.</x:v>
      </x:c>
      <x:c r="AI421" s="2" t="str">
        <x:v>Orgware depends on the institutions, laboratories, training providers, regulators, operators and community interfaces needed to govern Land use in human settlements.</x:v>
      </x:c>
      <x:c r="AJ421" s="2" t="str">
        <x:v>The orgware supporting Land use in human settlements has mainly indirect energy use from offices, meetings, training and information systems; travel and field supervision may be material at dispersed sites.</x:v>
      </x:c>
      <x:c r="AK421" s="2" t="str">
        <x:v>Its organisational inputs are permits, budgets, trained staff, competence records, contracts, procedures, safeguards, monitoring evidence and stakeholder agreements tailored to Land use in human settlements.</x:v>
      </x:c>
      <x:c r="AL421" s="2" t="str">
        <x:v>Sustained implementation of Land use in human settlements requires procurement and service contracts, audit protocols, training material, reporting templates, insurance or guarantees and periodic independent review.</x:v>
      </x:c>
      <x:c r="AM421" s="2" t="str">
        <x:v>Iron ore / steel inputs</x:v>
      </x:c>
      <x:c r="AN421" s="2" t="str">
        <x:v>Australia; Brazil; China</x:v>
      </x:c>
      <x:c r="AO421" s="2" t="str">
        <x:v>China; India; Japan</x:v>
      </x:c>
      <x:c r="AP421" s="2" t="str">
        <x:v>Land use in human settlements: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1" s="2" t="str">
        <x:v>2024–2025</x:v>
      </x:c>
      <x:c r="AR421" s="2" t="str">
        <x:v>https://pubs.usgs.gov/periodicals/mcs2026/mcs2026.pdf</x:v>
      </x:c>
    </x:row>
    <x:row r="422" ht="240" customHeight="1">
      <x:c r="A422" s="2" t="str">
        <x:v>ADP-0152</x:v>
      </x:c>
      <x:c r="B422" s="2" t="str">
        <x:v>Adaptation</x:v>
      </x:c>
      <x:c r="C422" s="2" t="str">
        <x:v>Infrastructure and Urban planning</x:v>
      </x:c>
      <x:c r="D422" s="2" t="str">
        <x:v>Grid resiliency</x:v>
      </x:c>
      <x:c r="E422" s="2" t="str">
        <x:v>Grid resiliency</x:v>
      </x:c>
      <x:c r="F422" s="2" t="str">
        <x:v>Grid resiliency is a adaptation technology in the Infrastructure and Urban planning sector and the Grid resiliency technology group. It is defined as a combined hardware–software–orgware system that reduces exposure and physical vulnerability through resilient siting, design loads, protective structures, adaptable construction, ecosystem buffers and planned management of residual risk. Grid resiliency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22" s="2" t="str">
        <x:v>Mixed: adaptable design, site-specific implementation</x:v>
      </x:c>
      <x:c r="H422" s="2" t="str">
        <x:v>Grid resiliency is adaptable in capacity and configuration but site-specific in final engineering. Its principle remains the same, but resource quality, climate, scale, interfaces and safety constraints must be recalculated for each deployment.</x:v>
      </x:c>
      <x:c r="I422" s="2" t="str">
        <x:v>Primarily hard, with a soft component</x:v>
      </x:c>
      <x:c r="J422" s="2" t="str">
        <x:v>Grid resiliency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22" s="2" t="str">
        <x:v>Equipment and operation</x:v>
      </x:c>
      <x:c r="L422" s="2" t="str">
        <x:v>Grid resiliency is embodied mainly as an equipment-and-operation system. The deliverable is accepted only when measurable service, quality, safety and climate-performance criteria are met under real conditions.</x:v>
      </x:c>
      <x:c r="M422" s="2" t="str">
        <x:v>Yes, subject to life-cycle safeguards</x:v>
      </x:c>
      <x:c r="N422" s="2" t="str">
        <x:v>Grid resiliency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22" s="2" t="str">
        <x:v>Grid resiliency: resilient structural, drainage, transport, coastal or utility components; foundations, barriers, armour, geosynthetics, sensors and nature-based elements as applicable.</x:v>
      </x:c>
      <x:c r="P422" s="2" t="str">
        <x:v>Grid resiliency: climate-load and hazard analysis, structural or hydraulic modelling, geotechnical design, spatial planning, asset criticality, inspection and adaptation pathways.</x:v>
      </x:c>
      <x:c r="Q422" s="2" t="str">
        <x:v>Grid resiliency: building and infrastructure codes, zoning, permits, land acquisition or easements, maintenance responsibility, emergency access, environmental safeguards and community participation.</x:v>
      </x:c>
      <x:c r="R422" s="2" t="str">
        <x:v>Grid resiliency: site access, foundations, drainage, utility relocation, monitoring, construction staging, sediment or material supply and long-term maintenance corridors.</x:v>
      </x:c>
      <x:c r="S422" s="2" t="str">
        <x:v>Grid resiliency: construction fuel and electricity plus operational pumping, monitoring, lighting or active control; passive and ecosystem measures have lower operational demand.</x:v>
      </x:c>
      <x:c r="T422" s="2" t="str">
        <x:v>Grid resiliency: concrete, steel, stone, asphalt, timber, geotextiles, soil or sand, corrosion protection, vegetation and locally compatible fill.</x:v>
      </x:c>
      <x:c r="U422" s="2" t="str">
        <x:v>Grid resiliency: drainage and pump parts, expansion joints, fasteners, coatings, sensors, geotextile repair, replacement armour or fill and planting stock.</x:v>
      </x:c>
      <x:c r="V422" s="2" t="str">
        <x:v>https://www.ctc-n.org/sites/default/files/resources/ctcn_taxonomy_0.pdf</x:v>
      </x:c>
      <x:c r="W422" s="2" t="str">
        <x:v>https://institutoagricoladepueblobello.edu.co/colegiapp/archivostemas/GUIA%209.%5B25%5D.pdf</x:v>
      </x:c>
      <x:c r="X422" s="2" t="str">
        <x:v>https://iiasa.ac.at/what-is-technology</x:v>
      </x:c>
      <x:c r="Y422" s="2" t="str">
        <x:v>https://www.ipcc.ch/report/ar6/wg2/chapter/chapter-6/; https://www.ipcc.ch/srocc/chapter/chapter-4-sea-level-rise-and-implications-for-low-lying-islands-coasts-and-communities/; https://www.unep.org/topics/climate-action/adaptation/ecosystem-based-adaptation</x:v>
      </x:c>
      <x:c r="Z422" s="2" t="str">
        <x:v>Technology-specific analytical synthesis. The CTCN hierarchy is retained; classifications and component dependencies require validation against the selected design, site and supplier documentation before investment or policy use.</x:v>
      </x:c>
      <x:c r="AA422" s="2" t="str">
        <x:v>Physical deployment of Grid resiliency requires site access, foundations, drainage, utility relocation, monitoring, construction staging, sediment or material supply and long-term maintenance corridors; interfaces, foundations, access and environmental protection are sized to the specific resource and design load.</x:v>
      </x:c>
      <x:c r="AB422" s="2" t="str">
        <x:v>For Grid resiliency,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22" s="2" t="str">
        <x:v>Construction and operation use concrete, steel, stone, asphalt, timber, geotextiles, soil or sand, corrosion protection, vegetation and locally compatible fill. For Grid resiliency, specifications must include durability, compatibility, recycled content and recoverability.</x:v>
      </x:c>
      <x:c r="AD422" s="2" t="str">
        <x:v>Maintenance of Grid resiliency depends on drainage and pump parts, expansion joints, fasteners, coatings, sensors, geotextile repair, replacement armour or fill and planting stock; critical spares are selected from failure-mode, lead-time and safety analysis for its installed configuration.</x:v>
      </x:c>
      <x:c r="AE422" s="2" t="str">
        <x:v>The software stack for Grid resiliency requires databases, secure communications, version-controlled models, computing, backup and interfaces with field or operational systems.</x:v>
      </x:c>
      <x:c r="AF422" s="2" t="str">
        <x:v>For Grid resiliency, software-related energy is electricity for sensing, computing, storage, communication and cooling; it is normally secondary but must be included for data-intensive or continuous services.</x:v>
      </x:c>
      <x:c r="AG422" s="2" t="str">
        <x:v>The non-physical inputs are calibrated data, metadata, algorithms, boundary conditions, emission or hazard factors, manuals and validation records specific to Grid resiliency.</x:v>
      </x:c>
      <x:c r="AH422" s="2" t="str">
        <x:v>Software continuity for Grid resiliency requires licences where applicable, updates, cybersecurity patches, backups, calibration files, model validation and technical support.</x:v>
      </x:c>
      <x:c r="AI422" s="2" t="str">
        <x:v>Orgware depends on the institutions, laboratories, training providers, regulators, operators and community interfaces needed to govern Grid resiliency.</x:v>
      </x:c>
      <x:c r="AJ422" s="2" t="str">
        <x:v>The orgware supporting Grid resiliency has mainly indirect energy use from offices, meetings, training and information systems; travel and field supervision may be material at dispersed sites.</x:v>
      </x:c>
      <x:c r="AK422" s="2" t="str">
        <x:v>Its organisational inputs are permits, budgets, trained staff, competence records, contracts, procedures, safeguards, monitoring evidence and stakeholder agreements tailored to Grid resiliency.</x:v>
      </x:c>
      <x:c r="AL422" s="2" t="str">
        <x:v>Sustained implementation of Grid resiliency requires procurement and service contracts, audit protocols, training material, reporting templates, insurance or guarantees and periodic independent review.</x:v>
      </x:c>
      <x:c r="AM422" s="2" t="str">
        <x:v>Iron ore / steel inputs; Copper; Tin</x:v>
      </x:c>
      <x:c r="AN422" s="2" t="str">
        <x:v>Australia; Brazil; China; Chile; Democratic Republic of the Congo; Peru; Indonesia; Myanmar</x:v>
      </x:c>
      <x:c r="AO422" s="2" t="str">
        <x:v>China; India; Japan; Chile; Democratic Republic of the Congo; Indonesia; Malaysia</x:v>
      </x:c>
      <x:c r="AP422" s="2" t="str">
        <x:v>Grid resiliency: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2" s="2" t="str">
        <x:v>2024–2025</x:v>
      </x:c>
      <x:c r="AR422" s="2" t="str">
        <x:v>https://pubs.usgs.gov/periodicals/mcs2026/mcs2026.pdf</x:v>
      </x:c>
    </x:row>
    <x:row r="423" ht="240" customHeight="1">
      <x:c r="A423" s="2" t="str">
        <x:v>ADP-0153</x:v>
      </x:c>
      <x:c r="B423" s="2" t="str">
        <x:v>Adaptation</x:v>
      </x:c>
      <x:c r="C423" s="2" t="str">
        <x:v>Infrastructure and Urban planning</x:v>
      </x:c>
      <x:c r="D423" s="2" t="str">
        <x:v>Building design and material</x:v>
      </x:c>
      <x:c r="E423" s="2" t="str">
        <x:v>Elevated buildings</x:v>
      </x:c>
      <x:c r="F423" s="2" t="str">
        <x:v>Elevated buildings is a adaptation technology in the Infrastructure and Urban planning sector and the Building design and material technology group. It is defined as a combined hardware–software–orgware system that reduces thermal, electrical or water demand through passive design, efficient equipment, controls and low-impact materials. Elevated buildings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423" s="2" t="str">
        <x:v>Mixed: adaptable design, site-specific implementation</x:v>
      </x:c>
      <x:c r="H423" s="2" t="str">
        <x:v>Elevated buildings is adaptable in capacity and configuration but site-specific in final engineering. Its principle remains the same, but resource quality, climate, scale, interfaces and safety constraints must be recalculated for each deployment.</x:v>
      </x:c>
      <x:c r="I423" s="2" t="str">
        <x:v>Primarily hard, with a soft component</x:v>
      </x:c>
      <x:c r="J423" s="2" t="str">
        <x:v>Elevated buildings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423" s="2" t="str">
        <x:v>Equipment and operation</x:v>
      </x:c>
      <x:c r="L423" s="2" t="str">
        <x:v>Elevated buildings is embodied mainly as an equipment-and-operation system. The deliverable is accepted only when measurable service, quality, safety and climate-performance criteria are met under real conditions.</x:v>
      </x:c>
      <x:c r="M423" s="2" t="str">
        <x:v>Yes, subject to life-cycle safeguards</x:v>
      </x:c>
      <x:c r="N423" s="2" t="str">
        <x:v>Elevated buildings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423" s="2" t="str">
        <x:v>Elevated buildings: envelope assemblies, efficient equipment, sensors, actuators, meters and distribution systems.</x:v>
      </x:c>
      <x:c r="P423" s="2" t="str">
        <x:v>Elevated buildings: energy simulation, load calculation, control sequences, commissioning data and building management.</x:v>
      </x:c>
      <x:c r="Q423" s="2" t="str">
        <x:v>Elevated buildings: building codes, performance standards, procurement, commissioning, maintenance plans and occupant guidance.</x:v>
      </x:c>
      <x:c r="R423" s="2" t="str">
        <x:v>Elevated buildings: building fabric, plant rooms, electrical and water networks, access for maintenance and metering.</x:v>
      </x:c>
      <x:c r="S423" s="2" t="str">
        <x:v>Elevated buildings: electricity and thermal energy; peak demand, part-load efficiency and controls determine actual savings.</x:v>
      </x:c>
      <x:c r="T423" s="2" t="str">
        <x:v>Elevated buildings: insulation, glass, concrete, steel, timber, aluminium, copper, refrigerants and electronic components as applicable.</x:v>
      </x:c>
      <x:c r="U423" s="2" t="str">
        <x:v>Elevated buildings: filters, belts, seals, lamps or drivers, sensors, actuators, valves, control modules and envelope repair materials.</x:v>
      </x:c>
      <x:c r="V423" s="2" t="str">
        <x:v>https://www.ctc-n.org/sites/default/files/resources/ctcn_taxonomy_0.pdf</x:v>
      </x:c>
      <x:c r="W423" s="2" t="str">
        <x:v>https://institutoagricoladepueblobello.edu.co/colegiapp/archivostemas/GUIA%209.%5B25%5D.pdf</x:v>
      </x:c>
      <x:c r="X423" s="2" t="str">
        <x:v>https://iiasa.ac.at/what-is-technology</x:v>
      </x:c>
      <x:c r="Y423" s="2" t="str">
        <x:v>https://www.ipcc.ch/report/ar6/wg2/chapter/chapter-6/; https://www.ipcc.ch/report/ar6/wg3/chapter/chapter-9/</x:v>
      </x:c>
      <x:c r="Z423" s="2" t="str">
        <x:v>Technology-specific analytical synthesis. The CTCN hierarchy is retained; classifications and component dependencies require validation against the selected design, site and supplier documentation before investment or policy use.</x:v>
      </x:c>
      <x:c r="AA423" s="2" t="str">
        <x:v>Physical deployment of Elevated buildings requires building fabric, plant rooms, electrical and water networks, access for maintenance and metering; interfaces, foundations, access and environmental protection are sized to the specific resource and design load.</x:v>
      </x:c>
      <x:c r="AB423" s="2" t="str">
        <x:v>For Elevated buildings, the hardware energy balance comprises electricity and thermal energy; peak demand, part-load efficiency and controls determine actual savings; metering must separate useful output, conversion losses and auxiliaries for the selected design.</x:v>
      </x:c>
      <x:c r="AC423" s="2" t="str">
        <x:v>Construction and operation use insulation, glass, concrete, steel, timber, aluminium, copper, refrigerants and electronic components as applicable. For Elevated buildings, specifications must include durability, compatibility, recycled content and recoverability.</x:v>
      </x:c>
      <x:c r="AD423" s="2" t="str">
        <x:v>Maintenance of Elevated buildings depends on filters, belts, seals, lamps or drivers, sensors, actuators, valves, control modules and envelope repair materials; critical spares are selected from failure-mode, lead-time and safety analysis for its installed configuration.</x:v>
      </x:c>
      <x:c r="AE423" s="2" t="str">
        <x:v>The software stack for Elevated buildings requires databases, secure communications, version-controlled models, computing, backup and interfaces with field or operational systems.</x:v>
      </x:c>
      <x:c r="AF423" s="2" t="str">
        <x:v>For Elevated buildings, software-related energy is electricity for sensing, computing, storage, communication and cooling; it is normally secondary but must be included for data-intensive or continuous services.</x:v>
      </x:c>
      <x:c r="AG423" s="2" t="str">
        <x:v>The non-physical inputs are calibrated data, metadata, algorithms, boundary conditions, emission or hazard factors, manuals and validation records specific to Elevated buildings.</x:v>
      </x:c>
      <x:c r="AH423" s="2" t="str">
        <x:v>Software continuity for Elevated buildings requires licences where applicable, updates, cybersecurity patches, backups, calibration files, model validation and technical support.</x:v>
      </x:c>
      <x:c r="AI423" s="2" t="str">
        <x:v>Orgware depends on the institutions, laboratories, training providers, regulators, operators and community interfaces needed to govern Elevated buildings.</x:v>
      </x:c>
      <x:c r="AJ423" s="2" t="str">
        <x:v>The orgware supporting Elevated buildings has mainly indirect energy use from offices, meetings, training and information systems; travel and field supervision may be material at dispersed sites.</x:v>
      </x:c>
      <x:c r="AK423" s="2" t="str">
        <x:v>Its organisational inputs are permits, budgets, trained staff, competence records, contracts, procedures, safeguards, monitoring evidence and stakeholder agreements tailored to Elevated buildings.</x:v>
      </x:c>
      <x:c r="AL423" s="2" t="str">
        <x:v>Sustained implementation of Elevated buildings requires procurement and service contracts, audit protocols, training material, reporting templates, insurance or guarantees and periodic independent review.</x:v>
      </x:c>
      <x:c r="AM423" s="2" t="str">
        <x:v>Iron ore / steel inputs; Limestone / cement raw materials</x:v>
      </x:c>
      <x:c r="AN423" s="2" t="str">
        <x:v>Australia; Brazil; China; India; Vietnam</x:v>
      </x:c>
      <x:c r="AO423" s="2" t="str">
        <x:v>China; India; Japan; Vietnam</x:v>
      </x:c>
      <x:c r="AP423" s="2" t="str">
        <x:v>Elevated buildings: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3" s="2" t="str">
        <x:v>2024–2025</x:v>
      </x:c>
      <x:c r="AR423" s="2" t="str">
        <x:v>https://pubs.usgs.gov/periodicals/mcs2026/mcs2026.pdf</x:v>
      </x:c>
    </x:row>
    <x:row r="424" ht="240" customHeight="1">
      <x:c r="A424" s="2" t="str">
        <x:v>ADP-0154</x:v>
      </x:c>
      <x:c r="B424" s="2" t="str">
        <x:v>Adaptation</x:v>
      </x:c>
      <x:c r="C424" s="2" t="str">
        <x:v>Infrastructure and Urban planning</x:v>
      </x:c>
      <x:c r="D424" s="2" t="str">
        <x:v>Urban design and spatial planning</x:v>
      </x:c>
      <x:c r="E424" s="2" t="str">
        <x:v>Urban design and spatial planning</x:v>
      </x:c>
      <x:c r="F424" s="2" t="str">
        <x:v>Urban design and spatial planning is a adaptation technology in the Infrastructure and Urban planning sector and the Urban design and spatial planning technology group. It is defined as a combined hardware–software–orgware system that reduces exposure and physical vulnerability through resilient siting, design loads, protective structures, adaptable construction, ecosystem buffers and planned management of residual risk. Urban design and spatial planning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24" s="2" t="str">
        <x:v>Flexible</x:v>
      </x:c>
      <x:c r="H424" s="2" t="str">
        <x:v>Urban design and spatial planning is transferable through configurable methods, rules and operating parameters. Its principle remains the same, but resource quality, climate, scale, interfaces and safety constraints must be recalculated for each deployment.</x:v>
      </x:c>
      <x:c r="I424" s="2" t="str">
        <x:v>Hard and soft</x:v>
      </x:c>
      <x:c r="J424" s="2" t="str">
        <x:v>Urban design and spatial planning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24" s="2" t="str">
        <x:v>Operation and information service</x:v>
      </x:c>
      <x:c r="L424" s="2" t="str">
        <x:v>Urban design and spatial planning is embodied mainly as an information and decision service. The deliverable is accepted only when measurable service, quality, safety and climate-performance criteria are met under real conditions.</x:v>
      </x:c>
      <x:c r="M424" s="2" t="str">
        <x:v>Yes, subject to life-cycle safeguards</x:v>
      </x:c>
      <x:c r="N424" s="2" t="str">
        <x:v>Urban design and spatial planning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24" s="2" t="str">
        <x:v>Urban design and spatial planning: resilient structural, drainage, transport, coastal or utility components; foundations, barriers, armour, geosynthetics, sensors and nature-based elements as applicable.</x:v>
      </x:c>
      <x:c r="P424" s="2" t="str">
        <x:v>Urban design and spatial planning: climate-load and hazard analysis, structural or hydraulic modelling, geotechnical design, spatial planning, asset criticality, inspection and adaptation pathways.</x:v>
      </x:c>
      <x:c r="Q424" s="2" t="str">
        <x:v>Urban design and spatial planning: building and infrastructure codes, zoning, permits, land acquisition or easements, maintenance responsibility, emergency access, environmental safeguards and community participation.</x:v>
      </x:c>
      <x:c r="R424" s="2" t="str">
        <x:v>Urban design and spatial planning: site access, foundations, drainage, utility relocation, monitoring, construction staging, sediment or material supply and long-term maintenance corridors.</x:v>
      </x:c>
      <x:c r="S424" s="2" t="str">
        <x:v>Urban design and spatial planning: construction fuel and electricity plus operational pumping, monitoring, lighting or active control; passive and ecosystem measures have lower operational demand.</x:v>
      </x:c>
      <x:c r="T424" s="2" t="str">
        <x:v>Urban design and spatial planning: concrete, steel, stone, asphalt, timber, geotextiles, soil or sand, corrosion protection, vegetation and locally compatible fill.</x:v>
      </x:c>
      <x:c r="U424" s="2" t="str">
        <x:v>Urban design and spatial planning: drainage and pump parts, expansion joints, fasteners, coatings, sensors, geotextile repair, replacement armour or fill and planting stock.</x:v>
      </x:c>
      <x:c r="V424" s="2" t="str">
        <x:v>https://www.ctc-n.org/sites/default/files/resources/ctcn_taxonomy_0.pdf</x:v>
      </x:c>
      <x:c r="W424" s="2" t="str">
        <x:v>https://institutoagricoladepueblobello.edu.co/colegiapp/archivostemas/GUIA%209.%5B25%5D.pdf</x:v>
      </x:c>
      <x:c r="X424" s="2" t="str">
        <x:v>https://iiasa.ac.at/what-is-technology</x:v>
      </x:c>
      <x:c r="Y424" s="2" t="str">
        <x:v>https://www.ipcc.ch/report/ar6/wg2/chapter/chapter-6/; https://www.ipcc.ch/srocc/chapter/chapter-4-sea-level-rise-and-implications-for-low-lying-islands-coasts-and-communities/; https://www.unep.org/topics/climate-action/adaptation/ecosystem-based-adaptation</x:v>
      </x:c>
      <x:c r="Z424" s="2" t="str">
        <x:v>Technology-specific analytical synthesis. The CTCN hierarchy is retained; classifications and component dependencies require validation against the selected design, site and supplier documentation before investment or policy use.</x:v>
      </x:c>
      <x:c r="AA424" s="2" t="str">
        <x:v>Physical deployment of Urban design and spatial planning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424" s="2" t="str">
        <x:v>For Urban design and spatial planning,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24" s="2" t="str">
        <x:v>Construction and operation use concrete, steel, stone, asphalt, timber, geotextiles, soil or sand, corrosion protection, vegetation and locally compatible fill. For Urban design and spatial planning, specifications must include durability, compatibility, recycled content and recoverability.</x:v>
      </x:c>
      <x:c r="AD424" s="2" t="str">
        <x:v>Maintenance of Urban design and spatial planning depends on drainage and pump parts, expansion joints, fasteners, coatings, sensors, geotextile repair, replacement armour or fill and planting stock; critical spares are selected from failure-mode, lead-time and safety analysis for its installed configuration.</x:v>
      </x:c>
      <x:c r="AE424" s="2" t="str">
        <x:v>The software stack for Urban design and spatial planning requires databases, secure communications, version-controlled models, computing, backup and interfaces with field or operational systems.</x:v>
      </x:c>
      <x:c r="AF424" s="2" t="str">
        <x:v>For Urban design and spatial planning, software-related energy is electricity for sensing, computing, storage, communication and cooling; it is normally secondary but must be included for data-intensive or continuous services.</x:v>
      </x:c>
      <x:c r="AG424" s="2" t="str">
        <x:v>The non-physical inputs are calibrated data, metadata, algorithms, boundary conditions, emission or hazard factors, manuals and validation records specific to Urban design and spatial planning.</x:v>
      </x:c>
      <x:c r="AH424" s="2" t="str">
        <x:v>Software continuity for Urban design and spatial planning requires licences where applicable, updates, cybersecurity patches, backups, calibration files, model validation and technical support.</x:v>
      </x:c>
      <x:c r="AI424" s="2" t="str">
        <x:v>Orgware depends on the institutions, laboratories, training providers, regulators, operators and community interfaces needed to govern Urban design and spatial planning.</x:v>
      </x:c>
      <x:c r="AJ424" s="2" t="str">
        <x:v>The orgware supporting Urban design and spatial planning has mainly indirect energy use from offices, meetings, training and information systems; travel and field supervision may be material at dispersed sites.</x:v>
      </x:c>
      <x:c r="AK424" s="2" t="str">
        <x:v>Its organisational inputs are permits, budgets, trained staff, competence records, contracts, procedures, safeguards, monitoring evidence and stakeholder agreements tailored to Urban design and spatial planning.</x:v>
      </x:c>
      <x:c r="AL424" s="2" t="str">
        <x:v>Sustained implementation of Urban design and spatial planning requires procurement and service contracts, audit protocols, training material, reporting templates, insurance or guarantees and periodic independent review.</x:v>
      </x:c>
      <x:c r="AM424" s="2" t="str">
        <x:v>No critical or strategic raw material is identifiable at taxonomy level; site-specific bulk materials may still be required.</x:v>
      </x:c>
      <x:c r="AN424" s="2" t="str"/>
      <x:c r="AO424" s="2" t="str"/>
      <x:c r="AP424" s="2" t="str">
        <x:v>Urban design and spatial planning: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4" s="2" t="str">
        <x:v>2024–2025</x:v>
      </x:c>
      <x:c r="AR424" s="2" t="str">
        <x:v>https://pubs.usgs.gov/periodicals/mcs2026/mcs2026.pdf</x:v>
      </x:c>
    </x:row>
    <x:row r="425" ht="240" customHeight="1">
      <x:c r="A425" s="2" t="str">
        <x:v>ADP-0155</x:v>
      </x:c>
      <x:c r="B425" s="2" t="str">
        <x:v>Adaptation</x:v>
      </x:c>
      <x:c r="C425" s="2" t="str">
        <x:v>Infrastructure and Urban planning</x:v>
      </x:c>
      <x:c r="D425" s="2" t="str">
        <x:v>Building construction</x:v>
      </x:c>
      <x:c r="E425" s="2" t="str">
        <x:v>Building construction</x:v>
      </x:c>
      <x:c r="F425" s="2" t="str">
        <x:v>Building construction is a adaptation technology in the Infrastructure and Urban planning sector and the Building construction technology group. It is defined as a combined hardware–software–orgware system that reduces thermal, electrical or water demand through passive design, efficient equipment, controls and low-impact materials. Building construction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425" s="2" t="str">
        <x:v>Primarily fixed</x:v>
      </x:c>
      <x:c r="H425" s="2" t="str">
        <x:v>Building construction is tied to long-lived, site-specific assets and design loads. Its principle remains the same, but resource quality, climate, scale, interfaces and safety constraints must be recalculated for each deployment.</x:v>
      </x:c>
      <x:c r="I425" s="2" t="str">
        <x:v>Primarily hard, with a soft component</x:v>
      </x:c>
      <x:c r="J425" s="2" t="str">
        <x:v>Building construction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425" s="2" t="str">
        <x:v>Equipment and operation</x:v>
      </x:c>
      <x:c r="L425" s="2" t="str">
        <x:v>Building construction is embodied mainly as an equipment-and-operation system. The deliverable is accepted only when measurable service, quality, safety and climate-performance criteria are met under real conditions.</x:v>
      </x:c>
      <x:c r="M425" s="2" t="str">
        <x:v>Yes, subject to life-cycle safeguards</x:v>
      </x:c>
      <x:c r="N425" s="2" t="str">
        <x:v>Building construction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425" s="2" t="str">
        <x:v>Building construction: envelope assemblies, efficient equipment, sensors, actuators, meters and distribution systems.</x:v>
      </x:c>
      <x:c r="P425" s="2" t="str">
        <x:v>Building construction: energy simulation, load calculation, control sequences, commissioning data and building management.</x:v>
      </x:c>
      <x:c r="Q425" s="2" t="str">
        <x:v>Building construction: building codes, performance standards, procurement, commissioning, maintenance plans and occupant guidance.</x:v>
      </x:c>
      <x:c r="R425" s="2" t="str">
        <x:v>Building construction: building fabric, plant rooms, electrical and water networks, access for maintenance and metering.</x:v>
      </x:c>
      <x:c r="S425" s="2" t="str">
        <x:v>Building construction: electricity and thermal energy; peak demand, part-load efficiency and controls determine actual savings.</x:v>
      </x:c>
      <x:c r="T425" s="2" t="str">
        <x:v>Building construction: insulation, glass, concrete, steel, timber, aluminium, copper, refrigerants and electronic components as applicable.</x:v>
      </x:c>
      <x:c r="U425" s="2" t="str">
        <x:v>Building construction: filters, belts, seals, lamps or drivers, sensors, actuators, valves, control modules and envelope repair materials.</x:v>
      </x:c>
      <x:c r="V425" s="2" t="str">
        <x:v>https://www.ctc-n.org/sites/default/files/resources/ctcn_taxonomy_0.pdf</x:v>
      </x:c>
      <x:c r="W425" s="2" t="str">
        <x:v>https://institutoagricoladepueblobello.edu.co/colegiapp/archivostemas/GUIA%209.%5B25%5D.pdf</x:v>
      </x:c>
      <x:c r="X425" s="2" t="str">
        <x:v>https://iiasa.ac.at/what-is-technology</x:v>
      </x:c>
      <x:c r="Y425" s="2" t="str">
        <x:v>https://www.ipcc.ch/report/ar6/wg2/chapter/chapter-6/; https://www.ipcc.ch/report/ar6/wg3/chapter/chapter-9/</x:v>
      </x:c>
      <x:c r="Z425" s="2" t="str">
        <x:v>Technology-specific analytical synthesis. The CTCN hierarchy is retained; classifications and component dependencies require validation against the selected design, site and supplier documentation before investment or policy use.</x:v>
      </x:c>
      <x:c r="AA425" s="2" t="str">
        <x:v>Physical deployment of Building construction requires building fabric, plant rooms, electrical and water networks, access for maintenance and metering; interfaces, foundations, access and environmental protection are sized to the specific resource and design load.</x:v>
      </x:c>
      <x:c r="AB425" s="2" t="str">
        <x:v>For Building construction, the hardware energy balance comprises electricity and thermal energy; peak demand, part-load efficiency and controls determine actual savings; metering must separate useful output, conversion losses and auxiliaries for the selected design.</x:v>
      </x:c>
      <x:c r="AC425" s="2" t="str">
        <x:v>Construction and operation use insulation, glass, concrete, steel, timber, aluminium, copper, refrigerants and electronic components as applicable. For Building construction, specifications must include durability, compatibility, recycled content and recoverability.</x:v>
      </x:c>
      <x:c r="AD425" s="2" t="str">
        <x:v>Maintenance of Building construction depends on filters, belts, seals, lamps or drivers, sensors, actuators, valves, control modules and envelope repair materials; critical spares are selected from failure-mode, lead-time and safety analysis for its installed configuration.</x:v>
      </x:c>
      <x:c r="AE425" s="2" t="str">
        <x:v>The software stack for Building construction requires databases, secure communications, version-controlled models, computing, backup and interfaces with field or operational systems.</x:v>
      </x:c>
      <x:c r="AF425" s="2" t="str">
        <x:v>For Building construction, software-related energy is electricity for sensing, computing, storage, communication and cooling; it is normally secondary but must be included for data-intensive or continuous services.</x:v>
      </x:c>
      <x:c r="AG425" s="2" t="str">
        <x:v>The non-physical inputs are calibrated data, metadata, algorithms, boundary conditions, emission or hazard factors, manuals and validation records specific to Building construction.</x:v>
      </x:c>
      <x:c r="AH425" s="2" t="str">
        <x:v>Software continuity for Building construction requires licences where applicable, updates, cybersecurity patches, backups, calibration files, model validation and technical support.</x:v>
      </x:c>
      <x:c r="AI425" s="2" t="str">
        <x:v>Orgware depends on the institutions, laboratories, training providers, regulators, operators and community interfaces needed to govern Building construction.</x:v>
      </x:c>
      <x:c r="AJ425" s="2" t="str">
        <x:v>The orgware supporting Building construction has mainly indirect energy use from offices, meetings, training and information systems; travel and field supervision may be material at dispersed sites.</x:v>
      </x:c>
      <x:c r="AK425" s="2" t="str">
        <x:v>Its organisational inputs are permits, budgets, trained staff, competence records, contracts, procedures, safeguards, monitoring evidence and stakeholder agreements tailored to Building construction.</x:v>
      </x:c>
      <x:c r="AL425" s="2" t="str">
        <x:v>Sustained implementation of Building construction requires procurement and service contracts, audit protocols, training material, reporting templates, insurance or guarantees and periodic independent review.</x:v>
      </x:c>
      <x:c r="AM425" s="2" t="str">
        <x:v>Iron ore / steel inputs; Limestone / cement raw materials</x:v>
      </x:c>
      <x:c r="AN425" s="2" t="str">
        <x:v>Australia; Brazil; China; India; Vietnam</x:v>
      </x:c>
      <x:c r="AO425" s="2" t="str">
        <x:v>China; India; Japan; Vietnam</x:v>
      </x:c>
      <x:c r="AP425" s="2" t="str">
        <x:v>Building construction: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5" s="2" t="str">
        <x:v>2024–2025</x:v>
      </x:c>
      <x:c r="AR425" s="2" t="str">
        <x:v>https://pubs.usgs.gov/periodicals/mcs2026/mcs2026.pdf</x:v>
      </x:c>
    </x:row>
    <x:row r="426" ht="240" customHeight="1">
      <x:c r="A426" s="2" t="str">
        <x:v>ADP-0156</x:v>
      </x:c>
      <x:c r="B426" s="2" t="str">
        <x:v>Adaptation</x:v>
      </x:c>
      <x:c r="C426" s="2" t="str">
        <x:v>Infrastructure and Urban planning</x:v>
      </x:c>
      <x:c r="D426" s="2" t="str">
        <x:v>Water supply infrastructure</x:v>
      </x:c>
      <x:c r="E426" s="2" t="str">
        <x:v>Water supply infrastructure</x:v>
      </x:c>
      <x:c r="F426" s="2" t="str">
        <x:v>Water supply infrastructure is a adaptation technology in the Infrastructure and Urban planning sector and the Water supply infrastructure technology group. It is defined as a combined hardware–software–orgware system that reduces exposure and physical vulnerability through resilient siting, design loads, protective structures, adaptable construction, ecosystem buffers and planned management of residual risk. Water supply infrastructure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26" s="2" t="str">
        <x:v>Primarily fixed</x:v>
      </x:c>
      <x:c r="H426" s="2" t="str">
        <x:v>Water supply infrastructure is tied to long-lived, site-specific assets and design loads. Its principle remains the same, but resource quality, climate, scale, interfaces and safety constraints must be recalculated for each deployment.</x:v>
      </x:c>
      <x:c r="I426" s="2" t="str">
        <x:v>Primarily hard, with a soft component</x:v>
      </x:c>
      <x:c r="J426" s="2" t="str">
        <x:v>Water supply infrastructure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26" s="2" t="str">
        <x:v>Equipment and operation</x:v>
      </x:c>
      <x:c r="L426" s="2" t="str">
        <x:v>Water supply infrastructure is embodied mainly as an equipment-and-operation system. The deliverable is accepted only when measurable service, quality, safety and climate-performance criteria are met under real conditions.</x:v>
      </x:c>
      <x:c r="M426" s="2" t="str">
        <x:v>Yes, subject to life-cycle safeguards</x:v>
      </x:c>
      <x:c r="N426" s="2" t="str">
        <x:v>Water supply infrastructure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26" s="2" t="str">
        <x:v>Water supply infrastructure: resilient structural, drainage, transport, coastal or utility components; foundations, barriers, armour, geosynthetics, sensors and nature-based elements as applicable.</x:v>
      </x:c>
      <x:c r="P426" s="2" t="str">
        <x:v>Water supply infrastructure: climate-load and hazard analysis, structural or hydraulic modelling, geotechnical design, spatial planning, asset criticality, inspection and adaptation pathways.</x:v>
      </x:c>
      <x:c r="Q426" s="2" t="str">
        <x:v>Water supply infrastructure: building and infrastructure codes, zoning, permits, land acquisition or easements, maintenance responsibility, emergency access, environmental safeguards and community participation.</x:v>
      </x:c>
      <x:c r="R426" s="2" t="str">
        <x:v>Water supply infrastructure: site access, foundations, drainage, utility relocation, monitoring, construction staging, sediment or material supply and long-term maintenance corridors.</x:v>
      </x:c>
      <x:c r="S426" s="2" t="str">
        <x:v>Water supply infrastructure: construction fuel and electricity plus operational pumping, monitoring, lighting or active control; passive and ecosystem measures have lower operational demand.</x:v>
      </x:c>
      <x:c r="T426" s="2" t="str">
        <x:v>Water supply infrastructure: concrete, steel, stone, asphalt, timber, geotextiles, soil or sand, corrosion protection, vegetation and locally compatible fill.</x:v>
      </x:c>
      <x:c r="U426" s="2" t="str">
        <x:v>Water supply infrastructure: drainage and pump parts, expansion joints, fasteners, coatings, sensors, geotextile repair, replacement armour or fill and planting stock.</x:v>
      </x:c>
      <x:c r="V426" s="2" t="str">
        <x:v>https://www.ctc-n.org/sites/default/files/resources/ctcn_taxonomy_0.pdf</x:v>
      </x:c>
      <x:c r="W426" s="2" t="str">
        <x:v>https://institutoagricoladepueblobello.edu.co/colegiapp/archivostemas/GUIA%209.%5B25%5D.pdf</x:v>
      </x:c>
      <x:c r="X426" s="2" t="str">
        <x:v>https://iiasa.ac.at/what-is-technology</x:v>
      </x:c>
      <x:c r="Y426" s="2" t="str">
        <x:v>https://www.ipcc.ch/report/ar6/wg2/chapter/chapter-6/; https://www.ipcc.ch/srocc/chapter/chapter-4-sea-level-rise-and-implications-for-low-lying-islands-coasts-and-communities/; https://www.unep.org/topics/climate-action/adaptation/ecosystem-based-adaptation</x:v>
      </x:c>
      <x:c r="Z426" s="2" t="str">
        <x:v>Technology-specific analytical synthesis. The CTCN hierarchy is retained; classifications and component dependencies require validation against the selected design, site and supplier documentation before investment or policy use.</x:v>
      </x:c>
      <x:c r="AA426" s="2" t="str">
        <x:v>Physical deployment of Water supply infrastructure requires site access, foundations, drainage, utility relocation, monitoring, construction staging, sediment or material supply and long-term maintenance corridors; interfaces, foundations, access and environmental protection are sized to the specific resource and design load.</x:v>
      </x:c>
      <x:c r="AB426" s="2" t="str">
        <x:v>For Water supply infrastructure,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26" s="2" t="str">
        <x:v>Construction and operation use concrete, steel, stone, asphalt, timber, geotextiles, soil or sand, corrosion protection, vegetation and locally compatible fill. For Water supply infrastructure, specifications must include durability, compatibility, recycled content and recoverability.</x:v>
      </x:c>
      <x:c r="AD426" s="2" t="str">
        <x:v>Maintenance of Water supply infrastructure depends on drainage and pump parts, expansion joints, fasteners, coatings, sensors, geotextile repair, replacement armour or fill and planting stock; critical spares are selected from failure-mode, lead-time and safety analysis for its installed configuration.</x:v>
      </x:c>
      <x:c r="AE426" s="2" t="str">
        <x:v>The software stack for Water supply infrastructure requires databases, secure communications, version-controlled models, computing, backup and interfaces with field or operational systems.</x:v>
      </x:c>
      <x:c r="AF426" s="2" t="str">
        <x:v>For Water supply infrastructure, software-related energy is electricity for sensing, computing, storage, communication and cooling; it is normally secondary but must be included for data-intensive or continuous services.</x:v>
      </x:c>
      <x:c r="AG426" s="2" t="str">
        <x:v>The non-physical inputs are calibrated data, metadata, algorithms, boundary conditions, emission or hazard factors, manuals and validation records specific to Water supply infrastructure.</x:v>
      </x:c>
      <x:c r="AH426" s="2" t="str">
        <x:v>Software continuity for Water supply infrastructure requires licences where applicable, updates, cybersecurity patches, backups, calibration files, model validation and technical support.</x:v>
      </x:c>
      <x:c r="AI426" s="2" t="str">
        <x:v>Orgware depends on the institutions, laboratories, training providers, regulators, operators and community interfaces needed to govern Water supply infrastructure.</x:v>
      </x:c>
      <x:c r="AJ426" s="2" t="str">
        <x:v>The orgware supporting Water supply infrastructure has mainly indirect energy use from offices, meetings, training and information systems; travel and field supervision may be material at dispersed sites.</x:v>
      </x:c>
      <x:c r="AK426" s="2" t="str">
        <x:v>Its organisational inputs are permits, budgets, trained staff, competence records, contracts, procedures, safeguards, monitoring evidence and stakeholder agreements tailored to Water supply infrastructure.</x:v>
      </x:c>
      <x:c r="AL426" s="2" t="str">
        <x:v>Sustained implementation of Water supply infrastructure requires procurement and service contracts, audit protocols, training material, reporting templates, insurance or guarantees and periodic independent review.</x:v>
      </x:c>
      <x:c r="AM426" s="2" t="str">
        <x:v>Iron ore / steel inputs; Limestone / cement raw materials</x:v>
      </x:c>
      <x:c r="AN426" s="2" t="str">
        <x:v>Australia; Brazil; China; India; Vietnam</x:v>
      </x:c>
      <x:c r="AO426" s="2" t="str">
        <x:v>China; India; Japan; Vietnam</x:v>
      </x:c>
      <x:c r="AP426" s="2" t="str">
        <x:v>Water supply infrastructure: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6" s="2" t="str">
        <x:v>2024–2025</x:v>
      </x:c>
      <x:c r="AR426" s="2" t="str">
        <x:v>https://pubs.usgs.gov/periodicals/mcs2026/mcs2026.pdf</x:v>
      </x:c>
    </x:row>
    <x:row r="427" ht="240" customHeight="1">
      <x:c r="A427" s="2" t="str">
        <x:v>ADP-0157</x:v>
      </x:c>
      <x:c r="B427" s="2" t="str">
        <x:v>Adaptation</x:v>
      </x:c>
      <x:c r="C427" s="2" t="str">
        <x:v>Infrastructure and Urban planning</x:v>
      </x:c>
      <x:c r="D427" s="2" t="str">
        <x:v>Urban planning</x:v>
      </x:c>
      <x:c r="E427" s="2" t="str">
        <x:v>Urban infrastructure development</x:v>
      </x:c>
      <x:c r="F427" s="2" t="str">
        <x:v>Urban infrastructure development is a adaptation technology in the Infrastructure and Urban planning sector and the Urban planning technology group. It is defined as a combined hardware–software–orgware system that reduces exposure and physical vulnerability through resilient siting, design loads, protective structures, adaptable construction, ecosystem buffers and planned management of residual risk. Urban infrastructure development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27" s="2" t="str">
        <x:v>Flexible</x:v>
      </x:c>
      <x:c r="H427" s="2" t="str">
        <x:v>Urban infrastructure development is transferable through configurable methods, rules and operating parameters. Its principle remains the same, but resource quality, climate, scale, interfaces and safety constraints must be recalculated for each deployment.</x:v>
      </x:c>
      <x:c r="I427" s="2" t="str">
        <x:v>Hard and soft</x:v>
      </x:c>
      <x:c r="J427" s="2" t="str">
        <x:v>Urban infrastructure development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27" s="2" t="str">
        <x:v>Operation and information service</x:v>
      </x:c>
      <x:c r="L427" s="2" t="str">
        <x:v>Urban infrastructure development is embodied mainly as an information and decision service. The deliverable is accepted only when measurable service, quality, safety and climate-performance criteria are met under real conditions.</x:v>
      </x:c>
      <x:c r="M427" s="2" t="str">
        <x:v>Yes, subject to life-cycle safeguards</x:v>
      </x:c>
      <x:c r="N427" s="2" t="str">
        <x:v>Urban infrastructure development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27" s="2" t="str">
        <x:v>Urban infrastructure development: resilient structural, drainage, transport, coastal or utility components; foundations, barriers, armour, geosynthetics, sensors and nature-based elements as applicable.</x:v>
      </x:c>
      <x:c r="P427" s="2" t="str">
        <x:v>Urban infrastructure development: climate-load and hazard analysis, structural or hydraulic modelling, geotechnical design, spatial planning, asset criticality, inspection and adaptation pathways.</x:v>
      </x:c>
      <x:c r="Q427" s="2" t="str">
        <x:v>Urban infrastructure development: building and infrastructure codes, zoning, permits, land acquisition or easements, maintenance responsibility, emergency access, environmental safeguards and community participation.</x:v>
      </x:c>
      <x:c r="R427" s="2" t="str">
        <x:v>Urban infrastructure development: site access, foundations, drainage, utility relocation, monitoring, construction staging, sediment or material supply and long-term maintenance corridors.</x:v>
      </x:c>
      <x:c r="S427" s="2" t="str">
        <x:v>Urban infrastructure development: construction fuel and electricity plus operational pumping, monitoring, lighting or active control; passive and ecosystem measures have lower operational demand.</x:v>
      </x:c>
      <x:c r="T427" s="2" t="str">
        <x:v>Urban infrastructure development: concrete, steel, stone, asphalt, timber, geotextiles, soil or sand, corrosion protection, vegetation and locally compatible fill.</x:v>
      </x:c>
      <x:c r="U427" s="2" t="str">
        <x:v>Urban infrastructure development: drainage and pump parts, expansion joints, fasteners, coatings, sensors, geotextile repair, replacement armour or fill and planting stock.</x:v>
      </x:c>
      <x:c r="V427" s="2" t="str">
        <x:v>https://www.ctc-n.org/sites/default/files/resources/ctcn_taxonomy_0.pdf</x:v>
      </x:c>
      <x:c r="W427" s="2" t="str">
        <x:v>https://institutoagricoladepueblobello.edu.co/colegiapp/archivostemas/GUIA%209.%5B25%5D.pdf</x:v>
      </x:c>
      <x:c r="X427" s="2" t="str">
        <x:v>https://iiasa.ac.at/what-is-technology</x:v>
      </x:c>
      <x:c r="Y427" s="2" t="str">
        <x:v>https://www.ipcc.ch/report/ar6/wg2/chapter/chapter-6/; https://www.ipcc.ch/srocc/chapter/chapter-4-sea-level-rise-and-implications-for-low-lying-islands-coasts-and-communities/; https://www.unep.org/topics/climate-action/adaptation/ecosystem-based-adaptation</x:v>
      </x:c>
      <x:c r="Z427" s="2" t="str">
        <x:v>Technology-specific analytical synthesis. The CTCN hierarchy is retained; classifications and component dependencies require validation against the selected design, site and supplier documentation before investment or policy use.</x:v>
      </x:c>
      <x:c r="AA427" s="2" t="str">
        <x:v>Physical deployment of Urban infrastructure development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427" s="2" t="str">
        <x:v>For Urban infrastructure development,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27" s="2" t="str">
        <x:v>Construction and operation use concrete, steel, stone, asphalt, timber, geotextiles, soil or sand, corrosion protection, vegetation and locally compatible fill. For Urban infrastructure development, specifications must include durability, compatibility, recycled content and recoverability.</x:v>
      </x:c>
      <x:c r="AD427" s="2" t="str">
        <x:v>Maintenance of Urban infrastructure development depends on drainage and pump parts, expansion joints, fasteners, coatings, sensors, geotextile repair, replacement armour or fill and planting stock; critical spares are selected from failure-mode, lead-time and safety analysis for its installed configuration.</x:v>
      </x:c>
      <x:c r="AE427" s="2" t="str">
        <x:v>The software stack for Urban infrastructure development requires databases, secure communications, version-controlled models, computing, backup and interfaces with field or operational systems.</x:v>
      </x:c>
      <x:c r="AF427" s="2" t="str">
        <x:v>For Urban infrastructure development, software-related energy is electricity for sensing, computing, storage, communication and cooling; it is normally secondary but must be included for data-intensive or continuous services.</x:v>
      </x:c>
      <x:c r="AG427" s="2" t="str">
        <x:v>The non-physical inputs are calibrated data, metadata, algorithms, boundary conditions, emission or hazard factors, manuals and validation records specific to Urban infrastructure development.</x:v>
      </x:c>
      <x:c r="AH427" s="2" t="str">
        <x:v>Software continuity for Urban infrastructure development requires licences where applicable, updates, cybersecurity patches, backups, calibration files, model validation and technical support.</x:v>
      </x:c>
      <x:c r="AI427" s="2" t="str">
        <x:v>Orgware depends on the institutions, laboratories, training providers, regulators, operators and community interfaces needed to govern Urban infrastructure development.</x:v>
      </x:c>
      <x:c r="AJ427" s="2" t="str">
        <x:v>The orgware supporting Urban infrastructure development has mainly indirect energy use from offices, meetings, training and information systems; travel and field supervision may be material at dispersed sites.</x:v>
      </x:c>
      <x:c r="AK427" s="2" t="str">
        <x:v>Its organisational inputs are permits, budgets, trained staff, competence records, contracts, procedures, safeguards, monitoring evidence and stakeholder agreements tailored to Urban infrastructure development.</x:v>
      </x:c>
      <x:c r="AL427" s="2" t="str">
        <x:v>Sustained implementation of Urban infrastructure development requires procurement and service contracts, audit protocols, training material, reporting templates, insurance or guarantees and periodic independent review.</x:v>
      </x:c>
      <x:c r="AM427" s="2" t="str">
        <x:v>Limestone / cement raw materials</x:v>
      </x:c>
      <x:c r="AN427" s="2" t="str">
        <x:v>China; India; Vietnam</x:v>
      </x:c>
      <x:c r="AO427" s="2" t="str">
        <x:v>China; India; Vietnam</x:v>
      </x:c>
      <x:c r="AP427" s="2" t="str">
        <x:v>Urban infrastructure development: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7" s="2" t="str">
        <x:v>2024–2025</x:v>
      </x:c>
      <x:c r="AR427" s="2" t="str">
        <x:v>https://pubs.usgs.gov/periodicals/mcs2026/mcs2026.pdf</x:v>
      </x:c>
    </x:row>
    <x:row r="428" ht="240" customHeight="1">
      <x:c r="A428" s="2" t="str">
        <x:v>ADP-0158</x:v>
      </x:c>
      <x:c r="B428" s="2" t="str">
        <x:v>Adaptation</x:v>
      </x:c>
      <x:c r="C428" s="2" t="str">
        <x:v>Infrastructure and Urban planning</x:v>
      </x:c>
      <x:c r="D428" s="2" t="str">
        <x:v>Urban planning</x:v>
      </x:c>
      <x:c r="E428" s="2" t="str">
        <x:v>General planning solutions</x:v>
      </x:c>
      <x:c r="F428" s="2" t="str">
        <x:v>General planning solutions is a adaptation technology in the Infrastructure and Urban planning sector and the Urban planning technology group. It is defined as a combined hardware–software–orgware system that reduces exposure and physical vulnerability through resilient siting, design loads, protective structures, adaptable construction, ecosystem buffers and planned management of residual risk. General planning solutions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28" s="2" t="str">
        <x:v>Flexible</x:v>
      </x:c>
      <x:c r="H428" s="2" t="str">
        <x:v>General planning solutions is transferable through configurable methods, rules and operating parameters. Its principle remains the same, but resource quality, climate, scale, interfaces and safety constraints must be recalculated for each deployment.</x:v>
      </x:c>
      <x:c r="I428" s="2" t="str">
        <x:v>Hard and soft</x:v>
      </x:c>
      <x:c r="J428" s="2" t="str">
        <x:v>General planning solutions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28" s="2" t="str">
        <x:v>Operation and information service</x:v>
      </x:c>
      <x:c r="L428" s="2" t="str">
        <x:v>General planning solutions is embodied mainly as an information and decision service. The deliverable is accepted only when measurable service, quality, safety and climate-performance criteria are met under real conditions.</x:v>
      </x:c>
      <x:c r="M428" s="2" t="str">
        <x:v>Yes, subject to life-cycle safeguards</x:v>
      </x:c>
      <x:c r="N428" s="2" t="str">
        <x:v>General planning solutions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28" s="2" t="str">
        <x:v>General planning solutions: resilient structural, drainage, transport, coastal or utility components; foundations, barriers, armour, geosynthetics, sensors and nature-based elements as applicable.</x:v>
      </x:c>
      <x:c r="P428" s="2" t="str">
        <x:v>General planning solutions: climate-load and hazard analysis, structural or hydraulic modelling, geotechnical design, spatial planning, asset criticality, inspection and adaptation pathways.</x:v>
      </x:c>
      <x:c r="Q428" s="2" t="str">
        <x:v>General planning solutions: building and infrastructure codes, zoning, permits, land acquisition or easements, maintenance responsibility, emergency access, environmental safeguards and community participation.</x:v>
      </x:c>
      <x:c r="R428" s="2" t="str">
        <x:v>General planning solutions: site access, foundations, drainage, utility relocation, monitoring, construction staging, sediment or material supply and long-term maintenance corridors.</x:v>
      </x:c>
      <x:c r="S428" s="2" t="str">
        <x:v>General planning solutions: construction fuel and electricity plus operational pumping, monitoring, lighting or active control; passive and ecosystem measures have lower operational demand.</x:v>
      </x:c>
      <x:c r="T428" s="2" t="str">
        <x:v>General planning solutions: concrete, steel, stone, asphalt, timber, geotextiles, soil or sand, corrosion protection, vegetation and locally compatible fill.</x:v>
      </x:c>
      <x:c r="U428" s="2" t="str">
        <x:v>General planning solutions: drainage and pump parts, expansion joints, fasteners, coatings, sensors, geotextile repair, replacement armour or fill and planting stock.</x:v>
      </x:c>
      <x:c r="V428" s="2" t="str">
        <x:v>https://www.ctc-n.org/sites/default/files/resources/ctcn_taxonomy_0.pdf</x:v>
      </x:c>
      <x:c r="W428" s="2" t="str">
        <x:v>https://institutoagricoladepueblobello.edu.co/colegiapp/archivostemas/GUIA%209.%5B25%5D.pdf</x:v>
      </x:c>
      <x:c r="X428" s="2" t="str">
        <x:v>https://iiasa.ac.at/what-is-technology</x:v>
      </x:c>
      <x:c r="Y428" s="2" t="str">
        <x:v>https://www.ipcc.ch/report/ar6/wg2/chapter/chapter-6/; https://www.ipcc.ch/srocc/chapter/chapter-4-sea-level-rise-and-implications-for-low-lying-islands-coasts-and-communities/; https://www.unep.org/topics/climate-action/adaptation/ecosystem-based-adaptation</x:v>
      </x:c>
      <x:c r="Z428" s="2" t="str">
        <x:v>Technology-specific analytical synthesis. The CTCN hierarchy is retained; classifications and component dependencies require validation against the selected design, site and supplier documentation before investment or policy use.</x:v>
      </x:c>
      <x:c r="AA428" s="2" t="str">
        <x:v>Physical deployment of General planning solutions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28" s="2" t="str">
        <x:v>For General planning solutions,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28" s="2" t="str">
        <x:v>Construction and operation use concrete, steel, stone, asphalt, timber, geotextiles, soil or sand, corrosion protection, vegetation and locally compatible fill. For General planning solutions, specifications must include durability, compatibility, recycled content and recoverability.</x:v>
      </x:c>
      <x:c r="AD428" s="2" t="str">
        <x:v>Maintenance of General planning solutions depends on drainage and pump parts, expansion joints, fasteners, coatings, sensors, geotextile repair, replacement armour or fill and planting stock; critical spares are selected from failure-mode, lead-time and safety analysis for its installed configuration.</x:v>
      </x:c>
      <x:c r="AE428" s="2" t="str">
        <x:v>The software stack for General planning solutions requires databases, secure communications, version-controlled models, computing, backup and interfaces with field or operational systems.</x:v>
      </x:c>
      <x:c r="AF428" s="2" t="str">
        <x:v>For General planning solutions, software-related energy is electricity for sensing, computing, storage, communication and cooling; it is normally secondary but must be included for data-intensive or continuous services.</x:v>
      </x:c>
      <x:c r="AG428" s="2" t="str">
        <x:v>The non-physical inputs are calibrated data, metadata, algorithms, boundary conditions, emission or hazard factors, manuals and validation records specific to General planning solutions.</x:v>
      </x:c>
      <x:c r="AH428" s="2" t="str">
        <x:v>Software continuity for General planning solutions requires licences where applicable, updates, cybersecurity patches, backups, calibration files, model validation and technical support.</x:v>
      </x:c>
      <x:c r="AI428" s="2" t="str">
        <x:v>Orgware depends on the institutions, laboratories, training providers, regulators, operators and community interfaces needed to govern General planning solutions.</x:v>
      </x:c>
      <x:c r="AJ428" s="2" t="str">
        <x:v>The orgware supporting General planning solutions has mainly indirect energy use from offices, meetings, training and information systems; travel and field supervision may be material at dispersed sites.</x:v>
      </x:c>
      <x:c r="AK428" s="2" t="str">
        <x:v>Its organisational inputs are permits, budgets, trained staff, competence records, contracts, procedures, safeguards, monitoring evidence and stakeholder agreements tailored to General planning solutions.</x:v>
      </x:c>
      <x:c r="AL428" s="2" t="str">
        <x:v>Sustained implementation of General planning solutions requires procurement and service contracts, audit protocols, training material, reporting templates, insurance or guarantees and periodic independent review.</x:v>
      </x:c>
      <x:c r="AM428" s="2" t="str">
        <x:v>No critical or strategic raw material is identifiable at taxonomy level; site-specific bulk materials may still be required.</x:v>
      </x:c>
      <x:c r="AN428" s="2" t="str"/>
      <x:c r="AO428" s="2" t="str"/>
      <x:c r="AP428" s="2" t="str">
        <x:v>General planning solutions: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8" s="2" t="str">
        <x:v>2024–2025</x:v>
      </x:c>
      <x:c r="AR428" s="2" t="str">
        <x:v>https://pubs.usgs.gov/periodicals/mcs2026/mcs2026.pdf</x:v>
      </x:c>
    </x:row>
    <x:row r="429" ht="240" customHeight="1">
      <x:c r="A429" s="2" t="str">
        <x:v>ADP-0159</x:v>
      </x:c>
      <x:c r="B429" s="2" t="str">
        <x:v>Adaptation</x:v>
      </x:c>
      <x:c r="C429" s="2" t="str">
        <x:v>Infrastructure and Urban planning</x:v>
      </x:c>
      <x:c r="D429" s="2" t="str">
        <x:v>Building codes</x:v>
      </x:c>
      <x:c r="E429" s="2" t="str">
        <x:v>Building codes</x:v>
      </x:c>
      <x:c r="F429" s="2" t="str">
        <x:v>Building codes is a adaptation technology in the Infrastructure and Urban planning sector and the Building codes technology group. It is defined as a combined hardware–software–orgware system that reduces thermal, electrical or water demand through passive design, efficient equipment, controls and low-impact materials. Building codes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429" s="2" t="str">
        <x:v>Flexible</x:v>
      </x:c>
      <x:c r="H429" s="2" t="str">
        <x:v>Building codes is transferable through configurable methods, rules and operating parameters. Its principle remains the same, but resource quality, climate, scale, interfaces and safety constraints must be recalculated for each deployment.</x:v>
      </x:c>
      <x:c r="I429" s="2" t="str">
        <x:v>Primarily soft, with physical support</x:v>
      </x:c>
      <x:c r="J429" s="2" t="str">
        <x:v>Building codes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429" s="2" t="str">
        <x:v>Operation</x:v>
      </x:c>
      <x:c r="L429" s="2" t="str">
        <x:v>Building codes is embodied mainly as an operating practice. The deliverable is accepted only when measurable service, quality, safety and climate-performance criteria are met under real conditions.</x:v>
      </x:c>
      <x:c r="M429" s="2" t="str">
        <x:v>Yes, subject to life-cycle safeguards</x:v>
      </x:c>
      <x:c r="N429" s="2" t="str">
        <x:v>Building codes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429" s="2" t="str">
        <x:v>Building codes: envelope assemblies, efficient equipment, sensors, actuators, meters and distribution systems.</x:v>
      </x:c>
      <x:c r="P429" s="2" t="str">
        <x:v>Building codes: energy simulation, load calculation, control sequences, commissioning data and building management.</x:v>
      </x:c>
      <x:c r="Q429" s="2" t="str">
        <x:v>Building codes: building codes, performance standards, procurement, commissioning, maintenance plans and occupant guidance.</x:v>
      </x:c>
      <x:c r="R429" s="2" t="str">
        <x:v>Building codes: building fabric, plant rooms, electrical and water networks, access for maintenance and metering.</x:v>
      </x:c>
      <x:c r="S429" s="2" t="str">
        <x:v>Building codes: electricity and thermal energy; peak demand, part-load efficiency and controls determine actual savings.</x:v>
      </x:c>
      <x:c r="T429" s="2" t="str">
        <x:v>Building codes: insulation, glass, concrete, steel, timber, aluminium, copper, refrigerants and electronic components as applicable.</x:v>
      </x:c>
      <x:c r="U429" s="2" t="str">
        <x:v>Building codes: filters, belts, seals, lamps or drivers, sensors, actuators, valves, control modules and envelope repair materials.</x:v>
      </x:c>
      <x:c r="V429" s="2" t="str">
        <x:v>https://www.ctc-n.org/sites/default/files/resources/ctcn_taxonomy_0.pdf</x:v>
      </x:c>
      <x:c r="W429" s="2" t="str">
        <x:v>https://institutoagricoladepueblobello.edu.co/colegiapp/archivostemas/GUIA%209.%5B25%5D.pdf</x:v>
      </x:c>
      <x:c r="X429" s="2" t="str">
        <x:v>https://iiasa.ac.at/what-is-technology</x:v>
      </x:c>
      <x:c r="Y429" s="2" t="str">
        <x:v>https://www.ipcc.ch/report/ar6/wg2/chapter/chapter-6/; https://www.ipcc.ch/report/ar6/wg3/chapter/chapter-9/</x:v>
      </x:c>
      <x:c r="Z429" s="2" t="str">
        <x:v>Technology-specific analytical synthesis. The CTCN hierarchy is retained; classifications and component dependencies require validation against the selected design, site and supplier documentation before investment or policy use.</x:v>
      </x:c>
      <x:c r="AA429" s="2" t="str">
        <x:v>Physical deployment of Building codes requires building fabric, plant rooms, electrical and water networks, access for maintenance and metering; interfaces, foundations, access and environmental protection are sized to the specific resource and design load.</x:v>
      </x:c>
      <x:c r="AB429" s="2" t="str">
        <x:v>For Building codes, the hardware energy balance comprises electricity and thermal energy; peak demand, part-load efficiency and controls determine actual savings; metering must separate useful output, conversion losses and auxiliaries for the selected design.</x:v>
      </x:c>
      <x:c r="AC429" s="2" t="str">
        <x:v>Construction and operation use insulation, glass, concrete, steel, timber, aluminium, copper, refrigerants and electronic components as applicable. For Building codes, specifications must include durability, compatibility, recycled content and recoverability.</x:v>
      </x:c>
      <x:c r="AD429" s="2" t="str">
        <x:v>Maintenance of Building codes depends on filters, belts, seals, lamps or drivers, sensors, actuators, valves, control modules and envelope repair materials; critical spares are selected from failure-mode, lead-time and safety analysis for its installed configuration.</x:v>
      </x:c>
      <x:c r="AE429" s="2" t="str">
        <x:v>The software stack for Building codes requires databases, secure communications, version-controlled models, computing, backup and interfaces with field or operational systems.</x:v>
      </x:c>
      <x:c r="AF429" s="2" t="str">
        <x:v>For Building codes, software-related energy is electricity for sensing, computing, storage, communication and cooling; it is normally secondary but must be included for data-intensive or continuous services.</x:v>
      </x:c>
      <x:c r="AG429" s="2" t="str">
        <x:v>The non-physical inputs are calibrated data, metadata, algorithms, boundary conditions, emission or hazard factors, manuals and validation records specific to Building codes.</x:v>
      </x:c>
      <x:c r="AH429" s="2" t="str">
        <x:v>Software continuity for Building codes requires licences where applicable, updates, cybersecurity patches, backups, calibration files, model validation and technical support.</x:v>
      </x:c>
      <x:c r="AI429" s="2" t="str">
        <x:v>Orgware depends on the institutions, laboratories, training providers, regulators, operators and community interfaces needed to govern Building codes.</x:v>
      </x:c>
      <x:c r="AJ429" s="2" t="str">
        <x:v>The orgware supporting Building codes has mainly indirect energy use from offices, meetings, training and information systems; travel and field supervision may be material at dispersed sites.</x:v>
      </x:c>
      <x:c r="AK429" s="2" t="str">
        <x:v>Its organisational inputs are permits, budgets, trained staff, competence records, contracts, procedures, safeguards, monitoring evidence and stakeholder agreements tailored to Building codes.</x:v>
      </x:c>
      <x:c r="AL429" s="2" t="str">
        <x:v>Sustained implementation of Building codes requires procurement and service contracts, audit protocols, training material, reporting templates, insurance or guarantees and periodic independent review.</x:v>
      </x:c>
      <x:c r="AM429" s="2" t="str">
        <x:v>Iron ore / steel inputs; Limestone / cement raw materials</x:v>
      </x:c>
      <x:c r="AN429" s="2" t="str">
        <x:v>Australia; Brazil; China; India; Vietnam</x:v>
      </x:c>
      <x:c r="AO429" s="2" t="str">
        <x:v>China; India; Japan; Vietnam</x:v>
      </x:c>
      <x:c r="AP429" s="2" t="str">
        <x:v>Building codes: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9" s="2" t="str">
        <x:v>2024–2025</x:v>
      </x:c>
      <x:c r="AR429" s="2" t="str">
        <x:v>https://pubs.usgs.gov/periodicals/mcs2026/mcs2026.pdf</x:v>
      </x:c>
    </x:row>
    <x:row r="430" ht="240" customHeight="1">
      <x:c r="A430" s="2" t="str">
        <x:v>ADP-0160</x:v>
      </x:c>
      <x:c r="B430" s="2" t="str">
        <x:v>Adaptation</x:v>
      </x:c>
      <x:c r="C430" s="2" t="str">
        <x:v>Infrastructure and Urban planning</x:v>
      </x:c>
      <x:c r="D430" s="2" t="str">
        <x:v>Resilient transport systems</x:v>
      </x:c>
      <x:c r="E430" s="2" t="str">
        <x:v>Resilient railway systems</x:v>
      </x:c>
      <x:c r="F430" s="2" t="str">
        <x:v>Resilient railway systems is a adaptation technology in the Infrastructure and Urban planning sector and the Resilient transport systems technology group. It is defined as a combined hardware–software–orgware system that changes vehicle kilometres, modal share, occupancy, speed profiles, routing or logistics so that the same mobility service is delivered with less final energy and fewer tailpipe emissions. Resilient railway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430" s="2" t="str">
        <x:v>Primarily fixed</x:v>
      </x:c>
      <x:c r="H430" s="2" t="str">
        <x:v>Resilient railway systems is tied to long-lived, site-specific assets and design loads. Its principle remains the same, but resource quality, climate, scale, interfaces and safety constraints must be recalculated for each deployment.</x:v>
      </x:c>
      <x:c r="I430" s="2" t="str">
        <x:v>Primarily hard, with a soft component</x:v>
      </x:c>
      <x:c r="J430" s="2" t="str">
        <x:v>Resilient railway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430" s="2" t="str">
        <x:v>Equipment and operation</x:v>
      </x:c>
      <x:c r="L430" s="2" t="str">
        <x:v>Resilient railway systems is embodied mainly as an equipment-and-operation system. The deliverable is accepted only when measurable service, quality, safety and climate-performance criteria are met under real conditions.</x:v>
      </x:c>
      <x:c r="M430" s="2" t="str">
        <x:v>Yes, subject to life-cycle safeguards</x:v>
      </x:c>
      <x:c r="N430" s="2" t="str">
        <x:v>Resilient railway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430" s="2" t="str">
        <x:v>Resilient railway systems: corridor and station infrastructure, signalling, ticketing, communications, fleet equipment, traffic sensors and user interfaces as applicable.</x:v>
      </x:c>
      <x:c r="P430" s="2" t="str">
        <x:v>Resilient railway systems: network and timetable design, demand models, traffic control, fleet dispatch, logistics optimisation, safety analysis and service-performance analytics.</x:v>
      </x:c>
      <x:c r="Q430" s="2" t="str">
        <x:v>Resilient railway systems: transport authority mandates, operating contracts, tariffs, enforcement, street-space allocation, accessibility rules and coordination with land-use planning.</x:v>
      </x:c>
      <x:c r="R430" s="2" t="str">
        <x:v>Resilient railway systems: rights-of-way, stops or terminals, depots, interchanges, control centres, communications and safe pedestrian or cycling access.</x:v>
      </x:c>
      <x:c r="S430" s="2" t="str">
        <x:v>Resilient railway systems: electricity for control and stations plus the energy used by the affected vehicle fleet; the net result is governed by modal shift and occupancy.</x:v>
      </x:c>
      <x:c r="T430" s="2" t="str">
        <x:v>Resilient railway systems: concrete, steel, asphalt, copper, signalling electronics, pavement materials and vehicle-related materials where new infrastructure is built.</x:v>
      </x:c>
      <x:c r="U430" s="2" t="str">
        <x:v>Resilient railway systems: signal modules, communications equipment, validators, sensors, pavement components, station equipment and fleet consumables.</x:v>
      </x:c>
      <x:c r="V430" s="2" t="str">
        <x:v>https://www.ctc-n.org/sites/default/files/resources/ctcn_taxonomy_0.pdf</x:v>
      </x:c>
      <x:c r="W430" s="2" t="str">
        <x:v>https://institutoagricoladepueblobello.edu.co/colegiapp/archivostemas/GUIA%209.%5B25%5D.pdf</x:v>
      </x:c>
      <x:c r="X430" s="2" t="str">
        <x:v>https://iiasa.ac.at/what-is-technology</x:v>
      </x:c>
      <x:c r="Y430" s="2" t="str">
        <x:v>https://www.ipcc.ch/report/ar6/wg2/chapter/chapter-6/; https://www.ipcc.ch/report/ar6/wg3/chapter/chapter-10/; https://ppp.worldbank.org/print/pdf/node/7300</x:v>
      </x:c>
      <x:c r="Z430" s="2" t="str">
        <x:v>Technology-specific analytical synthesis. The CTCN hierarchy is retained; classifications and component dependencies require validation against the selected design, site and supplier documentation before investment or policy use.</x:v>
      </x:c>
      <x:c r="AA430" s="2" t="str">
        <x:v>Physical deployment of Resilient railway systems requires rights-of-way, stops or terminals, depots, interchanges, control centres, communications and safe pedestrian or cycling access; interfaces, foundations, access and environmental protection are sized to the specific resource and design load.</x:v>
      </x:c>
      <x:c r="AB430" s="2" t="str">
        <x:v>For Resilient railway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430" s="2" t="str">
        <x:v>Construction and operation use concrete, steel, asphalt, copper, signalling electronics, pavement materials and vehicle-related materials where new infrastructure is built. For Resilient railway systems, specifications must include durability, compatibility, recycled content and recoverability.</x:v>
      </x:c>
      <x:c r="AD430" s="2" t="str">
        <x:v>Maintenance of Resilient railway systems depends on signal modules, communications equipment, validators, sensors, pavement components, station equipment and fleet consumables; critical spares are selected from failure-mode, lead-time and safety analysis for its installed configuration.</x:v>
      </x:c>
      <x:c r="AE430" s="2" t="str">
        <x:v>The software stack for Resilient railway systems requires databases, secure communications, version-controlled models, computing, backup and interfaces with field or operational systems.</x:v>
      </x:c>
      <x:c r="AF430" s="2" t="str">
        <x:v>For Resilient railway systems, software-related energy is electricity for sensing, computing, storage, communication and cooling; it is normally secondary but must be included for data-intensive or continuous services.</x:v>
      </x:c>
      <x:c r="AG430" s="2" t="str">
        <x:v>The non-physical inputs are calibrated data, metadata, algorithms, boundary conditions, emission or hazard factors, manuals and validation records specific to Resilient railway systems.</x:v>
      </x:c>
      <x:c r="AH430" s="2" t="str">
        <x:v>Software continuity for Resilient railway systems requires licences where applicable, updates, cybersecurity patches, backups, calibration files, model validation and technical support.</x:v>
      </x:c>
      <x:c r="AI430" s="2" t="str">
        <x:v>Orgware depends on the institutions, laboratories, training providers, regulators, operators and community interfaces needed to govern Resilient railway systems.</x:v>
      </x:c>
      <x:c r="AJ430" s="2" t="str">
        <x:v>The orgware supporting Resilient railway systems has mainly indirect energy use from offices, meetings, training and information systems; travel and field supervision may be material at dispersed sites.</x:v>
      </x:c>
      <x:c r="AK430" s="2" t="str">
        <x:v>Its organisational inputs are permits, budgets, trained staff, competence records, contracts, procedures, safeguards, monitoring evidence and stakeholder agreements tailored to Resilient railway systems.</x:v>
      </x:c>
      <x:c r="AL430" s="2" t="str">
        <x:v>Sustained implementation of Resilient railway systems requires procurement and service contracts, audit protocols, training material, reporting templates, insurance or guarantees and periodic independent review.</x:v>
      </x:c>
      <x:c r="AM430" s="2" t="str">
        <x:v>Iron ore / steel inputs; Copper; Tin; Limestone / cement raw materials</x:v>
      </x:c>
      <x:c r="AN430" s="2" t="str">
        <x:v>Australia; Brazil; China; Chile; Democratic Republic of the Congo; Peru; Indonesia; Myanmar; India; Vietnam</x:v>
      </x:c>
      <x:c r="AO430" s="2" t="str">
        <x:v>China; India; Japan; Chile; Democratic Republic of the Congo; Indonesia; Malaysia; Vietnam</x:v>
      </x:c>
      <x:c r="AP430" s="2" t="str">
        <x:v>Resilient railway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0" s="2" t="str">
        <x:v>2024–2025</x:v>
      </x:c>
      <x:c r="AR430" s="2" t="str">
        <x:v>https://pubs.usgs.gov/periodicals/mcs2026/mcs2026.pdf</x:v>
      </x:c>
    </x:row>
    <x:row r="431" ht="240" customHeight="1">
      <x:c r="A431" s="2" t="str">
        <x:v>ADP-0161</x:v>
      </x:c>
      <x:c r="B431" s="2" t="str">
        <x:v>Adaptation</x:v>
      </x:c>
      <x:c r="C431" s="2" t="str">
        <x:v>Infrastructure and Urban planning</x:v>
      </x:c>
      <x:c r="D431" s="2" t="str">
        <x:v>Resilient transport systems</x:v>
      </x:c>
      <x:c r="E431" s="2" t="str">
        <x:v>Resilient road systems</x:v>
      </x:c>
      <x:c r="F431" s="2" t="str">
        <x:v>Resilient road systems is a adaptation technology in the Infrastructure and Urban planning sector and the Resilient transport systems technology group. It is defined as a combined hardware–software–orgware system that changes vehicle kilometres, modal share, occupancy, speed profiles, routing or logistics so that the same mobility service is delivered with less final energy and fewer tailpipe emissions. Resilient road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431" s="2" t="str">
        <x:v>Mixed: adaptable design, site-specific implementation</x:v>
      </x:c>
      <x:c r="H431" s="2" t="str">
        <x:v>Resilient road systems is adaptable in capacity and configuration but site-specific in final engineering. Its principle remains the same, but resource quality, climate, scale, interfaces and safety constraints must be recalculated for each deployment.</x:v>
      </x:c>
      <x:c r="I431" s="2" t="str">
        <x:v>Primarily hard, with a soft component</x:v>
      </x:c>
      <x:c r="J431" s="2" t="str">
        <x:v>Resilient road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431" s="2" t="str">
        <x:v>Equipment and operation</x:v>
      </x:c>
      <x:c r="L431" s="2" t="str">
        <x:v>Resilient road systems is embodied mainly as an equipment-and-operation system. The deliverable is accepted only when measurable service, quality, safety and climate-performance criteria are met under real conditions.</x:v>
      </x:c>
      <x:c r="M431" s="2" t="str">
        <x:v>Yes, subject to life-cycle safeguards</x:v>
      </x:c>
      <x:c r="N431" s="2" t="str">
        <x:v>Resilient road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431" s="2" t="str">
        <x:v>Resilient road systems: corridor and station infrastructure, signalling, ticketing, communications, fleet equipment, traffic sensors and user interfaces as applicable.</x:v>
      </x:c>
      <x:c r="P431" s="2" t="str">
        <x:v>Resilient road systems: network and timetable design, demand models, traffic control, fleet dispatch, logistics optimisation, safety analysis and service-performance analytics.</x:v>
      </x:c>
      <x:c r="Q431" s="2" t="str">
        <x:v>Resilient road systems: transport authority mandates, operating contracts, tariffs, enforcement, street-space allocation, accessibility rules and coordination with land-use planning.</x:v>
      </x:c>
      <x:c r="R431" s="2" t="str">
        <x:v>Resilient road systems: rights-of-way, stops or terminals, depots, interchanges, control centres, communications and safe pedestrian or cycling access.</x:v>
      </x:c>
      <x:c r="S431" s="2" t="str">
        <x:v>Resilient road systems: electricity for control and stations plus the energy used by the affected vehicle fleet; the net result is governed by modal shift and occupancy.</x:v>
      </x:c>
      <x:c r="T431" s="2" t="str">
        <x:v>Resilient road systems: concrete, steel, asphalt, copper, signalling electronics, pavement materials and vehicle-related materials where new infrastructure is built.</x:v>
      </x:c>
      <x:c r="U431" s="2" t="str">
        <x:v>Resilient road systems: signal modules, communications equipment, validators, sensors, pavement components, station equipment and fleet consumables.</x:v>
      </x:c>
      <x:c r="V431" s="2" t="str">
        <x:v>https://www.ctc-n.org/sites/default/files/resources/ctcn_taxonomy_0.pdf</x:v>
      </x:c>
      <x:c r="W431" s="2" t="str">
        <x:v>https://institutoagricoladepueblobello.edu.co/colegiapp/archivostemas/GUIA%209.%5B25%5D.pdf</x:v>
      </x:c>
      <x:c r="X431" s="2" t="str">
        <x:v>https://iiasa.ac.at/what-is-technology</x:v>
      </x:c>
      <x:c r="Y431" s="2" t="str">
        <x:v>https://www.ipcc.ch/report/ar6/wg2/chapter/chapter-6/; https://www.ipcc.ch/report/ar6/wg3/chapter/chapter-10/; https://ppp.worldbank.org/print/pdf/node/7300</x:v>
      </x:c>
      <x:c r="Z431" s="2" t="str">
        <x:v>Technology-specific analytical synthesis. The CTCN hierarchy is retained; classifications and component dependencies require validation against the selected design, site and supplier documentation before investment or policy use.</x:v>
      </x:c>
      <x:c r="AA431" s="2" t="str">
        <x:v>Physical deployment of Resilient road systems requires rights-of-way, stops or terminals, depots, interchanges, control centres, communications and safe pedestrian or cycling access; interfaces, foundations, access and environmental protection are sized to the specific resource and design load.</x:v>
      </x:c>
      <x:c r="AB431" s="2" t="str">
        <x:v>For Resilient road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431" s="2" t="str">
        <x:v>Construction and operation use concrete, steel, asphalt, copper, signalling electronics, pavement materials and vehicle-related materials where new infrastructure is built. For Resilient road systems, specifications must include durability, compatibility, recycled content and recoverability.</x:v>
      </x:c>
      <x:c r="AD431" s="2" t="str">
        <x:v>Maintenance of Resilient road systems depends on signal modules, communications equipment, validators, sensors, pavement components, station equipment and fleet consumables; critical spares are selected from failure-mode, lead-time and safety analysis for its installed configuration.</x:v>
      </x:c>
      <x:c r="AE431" s="2" t="str">
        <x:v>The software stack for Resilient road systems requires databases, secure communications, version-controlled models, computing, backup and interfaces with field or operational systems.</x:v>
      </x:c>
      <x:c r="AF431" s="2" t="str">
        <x:v>For Resilient road systems, software-related energy is electricity for sensing, computing, storage, communication and cooling; it is normally secondary but must be included for data-intensive or continuous services.</x:v>
      </x:c>
      <x:c r="AG431" s="2" t="str">
        <x:v>The non-physical inputs are calibrated data, metadata, algorithms, boundary conditions, emission or hazard factors, manuals and validation records specific to Resilient road systems.</x:v>
      </x:c>
      <x:c r="AH431" s="2" t="str">
        <x:v>Software continuity for Resilient road systems requires licences where applicable, updates, cybersecurity patches, backups, calibration files, model validation and technical support.</x:v>
      </x:c>
      <x:c r="AI431" s="2" t="str">
        <x:v>Orgware depends on the institutions, laboratories, training providers, regulators, operators and community interfaces needed to govern Resilient road systems.</x:v>
      </x:c>
      <x:c r="AJ431" s="2" t="str">
        <x:v>The orgware supporting Resilient road systems has mainly indirect energy use from offices, meetings, training and information systems; travel and field supervision may be material at dispersed sites.</x:v>
      </x:c>
      <x:c r="AK431" s="2" t="str">
        <x:v>Its organisational inputs are permits, budgets, trained staff, competence records, contracts, procedures, safeguards, monitoring evidence and stakeholder agreements tailored to Resilient road systems.</x:v>
      </x:c>
      <x:c r="AL431" s="2" t="str">
        <x:v>Sustained implementation of Resilient road systems requires procurement and service contracts, audit protocols, training material, reporting templates, insurance or guarantees and periodic independent review.</x:v>
      </x:c>
      <x:c r="AM431" s="2" t="str">
        <x:v>Iron ore / steel inputs</x:v>
      </x:c>
      <x:c r="AN431" s="2" t="str">
        <x:v>Australia; Brazil; China</x:v>
      </x:c>
      <x:c r="AO431" s="2" t="str">
        <x:v>China; India; Japan</x:v>
      </x:c>
      <x:c r="AP431" s="2" t="str">
        <x:v>Resilient road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1" s="2" t="str">
        <x:v>2024–2025</x:v>
      </x:c>
      <x:c r="AR431" s="2" t="str">
        <x:v>https://pubs.usgs.gov/periodicals/mcs2026/mcs2026.pdf</x:v>
      </x:c>
    </x:row>
    <x:row r="432" ht="240" customHeight="1">
      <x:c r="A432" s="2" t="str">
        <x:v>ADP-0162</x:v>
      </x:c>
      <x:c r="B432" s="2" t="str">
        <x:v>Adaptation</x:v>
      </x:c>
      <x:c r="C432" s="2" t="str">
        <x:v>Coastal Zones</x:v>
      </x:c>
      <x:c r="D432" s="2" t="str">
        <x:v>Retreat</x:v>
      </x:c>
      <x:c r="E432" s="2" t="str">
        <x:v>Coastal setbacks</x:v>
      </x:c>
      <x:c r="F432" s="2" t="str">
        <x:v>Coastal setbacks is a adaptation technology in the Coastal Zones sector and the Retreat technology group. It is defined as a combined hardware–software–orgware system that reduces exposure and physical vulnerability through resilient siting, design loads, protective structures, adaptable construction, ecosystem buffers and planned management of residual risk. Coastal setbacks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32" s="2" t="str">
        <x:v>Mixed: adaptable design, site-specific implementation</x:v>
      </x:c>
      <x:c r="H432" s="2" t="str">
        <x:v>Coastal setbacks is adaptable in capacity and configuration but site-specific in final engineering. Its principle remains the same, but resource quality, climate, scale, interfaces and safety constraints must be recalculated for each deployment.</x:v>
      </x:c>
      <x:c r="I432" s="2" t="str">
        <x:v>Primarily hard, with a soft component</x:v>
      </x:c>
      <x:c r="J432" s="2" t="str">
        <x:v>Coastal setbacks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32" s="2" t="str">
        <x:v>Equipment and operation</x:v>
      </x:c>
      <x:c r="L432" s="2" t="str">
        <x:v>Coastal setbacks is embodied mainly as an equipment-and-operation system. The deliverable is accepted only when measurable service, quality, safety and climate-performance criteria are met under real conditions.</x:v>
      </x:c>
      <x:c r="M432" s="2" t="str">
        <x:v>Yes, subject to life-cycle safeguards</x:v>
      </x:c>
      <x:c r="N432" s="2" t="str">
        <x:v>Coastal setbacks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32" s="2" t="str">
        <x:v>Coastal setbacks: resilient structural, drainage, transport, coastal or utility components; foundations, barriers, armour, geosynthetics, sensors and nature-based elements as applicable.</x:v>
      </x:c>
      <x:c r="P432" s="2" t="str">
        <x:v>Coastal setbacks: climate-load and hazard analysis, structural or hydraulic modelling, geotechnical design, spatial planning, asset criticality, inspection and adaptation pathways.</x:v>
      </x:c>
      <x:c r="Q432" s="2" t="str">
        <x:v>Coastal setbacks: building and infrastructure codes, zoning, permits, land acquisition or easements, maintenance responsibility, emergency access, environmental safeguards and community participation.</x:v>
      </x:c>
      <x:c r="R432" s="2" t="str">
        <x:v>Coastal setbacks: site access, foundations, drainage, utility relocation, monitoring, construction staging, sediment or material supply and long-term maintenance corridors.</x:v>
      </x:c>
      <x:c r="S432" s="2" t="str">
        <x:v>Coastal setbacks: construction fuel and electricity plus operational pumping, monitoring, lighting or active control; passive and ecosystem measures have lower operational demand.</x:v>
      </x:c>
      <x:c r="T432" s="2" t="str">
        <x:v>Coastal setbacks: concrete, steel, stone, asphalt, timber, geotextiles, soil or sand, corrosion protection, vegetation and locally compatible fill.</x:v>
      </x:c>
      <x:c r="U432" s="2" t="str">
        <x:v>Coastal setbacks: drainage and pump parts, expansion joints, fasteners, coatings, sensors, geotextile repair, replacement armour or fill and planting stock.</x:v>
      </x:c>
      <x:c r="V432" s="2" t="str">
        <x:v>https://www.ctc-n.org/sites/default/files/resources/ctcn_taxonomy_0.pdf</x:v>
      </x:c>
      <x:c r="W432" s="2" t="str">
        <x:v>https://institutoagricoladepueblobello.edu.co/colegiapp/archivostemas/GUIA%209.%5B25%5D.pdf</x:v>
      </x:c>
      <x:c r="X432" s="2" t="str">
        <x:v>https://iiasa.ac.at/what-is-technology</x:v>
      </x:c>
      <x:c r="Y432" s="2" t="str">
        <x:v>https://www.ipcc.ch/srocc/chapter/chapter-4-sea-level-rise-and-implications-for-low-lying-islands-coasts-and-communities/; https://www.ipcc.ch/report/ar6/wg2/chapter/chapter-6/; https://www.unep.org/topics/climate-action/adaptation/ecosystem-based-adaptation</x:v>
      </x:c>
      <x:c r="Z432" s="2" t="str">
        <x:v>Technology-specific analytical synthesis. The CTCN hierarchy is retained; classifications and component dependencies require validation against the selected design, site and supplier documentation before investment or policy use.</x:v>
      </x:c>
      <x:c r="AA432" s="2" t="str">
        <x:v>Physical deployment of Coastal setbacks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32" s="2" t="str">
        <x:v>For Coastal setbacks,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32" s="2" t="str">
        <x:v>Construction and operation use concrete, steel, stone, asphalt, timber, geotextiles, soil or sand, corrosion protection, vegetation and locally compatible fill. For Coastal setbacks, specifications must include durability, compatibility, recycled content and recoverability.</x:v>
      </x:c>
      <x:c r="AD432" s="2" t="str">
        <x:v>Maintenance of Coastal setbacks depends on drainage and pump parts, expansion joints, fasteners, coatings, sensors, geotextile repair, replacement armour or fill and planting stock; critical spares are selected from failure-mode, lead-time and safety analysis for its installed configuration.</x:v>
      </x:c>
      <x:c r="AE432" s="2" t="str">
        <x:v>The software stack for Coastal setbacks requires databases, secure communications, version-controlled models, computing, backup and interfaces with field or operational systems.</x:v>
      </x:c>
      <x:c r="AF432" s="2" t="str">
        <x:v>For Coastal setbacks, software-related energy is electricity for sensing, computing, storage, communication and cooling; it is normally secondary but must be included for data-intensive or continuous services.</x:v>
      </x:c>
      <x:c r="AG432" s="2" t="str">
        <x:v>The non-physical inputs are calibrated data, metadata, algorithms, boundary conditions, emission or hazard factors, manuals and validation records specific to Coastal setbacks.</x:v>
      </x:c>
      <x:c r="AH432" s="2" t="str">
        <x:v>Software continuity for Coastal setbacks requires licences where applicable, updates, cybersecurity patches, backups, calibration files, model validation and technical support.</x:v>
      </x:c>
      <x:c r="AI432" s="2" t="str">
        <x:v>Orgware depends on the institutions, laboratories, training providers, regulators, operators and community interfaces needed to govern Coastal setbacks.</x:v>
      </x:c>
      <x:c r="AJ432" s="2" t="str">
        <x:v>The orgware supporting Coastal setbacks has mainly indirect energy use from offices, meetings, training and information systems; travel and field supervision may be material at dispersed sites.</x:v>
      </x:c>
      <x:c r="AK432" s="2" t="str">
        <x:v>Its organisational inputs are permits, budgets, trained staff, competence records, contracts, procedures, safeguards, monitoring evidence and stakeholder agreements tailored to Coastal setbacks.</x:v>
      </x:c>
      <x:c r="AL432" s="2" t="str">
        <x:v>Sustained implementation of Coastal setbacks requires procurement and service contracts, audit protocols, training material, reporting templates, insurance or guarantees and periodic independent review.</x:v>
      </x:c>
      <x:c r="AM432" s="2" t="str">
        <x:v>Iron ore / steel inputs; Nickel; Chromium; Zinc</x:v>
      </x:c>
      <x:c r="AN432" s="2" t="str">
        <x:v>Australia; Brazil; China; Indonesia; Philippines; Russia; South Africa; Kazakhstan; Turkey; Peru</x:v>
      </x:c>
      <x:c r="AO432" s="2" t="str">
        <x:v>China; India; Japan; Indonesia; South Africa; Kazakhstan; South Korea</x:v>
      </x:c>
      <x:c r="AP432" s="2" t="str">
        <x:v>Coastal setbacks: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2" s="2" t="str">
        <x:v>2024–2025</x:v>
      </x:c>
      <x:c r="AR432" s="2" t="str">
        <x:v>https://pubs.usgs.gov/periodicals/mcs2026/mcs2026.pdf; https://www.iea.org/reports/global-critical-minerals-outlook-2025</x:v>
      </x:c>
    </x:row>
    <x:row r="433" ht="240" customHeight="1">
      <x:c r="A433" s="2" t="str">
        <x:v>ADP-0163</x:v>
      </x:c>
      <x:c r="B433" s="2" t="str">
        <x:v>Adaptation</x:v>
      </x:c>
      <x:c r="C433" s="2" t="str">
        <x:v>Coastal Zones</x:v>
      </x:c>
      <x:c r="D433" s="2" t="str">
        <x:v>Retreat</x:v>
      </x:c>
      <x:c r="E433" s="2" t="str">
        <x:v>Managed realignment</x:v>
      </x:c>
      <x:c r="F433" s="2" t="str">
        <x:v>Managed realignment is a adaptation technology in the Coastal Zones sector and the Retreat technology group. It is defined as a combined hardware–software–orgware system that reduces exposure and physical vulnerability through resilient siting, design loads, protective structures, adaptable construction, ecosystem buffers and planned management of residual risk. Managed realignment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33" s="2" t="str">
        <x:v>Mixed: adaptable design, site-specific implementation</x:v>
      </x:c>
      <x:c r="H433" s="2" t="str">
        <x:v>Managed realignment is adaptable in capacity and configuration but site-specific in final engineering. Its principle remains the same, but resource quality, climate, scale, interfaces and safety constraints must be recalculated for each deployment.</x:v>
      </x:c>
      <x:c r="I433" s="2" t="str">
        <x:v>Primarily hard, with a soft component</x:v>
      </x:c>
      <x:c r="J433" s="2" t="str">
        <x:v>Managed realignment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33" s="2" t="str">
        <x:v>Equipment and operation</x:v>
      </x:c>
      <x:c r="L433" s="2" t="str">
        <x:v>Managed realignment is embodied mainly as an equipment-and-operation system. The deliverable is accepted only when measurable service, quality, safety and climate-performance criteria are met under real conditions.</x:v>
      </x:c>
      <x:c r="M433" s="2" t="str">
        <x:v>Yes, subject to life-cycle safeguards</x:v>
      </x:c>
      <x:c r="N433" s="2" t="str">
        <x:v>Managed realignment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33" s="2" t="str">
        <x:v>Managed realignment: resilient structural, drainage, transport, coastal or utility components; foundations, barriers, armour, geosynthetics, sensors and nature-based elements as applicable.</x:v>
      </x:c>
      <x:c r="P433" s="2" t="str">
        <x:v>Managed realignment: climate-load and hazard analysis, structural or hydraulic modelling, geotechnical design, spatial planning, asset criticality, inspection and adaptation pathways.</x:v>
      </x:c>
      <x:c r="Q433" s="2" t="str">
        <x:v>Managed realignment: building and infrastructure codes, zoning, permits, land acquisition or easements, maintenance responsibility, emergency access, environmental safeguards and community participation.</x:v>
      </x:c>
      <x:c r="R433" s="2" t="str">
        <x:v>Managed realignment: site access, foundations, drainage, utility relocation, monitoring, construction staging, sediment or material supply and long-term maintenance corridors.</x:v>
      </x:c>
      <x:c r="S433" s="2" t="str">
        <x:v>Managed realignment: construction fuel and electricity plus operational pumping, monitoring, lighting or active control; passive and ecosystem measures have lower operational demand.</x:v>
      </x:c>
      <x:c r="T433" s="2" t="str">
        <x:v>Managed realignment: concrete, steel, stone, asphalt, timber, geotextiles, soil or sand, corrosion protection, vegetation and locally compatible fill.</x:v>
      </x:c>
      <x:c r="U433" s="2" t="str">
        <x:v>Managed realignment: drainage and pump parts, expansion joints, fasteners, coatings, sensors, geotextile repair, replacement armour or fill and planting stock.</x:v>
      </x:c>
      <x:c r="V433" s="2" t="str">
        <x:v>https://www.ctc-n.org/sites/default/files/resources/ctcn_taxonomy_0.pdf</x:v>
      </x:c>
      <x:c r="W433" s="2" t="str">
        <x:v>https://institutoagricoladepueblobello.edu.co/colegiapp/archivostemas/GUIA%209.%5B25%5D.pdf</x:v>
      </x:c>
      <x:c r="X433" s="2" t="str">
        <x:v>https://iiasa.ac.at/what-is-technology</x:v>
      </x:c>
      <x:c r="Y433" s="2" t="str">
        <x:v>https://www.ipcc.ch/srocc/chapter/chapter-4-sea-level-rise-and-implications-for-low-lying-islands-coasts-and-communities/; https://www.ipcc.ch/report/ar6/wg2/chapter/chapter-6/; https://www.unep.org/topics/climate-action/adaptation/ecosystem-based-adaptation</x:v>
      </x:c>
      <x:c r="Z433" s="2" t="str">
        <x:v>Technology-specific analytical synthesis. The CTCN hierarchy is retained; classifications and component dependencies require validation against the selected design, site and supplier documentation before investment or policy use.</x:v>
      </x:c>
      <x:c r="AA433" s="2" t="str">
        <x:v>Physical deployment of Managed realignment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433" s="2" t="str">
        <x:v>For Managed realignment,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33" s="2" t="str">
        <x:v>Construction and operation use concrete, steel, stone, asphalt, timber, geotextiles, soil or sand, corrosion protection, vegetation and locally compatible fill. For Managed realignment, specifications must include durability, compatibility, recycled content and recoverability.</x:v>
      </x:c>
      <x:c r="AD433" s="2" t="str">
        <x:v>Maintenance of Managed realignment depends on drainage and pump parts, expansion joints, fasteners, coatings, sensors, geotextile repair, replacement armour or fill and planting stock; critical spares are selected from failure-mode, lead-time and safety analysis for its installed configuration.</x:v>
      </x:c>
      <x:c r="AE433" s="2" t="str">
        <x:v>The software stack for Managed realignment requires databases, secure communications, version-controlled models, computing, backup and interfaces with field or operational systems.</x:v>
      </x:c>
      <x:c r="AF433" s="2" t="str">
        <x:v>For Managed realignment, software-related energy is electricity for sensing, computing, storage, communication and cooling; it is normally secondary but must be included for data-intensive or continuous services.</x:v>
      </x:c>
      <x:c r="AG433" s="2" t="str">
        <x:v>The non-physical inputs are calibrated data, metadata, algorithms, boundary conditions, emission or hazard factors, manuals and validation records specific to Managed realignment.</x:v>
      </x:c>
      <x:c r="AH433" s="2" t="str">
        <x:v>Software continuity for Managed realignment requires licences where applicable, updates, cybersecurity patches, backups, calibration files, model validation and technical support.</x:v>
      </x:c>
      <x:c r="AI433" s="2" t="str">
        <x:v>Orgware depends on the institutions, laboratories, training providers, regulators, operators and community interfaces needed to govern Managed realignment.</x:v>
      </x:c>
      <x:c r="AJ433" s="2" t="str">
        <x:v>The orgware supporting Managed realignment has mainly indirect energy use from offices, meetings, training and information systems; travel and field supervision may be material at dispersed sites.</x:v>
      </x:c>
      <x:c r="AK433" s="2" t="str">
        <x:v>Its organisational inputs are permits, budgets, trained staff, competence records, contracts, procedures, safeguards, monitoring evidence and stakeholder agreements tailored to Managed realignment.</x:v>
      </x:c>
      <x:c r="AL433" s="2" t="str">
        <x:v>Sustained implementation of Managed realignment requires procurement and service contracts, audit protocols, training material, reporting templates, insurance or guarantees and periodic independent review.</x:v>
      </x:c>
      <x:c r="AM433" s="2" t="str">
        <x:v>Iron ore / steel inputs</x:v>
      </x:c>
      <x:c r="AN433" s="2" t="str">
        <x:v>Australia; Brazil; China</x:v>
      </x:c>
      <x:c r="AO433" s="2" t="str">
        <x:v>China; India; Japan</x:v>
      </x:c>
      <x:c r="AP433" s="2" t="str">
        <x:v>Managed realignment: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3" s="2" t="str">
        <x:v>2024–2025</x:v>
      </x:c>
      <x:c r="AR433" s="2" t="str">
        <x:v>https://pubs.usgs.gov/periodicals/mcs2026/mcs2026.pdf</x:v>
      </x:c>
    </x:row>
    <x:row r="434" ht="240" customHeight="1">
      <x:c r="A434" s="2" t="str">
        <x:v>ADP-0164</x:v>
      </x:c>
      <x:c r="B434" s="2" t="str">
        <x:v>Adaptation</x:v>
      </x:c>
      <x:c r="C434" s="2" t="str">
        <x:v>Coastal Zones</x:v>
      </x:c>
      <x:c r="D434" s="2" t="str">
        <x:v>Accommodation</x:v>
      </x:c>
      <x:c r="E434" s="2" t="str">
        <x:v>Flood and cyclone shelters</x:v>
      </x:c>
      <x:c r="F434" s="2" t="str">
        <x:v>Flood and cyclone shelters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Flood and cyclone shelters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34" s="2" t="str">
        <x:v>Mixed: adaptable design, site-specific implementation</x:v>
      </x:c>
      <x:c r="H434" s="2" t="str">
        <x:v>Flood and cyclone shelters is adaptable in capacity and configuration but site-specific in final engineering. Its principle remains the same, but resource quality, climate, scale, interfaces and safety constraints must be recalculated for each deployment.</x:v>
      </x:c>
      <x:c r="I434" s="2" t="str">
        <x:v>Primarily hard, with a soft component</x:v>
      </x:c>
      <x:c r="J434" s="2" t="str">
        <x:v>Flood and cyclone shelters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34" s="2" t="str">
        <x:v>Equipment and operation</x:v>
      </x:c>
      <x:c r="L434" s="2" t="str">
        <x:v>Flood and cyclone shelters is embodied mainly as an equipment-and-operation system. The deliverable is accepted only when measurable service, quality, safety and climate-performance criteria are met under real conditions.</x:v>
      </x:c>
      <x:c r="M434" s="2" t="str">
        <x:v>Yes, subject to life-cycle safeguards</x:v>
      </x:c>
      <x:c r="N434" s="2" t="str">
        <x:v>Flood and cyclone shelters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34" s="2" t="str">
        <x:v>Flood and cyclone shelters: resilient structural, drainage, transport, coastal or utility components; foundations, barriers, armour, geosynthetics, sensors and nature-based elements as applicable.</x:v>
      </x:c>
      <x:c r="P434" s="2" t="str">
        <x:v>Flood and cyclone shelters: climate-load and hazard analysis, structural or hydraulic modelling, geotechnical design, spatial planning, asset criticality, inspection and adaptation pathways.</x:v>
      </x:c>
      <x:c r="Q434" s="2" t="str">
        <x:v>Flood and cyclone shelters: building and infrastructure codes, zoning, permits, land acquisition or easements, maintenance responsibility, emergency access, environmental safeguards and community participation.</x:v>
      </x:c>
      <x:c r="R434" s="2" t="str">
        <x:v>Flood and cyclone shelters: site access, foundations, drainage, utility relocation, monitoring, construction staging, sediment or material supply and long-term maintenance corridors.</x:v>
      </x:c>
      <x:c r="S434" s="2" t="str">
        <x:v>Flood and cyclone shelters: construction fuel and electricity plus operational pumping, monitoring, lighting or active control; passive and ecosystem measures have lower operational demand.</x:v>
      </x:c>
      <x:c r="T434" s="2" t="str">
        <x:v>Flood and cyclone shelters: concrete, steel, stone, asphalt, timber, geotextiles, soil or sand, corrosion protection, vegetation and locally compatible fill.</x:v>
      </x:c>
      <x:c r="U434" s="2" t="str">
        <x:v>Flood and cyclone shelters: drainage and pump parts, expansion joints, fasteners, coatings, sensors, geotextile repair, replacement armour or fill and planting stock.</x:v>
      </x:c>
      <x:c r="V434" s="2" t="str">
        <x:v>https://www.ctc-n.org/sites/default/files/resources/ctcn_taxonomy_0.pdf</x:v>
      </x:c>
      <x:c r="W434" s="2" t="str">
        <x:v>https://institutoagricoladepueblobello.edu.co/colegiapp/archivostemas/GUIA%209.%5B25%5D.pdf</x:v>
      </x:c>
      <x:c r="X434" s="2" t="str">
        <x:v>https://iiasa.ac.at/what-is-technology</x:v>
      </x:c>
      <x:c r="Y434" s="2" t="str">
        <x:v>https://www.ipcc.ch/srocc/chapter/chapter-4-sea-level-rise-and-implications-for-low-lying-islands-coasts-and-communities/; https://www.ipcc.ch/report/ar6/wg2/chapter/chapter-6/; https://www.unep.org/topics/climate-action/adaptation/ecosystem-based-adaptation</x:v>
      </x:c>
      <x:c r="Z434" s="2" t="str">
        <x:v>Technology-specific analytical synthesis. The CTCN hierarchy is retained; classifications and component dependencies require validation against the selected design, site and supplier documentation before investment or policy use.</x:v>
      </x:c>
      <x:c r="AA434" s="2" t="str">
        <x:v>Physical deployment of Flood and cyclone shelters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34" s="2" t="str">
        <x:v>For Flood and cyclone shelters,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34" s="2" t="str">
        <x:v>Construction and operation use concrete, steel, stone, asphalt, timber, geotextiles, soil or sand, corrosion protection, vegetation and locally compatible fill. For Flood and cyclone shelters, specifications must include durability, compatibility, recycled content and recoverability.</x:v>
      </x:c>
      <x:c r="AD434" s="2" t="str">
        <x:v>Maintenance of Flood and cyclone shelters depends on drainage and pump parts, expansion joints, fasteners, coatings, sensors, geotextile repair, replacement armour or fill and planting stock; critical spares are selected from failure-mode, lead-time and safety analysis for its installed configuration.</x:v>
      </x:c>
      <x:c r="AE434" s="2" t="str">
        <x:v>The software stack for Flood and cyclone shelters requires databases, secure communications, version-controlled models, computing, backup and interfaces with field or operational systems.</x:v>
      </x:c>
      <x:c r="AF434" s="2" t="str">
        <x:v>For Flood and cyclone shelters, software-related energy is electricity for sensing, computing, storage, communication and cooling; it is normally secondary but must be included for data-intensive or continuous services.</x:v>
      </x:c>
      <x:c r="AG434" s="2" t="str">
        <x:v>The non-physical inputs are calibrated data, metadata, algorithms, boundary conditions, emission or hazard factors, manuals and validation records specific to Flood and cyclone shelters.</x:v>
      </x:c>
      <x:c r="AH434" s="2" t="str">
        <x:v>Software continuity for Flood and cyclone shelters requires licences where applicable, updates, cybersecurity patches, backups, calibration files, model validation and technical support.</x:v>
      </x:c>
      <x:c r="AI434" s="2" t="str">
        <x:v>Orgware depends on the institutions, laboratories, training providers, regulators, operators and community interfaces needed to govern Flood and cyclone shelters.</x:v>
      </x:c>
      <x:c r="AJ434" s="2" t="str">
        <x:v>The orgware supporting Flood and cyclone shelters has mainly indirect energy use from offices, meetings, training and information systems; travel and field supervision may be material at dispersed sites.</x:v>
      </x:c>
      <x:c r="AK434" s="2" t="str">
        <x:v>Its organisational inputs are permits, budgets, trained staff, competence records, contracts, procedures, safeguards, monitoring evidence and stakeholder agreements tailored to Flood and cyclone shelters.</x:v>
      </x:c>
      <x:c r="AL434" s="2" t="str">
        <x:v>Sustained implementation of Flood and cyclone shelters requires procurement and service contracts, audit protocols, training material, reporting templates, insurance or guarantees and periodic independent review.</x:v>
      </x:c>
      <x:c r="AM434" s="2" t="str">
        <x:v>Iron ore / steel inputs; Limestone / cement raw materials</x:v>
      </x:c>
      <x:c r="AN434" s="2" t="str">
        <x:v>Australia; Brazil; China; India; Vietnam</x:v>
      </x:c>
      <x:c r="AO434" s="2" t="str">
        <x:v>China; India; Japan; Vietnam</x:v>
      </x:c>
      <x:c r="AP434" s="2" t="str">
        <x:v>Flood and cyclone shelters: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4" s="2" t="str">
        <x:v>2024–2025</x:v>
      </x:c>
      <x:c r="AR434" s="2" t="str">
        <x:v>https://pubs.usgs.gov/periodicals/mcs2026/mcs2026.pdf</x:v>
      </x:c>
    </x:row>
    <x:row r="435" ht="240" customHeight="1">
      <x:c r="A435" s="2" t="str">
        <x:v>ADP-0165</x:v>
      </x:c>
      <x:c r="B435" s="2" t="str">
        <x:v>Adaptation</x:v>
      </x:c>
      <x:c r="C435" s="2" t="str">
        <x:v>Coastal Zones</x:v>
      </x:c>
      <x:c r="D435" s="2" t="str">
        <x:v>Accommodation</x:v>
      </x:c>
      <x:c r="E435" s="2" t="str">
        <x:v>Flood-proofing</x:v>
      </x:c>
      <x:c r="F435" s="2" t="str">
        <x:v>Flood-proofing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Flood-proofing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35" s="2" t="str">
        <x:v>Mixed: adaptable design, site-specific implementation</x:v>
      </x:c>
      <x:c r="H435" s="2" t="str">
        <x:v>Flood-proofing is adaptable in capacity and configuration but site-specific in final engineering. Its principle remains the same, but resource quality, climate, scale, interfaces and safety constraints must be recalculated for each deployment.</x:v>
      </x:c>
      <x:c r="I435" s="2" t="str">
        <x:v>Primarily hard, with a soft component</x:v>
      </x:c>
      <x:c r="J435" s="2" t="str">
        <x:v>Flood-proofing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35" s="2" t="str">
        <x:v>Equipment and operation</x:v>
      </x:c>
      <x:c r="L435" s="2" t="str">
        <x:v>Flood-proofing is embodied mainly as an equipment-and-operation system. The deliverable is accepted only when measurable service, quality, safety and climate-performance criteria are met under real conditions.</x:v>
      </x:c>
      <x:c r="M435" s="2" t="str">
        <x:v>Yes, subject to life-cycle safeguards</x:v>
      </x:c>
      <x:c r="N435" s="2" t="str">
        <x:v>Flood-proofing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35" s="2" t="str">
        <x:v>Flood-proofing: resilient structural, drainage, transport, coastal or utility components; foundations, barriers, armour, geosynthetics, sensors and nature-based elements as applicable.</x:v>
      </x:c>
      <x:c r="P435" s="2" t="str">
        <x:v>Flood-proofing: climate-load and hazard analysis, structural or hydraulic modelling, geotechnical design, spatial planning, asset criticality, inspection and adaptation pathways.</x:v>
      </x:c>
      <x:c r="Q435" s="2" t="str">
        <x:v>Flood-proofing: building and infrastructure codes, zoning, permits, land acquisition or easements, maintenance responsibility, emergency access, environmental safeguards and community participation.</x:v>
      </x:c>
      <x:c r="R435" s="2" t="str">
        <x:v>Flood-proofing: site access, foundations, drainage, utility relocation, monitoring, construction staging, sediment or material supply and long-term maintenance corridors.</x:v>
      </x:c>
      <x:c r="S435" s="2" t="str">
        <x:v>Flood-proofing: construction fuel and electricity plus operational pumping, monitoring, lighting or active control; passive and ecosystem measures have lower operational demand.</x:v>
      </x:c>
      <x:c r="T435" s="2" t="str">
        <x:v>Flood-proofing: concrete, steel, stone, asphalt, timber, geotextiles, soil or sand, corrosion protection, vegetation and locally compatible fill.</x:v>
      </x:c>
      <x:c r="U435" s="2" t="str">
        <x:v>Flood-proofing: drainage and pump parts, expansion joints, fasteners, coatings, sensors, geotextile repair, replacement armour or fill and planting stock.</x:v>
      </x:c>
      <x:c r="V435" s="2" t="str">
        <x:v>https://www.ctc-n.org/sites/default/files/resources/ctcn_taxonomy_0.pdf</x:v>
      </x:c>
      <x:c r="W435" s="2" t="str">
        <x:v>https://institutoagricoladepueblobello.edu.co/colegiapp/archivostemas/GUIA%209.%5B25%5D.pdf</x:v>
      </x:c>
      <x:c r="X435" s="2" t="str">
        <x:v>https://iiasa.ac.at/what-is-technology</x:v>
      </x:c>
      <x:c r="Y435" s="2" t="str">
        <x:v>https://www.ipcc.ch/srocc/chapter/chapter-4-sea-level-rise-and-implications-for-low-lying-islands-coasts-and-communities/; https://www.ipcc.ch/report/ar6/wg2/chapter/chapter-6/; https://www.unep.org/topics/climate-action/adaptation/ecosystem-based-adaptation</x:v>
      </x:c>
      <x:c r="Z435" s="2" t="str">
        <x:v>Technology-specific analytical synthesis. The CTCN hierarchy is retained; classifications and component dependencies require validation against the selected design, site and supplier documentation before investment or policy use.</x:v>
      </x:c>
      <x:c r="AA435" s="2" t="str">
        <x:v>Physical deployment of Flood-proofing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435" s="2" t="str">
        <x:v>For Flood-proofing,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35" s="2" t="str">
        <x:v>Construction and operation use concrete, steel, stone, asphalt, timber, geotextiles, soil or sand, corrosion protection, vegetation and locally compatible fill. For Flood-proofing, specifications must include durability, compatibility, recycled content and recoverability.</x:v>
      </x:c>
      <x:c r="AD435" s="2" t="str">
        <x:v>Maintenance of Flood-proofing depends on drainage and pump parts, expansion joints, fasteners, coatings, sensors, geotextile repair, replacement armour or fill and planting stock; critical spares are selected from failure-mode, lead-time and safety analysis for its installed configuration.</x:v>
      </x:c>
      <x:c r="AE435" s="2" t="str">
        <x:v>The software stack for Flood-proofing requires databases, secure communications, version-controlled models, computing, backup and interfaces with field or operational systems.</x:v>
      </x:c>
      <x:c r="AF435" s="2" t="str">
        <x:v>For Flood-proofing, software-related energy is electricity for sensing, computing, storage, communication and cooling; it is normally secondary but must be included for data-intensive or continuous services.</x:v>
      </x:c>
      <x:c r="AG435" s="2" t="str">
        <x:v>The non-physical inputs are calibrated data, metadata, algorithms, boundary conditions, emission or hazard factors, manuals and validation records specific to Flood-proofing.</x:v>
      </x:c>
      <x:c r="AH435" s="2" t="str">
        <x:v>Software continuity for Flood-proofing requires licences where applicable, updates, cybersecurity patches, backups, calibration files, model validation and technical support.</x:v>
      </x:c>
      <x:c r="AI435" s="2" t="str">
        <x:v>Orgware depends on the institutions, laboratories, training providers, regulators, operators and community interfaces needed to govern Flood-proofing.</x:v>
      </x:c>
      <x:c r="AJ435" s="2" t="str">
        <x:v>The orgware supporting Flood-proofing has mainly indirect energy use from offices, meetings, training and information systems; travel and field supervision may be material at dispersed sites.</x:v>
      </x:c>
      <x:c r="AK435" s="2" t="str">
        <x:v>Its organisational inputs are permits, budgets, trained staff, competence records, contracts, procedures, safeguards, monitoring evidence and stakeholder agreements tailored to Flood-proofing.</x:v>
      </x:c>
      <x:c r="AL435" s="2" t="str">
        <x:v>Sustained implementation of Flood-proofing requires procurement and service contracts, audit protocols, training material, reporting templates, insurance or guarantees and periodic independent review.</x:v>
      </x:c>
      <x:c r="AM435" s="2" t="str">
        <x:v>Iron ore / steel inputs</x:v>
      </x:c>
      <x:c r="AN435" s="2" t="str">
        <x:v>Australia; Brazil; China</x:v>
      </x:c>
      <x:c r="AO435" s="2" t="str">
        <x:v>China; India; Japan</x:v>
      </x:c>
      <x:c r="AP435" s="2" t="str">
        <x:v>Flood-proofing: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5" s="2" t="str">
        <x:v>2024–2025</x:v>
      </x:c>
      <x:c r="AR435" s="2" t="str">
        <x:v>https://pubs.usgs.gov/periodicals/mcs2026/mcs2026.pdf</x:v>
      </x:c>
    </x:row>
    <x:row r="436" ht="240" customHeight="1">
      <x:c r="A436" s="2" t="str">
        <x:v>ADP-0166</x:v>
      </x:c>
      <x:c r="B436" s="2" t="str">
        <x:v>Adaptation</x:v>
      </x:c>
      <x:c r="C436" s="2" t="str">
        <x:v>Coastal Zones</x:v>
      </x:c>
      <x:c r="D436" s="2" t="str">
        <x:v>Accommodation</x:v>
      </x:c>
      <x:c r="E436" s="2" t="str">
        <x:v>Floating houses</x:v>
      </x:c>
      <x:c r="F436" s="2" t="str">
        <x:v>Floating houses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Floating houses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36" s="2" t="str">
        <x:v>Mixed: adaptable design, site-specific implementation</x:v>
      </x:c>
      <x:c r="H436" s="2" t="str">
        <x:v>Floating houses is adaptable in capacity and configuration but site-specific in final engineering. Its principle remains the same, but resource quality, climate, scale, interfaces and safety constraints must be recalculated for each deployment.</x:v>
      </x:c>
      <x:c r="I436" s="2" t="str">
        <x:v>Primarily hard, with a soft component</x:v>
      </x:c>
      <x:c r="J436" s="2" t="str">
        <x:v>Floating houses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36" s="2" t="str">
        <x:v>Equipment and operation</x:v>
      </x:c>
      <x:c r="L436" s="2" t="str">
        <x:v>Floating houses is embodied mainly as an equipment-and-operation system. The deliverable is accepted only when measurable service, quality, safety and climate-performance criteria are met under real conditions.</x:v>
      </x:c>
      <x:c r="M436" s="2" t="str">
        <x:v>Yes, subject to life-cycle safeguards</x:v>
      </x:c>
      <x:c r="N436" s="2" t="str">
        <x:v>Floating houses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36" s="2" t="str">
        <x:v>Floating houses: resilient structural, drainage, transport, coastal or utility components; foundations, barriers, armour, geosynthetics, sensors and nature-based elements as applicable.</x:v>
      </x:c>
      <x:c r="P436" s="2" t="str">
        <x:v>Floating houses: climate-load and hazard analysis, structural or hydraulic modelling, geotechnical design, spatial planning, asset criticality, inspection and adaptation pathways.</x:v>
      </x:c>
      <x:c r="Q436" s="2" t="str">
        <x:v>Floating houses: building and infrastructure codes, zoning, permits, land acquisition or easements, maintenance responsibility, emergency access, environmental safeguards and community participation.</x:v>
      </x:c>
      <x:c r="R436" s="2" t="str">
        <x:v>Floating houses: site access, foundations, drainage, utility relocation, monitoring, construction staging, sediment or material supply and long-term maintenance corridors.</x:v>
      </x:c>
      <x:c r="S436" s="2" t="str">
        <x:v>Floating houses: construction fuel and electricity plus operational pumping, monitoring, lighting or active control; passive and ecosystem measures have lower operational demand.</x:v>
      </x:c>
      <x:c r="T436" s="2" t="str">
        <x:v>Floating houses: concrete, steel, stone, asphalt, timber, geotextiles, soil or sand, corrosion protection, vegetation and locally compatible fill.</x:v>
      </x:c>
      <x:c r="U436" s="2" t="str">
        <x:v>Floating houses: drainage and pump parts, expansion joints, fasteners, coatings, sensors, geotextile repair, replacement armour or fill and planting stock.</x:v>
      </x:c>
      <x:c r="V436" s="2" t="str">
        <x:v>https://www.ctc-n.org/sites/default/files/resources/ctcn_taxonomy_0.pdf</x:v>
      </x:c>
      <x:c r="W436" s="2" t="str">
        <x:v>https://institutoagricoladepueblobello.edu.co/colegiapp/archivostemas/GUIA%209.%5B25%5D.pdf</x:v>
      </x:c>
      <x:c r="X436" s="2" t="str">
        <x:v>https://iiasa.ac.at/what-is-technology</x:v>
      </x:c>
      <x:c r="Y436" s="2" t="str">
        <x:v>https://www.ipcc.ch/srocc/chapter/chapter-4-sea-level-rise-and-implications-for-low-lying-islands-coasts-and-communities/; https://www.ipcc.ch/report/ar6/wg2/chapter/chapter-6/; https://www.unep.org/topics/climate-action/adaptation/ecosystem-based-adaptation</x:v>
      </x:c>
      <x:c r="Z436" s="2" t="str">
        <x:v>Technology-specific analytical synthesis. The CTCN hierarchy is retained; classifications and component dependencies require validation against the selected design, site and supplier documentation before investment or policy use.</x:v>
      </x:c>
      <x:c r="AA436" s="2" t="str">
        <x:v>Physical deployment of Floating houses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36" s="2" t="str">
        <x:v>For Floating houses,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36" s="2" t="str">
        <x:v>Construction and operation use concrete, steel, stone, asphalt, timber, geotextiles, soil or sand, corrosion protection, vegetation and locally compatible fill. For Floating houses, specifications must include durability, compatibility, recycled content and recoverability.</x:v>
      </x:c>
      <x:c r="AD436" s="2" t="str">
        <x:v>Maintenance of Floating houses depends on drainage and pump parts, expansion joints, fasteners, coatings, sensors, geotextile repair, replacement armour or fill and planting stock; critical spares are selected from failure-mode, lead-time and safety analysis for its installed configuration.</x:v>
      </x:c>
      <x:c r="AE436" s="2" t="str">
        <x:v>The software stack for Floating houses requires databases, secure communications, version-controlled models, computing, backup and interfaces with field or operational systems.</x:v>
      </x:c>
      <x:c r="AF436" s="2" t="str">
        <x:v>For Floating houses, software-related energy is electricity for sensing, computing, storage, communication and cooling; it is normally secondary but must be included for data-intensive or continuous services.</x:v>
      </x:c>
      <x:c r="AG436" s="2" t="str">
        <x:v>The non-physical inputs are calibrated data, metadata, algorithms, boundary conditions, emission or hazard factors, manuals and validation records specific to Floating houses.</x:v>
      </x:c>
      <x:c r="AH436" s="2" t="str">
        <x:v>Software continuity for Floating houses requires licences where applicable, updates, cybersecurity patches, backups, calibration files, model validation and technical support.</x:v>
      </x:c>
      <x:c r="AI436" s="2" t="str">
        <x:v>Orgware depends on the institutions, laboratories, training providers, regulators, operators and community interfaces needed to govern Floating houses.</x:v>
      </x:c>
      <x:c r="AJ436" s="2" t="str">
        <x:v>The orgware supporting Floating houses has mainly indirect energy use from offices, meetings, training and information systems; travel and field supervision may be material at dispersed sites.</x:v>
      </x:c>
      <x:c r="AK436" s="2" t="str">
        <x:v>Its organisational inputs are permits, budgets, trained staff, competence records, contracts, procedures, safeguards, monitoring evidence and stakeholder agreements tailored to Floating houses.</x:v>
      </x:c>
      <x:c r="AL436" s="2" t="str">
        <x:v>Sustained implementation of Floating houses requires procurement and service contracts, audit protocols, training material, reporting templates, insurance or guarantees and periodic independent review.</x:v>
      </x:c>
      <x:c r="AM436" s="2" t="str">
        <x:v>Iron ore / steel inputs</x:v>
      </x:c>
      <x:c r="AN436" s="2" t="str">
        <x:v>Australia; Brazil; China</x:v>
      </x:c>
      <x:c r="AO436" s="2" t="str">
        <x:v>China; India; Japan</x:v>
      </x:c>
      <x:c r="AP436" s="2" t="str">
        <x:v>Floating houses: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6" s="2" t="str">
        <x:v>2024–2025</x:v>
      </x:c>
      <x:c r="AR436" s="2" t="str">
        <x:v>https://pubs.usgs.gov/periodicals/mcs2026/mcs2026.pdf</x:v>
      </x:c>
    </x:row>
    <x:row r="437" ht="240" customHeight="1">
      <x:c r="A437" s="2" t="str">
        <x:v>ADP-0167</x:v>
      </x:c>
      <x:c r="B437" s="2" t="str">
        <x:v>Adaptation</x:v>
      </x:c>
      <x:c r="C437" s="2" t="str">
        <x:v>Coastal Zones</x:v>
      </x:c>
      <x:c r="D437" s="2" t="str">
        <x:v>Accommodation</x:v>
      </x:c>
      <x:c r="E437" s="2" t="str">
        <x:v>Management of seagrass beds</x:v>
      </x:c>
      <x:c r="F437" s="2" t="str">
        <x:v>Management of seagrass beds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37" s="2" t="str">
        <x:v>Flexible</x:v>
      </x:c>
      <x:c r="H437" s="2" t="str">
        <x:v>Management of seagrass beds is transferable through configurable methods, rules and operating parameters. Its principle remains the same, but resource quality, climate, scale, interfaces and safety constraints must be recalculated for each deployment.</x:v>
      </x:c>
      <x:c r="I437" s="2" t="str">
        <x:v>Primarily soft, with physical support</x:v>
      </x:c>
      <x:c r="J437" s="2" t="str">
        <x:v>Management of seagrass beds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37" s="2" t="str">
        <x:v>Operation</x:v>
      </x:c>
      <x:c r="L437" s="2" t="str">
        <x:v>Management of seagrass beds is embodied mainly as an operating practice. The deliverable is accepted only when measurable service, quality, safety and climate-performance criteria are met under real conditions.</x:v>
      </x:c>
      <x:c r="M437" s="2" t="str">
        <x:v>Yes, subject to life-cycle safeguards</x:v>
      </x:c>
      <x:c r="N437" s="2" t="str">
        <x:v>Management of seagrass beds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37" s="2" t="str">
        <x:v>Management of seagrass beds: resilient structural, drainage, transport, coastal or utility components; foundations, barriers, armour, geosynthetics, sensors and nature-based elements as applicable.</x:v>
      </x:c>
      <x:c r="P437" s="2" t="str">
        <x:v>Management of seagrass beds: climate-load and hazard analysis, structural or hydraulic modelling, geotechnical design, spatial planning, asset criticality, inspection and adaptation pathways.</x:v>
      </x:c>
      <x:c r="Q437" s="2" t="str">
        <x:v>Management of seagrass beds: building and infrastructure codes, zoning, permits, land acquisition or easements, maintenance responsibility, emergency access, environmental safeguards and community participation.</x:v>
      </x:c>
      <x:c r="R437" s="2" t="str">
        <x:v>Management of seagrass beds: site access, foundations, drainage, utility relocation, monitoring, construction staging, sediment or material supply and long-term maintenance corridors.</x:v>
      </x:c>
      <x:c r="S437" s="2" t="str">
        <x:v>Management of seagrass beds: construction fuel and electricity plus operational pumping, monitoring, lighting or active control; passive and ecosystem measures have lower operational demand.</x:v>
      </x:c>
      <x:c r="T437" s="2" t="str">
        <x:v>Management of seagrass beds: concrete, steel, stone, asphalt, timber, geotextiles, soil or sand, corrosion protection, vegetation and locally compatible fill.</x:v>
      </x:c>
      <x:c r="U437" s="2" t="str">
        <x:v>Management of seagrass beds: drainage and pump parts, expansion joints, fasteners, coatings, sensors, geotextile repair, replacement armour or fill and planting stock.</x:v>
      </x:c>
      <x:c r="V437" s="2" t="str">
        <x:v>https://www.ctc-n.org/sites/default/files/resources/ctcn_taxonomy_0.pdf</x:v>
      </x:c>
      <x:c r="W437" s="2" t="str">
        <x:v>https://institutoagricoladepueblobello.edu.co/colegiapp/archivostemas/GUIA%209.%5B25%5D.pdf</x:v>
      </x:c>
      <x:c r="X437" s="2" t="str">
        <x:v>https://iiasa.ac.at/what-is-technology</x:v>
      </x:c>
      <x:c r="Y437" s="2" t="str">
        <x:v>https://www.ipcc.ch/srocc/chapter/chapter-4-sea-level-rise-and-implications-for-low-lying-islands-coasts-and-communities/; https://www.ipcc.ch/report/ar6/wg2/chapter/chapter-6/; https://www.unep.org/topics/climate-action/adaptation/ecosystem-based-adaptation</x:v>
      </x:c>
      <x:c r="Z437" s="2" t="str">
        <x:v>Technology-specific analytical synthesis. The CTCN hierarchy is retained; classifications and component dependencies require validation against the selected design, site and supplier documentation before investment or policy use.</x:v>
      </x:c>
      <x:c r="AA437" s="2" t="str">
        <x:v>Physical deployment of Management of seagrass beds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37" s="2" t="str">
        <x:v>For Management of seagrass beds,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37" s="2" t="str">
        <x:v>Construction and operation use concrete, steel, stone, asphalt, timber, geotextiles, soil or sand, corrosion protection, vegetation and locally compatible fill. For Management of seagrass beds, specifications must include durability, compatibility, recycled content and recoverability.</x:v>
      </x:c>
      <x:c r="AD437" s="2" t="str">
        <x:v>Maintenance of Management of seagrass beds depends on drainage and pump parts, expansion joints, fasteners, coatings, sensors, geotextile repair, replacement armour or fill and planting stock; critical spares are selected from failure-mode, lead-time and safety analysis for its installed configuration.</x:v>
      </x:c>
      <x:c r="AE437" s="2" t="str">
        <x:v>The software stack for Management of seagrass beds requires databases, secure communications, version-controlled models, computing, backup and interfaces with field or operational systems.</x:v>
      </x:c>
      <x:c r="AF437" s="2" t="str">
        <x:v>For Management of seagrass beds, software-related energy is electricity for sensing, computing, storage, communication and cooling; it is normally secondary but must be included for data-intensive or continuous services.</x:v>
      </x:c>
      <x:c r="AG437" s="2" t="str">
        <x:v>The non-physical inputs are calibrated data, metadata, algorithms, boundary conditions, emission or hazard factors, manuals and validation records specific to Management of seagrass beds.</x:v>
      </x:c>
      <x:c r="AH437" s="2" t="str">
        <x:v>Software continuity for Management of seagrass beds requires licences where applicable, updates, cybersecurity patches, backups, calibration files, model validation and technical support.</x:v>
      </x:c>
      <x:c r="AI437" s="2" t="str">
        <x:v>Orgware depends on the institutions, laboratories, training providers, regulators, operators and community interfaces needed to govern Management of seagrass beds.</x:v>
      </x:c>
      <x:c r="AJ437" s="2" t="str">
        <x:v>The orgware supporting Management of seagrass beds has mainly indirect energy use from offices, meetings, training and information systems; travel and field supervision may be material at dispersed sites.</x:v>
      </x:c>
      <x:c r="AK437" s="2" t="str">
        <x:v>Its organisational inputs are permits, budgets, trained staff, competence records, contracts, procedures, safeguards, monitoring evidence and stakeholder agreements tailored to Management of seagrass beds.</x:v>
      </x:c>
      <x:c r="AL437" s="2" t="str">
        <x:v>Sustained implementation of Management of seagrass beds requires procurement and service contracts, audit protocols, training material, reporting templates, insurance or guarantees and periodic independent review.</x:v>
      </x:c>
      <x:c r="AM437" s="2" t="str">
        <x:v>Iron ore / steel inputs</x:v>
      </x:c>
      <x:c r="AN437" s="2" t="str">
        <x:v>Australia; Brazil; China</x:v>
      </x:c>
      <x:c r="AO437" s="2" t="str">
        <x:v>China; India; Japan</x:v>
      </x:c>
      <x:c r="AP437" s="2" t="str">
        <x:v>Management of seagrass beds: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7" s="2" t="str">
        <x:v>2024–2025</x:v>
      </x:c>
      <x:c r="AR437" s="2" t="str">
        <x:v>https://pubs.usgs.gov/periodicals/mcs2026/mcs2026.pdf</x:v>
      </x:c>
    </x:row>
    <x:row r="438" ht="240" customHeight="1">
      <x:c r="A438" s="2" t="str">
        <x:v>ADP-0168</x:v>
      </x:c>
      <x:c r="B438" s="2" t="str">
        <x:v>Adaptation</x:v>
      </x:c>
      <x:c r="C438" s="2" t="str">
        <x:v>Coastal Zones</x:v>
      </x:c>
      <x:c r="D438" s="2" t="str">
        <x:v>Accommodation</x:v>
      </x:c>
      <x:c r="E438" s="2" t="str">
        <x:v>Floating agricultural systems</x:v>
      </x:c>
      <x:c r="F438" s="2" t="str">
        <x:v>Floating agricultural systems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Floating agricultural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38" s="2" t="str">
        <x:v>Mixed: adaptable design, site-specific implementation</x:v>
      </x:c>
      <x:c r="H438" s="2" t="str">
        <x:v>Floating agricultural systems is adaptable in capacity and configuration but site-specific in final engineering. Its principle remains the same, but resource quality, climate, scale, interfaces and safety constraints must be recalculated for each deployment.</x:v>
      </x:c>
      <x:c r="I438" s="2" t="str">
        <x:v>Primarily hard, with a soft component</x:v>
      </x:c>
      <x:c r="J438" s="2" t="str">
        <x:v>Floating agricultural systems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38" s="2" t="str">
        <x:v>Equipment and operation</x:v>
      </x:c>
      <x:c r="L438" s="2" t="str">
        <x:v>Floating agricultural systems is embodied mainly as an equipment-and-operation system. The deliverable is accepted only when measurable service, quality, safety and climate-performance criteria are met under real conditions.</x:v>
      </x:c>
      <x:c r="M438" s="2" t="str">
        <x:v>Yes, subject to life-cycle safeguards</x:v>
      </x:c>
      <x:c r="N438" s="2" t="str">
        <x:v>Floating agricultural systems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38" s="2" t="str">
        <x:v>Floating agricultural systems: resilient structural, drainage, transport, coastal or utility components; foundations, barriers, armour, geosynthetics, sensors and nature-based elements as applicable.</x:v>
      </x:c>
      <x:c r="P438" s="2" t="str">
        <x:v>Floating agricultural systems: climate-load and hazard analysis, structural or hydraulic modelling, geotechnical design, spatial planning, asset criticality, inspection and adaptation pathways.</x:v>
      </x:c>
      <x:c r="Q438" s="2" t="str">
        <x:v>Floating agricultural systems: building and infrastructure codes, zoning, permits, land acquisition or easements, maintenance responsibility, emergency access, environmental safeguards and community participation.</x:v>
      </x:c>
      <x:c r="R438" s="2" t="str">
        <x:v>Floating agricultural systems: site access, foundations, drainage, utility relocation, monitoring, construction staging, sediment or material supply and long-term maintenance corridors.</x:v>
      </x:c>
      <x:c r="S438" s="2" t="str">
        <x:v>Floating agricultural systems: construction fuel and electricity plus operational pumping, monitoring, lighting or active control; passive and ecosystem measures have lower operational demand.</x:v>
      </x:c>
      <x:c r="T438" s="2" t="str">
        <x:v>Floating agricultural systems: concrete, steel, stone, asphalt, timber, geotextiles, soil or sand, corrosion protection, vegetation and locally compatible fill.</x:v>
      </x:c>
      <x:c r="U438" s="2" t="str">
        <x:v>Floating agricultural systems: drainage and pump parts, expansion joints, fasteners, coatings, sensors, geotextile repair, replacement armour or fill and planting stock.</x:v>
      </x:c>
      <x:c r="V438" s="2" t="str">
        <x:v>https://www.ctc-n.org/sites/default/files/resources/ctcn_taxonomy_0.pdf</x:v>
      </x:c>
      <x:c r="W438" s="2" t="str">
        <x:v>https://institutoagricoladepueblobello.edu.co/colegiapp/archivostemas/GUIA%209.%5B25%5D.pdf</x:v>
      </x:c>
      <x:c r="X438" s="2" t="str">
        <x:v>https://iiasa.ac.at/what-is-technology</x:v>
      </x:c>
      <x:c r="Y438" s="2" t="str">
        <x:v>https://www.ipcc.ch/srocc/chapter/chapter-4-sea-level-rise-and-implications-for-low-lying-islands-coasts-and-communities/; https://www.ipcc.ch/report/ar6/wg2/chapter/chapter-6/; https://www.unep.org/topics/climate-action/adaptation/ecosystem-based-adaptation</x:v>
      </x:c>
      <x:c r="Z438" s="2" t="str">
        <x:v>Technology-specific analytical synthesis. The CTCN hierarchy is retained; classifications and component dependencies require validation against the selected design, site and supplier documentation before investment or policy use.</x:v>
      </x:c>
      <x:c r="AA438" s="2" t="str">
        <x:v>Physical deployment of Floating agricultural systems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38" s="2" t="str">
        <x:v>For Floating agricultural systems,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38" s="2" t="str">
        <x:v>Construction and operation use concrete, steel, stone, asphalt, timber, geotextiles, soil or sand, corrosion protection, vegetation and locally compatible fill. For Floating agricultural systems, specifications must include durability, compatibility, recycled content and recoverability.</x:v>
      </x:c>
      <x:c r="AD438" s="2" t="str">
        <x:v>Maintenance of Floating agricultural systems depends on drainage and pump parts, expansion joints, fasteners, coatings, sensors, geotextile repair, replacement armour or fill and planting stock; critical spares are selected from failure-mode, lead-time and safety analysis for its installed configuration.</x:v>
      </x:c>
      <x:c r="AE438" s="2" t="str">
        <x:v>The software stack for Floating agricultural systems requires databases, secure communications, version-controlled models, computing, backup and interfaces with field or operational systems.</x:v>
      </x:c>
      <x:c r="AF438" s="2" t="str">
        <x:v>For Floating agricultural systems, software-related energy is electricity for sensing, computing, storage, communication and cooling; it is normally secondary but must be included for data-intensive or continuous services.</x:v>
      </x:c>
      <x:c r="AG438" s="2" t="str">
        <x:v>The non-physical inputs are calibrated data, metadata, algorithms, boundary conditions, emission or hazard factors, manuals and validation records specific to Floating agricultural systems.</x:v>
      </x:c>
      <x:c r="AH438" s="2" t="str">
        <x:v>Software continuity for Floating agricultural systems requires licences where applicable, updates, cybersecurity patches, backups, calibration files, model validation and technical support.</x:v>
      </x:c>
      <x:c r="AI438" s="2" t="str">
        <x:v>Orgware depends on the institutions, laboratories, training providers, regulators, operators and community interfaces needed to govern Floating agricultural systems.</x:v>
      </x:c>
      <x:c r="AJ438" s="2" t="str">
        <x:v>The orgware supporting Floating agricultural systems has mainly indirect energy use from offices, meetings, training and information systems; travel and field supervision may be material at dispersed sites.</x:v>
      </x:c>
      <x:c r="AK438" s="2" t="str">
        <x:v>Its organisational inputs are permits, budgets, trained staff, competence records, contracts, procedures, safeguards, monitoring evidence and stakeholder agreements tailored to Floating agricultural systems.</x:v>
      </x:c>
      <x:c r="AL438" s="2" t="str">
        <x:v>Sustained implementation of Floating agricultural systems requires procurement and service contracts, audit protocols, training material, reporting templates, insurance or guarantees and periodic independent review.</x:v>
      </x:c>
      <x:c r="AM438" s="2" t="str">
        <x:v>Iron ore / steel inputs</x:v>
      </x:c>
      <x:c r="AN438" s="2" t="str">
        <x:v>Australia; Brazil; China</x:v>
      </x:c>
      <x:c r="AO438" s="2" t="str">
        <x:v>China; India; Japan</x:v>
      </x:c>
      <x:c r="AP438" s="2" t="str">
        <x:v>Floating agricultural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8" s="2" t="str">
        <x:v>2024–2025</x:v>
      </x:c>
      <x:c r="AR438" s="2" t="str">
        <x:v>https://pubs.usgs.gov/periodicals/mcs2026/mcs2026.pdf</x:v>
      </x:c>
    </x:row>
    <x:row r="439" ht="240" customHeight="1">
      <x:c r="A439" s="2" t="str">
        <x:v>ADP-0169</x:v>
      </x:c>
      <x:c r="B439" s="2" t="str">
        <x:v>Adaptation</x:v>
      </x:c>
      <x:c r="C439" s="2" t="str">
        <x:v>Coastal Zones</x:v>
      </x:c>
      <x:c r="D439" s="2" t="str">
        <x:v>Accommodation</x:v>
      </x:c>
      <x:c r="E439" s="2" t="str">
        <x:v>Groundwater management</x:v>
      </x:c>
      <x:c r="F439" s="2" t="str">
        <x:v>Groundwater management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Groundwater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39" s="2" t="str">
        <x:v>Flexible</x:v>
      </x:c>
      <x:c r="H439" s="2" t="str">
        <x:v>Groundwater management is transferable through configurable methods, rules and operating parameters. Its principle remains the same, but resource quality, climate, scale, interfaces and safety constraints must be recalculated for each deployment.</x:v>
      </x:c>
      <x:c r="I439" s="2" t="str">
        <x:v>Primarily soft, with physical support</x:v>
      </x:c>
      <x:c r="J439" s="2" t="str">
        <x:v>Groundwater management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39" s="2" t="str">
        <x:v>Operation</x:v>
      </x:c>
      <x:c r="L439" s="2" t="str">
        <x:v>Groundwater management is embodied mainly as an operating practice. The deliverable is accepted only when measurable service, quality, safety and climate-performance criteria are met under real conditions.</x:v>
      </x:c>
      <x:c r="M439" s="2" t="str">
        <x:v>Yes, subject to life-cycle safeguards</x:v>
      </x:c>
      <x:c r="N439" s="2" t="str">
        <x:v>Groundwater management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39" s="2" t="str">
        <x:v>Groundwater management: resilient structural, drainage, transport, coastal or utility components; foundations, barriers, armour, geosynthetics, sensors and nature-based elements as applicable.</x:v>
      </x:c>
      <x:c r="P439" s="2" t="str">
        <x:v>Groundwater management: climate-load and hazard analysis, structural or hydraulic modelling, geotechnical design, spatial planning, asset criticality, inspection and adaptation pathways.</x:v>
      </x:c>
      <x:c r="Q439" s="2" t="str">
        <x:v>Groundwater management: building and infrastructure codes, zoning, permits, land acquisition or easements, maintenance responsibility, emergency access, environmental safeguards and community participation.</x:v>
      </x:c>
      <x:c r="R439" s="2" t="str">
        <x:v>Groundwater management: site access, foundations, drainage, utility relocation, monitoring, construction staging, sediment or material supply and long-term maintenance corridors.</x:v>
      </x:c>
      <x:c r="S439" s="2" t="str">
        <x:v>Groundwater management: construction fuel and electricity plus operational pumping, monitoring, lighting or active control; passive and ecosystem measures have lower operational demand.</x:v>
      </x:c>
      <x:c r="T439" s="2" t="str">
        <x:v>Groundwater management: concrete, steel, stone, asphalt, timber, geotextiles, soil or sand, corrosion protection, vegetation and locally compatible fill.</x:v>
      </x:c>
      <x:c r="U439" s="2" t="str">
        <x:v>Groundwater management: drainage and pump parts, expansion joints, fasteners, coatings, sensors, geotextile repair, replacement armour or fill and planting stock.</x:v>
      </x:c>
      <x:c r="V439" s="2" t="str">
        <x:v>https://www.ctc-n.org/sites/default/files/resources/ctcn_taxonomy_0.pdf</x:v>
      </x:c>
      <x:c r="W439" s="2" t="str">
        <x:v>https://institutoagricoladepueblobello.edu.co/colegiapp/archivostemas/GUIA%209.%5B25%5D.pdf</x:v>
      </x:c>
      <x:c r="X439" s="2" t="str">
        <x:v>https://iiasa.ac.at/what-is-technology</x:v>
      </x:c>
      <x:c r="Y439" s="2" t="str">
        <x:v>https://www.ipcc.ch/srocc/chapter/chapter-4-sea-level-rise-and-implications-for-low-lying-islands-coasts-and-communities/; https://www.ipcc.ch/report/ar6/wg2/chapter/chapter-6/; https://www.unep.org/topics/climate-action/adaptation/ecosystem-based-adaptation</x:v>
      </x:c>
      <x:c r="Z439" s="2" t="str">
        <x:v>Technology-specific analytical synthesis. The CTCN hierarchy is retained; classifications and component dependencies require validation against the selected design, site and supplier documentation before investment or policy use.</x:v>
      </x:c>
      <x:c r="AA439" s="2" t="str">
        <x:v>Physical deployment of Groundwater management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439" s="2" t="str">
        <x:v>For Groundwater management,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39" s="2" t="str">
        <x:v>Construction and operation use concrete, steel, stone, asphalt, timber, geotextiles, soil or sand, corrosion protection, vegetation and locally compatible fill. For Groundwater management, specifications must include durability, compatibility, recycled content and recoverability.</x:v>
      </x:c>
      <x:c r="AD439" s="2" t="str">
        <x:v>Maintenance of Groundwater management depends on drainage and pump parts, expansion joints, fasteners, coatings, sensors, geotextile repair, replacement armour or fill and planting stock; critical spares are selected from failure-mode, lead-time and safety analysis for its installed configuration.</x:v>
      </x:c>
      <x:c r="AE439" s="2" t="str">
        <x:v>The software stack for Groundwater management requires databases, secure communications, version-controlled models, computing, backup and interfaces with field or operational systems.</x:v>
      </x:c>
      <x:c r="AF439" s="2" t="str">
        <x:v>For Groundwater management, software-related energy is electricity for sensing, computing, storage, communication and cooling; it is normally secondary but must be included for data-intensive or continuous services.</x:v>
      </x:c>
      <x:c r="AG439" s="2" t="str">
        <x:v>The non-physical inputs are calibrated data, metadata, algorithms, boundary conditions, emission or hazard factors, manuals and validation records specific to Groundwater management.</x:v>
      </x:c>
      <x:c r="AH439" s="2" t="str">
        <x:v>Software continuity for Groundwater management requires licences where applicable, updates, cybersecurity patches, backups, calibration files, model validation and technical support.</x:v>
      </x:c>
      <x:c r="AI439" s="2" t="str">
        <x:v>Orgware depends on the institutions, laboratories, training providers, regulators, operators and community interfaces needed to govern Groundwater management.</x:v>
      </x:c>
      <x:c r="AJ439" s="2" t="str">
        <x:v>The orgware supporting Groundwater management has mainly indirect energy use from offices, meetings, training and information systems; travel and field supervision may be material at dispersed sites.</x:v>
      </x:c>
      <x:c r="AK439" s="2" t="str">
        <x:v>Its organisational inputs are permits, budgets, trained staff, competence records, contracts, procedures, safeguards, monitoring evidence and stakeholder agreements tailored to Groundwater management.</x:v>
      </x:c>
      <x:c r="AL439" s="2" t="str">
        <x:v>Sustained implementation of Groundwater management requires procurement and service contracts, audit protocols, training material, reporting templates, insurance or guarantees and periodic independent review.</x:v>
      </x:c>
      <x:c r="AM439" s="2" t="str">
        <x:v>No critical or strategic raw material is identifiable at taxonomy level; site-specific bulk materials may still be required.</x:v>
      </x:c>
      <x:c r="AN439" s="2" t="str"/>
      <x:c r="AO439" s="2" t="str"/>
      <x:c r="AP439" s="2" t="str">
        <x:v>Groundwater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9" s="2" t="str">
        <x:v>2024–2025</x:v>
      </x:c>
      <x:c r="AR439" s="2" t="str">
        <x:v>https://pubs.usgs.gov/periodicals/mcs2026/mcs2026.pdf</x:v>
      </x:c>
    </x:row>
    <x:row r="440" ht="240" customHeight="1">
      <x:c r="A440" s="2" t="str">
        <x:v>ADP-0170</x:v>
      </x:c>
      <x:c r="B440" s="2" t="str">
        <x:v>Adaptation</x:v>
      </x:c>
      <x:c r="C440" s="2" t="str">
        <x:v>Coastal Zones</x:v>
      </x:c>
      <x:c r="D440" s="2" t="str">
        <x:v>Accommodation</x:v>
      </x:c>
      <x:c r="E440" s="2" t="str">
        <x:v>Flood warning systems</x:v>
      </x:c>
      <x:c r="F440" s="2" t="str">
        <x:v>Flood warning systems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0" s="2" t="str">
        <x:v>Mixed: adaptable design, site-specific implementation</x:v>
      </x:c>
      <x:c r="H440" s="2" t="str">
        <x:v>Flood warning systems is adaptable in capacity and configuration but site-specific in final engineering. Its principle remains the same, but resource quality, climate, scale, interfaces and safety constraints must be recalculated for each deployment.</x:v>
      </x:c>
      <x:c r="I440" s="2" t="str">
        <x:v>Primarily hard, with a soft component</x:v>
      </x:c>
      <x:c r="J440" s="2" t="str">
        <x:v>Flood warning systems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0" s="2" t="str">
        <x:v>Equipment and operation</x:v>
      </x:c>
      <x:c r="L440" s="2" t="str">
        <x:v>Flood warning systems is embodied mainly as an equipment-and-operation system. The deliverable is accepted only when measurable service, quality, safety and climate-performance criteria are met under real conditions.</x:v>
      </x:c>
      <x:c r="M440" s="2" t="str">
        <x:v>Yes, subject to life-cycle safeguards</x:v>
      </x:c>
      <x:c r="N440" s="2" t="str">
        <x:v>Flood warning systems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0" s="2" t="str">
        <x:v>Flood warning systems: resilient structural, drainage, transport, coastal or utility components; foundations, barriers, armour, geosynthetics, sensors and nature-based elements as applicable.</x:v>
      </x:c>
      <x:c r="P440" s="2" t="str">
        <x:v>Flood warning systems: climate-load and hazard analysis, structural or hydraulic modelling, geotechnical design, spatial planning, asset criticality, inspection and adaptation pathways.</x:v>
      </x:c>
      <x:c r="Q440" s="2" t="str">
        <x:v>Flood warning systems: building and infrastructure codes, zoning, permits, land acquisition or easements, maintenance responsibility, emergency access, environmental safeguards and community participation.</x:v>
      </x:c>
      <x:c r="R440" s="2" t="str">
        <x:v>Flood warning systems: site access, foundations, drainage, utility relocation, monitoring, construction staging, sediment or material supply and long-term maintenance corridors.</x:v>
      </x:c>
      <x:c r="S440" s="2" t="str">
        <x:v>Flood warning systems: construction fuel and electricity plus operational pumping, monitoring, lighting or active control; passive and ecosystem measures have lower operational demand.</x:v>
      </x:c>
      <x:c r="T440" s="2" t="str">
        <x:v>Flood warning systems: concrete, steel, stone, asphalt, timber, geotextiles, soil or sand, corrosion protection, vegetation and locally compatible fill.</x:v>
      </x:c>
      <x:c r="U440" s="2" t="str">
        <x:v>Flood warning systems: drainage and pump parts, expansion joints, fasteners, coatings, sensors, geotextile repair, replacement armour or fill and planting stock.</x:v>
      </x:c>
      <x:c r="V440" s="2" t="str">
        <x:v>https://www.ctc-n.org/sites/default/files/resources/ctcn_taxonomy_0.pdf</x:v>
      </x:c>
      <x:c r="W440" s="2" t="str">
        <x:v>https://institutoagricoladepueblobello.edu.co/colegiapp/archivostemas/GUIA%209.%5B25%5D.pdf</x:v>
      </x:c>
      <x:c r="X440" s="2" t="str">
        <x:v>https://iiasa.ac.at/what-is-technology</x:v>
      </x:c>
      <x:c r="Y440" s="2" t="str">
        <x:v>https://www.ipcc.ch/srocc/chapter/chapter-4-sea-level-rise-and-implications-for-low-lying-islands-coasts-and-communities/; https://www.ipcc.ch/report/ar6/wg2/chapter/chapter-6/; https://www.unep.org/topics/climate-action/adaptation/ecosystem-based-adaptation</x:v>
      </x:c>
      <x:c r="Z440" s="2" t="str">
        <x:v>Technology-specific analytical synthesis. The CTCN hierarchy is retained; classifications and component dependencies require validation against the selected design, site and supplier documentation before investment or policy use.</x:v>
      </x:c>
      <x:c r="AA440" s="2" t="str">
        <x:v>Physical deployment of Flood warning systems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0" s="2" t="str">
        <x:v>For Flood warning systems,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0" s="2" t="str">
        <x:v>Construction and operation use concrete, steel, stone, asphalt, timber, geotextiles, soil or sand, corrosion protection, vegetation and locally compatible fill. For Flood warning systems, specifications must include durability, compatibility, recycled content and recoverability.</x:v>
      </x:c>
      <x:c r="AD440" s="2" t="str">
        <x:v>Maintenance of Flood warning systems depends on drainage and pump parts, expansion joints, fasteners, coatings, sensors, geotextile repair, replacement armour or fill and planting stock; critical spares are selected from failure-mode, lead-time and safety analysis for its installed configuration.</x:v>
      </x:c>
      <x:c r="AE440" s="2" t="str">
        <x:v>The software stack for Flood warning systems requires databases, secure communications, version-controlled models, computing, backup and interfaces with field or operational systems.</x:v>
      </x:c>
      <x:c r="AF440" s="2" t="str">
        <x:v>For Flood warning systems, software-related energy is electricity for sensing, computing, storage, communication and cooling; it is normally secondary but must be included for data-intensive or continuous services.</x:v>
      </x:c>
      <x:c r="AG440" s="2" t="str">
        <x:v>The non-physical inputs are calibrated data, metadata, algorithms, boundary conditions, emission or hazard factors, manuals and validation records specific to Flood warning systems.</x:v>
      </x:c>
      <x:c r="AH440" s="2" t="str">
        <x:v>Software continuity for Flood warning systems requires licences where applicable, updates, cybersecurity patches, backups, calibration files, model validation and technical support.</x:v>
      </x:c>
      <x:c r="AI440" s="2" t="str">
        <x:v>Orgware depends on the institutions, laboratories, training providers, regulators, operators and community interfaces needed to govern Flood warning systems.</x:v>
      </x:c>
      <x:c r="AJ440" s="2" t="str">
        <x:v>The orgware supporting Flood warning systems has mainly indirect energy use from offices, meetings, training and information systems; travel and field supervision may be material at dispersed sites.</x:v>
      </x:c>
      <x:c r="AK440" s="2" t="str">
        <x:v>Its organisational inputs are permits, budgets, trained staff, competence records, contracts, procedures, safeguards, monitoring evidence and stakeholder agreements tailored to Flood warning systems.</x:v>
      </x:c>
      <x:c r="AL440" s="2" t="str">
        <x:v>Sustained implementation of Flood warning systems requires procurement and service contracts, audit protocols, training material, reporting templates, insurance or guarantees and periodic independent review.</x:v>
      </x:c>
      <x:c r="AM440" s="2" t="str">
        <x:v>Iron ore / steel inputs</x:v>
      </x:c>
      <x:c r="AN440" s="2" t="str">
        <x:v>Australia; Brazil; China</x:v>
      </x:c>
      <x:c r="AO440" s="2" t="str">
        <x:v>China; India; Japan</x:v>
      </x:c>
      <x:c r="AP440" s="2" t="str">
        <x:v>Flood warning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0" s="2" t="str">
        <x:v>2024–2025</x:v>
      </x:c>
      <x:c r="AR440" s="2" t="str">
        <x:v>https://pubs.usgs.gov/periodicals/mcs2026/mcs2026.pdf</x:v>
      </x:c>
    </x:row>
    <x:row r="441" ht="240" customHeight="1">
      <x:c r="A441" s="2" t="str">
        <x:v>ADP-0171</x:v>
      </x:c>
      <x:c r="B441" s="2" t="str">
        <x:v>Adaptation</x:v>
      </x:c>
      <x:c r="C441" s="2" t="str">
        <x:v>Coastal Zones</x:v>
      </x:c>
      <x:c r="D441" s="2" t="str">
        <x:v>Accommodation</x:v>
      </x:c>
      <x:c r="E441" s="2" t="str">
        <x:v>Coastal zoning</x:v>
      </x:c>
      <x:c r="F441" s="2" t="str">
        <x:v>Coastal zoning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Coastal zoning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1" s="2" t="str">
        <x:v>Flexible</x:v>
      </x:c>
      <x:c r="H441" s="2" t="str">
        <x:v>Coastal zoning is transferable through configurable methods, rules and operating parameters. Its principle remains the same, but resource quality, climate, scale, interfaces and safety constraints must be recalculated for each deployment.</x:v>
      </x:c>
      <x:c r="I441" s="2" t="str">
        <x:v>Primarily soft, with physical support</x:v>
      </x:c>
      <x:c r="J441" s="2" t="str">
        <x:v>Coastal zoning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1" s="2" t="str">
        <x:v>Operation</x:v>
      </x:c>
      <x:c r="L441" s="2" t="str">
        <x:v>Coastal zoning is embodied mainly as an operating practice. The deliverable is accepted only when measurable service, quality, safety and climate-performance criteria are met under real conditions.</x:v>
      </x:c>
      <x:c r="M441" s="2" t="str">
        <x:v>Yes, subject to life-cycle safeguards</x:v>
      </x:c>
      <x:c r="N441" s="2" t="str">
        <x:v>Coastal zoning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1" s="2" t="str">
        <x:v>Coastal zoning: resilient structural, drainage, transport, coastal or utility components; foundations, barriers, armour, geosynthetics, sensors and nature-based elements as applicable.</x:v>
      </x:c>
      <x:c r="P441" s="2" t="str">
        <x:v>Coastal zoning: climate-load and hazard analysis, structural or hydraulic modelling, geotechnical design, spatial planning, asset criticality, inspection and adaptation pathways.</x:v>
      </x:c>
      <x:c r="Q441" s="2" t="str">
        <x:v>Coastal zoning: building and infrastructure codes, zoning, permits, land acquisition or easements, maintenance responsibility, emergency access, environmental safeguards and community participation.</x:v>
      </x:c>
      <x:c r="R441" s="2" t="str">
        <x:v>Coastal zoning: site access, foundations, drainage, utility relocation, monitoring, construction staging, sediment or material supply and long-term maintenance corridors.</x:v>
      </x:c>
      <x:c r="S441" s="2" t="str">
        <x:v>Coastal zoning: construction fuel and electricity plus operational pumping, monitoring, lighting or active control; passive and ecosystem measures have lower operational demand.</x:v>
      </x:c>
      <x:c r="T441" s="2" t="str">
        <x:v>Coastal zoning: concrete, steel, stone, asphalt, timber, geotextiles, soil or sand, corrosion protection, vegetation and locally compatible fill.</x:v>
      </x:c>
      <x:c r="U441" s="2" t="str">
        <x:v>Coastal zoning: drainage and pump parts, expansion joints, fasteners, coatings, sensors, geotextile repair, replacement armour or fill and planting stock.</x:v>
      </x:c>
      <x:c r="V441" s="2" t="str">
        <x:v>https://www.ctc-n.org/sites/default/files/resources/ctcn_taxonomy_0.pdf</x:v>
      </x:c>
      <x:c r="W441" s="2" t="str">
        <x:v>https://institutoagricoladepueblobello.edu.co/colegiapp/archivostemas/GUIA%209.%5B25%5D.pdf</x:v>
      </x:c>
      <x:c r="X441" s="2" t="str">
        <x:v>https://iiasa.ac.at/what-is-technology</x:v>
      </x:c>
      <x:c r="Y441" s="2" t="str">
        <x:v>https://www.ipcc.ch/srocc/chapter/chapter-4-sea-level-rise-and-implications-for-low-lying-islands-coasts-and-communities/; https://www.ipcc.ch/report/ar6/wg2/chapter/chapter-6/; https://www.unep.org/topics/climate-action/adaptation/ecosystem-based-adaptation</x:v>
      </x:c>
      <x:c r="Z441" s="2" t="str">
        <x:v>Technology-specific analytical synthesis. The CTCN hierarchy is retained; classifications and component dependencies require validation against the selected design, site and supplier documentation before investment or policy use.</x:v>
      </x:c>
      <x:c r="AA441" s="2" t="str">
        <x:v>Physical deployment of Coastal zoning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1" s="2" t="str">
        <x:v>For Coastal zoning,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1" s="2" t="str">
        <x:v>Construction and operation use concrete, steel, stone, asphalt, timber, geotextiles, soil or sand, corrosion protection, vegetation and locally compatible fill. For Coastal zoning, specifications must include durability, compatibility, recycled content and recoverability.</x:v>
      </x:c>
      <x:c r="AD441" s="2" t="str">
        <x:v>Maintenance of Coastal zoning depends on drainage and pump parts, expansion joints, fasteners, coatings, sensors, geotextile repair, replacement armour or fill and planting stock; critical spares are selected from failure-mode, lead-time and safety analysis for its installed configuration.</x:v>
      </x:c>
      <x:c r="AE441" s="2" t="str">
        <x:v>The software stack for Coastal zoning requires databases, secure communications, version-controlled models, computing, backup and interfaces with field or operational systems.</x:v>
      </x:c>
      <x:c r="AF441" s="2" t="str">
        <x:v>For Coastal zoning, software-related energy is electricity for sensing, computing, storage, communication and cooling; it is normally secondary but must be included for data-intensive or continuous services.</x:v>
      </x:c>
      <x:c r="AG441" s="2" t="str">
        <x:v>The non-physical inputs are calibrated data, metadata, algorithms, boundary conditions, emission or hazard factors, manuals and validation records specific to Coastal zoning.</x:v>
      </x:c>
      <x:c r="AH441" s="2" t="str">
        <x:v>Software continuity for Coastal zoning requires licences where applicable, updates, cybersecurity patches, backups, calibration files, model validation and technical support.</x:v>
      </x:c>
      <x:c r="AI441" s="2" t="str">
        <x:v>Orgware depends on the institutions, laboratories, training providers, regulators, operators and community interfaces needed to govern Coastal zoning.</x:v>
      </x:c>
      <x:c r="AJ441" s="2" t="str">
        <x:v>The orgware supporting Coastal zoning has mainly indirect energy use from offices, meetings, training and information systems; travel and field supervision may be material at dispersed sites.</x:v>
      </x:c>
      <x:c r="AK441" s="2" t="str">
        <x:v>Its organisational inputs are permits, budgets, trained staff, competence records, contracts, procedures, safeguards, monitoring evidence and stakeholder agreements tailored to Coastal zoning.</x:v>
      </x:c>
      <x:c r="AL441" s="2" t="str">
        <x:v>Sustained implementation of Coastal zoning requires procurement and service contracts, audit protocols, training material, reporting templates, insurance or guarantees and periodic independent review.</x:v>
      </x:c>
      <x:c r="AM441" s="2" t="str">
        <x:v>Iron ore / steel inputs; Nickel; Chromium; Zinc</x:v>
      </x:c>
      <x:c r="AN441" s="2" t="str">
        <x:v>Australia; Brazil; China; Indonesia; Philippines; Russia; South Africa; Kazakhstan; Turkey; Peru</x:v>
      </x:c>
      <x:c r="AO441" s="2" t="str">
        <x:v>China; India; Japan; Indonesia; South Africa; Kazakhstan; South Korea</x:v>
      </x:c>
      <x:c r="AP441" s="2" t="str">
        <x:v>Coastal zoning: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1" s="2" t="str">
        <x:v>2024–2025</x:v>
      </x:c>
      <x:c r="AR441" s="2" t="str">
        <x:v>https://pubs.usgs.gov/periodicals/mcs2026/mcs2026.pdf; https://www.iea.org/reports/global-critical-minerals-outlook-2025</x:v>
      </x:c>
    </x:row>
    <x:row r="442" ht="240" customHeight="1">
      <x:c r="A442" s="2" t="str">
        <x:v>ADP-0172</x:v>
      </x:c>
      <x:c r="B442" s="2" t="str">
        <x:v>Adaptation</x:v>
      </x:c>
      <x:c r="C442" s="2" t="str">
        <x:v>Coastal Zones</x:v>
      </x:c>
      <x:c r="D442" s="2" t="str">
        <x:v>Integrated coastal zone management</x:v>
      </x:c>
      <x:c r="E442" s="2" t="str">
        <x:v>Sediment management</x:v>
      </x:c>
      <x:c r="F442" s="2" t="str">
        <x:v>Sediment management is a adaptation technology in the Coastal Zones sector and the Integrated coastal zone management technology group. It is defined as a combined hardware–software–orgware system that reduces exposure and physical vulnerability through resilient siting, design loads, protective structures, adaptable construction, ecosystem buffers and planned management of residual risk. Sediment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2" s="2" t="str">
        <x:v>Flexible</x:v>
      </x:c>
      <x:c r="H442" s="2" t="str">
        <x:v>Sediment management is transferable through configurable methods, rules and operating parameters. Its principle remains the same, but resource quality, climate, scale, interfaces and safety constraints must be recalculated for each deployment.</x:v>
      </x:c>
      <x:c r="I442" s="2" t="str">
        <x:v>Primarily soft, with physical support</x:v>
      </x:c>
      <x:c r="J442" s="2" t="str">
        <x:v>Sediment management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2" s="2" t="str">
        <x:v>Operation</x:v>
      </x:c>
      <x:c r="L442" s="2" t="str">
        <x:v>Sediment management is embodied mainly as an operating practice. The deliverable is accepted only when measurable service, quality, safety and climate-performance criteria are met under real conditions.</x:v>
      </x:c>
      <x:c r="M442" s="2" t="str">
        <x:v>Yes, subject to life-cycle safeguards</x:v>
      </x:c>
      <x:c r="N442" s="2" t="str">
        <x:v>Sediment management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2" s="2" t="str">
        <x:v>Sediment management: resilient structural, drainage, transport, coastal or utility components; foundations, barriers, armour, geosynthetics, sensors and nature-based elements as applicable.</x:v>
      </x:c>
      <x:c r="P442" s="2" t="str">
        <x:v>Sediment management: climate-load and hazard analysis, structural or hydraulic modelling, geotechnical design, spatial planning, asset criticality, inspection and adaptation pathways.</x:v>
      </x:c>
      <x:c r="Q442" s="2" t="str">
        <x:v>Sediment management: building and infrastructure codes, zoning, permits, land acquisition or easements, maintenance responsibility, emergency access, environmental safeguards and community participation.</x:v>
      </x:c>
      <x:c r="R442" s="2" t="str">
        <x:v>Sediment management: site access, foundations, drainage, utility relocation, monitoring, construction staging, sediment or material supply and long-term maintenance corridors.</x:v>
      </x:c>
      <x:c r="S442" s="2" t="str">
        <x:v>Sediment management: construction fuel and electricity plus operational pumping, monitoring, lighting or active control; passive and ecosystem measures have lower operational demand.</x:v>
      </x:c>
      <x:c r="T442" s="2" t="str">
        <x:v>Sediment management: concrete, steel, stone, asphalt, timber, geotextiles, soil or sand, corrosion protection, vegetation and locally compatible fill.</x:v>
      </x:c>
      <x:c r="U442" s="2" t="str">
        <x:v>Sediment management: drainage and pump parts, expansion joints, fasteners, coatings, sensors, geotextile repair, replacement armour or fill and planting stock.</x:v>
      </x:c>
      <x:c r="V442" s="2" t="str">
        <x:v>https://www.ctc-n.org/sites/default/files/resources/ctcn_taxonomy_0.pdf</x:v>
      </x:c>
      <x:c r="W442" s="2" t="str">
        <x:v>https://institutoagricoladepueblobello.edu.co/colegiapp/archivostemas/GUIA%209.%5B25%5D.pdf</x:v>
      </x:c>
      <x:c r="X442" s="2" t="str">
        <x:v>https://iiasa.ac.at/what-is-technology</x:v>
      </x:c>
      <x:c r="Y442" s="2" t="str">
        <x:v>https://www.ipcc.ch/srocc/chapter/chapter-4-sea-level-rise-and-implications-for-low-lying-islands-coasts-and-communities/; https://www.ipcc.ch/report/ar6/wg2/chapter/chapter-6/; https://www.unep.org/topics/climate-action/adaptation/ecosystem-based-adaptation</x:v>
      </x:c>
      <x:c r="Z442" s="2" t="str">
        <x:v>Technology-specific analytical synthesis. The CTCN hierarchy is retained; classifications and component dependencies require validation against the selected design, site and supplier documentation before investment or policy use.</x:v>
      </x:c>
      <x:c r="AA442" s="2" t="str">
        <x:v>Physical deployment of Sediment management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2" s="2" t="str">
        <x:v>For Sediment management,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2" s="2" t="str">
        <x:v>Construction and operation use concrete, steel, stone, asphalt, timber, geotextiles, soil or sand, corrosion protection, vegetation and locally compatible fill. For Sediment management, specifications must include durability, compatibility, recycled content and recoverability.</x:v>
      </x:c>
      <x:c r="AD442" s="2" t="str">
        <x:v>Maintenance of Sediment management depends on drainage and pump parts, expansion joints, fasteners, coatings, sensors, geotextile repair, replacement armour or fill and planting stock; critical spares are selected from failure-mode, lead-time and safety analysis for its installed configuration.</x:v>
      </x:c>
      <x:c r="AE442" s="2" t="str">
        <x:v>The software stack for Sediment management requires databases, secure communications, version-controlled models, computing, backup and interfaces with field or operational systems.</x:v>
      </x:c>
      <x:c r="AF442" s="2" t="str">
        <x:v>For Sediment management, software-related energy is electricity for sensing, computing, storage, communication and cooling; it is normally secondary but must be included for data-intensive or continuous services.</x:v>
      </x:c>
      <x:c r="AG442" s="2" t="str">
        <x:v>The non-physical inputs are calibrated data, metadata, algorithms, boundary conditions, emission or hazard factors, manuals and validation records specific to Sediment management.</x:v>
      </x:c>
      <x:c r="AH442" s="2" t="str">
        <x:v>Software continuity for Sediment management requires licences where applicable, updates, cybersecurity patches, backups, calibration files, model validation and technical support.</x:v>
      </x:c>
      <x:c r="AI442" s="2" t="str">
        <x:v>Orgware depends on the institutions, laboratories, training providers, regulators, operators and community interfaces needed to govern Sediment management.</x:v>
      </x:c>
      <x:c r="AJ442" s="2" t="str">
        <x:v>The orgware supporting Sediment management has mainly indirect energy use from offices, meetings, training and information systems; travel and field supervision may be material at dispersed sites.</x:v>
      </x:c>
      <x:c r="AK442" s="2" t="str">
        <x:v>Its organisational inputs are permits, budgets, trained staff, competence records, contracts, procedures, safeguards, monitoring evidence and stakeholder agreements tailored to Sediment management.</x:v>
      </x:c>
      <x:c r="AL442" s="2" t="str">
        <x:v>Sustained implementation of Sediment management requires procurement and service contracts, audit protocols, training material, reporting templates, insurance or guarantees and periodic independent review.</x:v>
      </x:c>
      <x:c r="AM442" s="2" t="str">
        <x:v>Nickel; Chromium; Zinc</x:v>
      </x:c>
      <x:c r="AN442" s="2" t="str">
        <x:v>Indonesia; Philippines; Russia; South Africa; Kazakhstan; Turkey; China; Peru; Australia</x:v>
      </x:c>
      <x:c r="AO442" s="2" t="str">
        <x:v>China; Indonesia; Japan; South Africa; Kazakhstan; South Korea; India</x:v>
      </x:c>
      <x:c r="AP442" s="2" t="str">
        <x:v>Sediment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2" s="2" t="str">
        <x:v>2024–2025</x:v>
      </x:c>
      <x:c r="AR442" s="2" t="str">
        <x:v>https://www.iea.org/reports/global-critical-minerals-outlook-2025; https://pubs.usgs.gov/periodicals/mcs2026/mcs2026.pdf</x:v>
      </x:c>
    </x:row>
    <x:row r="443" ht="240" customHeight="1">
      <x:c r="A443" s="2" t="str">
        <x:v>ADP-0173</x:v>
      </x:c>
      <x:c r="B443" s="2" t="str">
        <x:v>Adaptation</x:v>
      </x:c>
      <x:c r="C443" s="2" t="str">
        <x:v>Coastal Zones</x:v>
      </x:c>
      <x:c r="D443" s="2" t="str">
        <x:v>Integrated coastal zone management</x:v>
      </x:c>
      <x:c r="E443" s="2" t="str">
        <x:v>Restoration and protection of coral reefs</x:v>
      </x:c>
      <x:c r="F443" s="2" t="str">
        <x:v>Restoration and protection of coral reefs is a adaptation technology in the Coastal Zones sector and the Integrated coastal zone management technology group. It is defined as a combined hardware–software–orgware system that reduces exposure and physical vulnerability through resilient siting, design loads, protective structures, adaptable construction, ecosystem buffers and planned management of residual risk.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3" s="2" t="str">
        <x:v>Flexible</x:v>
      </x:c>
      <x:c r="H443" s="2" t="str">
        <x:v>Restoration and protection of coral reefs is transferable through configurable methods, rules and operating parameters. Its principle remains the same, but resource quality, climate, scale, interfaces and safety constraints must be recalculated for each deployment.</x:v>
      </x:c>
      <x:c r="I443" s="2" t="str">
        <x:v>Primarily soft, with physical support</x:v>
      </x:c>
      <x:c r="J443" s="2" t="str">
        <x:v>Restoration and protection of coral reefs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3" s="2" t="str">
        <x:v>Operation</x:v>
      </x:c>
      <x:c r="L443" s="2" t="str">
        <x:v>Restoration and protection of coral reefs is embodied mainly as an operating practice. The deliverable is accepted only when measurable service, quality, safety and climate-performance criteria are met under real conditions.</x:v>
      </x:c>
      <x:c r="M443" s="2" t="str">
        <x:v>Yes, subject to life-cycle safeguards</x:v>
      </x:c>
      <x:c r="N443" s="2" t="str">
        <x:v>Restoration and protection of coral reefs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3" s="2" t="str">
        <x:v>Restoration and protection of coral reefs: resilient structural, drainage, transport, coastal or utility components; foundations, barriers, armour, geosynthetics, sensors and nature-based elements as applicable.</x:v>
      </x:c>
      <x:c r="P443" s="2" t="str">
        <x:v>Restoration and protection of coral reefs: climate-load and hazard analysis, structural or hydraulic modelling, geotechnical design, spatial planning, asset criticality, inspection and adaptation pathways.</x:v>
      </x:c>
      <x:c r="Q443" s="2" t="str">
        <x:v>Restoration and protection of coral reefs: building and infrastructure codes, zoning, permits, land acquisition or easements, maintenance responsibility, emergency access, environmental safeguards and community participation.</x:v>
      </x:c>
      <x:c r="R443" s="2" t="str">
        <x:v>Restoration and protection of coral reefs: site access, foundations, drainage, utility relocation, monitoring, construction staging, sediment or material supply and long-term maintenance corridors.</x:v>
      </x:c>
      <x:c r="S443" s="2" t="str">
        <x:v>Restoration and protection of coral reefs: construction fuel and electricity plus operational pumping, monitoring, lighting or active control; passive and ecosystem measures have lower operational demand.</x:v>
      </x:c>
      <x:c r="T443" s="2" t="str">
        <x:v>Restoration and protection of coral reefs: concrete, steel, stone, asphalt, timber, geotextiles, soil or sand, corrosion protection, vegetation and locally compatible fill.</x:v>
      </x:c>
      <x:c r="U443" s="2" t="str">
        <x:v>Restoration and protection of coral reefs: drainage and pump parts, expansion joints, fasteners, coatings, sensors, geotextile repair, replacement armour or fill and planting stock.</x:v>
      </x:c>
      <x:c r="V443" s="2" t="str">
        <x:v>https://www.ctc-n.org/sites/default/files/resources/ctcn_taxonomy_0.pdf</x:v>
      </x:c>
      <x:c r="W443" s="2" t="str">
        <x:v>https://institutoagricoladepueblobello.edu.co/colegiapp/archivostemas/GUIA%209.%5B25%5D.pdf</x:v>
      </x:c>
      <x:c r="X443" s="2" t="str">
        <x:v>https://iiasa.ac.at/what-is-technology</x:v>
      </x:c>
      <x:c r="Y443" s="2" t="str">
        <x:v>https://www.ipcc.ch/srocc/chapter/chapter-4-sea-level-rise-and-implications-for-low-lying-islands-coasts-and-communities/; https://www.ipcc.ch/report/ar6/wg2/chapter/chapter-6/; https://www.unep.org/topics/climate-action/adaptation/ecosystem-based-adaptation</x:v>
      </x:c>
      <x:c r="Z443" s="2" t="str">
        <x:v>Technology-specific analytical synthesis. The CTCN hierarchy is retained; classifications and component dependencies require validation against the selected design, site and supplier documentation before investment or policy use.</x:v>
      </x:c>
      <x:c r="AA443" s="2" t="str">
        <x:v>Physical deployment of Restoration and protection of coral reefs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3" s="2" t="str">
        <x:v>For Restoration and protection of coral reefs,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3" s="2" t="str">
        <x:v>Construction and operation use concrete, steel, stone, asphalt, timber, geotextiles, soil or sand, corrosion protection, vegetation and locally compatible fill. For Restoration and protection of coral reefs, specifications must include durability, compatibility, recycled content and recoverability.</x:v>
      </x:c>
      <x:c r="AD443" s="2" t="str">
        <x:v>Maintenance of Restoration and protection of coral reefs depends on drainage and pump parts, expansion joints, fasteners, coatings, sensors, geotextile repair, replacement armour or fill and planting stock; critical spares are selected from failure-mode, lead-time and safety analysis for its installed configuration.</x:v>
      </x:c>
      <x:c r="AE443" s="2" t="str">
        <x:v>The software stack for Restoration and protection of coral reefs requires databases, secure communications, version-controlled models, computing, backup and interfaces with field or operational systems.</x:v>
      </x:c>
      <x:c r="AF443" s="2" t="str">
        <x:v>For Restoration and protection of coral reefs, software-related energy is electricity for sensing, computing, storage, communication and cooling; it is normally secondary but must be included for data-intensive or continuous services.</x:v>
      </x:c>
      <x:c r="AG443" s="2" t="str">
        <x:v>The non-physical inputs are calibrated data, metadata, algorithms, boundary conditions, emission or hazard factors, manuals and validation records specific to Restoration and protection of coral reefs.</x:v>
      </x:c>
      <x:c r="AH443" s="2" t="str">
        <x:v>Software continuity for Restoration and protection of coral reefs requires licences where applicable, updates, cybersecurity patches, backups, calibration files, model validation and technical support.</x:v>
      </x:c>
      <x:c r="AI443" s="2" t="str">
        <x:v>Orgware depends on the institutions, laboratories, training providers, regulators, operators and community interfaces needed to govern Restoration and protection of coral reefs.</x:v>
      </x:c>
      <x:c r="AJ443" s="2" t="str">
        <x:v>The orgware supporting Restoration and protection of coral reefs has mainly indirect energy use from offices, meetings, training and information systems; travel and field supervision may be material at dispersed sites.</x:v>
      </x:c>
      <x:c r="AK443" s="2" t="str">
        <x:v>Its organisational inputs are permits, budgets, trained staff, competence records, contracts, procedures, safeguards, monitoring evidence and stakeholder agreements tailored to Restoration and protection of coral reefs.</x:v>
      </x:c>
      <x:c r="AL443" s="2" t="str">
        <x:v>Sustained implementation of Restoration and protection of coral reefs requires procurement and service contracts, audit protocols, training material, reporting templates, insurance or guarantees and periodic independent review.</x:v>
      </x:c>
      <x:c r="AM443" s="2" t="str">
        <x:v>Iron ore / steel inputs; Nickel; Chromium; Zinc</x:v>
      </x:c>
      <x:c r="AN443" s="2" t="str">
        <x:v>Australia; Brazil; China; Indonesia; Philippines; Russia; South Africa; Kazakhstan; Turkey; Peru</x:v>
      </x:c>
      <x:c r="AO443" s="2" t="str">
        <x:v>China; India; Japan; Indonesia; South Africa; Kazakhstan; South Korea</x:v>
      </x:c>
      <x:c r="AP443" s="2" t="str">
        <x:v>Restoration and protection of coral reefs: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3" s="2" t="str">
        <x:v>2024–2025</x:v>
      </x:c>
      <x:c r="AR443" s="2" t="str">
        <x:v>https://pubs.usgs.gov/periodicals/mcs2026/mcs2026.pdf; https://www.iea.org/reports/global-critical-minerals-outlook-2025</x:v>
      </x:c>
    </x:row>
    <x:row r="444" ht="240" customHeight="1">
      <x:c r="A444" s="2" t="str">
        <x:v>ADP-0174</x:v>
      </x:c>
      <x:c r="B444" s="2" t="str">
        <x:v>Adaptation</x:v>
      </x:c>
      <x:c r="C444" s="2" t="str">
        <x:v>Coastal Zones</x:v>
      </x:c>
      <x:c r="D444" s="2" t="str">
        <x:v>Integrated coastal zone management</x:v>
      </x:c>
      <x:c r="E444" s="2" t="str">
        <x:v>Coastal monitoring</x:v>
      </x:c>
      <x:c r="F444" s="2" t="str">
        <x:v>Coastal monitoring is a adaptation technology in the Coastal Zones sector and the Integrated coastal zone management technology group. It is defined as a combined hardware–software–orgware system that reduces exposure and physical vulnerability through resilient siting, design loads, protective structures, adaptable construction, ecosystem buffers and planned management of residual risk. Coastal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4" s="2" t="str">
        <x:v>Flexible</x:v>
      </x:c>
      <x:c r="H444" s="2" t="str">
        <x:v>Coastal monitoring is transferable through configurable methods, rules and operating parameters. Its principle remains the same, but resource quality, climate, scale, interfaces and safety constraints must be recalculated for each deployment.</x:v>
      </x:c>
      <x:c r="I444" s="2" t="str">
        <x:v>Hard and soft</x:v>
      </x:c>
      <x:c r="J444" s="2" t="str">
        <x:v>Coastal monitoring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4" s="2" t="str">
        <x:v>Operation and information service</x:v>
      </x:c>
      <x:c r="L444" s="2" t="str">
        <x:v>Coastal monitoring is embodied mainly as an information and decision service. The deliverable is accepted only when measurable service, quality, safety and climate-performance criteria are met under real conditions.</x:v>
      </x:c>
      <x:c r="M444" s="2" t="str">
        <x:v>Yes, subject to life-cycle safeguards</x:v>
      </x:c>
      <x:c r="N444" s="2" t="str">
        <x:v>Coastal monitoring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4" s="2" t="str">
        <x:v>Coastal monitoring: resilient structural, drainage, transport, coastal or utility components; foundations, barriers, armour, geosynthetics, sensors and nature-based elements as applicable.</x:v>
      </x:c>
      <x:c r="P444" s="2" t="str">
        <x:v>Coastal monitoring: climate-load and hazard analysis, structural or hydraulic modelling, geotechnical design, spatial planning, asset criticality, inspection and adaptation pathways.</x:v>
      </x:c>
      <x:c r="Q444" s="2" t="str">
        <x:v>Coastal monitoring: building and infrastructure codes, zoning, permits, land acquisition or easements, maintenance responsibility, emergency access, environmental safeguards and community participation.</x:v>
      </x:c>
      <x:c r="R444" s="2" t="str">
        <x:v>Coastal monitoring: site access, foundations, drainage, utility relocation, monitoring, construction staging, sediment or material supply and long-term maintenance corridors.</x:v>
      </x:c>
      <x:c r="S444" s="2" t="str">
        <x:v>Coastal monitoring: construction fuel and electricity plus operational pumping, monitoring, lighting or active control; passive and ecosystem measures have lower operational demand.</x:v>
      </x:c>
      <x:c r="T444" s="2" t="str">
        <x:v>Coastal monitoring: concrete, steel, stone, asphalt, timber, geotextiles, soil or sand, corrosion protection, vegetation and locally compatible fill.</x:v>
      </x:c>
      <x:c r="U444" s="2" t="str">
        <x:v>Coastal monitoring: drainage and pump parts, expansion joints, fasteners, coatings, sensors, geotextile repair, replacement armour or fill and planting stock.</x:v>
      </x:c>
      <x:c r="V444" s="2" t="str">
        <x:v>https://www.ctc-n.org/sites/default/files/resources/ctcn_taxonomy_0.pdf</x:v>
      </x:c>
      <x:c r="W444" s="2" t="str">
        <x:v>https://institutoagricoladepueblobello.edu.co/colegiapp/archivostemas/GUIA%209.%5B25%5D.pdf</x:v>
      </x:c>
      <x:c r="X444" s="2" t="str">
        <x:v>https://iiasa.ac.at/what-is-technology</x:v>
      </x:c>
      <x:c r="Y444" s="2" t="str">
        <x:v>https://www.ipcc.ch/srocc/chapter/chapter-4-sea-level-rise-and-implications-for-low-lying-islands-coasts-and-communities/; https://www.ipcc.ch/report/ar6/wg2/chapter/chapter-6/; https://www.unep.org/topics/climate-action/adaptation/ecosystem-based-adaptation</x:v>
      </x:c>
      <x:c r="Z444" s="2" t="str">
        <x:v>Technology-specific analytical synthesis. The CTCN hierarchy is retained; classifications and component dependencies require validation against the selected design, site and supplier documentation before investment or policy use.</x:v>
      </x:c>
      <x:c r="AA444" s="2" t="str">
        <x:v>Physical deployment of Coastal monitoring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4" s="2" t="str">
        <x:v>For Coastal monitoring,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4" s="2" t="str">
        <x:v>Construction and operation use concrete, steel, stone, asphalt, timber, geotextiles, soil or sand, corrosion protection, vegetation and locally compatible fill. For Coastal monitoring, specifications must include durability, compatibility, recycled content and recoverability.</x:v>
      </x:c>
      <x:c r="AD444" s="2" t="str">
        <x:v>Maintenance of Coastal monitoring depends on drainage and pump parts, expansion joints, fasteners, coatings, sensors, geotextile repair, replacement armour or fill and planting stock; critical spares are selected from failure-mode, lead-time and safety analysis for its installed configuration.</x:v>
      </x:c>
      <x:c r="AE444" s="2" t="str">
        <x:v>The software stack for Coastal monitoring requires databases, secure communications, version-controlled models, computing, backup and interfaces with field or operational systems.</x:v>
      </x:c>
      <x:c r="AF444" s="2" t="str">
        <x:v>For Coastal monitoring, software-related energy is electricity for sensing, computing, storage, communication and cooling; it is normally secondary but must be included for data-intensive or continuous services.</x:v>
      </x:c>
      <x:c r="AG444" s="2" t="str">
        <x:v>The non-physical inputs are calibrated data, metadata, algorithms, boundary conditions, emission or hazard factors, manuals and validation records specific to Coastal monitoring.</x:v>
      </x:c>
      <x:c r="AH444" s="2" t="str">
        <x:v>Software continuity for Coastal monitoring requires licences where applicable, updates, cybersecurity patches, backups, calibration files, model validation and technical support.</x:v>
      </x:c>
      <x:c r="AI444" s="2" t="str">
        <x:v>Orgware depends on the institutions, laboratories, training providers, regulators, operators and community interfaces needed to govern Coastal monitoring.</x:v>
      </x:c>
      <x:c r="AJ444" s="2" t="str">
        <x:v>The orgware supporting Coastal monitoring has mainly indirect energy use from offices, meetings, training and information systems; travel and field supervision may be material at dispersed sites.</x:v>
      </x:c>
      <x:c r="AK444" s="2" t="str">
        <x:v>Its organisational inputs are permits, budgets, trained staff, competence records, contracts, procedures, safeguards, monitoring evidence and stakeholder agreements tailored to Coastal monitoring.</x:v>
      </x:c>
      <x:c r="AL444" s="2" t="str">
        <x:v>Sustained implementation of Coastal monitoring requires procurement and service contracts, audit protocols, training material, reporting templates, insurance or guarantees and periodic independent review.</x:v>
      </x:c>
      <x:c r="AM444" s="2" t="str">
        <x:v>Iron ore / steel inputs; Copper; Tin; Nickel; Chromium; Zinc</x:v>
      </x:c>
      <x:c r="AN444" s="2" t="str">
        <x:v>Australia; Brazil; China; Chile; Democratic Republic of the Congo; Peru; Indonesia; Myanmar; Philippines; Russia; South Africa; Kazakhstan; Turkey</x:v>
      </x:c>
      <x:c r="AO444" s="2" t="str">
        <x:v>China; India; Japan; Chile; Democratic Republic of the Congo; Indonesia; Malaysia; South Africa; Kazakhstan; South Korea</x:v>
      </x:c>
      <x:c r="AP444" s="2" t="str">
        <x:v>Coastal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4" s="2" t="str">
        <x:v>2024–2025</x:v>
      </x:c>
      <x:c r="AR444" s="2" t="str">
        <x:v>https://pubs.usgs.gov/periodicals/mcs2026/mcs2026.pdf; https://www.iea.org/reports/global-critical-minerals-outlook-2025</x:v>
      </x:c>
    </x:row>
    <x:row r="445" ht="240" customHeight="1">
      <x:c r="A445" s="2" t="str">
        <x:v>ADP-0175</x:v>
      </x:c>
      <x:c r="B445" s="2" t="str">
        <x:v>Adaptation</x:v>
      </x:c>
      <x:c r="C445" s="2" t="str">
        <x:v>Coastal Zones</x:v>
      </x:c>
      <x:c r="D445" s="2" t="str">
        <x:v>Integrated coastal zone management</x:v>
      </x:c>
      <x:c r="E445" s="2" t="str">
        <x:v>Ecosystem restoration and conservation plans</x:v>
      </x:c>
      <x:c r="F445" s="2" t="str">
        <x:v>Ecosystem restoration and conservation plans is a adaptation technology in the Coastal Zones sector and the Integrated coastal zone management technology group. It is defined as a combined hardware–software–orgware system that reduces exposure and physical vulnerability through resilient siting, design loads, protective structures, adaptable construction, ecosystem buffers and planned management of residual risk. Ecosystem restoration and conservation plans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5" s="2" t="str">
        <x:v>Flexible</x:v>
      </x:c>
      <x:c r="H445" s="2" t="str">
        <x:v>Ecosystem restoration and conservation plans is transferable through configurable methods, rules and operating parameters. Its principle remains the same, but resource quality, climate, scale, interfaces and safety constraints must be recalculated for each deployment.</x:v>
      </x:c>
      <x:c r="I445" s="2" t="str">
        <x:v>Primarily soft, with physical support</x:v>
      </x:c>
      <x:c r="J445" s="2" t="str">
        <x:v>Ecosystem restoration and conservation plans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5" s="2" t="str">
        <x:v>Operation</x:v>
      </x:c>
      <x:c r="L445" s="2" t="str">
        <x:v>Ecosystem restoration and conservation plans is embodied mainly as an operating practice. The deliverable is accepted only when measurable service, quality, safety and climate-performance criteria are met under real conditions.</x:v>
      </x:c>
      <x:c r="M445" s="2" t="str">
        <x:v>Yes, subject to life-cycle safeguards</x:v>
      </x:c>
      <x:c r="N445" s="2" t="str">
        <x:v>Ecosystem restoration and conservation plans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5" s="2" t="str">
        <x:v>Ecosystem restoration and conservation plans: resilient structural, drainage, transport, coastal or utility components; foundations, barriers, armour, geosynthetics, sensors and nature-based elements as applicable.</x:v>
      </x:c>
      <x:c r="P445" s="2" t="str">
        <x:v>Ecosystem restoration and conservation plans: climate-load and hazard analysis, structural or hydraulic modelling, geotechnical design, spatial planning, asset criticality, inspection and adaptation pathways.</x:v>
      </x:c>
      <x:c r="Q445" s="2" t="str">
        <x:v>Ecosystem restoration and conservation plans: building and infrastructure codes, zoning, permits, land acquisition or easements, maintenance responsibility, emergency access, environmental safeguards and community participation.</x:v>
      </x:c>
      <x:c r="R445" s="2" t="str">
        <x:v>Ecosystem restoration and conservation plans: site access, foundations, drainage, utility relocation, monitoring, construction staging, sediment or material supply and long-term maintenance corridors.</x:v>
      </x:c>
      <x:c r="S445" s="2" t="str">
        <x:v>Ecosystem restoration and conservation plans: construction fuel and electricity plus operational pumping, monitoring, lighting or active control; passive and ecosystem measures have lower operational demand.</x:v>
      </x:c>
      <x:c r="T445" s="2" t="str">
        <x:v>Ecosystem restoration and conservation plans: concrete, steel, stone, asphalt, timber, geotextiles, soil or sand, corrosion protection, vegetation and locally compatible fill.</x:v>
      </x:c>
      <x:c r="U445" s="2" t="str">
        <x:v>Ecosystem restoration and conservation plans: drainage and pump parts, expansion joints, fasteners, coatings, sensors, geotextile repair, replacement armour or fill and planting stock.</x:v>
      </x:c>
      <x:c r="V445" s="2" t="str">
        <x:v>https://www.ctc-n.org/sites/default/files/resources/ctcn_taxonomy_0.pdf</x:v>
      </x:c>
      <x:c r="W445" s="2" t="str">
        <x:v>https://institutoagricoladepueblobello.edu.co/colegiapp/archivostemas/GUIA%209.%5B25%5D.pdf</x:v>
      </x:c>
      <x:c r="X445" s="2" t="str">
        <x:v>https://iiasa.ac.at/what-is-technology</x:v>
      </x:c>
      <x:c r="Y445" s="2" t="str">
        <x:v>https://www.ipcc.ch/srocc/chapter/chapter-4-sea-level-rise-and-implications-for-low-lying-islands-coasts-and-communities/; https://www.ipcc.ch/report/ar6/wg2/chapter/chapter-6/; https://www.unep.org/topics/climate-action/adaptation/ecosystem-based-adaptation</x:v>
      </x:c>
      <x:c r="Z445" s="2" t="str">
        <x:v>Technology-specific analytical synthesis. The CTCN hierarchy is retained; classifications and component dependencies require validation against the selected design, site and supplier documentation before investment or policy use.</x:v>
      </x:c>
      <x:c r="AA445" s="2" t="str">
        <x:v>Physical deployment of Ecosystem restoration and conservation plans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5" s="2" t="str">
        <x:v>For Ecosystem restoration and conservation plans,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5" s="2" t="str">
        <x:v>Construction and operation use concrete, steel, stone, asphalt, timber, geotextiles, soil or sand, corrosion protection, vegetation and locally compatible fill. For Ecosystem restoration and conservation plans, specifications must include durability, compatibility, recycled content and recoverability.</x:v>
      </x:c>
      <x:c r="AD445" s="2" t="str">
        <x:v>Maintenance of Ecosystem restoration and conservation plans depends on drainage and pump parts, expansion joints, fasteners, coatings, sensors, geotextile repair, replacement armour or fill and planting stock; critical spares are selected from failure-mode, lead-time and safety analysis for its installed configuration.</x:v>
      </x:c>
      <x:c r="AE445" s="2" t="str">
        <x:v>The software stack for Ecosystem restoration and conservation plans requires databases, secure communications, version-controlled models, computing, backup and interfaces with field or operational systems.</x:v>
      </x:c>
      <x:c r="AF445" s="2" t="str">
        <x:v>For Ecosystem restoration and conservation plans, software-related energy is electricity for sensing, computing, storage, communication and cooling; it is normally secondary but must be included for data-intensive or continuous services.</x:v>
      </x:c>
      <x:c r="AG445" s="2" t="str">
        <x:v>The non-physical inputs are calibrated data, metadata, algorithms, boundary conditions, emission or hazard factors, manuals and validation records specific to Ecosystem restoration and conservation plans.</x:v>
      </x:c>
      <x:c r="AH445" s="2" t="str">
        <x:v>Software continuity for Ecosystem restoration and conservation plans requires licences where applicable, updates, cybersecurity patches, backups, calibration files, model validation and technical support.</x:v>
      </x:c>
      <x:c r="AI445" s="2" t="str">
        <x:v>Orgware depends on the institutions, laboratories, training providers, regulators, operators and community interfaces needed to govern Ecosystem restoration and conservation plans.</x:v>
      </x:c>
      <x:c r="AJ445" s="2" t="str">
        <x:v>The orgware supporting Ecosystem restoration and conservation plans has mainly indirect energy use from offices, meetings, training and information systems; travel and field supervision may be material at dispersed sites.</x:v>
      </x:c>
      <x:c r="AK445" s="2" t="str">
        <x:v>Its organisational inputs are permits, budgets, trained staff, competence records, contracts, procedures, safeguards, monitoring evidence and stakeholder agreements tailored to Ecosystem restoration and conservation plans.</x:v>
      </x:c>
      <x:c r="AL445" s="2" t="str">
        <x:v>Sustained implementation of Ecosystem restoration and conservation plans requires procurement and service contracts, audit protocols, training material, reporting templates, insurance or guarantees and periodic independent review.</x:v>
      </x:c>
      <x:c r="AM445" s="2" t="str">
        <x:v>Iron ore / steel inputs; Nickel; Chromium; Zinc</x:v>
      </x:c>
      <x:c r="AN445" s="2" t="str">
        <x:v>Australia; Brazil; China; Indonesia; Philippines; Russia; South Africa; Kazakhstan; Turkey; Peru</x:v>
      </x:c>
      <x:c r="AO445" s="2" t="str">
        <x:v>China; India; Japan; Indonesia; South Africa; Kazakhstan; South Korea</x:v>
      </x:c>
      <x:c r="AP445" s="2" t="str">
        <x:v>Ecosystem restoration and conservation plans: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5" s="2" t="str">
        <x:v>2024–2025</x:v>
      </x:c>
      <x:c r="AR445" s="2" t="str">
        <x:v>https://pubs.usgs.gov/periodicals/mcs2026/mcs2026.pdf; https://www.iea.org/reports/global-critical-minerals-outlook-2025</x:v>
      </x:c>
    </x:row>
    <x:row r="446" ht="240" customHeight="1">
      <x:c r="A446" s="2" t="str">
        <x:v>ADP-0176</x:v>
      </x:c>
      <x:c r="B446" s="2" t="str">
        <x:v>Adaptation</x:v>
      </x:c>
      <x:c r="C446" s="2" t="str">
        <x:v>Coastal Zones</x:v>
      </x:c>
      <x:c r="D446" s="2" t="str">
        <x:v>Protection (hard engineering)</x:v>
      </x:c>
      <x:c r="E446" s="2" t="str">
        <x:v>Storm surge barriers and closure dams</x:v>
      </x:c>
      <x:c r="F446" s="2" t="str">
        <x:v>Storm surge barriers and closure dams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6" s="2" t="str">
        <x:v>Primarily fixed</x:v>
      </x:c>
      <x:c r="H446" s="2" t="str">
        <x:v>Storm surge barriers and closure dams is tied to long-lived, site-specific assets and design loads. Its principle remains the same, but resource quality, climate, scale, interfaces and safety constraints must be recalculated for each deployment.</x:v>
      </x:c>
      <x:c r="I446" s="2" t="str">
        <x:v>Primarily hard, with a soft component</x:v>
      </x:c>
      <x:c r="J446" s="2" t="str">
        <x:v>Storm surge barriers and closure dams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6" s="2" t="str">
        <x:v>Equipment and operation</x:v>
      </x:c>
      <x:c r="L446" s="2" t="str">
        <x:v>Storm surge barriers and closure dams is embodied mainly as an equipment-and-operation system. The deliverable is accepted only when measurable service, quality, safety and climate-performance criteria are met under real conditions.</x:v>
      </x:c>
      <x:c r="M446" s="2" t="str">
        <x:v>Yes, subject to life-cycle safeguards</x:v>
      </x:c>
      <x:c r="N446" s="2" t="str">
        <x:v>Storm surge barriers and closure dams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6" s="2" t="str">
        <x:v>Storm surge barriers and closure dams: resilient structural, drainage, transport, coastal or utility components; foundations, barriers, armour, geosynthetics, sensors and nature-based elements as applicable.</x:v>
      </x:c>
      <x:c r="P446" s="2" t="str">
        <x:v>Storm surge barriers and closure dams: climate-load and hazard analysis, structural or hydraulic modelling, geotechnical design, spatial planning, asset criticality, inspection and adaptation pathways.</x:v>
      </x:c>
      <x:c r="Q446" s="2" t="str">
        <x:v>Storm surge barriers and closure dams: building and infrastructure codes, zoning, permits, land acquisition or easements, maintenance responsibility, emergency access, environmental safeguards and community participation.</x:v>
      </x:c>
      <x:c r="R446" s="2" t="str">
        <x:v>Storm surge barriers and closure dams: site access, foundations, drainage, utility relocation, monitoring, construction staging, sediment or material supply and long-term maintenance corridors.</x:v>
      </x:c>
      <x:c r="S446" s="2" t="str">
        <x:v>Storm surge barriers and closure dams: construction fuel and electricity plus operational pumping, monitoring, lighting or active control; passive and ecosystem measures have lower operational demand.</x:v>
      </x:c>
      <x:c r="T446" s="2" t="str">
        <x:v>Storm surge barriers and closure dams: concrete, steel, stone, asphalt, timber, geotextiles, soil or sand, corrosion protection, vegetation and locally compatible fill.</x:v>
      </x:c>
      <x:c r="U446" s="2" t="str">
        <x:v>Storm surge barriers and closure dams: drainage and pump parts, expansion joints, fasteners, coatings, sensors, geotextile repair, replacement armour or fill and planting stock.</x:v>
      </x:c>
      <x:c r="V446" s="2" t="str">
        <x:v>https://www.ctc-n.org/sites/default/files/resources/ctcn_taxonomy_0.pdf</x:v>
      </x:c>
      <x:c r="W446" s="2" t="str">
        <x:v>https://institutoagricoladepueblobello.edu.co/colegiapp/archivostemas/GUIA%209.%5B25%5D.pdf</x:v>
      </x:c>
      <x:c r="X446" s="2" t="str">
        <x:v>https://iiasa.ac.at/what-is-technology</x:v>
      </x:c>
      <x:c r="Y446" s="2" t="str">
        <x:v>https://www.ipcc.ch/srocc/chapter/chapter-4-sea-level-rise-and-implications-for-low-lying-islands-coasts-and-communities/; https://www.ipcc.ch/report/ar6/wg2/chapter/chapter-6/; https://www.unep.org/topics/climate-action/adaptation/ecosystem-based-adaptation</x:v>
      </x:c>
      <x:c r="Z446" s="2" t="str">
        <x:v>Technology-specific analytical synthesis. The CTCN hierarchy is retained; classifications and component dependencies require validation against the selected design, site and supplier documentation before investment or policy use.</x:v>
      </x:c>
      <x:c r="AA446" s="2" t="str">
        <x:v>Physical deployment of Storm surge barriers and closure dams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6" s="2" t="str">
        <x:v>For Storm surge barriers and closure dams,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6" s="2" t="str">
        <x:v>Construction and operation use concrete, steel, stone, asphalt, timber, geotextiles, soil or sand, corrosion protection, vegetation and locally compatible fill. For Storm surge barriers and closure dams, specifications must include durability, compatibility, recycled content and recoverability.</x:v>
      </x:c>
      <x:c r="AD446" s="2" t="str">
        <x:v>Maintenance of Storm surge barriers and closure dams depends on drainage and pump parts, expansion joints, fasteners, coatings, sensors, geotextile repair, replacement armour or fill and planting stock; critical spares are selected from failure-mode, lead-time and safety analysis for its installed configuration.</x:v>
      </x:c>
      <x:c r="AE446" s="2" t="str">
        <x:v>The software stack for Storm surge barriers and closure dams requires databases, secure communications, version-controlled models, computing, backup and interfaces with field or operational systems.</x:v>
      </x:c>
      <x:c r="AF446" s="2" t="str">
        <x:v>For Storm surge barriers and closure dams, software-related energy is electricity for sensing, computing, storage, communication and cooling; it is normally secondary but must be included for data-intensive or continuous services.</x:v>
      </x:c>
      <x:c r="AG446" s="2" t="str">
        <x:v>The non-physical inputs are calibrated data, metadata, algorithms, boundary conditions, emission or hazard factors, manuals and validation records specific to Storm surge barriers and closure dams.</x:v>
      </x:c>
      <x:c r="AH446" s="2" t="str">
        <x:v>Software continuity for Storm surge barriers and closure dams requires licences where applicable, updates, cybersecurity patches, backups, calibration files, model validation and technical support.</x:v>
      </x:c>
      <x:c r="AI446" s="2" t="str">
        <x:v>Orgware depends on the institutions, laboratories, training providers, regulators, operators and community interfaces needed to govern Storm surge barriers and closure dams.</x:v>
      </x:c>
      <x:c r="AJ446" s="2" t="str">
        <x:v>The orgware supporting Storm surge barriers and closure dams has mainly indirect energy use from offices, meetings, training and information systems; travel and field supervision may be material at dispersed sites.</x:v>
      </x:c>
      <x:c r="AK446" s="2" t="str">
        <x:v>Its organisational inputs are permits, budgets, trained staff, competence records, contracts, procedures, safeguards, monitoring evidence and stakeholder agreements tailored to Storm surge barriers and closure dams.</x:v>
      </x:c>
      <x:c r="AL446" s="2" t="str">
        <x:v>Sustained implementation of Storm surge barriers and closure dams requires procurement and service contracts, audit protocols, training material, reporting templates, insurance or guarantees and periodic independent review.</x:v>
      </x:c>
      <x:c r="AM446" s="2" t="str">
        <x:v>Iron ore / steel inputs; Limestone / cement raw materials</x:v>
      </x:c>
      <x:c r="AN446" s="2" t="str">
        <x:v>Australia; Brazil; China; India; Vietnam</x:v>
      </x:c>
      <x:c r="AO446" s="2" t="str">
        <x:v>China; India; Japan; Vietnam</x:v>
      </x:c>
      <x:c r="AP446" s="2" t="str">
        <x:v>Storm surge barriers and closure dams: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6" s="2" t="str">
        <x:v>2024–2025</x:v>
      </x:c>
      <x:c r="AR446" s="2" t="str">
        <x:v>https://pubs.usgs.gov/periodicals/mcs2026/mcs2026.pdf</x:v>
      </x:c>
    </x:row>
    <x:row r="447" ht="240" customHeight="1">
      <x:c r="A447" s="2" t="str">
        <x:v>ADP-0177</x:v>
      </x:c>
      <x:c r="B447" s="2" t="str">
        <x:v>Adaptation</x:v>
      </x:c>
      <x:c r="C447" s="2" t="str">
        <x:v>Coastal Zones</x:v>
      </x:c>
      <x:c r="D447" s="2" t="str">
        <x:v>Protection (hard engineering)</x:v>
      </x:c>
      <x:c r="E447" s="2" t="str">
        <x:v>Breakwaters</x:v>
      </x:c>
      <x:c r="F447" s="2" t="str">
        <x:v>Breakwaters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7" s="2" t="str">
        <x:v>Primarily fixed</x:v>
      </x:c>
      <x:c r="H447" s="2" t="str">
        <x:v>Breakwaters is tied to long-lived, site-specific assets and design loads. Its principle remains the same, but resource quality, climate, scale, interfaces and safety constraints must be recalculated for each deployment.</x:v>
      </x:c>
      <x:c r="I447" s="2" t="str">
        <x:v>Primarily hard, with a soft component</x:v>
      </x:c>
      <x:c r="J447" s="2" t="str">
        <x:v>Breakwaters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7" s="2" t="str">
        <x:v>Equipment and operation</x:v>
      </x:c>
      <x:c r="L447" s="2" t="str">
        <x:v>Breakwaters is embodied mainly as an equipment-and-operation system. The deliverable is accepted only when measurable service, quality, safety and climate-performance criteria are met under real conditions.</x:v>
      </x:c>
      <x:c r="M447" s="2" t="str">
        <x:v>Yes, subject to life-cycle safeguards</x:v>
      </x:c>
      <x:c r="N447" s="2" t="str">
        <x:v>Breakwaters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7" s="2" t="str">
        <x:v>Breakwaters: resilient structural, drainage, transport, coastal or utility components; foundations, barriers, armour, geosynthetics, sensors and nature-based elements as applicable.</x:v>
      </x:c>
      <x:c r="P447" s="2" t="str">
        <x:v>Breakwaters: climate-load and hazard analysis, structural or hydraulic modelling, geotechnical design, spatial planning, asset criticality, inspection and adaptation pathways.</x:v>
      </x:c>
      <x:c r="Q447" s="2" t="str">
        <x:v>Breakwaters: building and infrastructure codes, zoning, permits, land acquisition or easements, maintenance responsibility, emergency access, environmental safeguards and community participation.</x:v>
      </x:c>
      <x:c r="R447" s="2" t="str">
        <x:v>Breakwaters: site access, foundations, drainage, utility relocation, monitoring, construction staging, sediment or material supply and long-term maintenance corridors.</x:v>
      </x:c>
      <x:c r="S447" s="2" t="str">
        <x:v>Breakwaters: construction fuel and electricity plus operational pumping, monitoring, lighting or active control; passive and ecosystem measures have lower operational demand.</x:v>
      </x:c>
      <x:c r="T447" s="2" t="str">
        <x:v>Breakwaters: concrete, steel, stone, asphalt, timber, geotextiles, soil or sand, corrosion protection, vegetation and locally compatible fill.</x:v>
      </x:c>
      <x:c r="U447" s="2" t="str">
        <x:v>Breakwaters: drainage and pump parts, expansion joints, fasteners, coatings, sensors, geotextile repair, replacement armour or fill and planting stock.</x:v>
      </x:c>
      <x:c r="V447" s="2" t="str">
        <x:v>https://www.ctc-n.org/sites/default/files/resources/ctcn_taxonomy_0.pdf</x:v>
      </x:c>
      <x:c r="W447" s="2" t="str">
        <x:v>https://institutoagricoladepueblobello.edu.co/colegiapp/archivostemas/GUIA%209.%5B25%5D.pdf</x:v>
      </x:c>
      <x:c r="X447" s="2" t="str">
        <x:v>https://iiasa.ac.at/what-is-technology</x:v>
      </x:c>
      <x:c r="Y447" s="2" t="str">
        <x:v>https://www.ipcc.ch/srocc/chapter/chapter-4-sea-level-rise-and-implications-for-low-lying-islands-coasts-and-communities/; https://www.ipcc.ch/report/ar6/wg2/chapter/chapter-6/; https://www.unep.org/topics/climate-action/adaptation/ecosystem-based-adaptation</x:v>
      </x:c>
      <x:c r="Z447" s="2" t="str">
        <x:v>Technology-specific analytical synthesis. The CTCN hierarchy is retained; classifications and component dependencies require validation against the selected design, site and supplier documentation before investment or policy use.</x:v>
      </x:c>
      <x:c r="AA447" s="2" t="str">
        <x:v>Physical deployment of Breakwaters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7" s="2" t="str">
        <x:v>For Breakwaters,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7" s="2" t="str">
        <x:v>Construction and operation use concrete, steel, stone, asphalt, timber, geotextiles, soil or sand, corrosion protection, vegetation and locally compatible fill. For Breakwaters, specifications must include durability, compatibility, recycled content and recoverability.</x:v>
      </x:c>
      <x:c r="AD447" s="2" t="str">
        <x:v>Maintenance of Breakwaters depends on drainage and pump parts, expansion joints, fasteners, coatings, sensors, geotextile repair, replacement armour or fill and planting stock; critical spares are selected from failure-mode, lead-time and safety analysis for its installed configuration.</x:v>
      </x:c>
      <x:c r="AE447" s="2" t="str">
        <x:v>The software stack for Breakwaters requires databases, secure communications, version-controlled models, computing, backup and interfaces with field or operational systems.</x:v>
      </x:c>
      <x:c r="AF447" s="2" t="str">
        <x:v>For Breakwaters, software-related energy is electricity for sensing, computing, storage, communication and cooling; it is normally secondary but must be included for data-intensive or continuous services.</x:v>
      </x:c>
      <x:c r="AG447" s="2" t="str">
        <x:v>The non-physical inputs are calibrated data, metadata, algorithms, boundary conditions, emission or hazard factors, manuals and validation records specific to Breakwaters.</x:v>
      </x:c>
      <x:c r="AH447" s="2" t="str">
        <x:v>Software continuity for Breakwaters requires licences where applicable, updates, cybersecurity patches, backups, calibration files, model validation and technical support.</x:v>
      </x:c>
      <x:c r="AI447" s="2" t="str">
        <x:v>Orgware depends on the institutions, laboratories, training providers, regulators, operators and community interfaces needed to govern Breakwaters.</x:v>
      </x:c>
      <x:c r="AJ447" s="2" t="str">
        <x:v>The orgware supporting Breakwaters has mainly indirect energy use from offices, meetings, training and information systems; travel and field supervision may be material at dispersed sites.</x:v>
      </x:c>
      <x:c r="AK447" s="2" t="str">
        <x:v>Its organisational inputs are permits, budgets, trained staff, competence records, contracts, procedures, safeguards, monitoring evidence and stakeholder agreements tailored to Breakwaters.</x:v>
      </x:c>
      <x:c r="AL447" s="2" t="str">
        <x:v>Sustained implementation of Breakwaters requires procurement and service contracts, audit protocols, training material, reporting templates, insurance or guarantees and periodic independent review.</x:v>
      </x:c>
      <x:c r="AM447" s="2" t="str">
        <x:v>Iron ore / steel inputs; Limestone / cement raw materials</x:v>
      </x:c>
      <x:c r="AN447" s="2" t="str">
        <x:v>Australia; Brazil; China; India; Vietnam</x:v>
      </x:c>
      <x:c r="AO447" s="2" t="str">
        <x:v>China; India; Japan; Vietnam</x:v>
      </x:c>
      <x:c r="AP447" s="2" t="str">
        <x:v>Breakwaters: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7" s="2" t="str">
        <x:v>2024–2025</x:v>
      </x:c>
      <x:c r="AR447" s="2" t="str">
        <x:v>https://pubs.usgs.gov/periodicals/mcs2026/mcs2026.pdf</x:v>
      </x:c>
    </x:row>
    <x:row r="448" ht="240" customHeight="1">
      <x:c r="A448" s="2" t="str">
        <x:v>ADP-0178</x:v>
      </x:c>
      <x:c r="B448" s="2" t="str">
        <x:v>Adaptation</x:v>
      </x:c>
      <x:c r="C448" s="2" t="str">
        <x:v>Coastal Zones</x:v>
      </x:c>
      <x:c r="D448" s="2" t="str">
        <x:v>Protection (hard engineering)</x:v>
      </x:c>
      <x:c r="E448" s="2" t="str">
        <x:v>Jetties</x:v>
      </x:c>
      <x:c r="F448" s="2" t="str">
        <x:v>Jetties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8" s="2" t="str">
        <x:v>Mixed: adaptable design, site-specific implementation</x:v>
      </x:c>
      <x:c r="H448" s="2" t="str">
        <x:v>Jetties is adaptable in capacity and configuration but site-specific in final engineering. Its principle remains the same, but resource quality, climate, scale, interfaces and safety constraints must be recalculated for each deployment.</x:v>
      </x:c>
      <x:c r="I448" s="2" t="str">
        <x:v>Primarily hard, with a soft component</x:v>
      </x:c>
      <x:c r="J448" s="2" t="str">
        <x:v>Jetties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8" s="2" t="str">
        <x:v>Equipment and operation</x:v>
      </x:c>
      <x:c r="L448" s="2" t="str">
        <x:v>Jetties is embodied mainly as an equipment-and-operation system. The deliverable is accepted only when measurable service, quality, safety and climate-performance criteria are met under real conditions.</x:v>
      </x:c>
      <x:c r="M448" s="2" t="str">
        <x:v>Yes, subject to life-cycle safeguards</x:v>
      </x:c>
      <x:c r="N448" s="2" t="str">
        <x:v>Jetties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8" s="2" t="str">
        <x:v>Jetties: resilient structural, drainage, transport, coastal or utility components; foundations, barriers, armour, geosynthetics, sensors and nature-based elements as applicable.</x:v>
      </x:c>
      <x:c r="P448" s="2" t="str">
        <x:v>Jetties: climate-load and hazard analysis, structural or hydraulic modelling, geotechnical design, spatial planning, asset criticality, inspection and adaptation pathways.</x:v>
      </x:c>
      <x:c r="Q448" s="2" t="str">
        <x:v>Jetties: building and infrastructure codes, zoning, permits, land acquisition or easements, maintenance responsibility, emergency access, environmental safeguards and community participation.</x:v>
      </x:c>
      <x:c r="R448" s="2" t="str">
        <x:v>Jetties: site access, foundations, drainage, utility relocation, monitoring, construction staging, sediment or material supply and long-term maintenance corridors.</x:v>
      </x:c>
      <x:c r="S448" s="2" t="str">
        <x:v>Jetties: construction fuel and electricity plus operational pumping, monitoring, lighting or active control; passive and ecosystem measures have lower operational demand.</x:v>
      </x:c>
      <x:c r="T448" s="2" t="str">
        <x:v>Jetties: concrete, steel, stone, asphalt, timber, geotextiles, soil or sand, corrosion protection, vegetation and locally compatible fill.</x:v>
      </x:c>
      <x:c r="U448" s="2" t="str">
        <x:v>Jetties: drainage and pump parts, expansion joints, fasteners, coatings, sensors, geotextile repair, replacement armour or fill and planting stock.</x:v>
      </x:c>
      <x:c r="V448" s="2" t="str">
        <x:v>https://www.ctc-n.org/sites/default/files/resources/ctcn_taxonomy_0.pdf</x:v>
      </x:c>
      <x:c r="W448" s="2" t="str">
        <x:v>https://institutoagricoladepueblobello.edu.co/colegiapp/archivostemas/GUIA%209.%5B25%5D.pdf</x:v>
      </x:c>
      <x:c r="X448" s="2" t="str">
        <x:v>https://iiasa.ac.at/what-is-technology</x:v>
      </x:c>
      <x:c r="Y448" s="2" t="str">
        <x:v>https://www.ipcc.ch/srocc/chapter/chapter-4-sea-level-rise-and-implications-for-low-lying-islands-coasts-and-communities/; https://www.ipcc.ch/report/ar6/wg2/chapter/chapter-6/; https://www.unep.org/topics/climate-action/adaptation/ecosystem-based-adaptation</x:v>
      </x:c>
      <x:c r="Z448" s="2" t="str">
        <x:v>Technology-specific analytical synthesis. The CTCN hierarchy is retained; classifications and component dependencies require validation against the selected design, site and supplier documentation before investment or policy use.</x:v>
      </x:c>
      <x:c r="AA448" s="2" t="str">
        <x:v>Physical deployment of Jetties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8" s="2" t="str">
        <x:v>For Jetties,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8" s="2" t="str">
        <x:v>Construction and operation use concrete, steel, stone, asphalt, timber, geotextiles, soil or sand, corrosion protection, vegetation and locally compatible fill. For Jetties, specifications must include durability, compatibility, recycled content and recoverability.</x:v>
      </x:c>
      <x:c r="AD448" s="2" t="str">
        <x:v>Maintenance of Jetties depends on drainage and pump parts, expansion joints, fasteners, coatings, sensors, geotextile repair, replacement armour or fill and planting stock; critical spares are selected from failure-mode, lead-time and safety analysis for its installed configuration.</x:v>
      </x:c>
      <x:c r="AE448" s="2" t="str">
        <x:v>The software stack for Jetties requires databases, secure communications, version-controlled models, computing, backup and interfaces with field or operational systems.</x:v>
      </x:c>
      <x:c r="AF448" s="2" t="str">
        <x:v>For Jetties, software-related energy is electricity for sensing, computing, storage, communication and cooling; it is normally secondary but must be included for data-intensive or continuous services.</x:v>
      </x:c>
      <x:c r="AG448" s="2" t="str">
        <x:v>The non-physical inputs are calibrated data, metadata, algorithms, boundary conditions, emission or hazard factors, manuals and validation records specific to Jetties.</x:v>
      </x:c>
      <x:c r="AH448" s="2" t="str">
        <x:v>Software continuity for Jetties requires licences where applicable, updates, cybersecurity patches, backups, calibration files, model validation and technical support.</x:v>
      </x:c>
      <x:c r="AI448" s="2" t="str">
        <x:v>Orgware depends on the institutions, laboratories, training providers, regulators, operators and community interfaces needed to govern Jetties.</x:v>
      </x:c>
      <x:c r="AJ448" s="2" t="str">
        <x:v>The orgware supporting Jetties has mainly indirect energy use from offices, meetings, training and information systems; travel and field supervision may be material at dispersed sites.</x:v>
      </x:c>
      <x:c r="AK448" s="2" t="str">
        <x:v>Its organisational inputs are permits, budgets, trained staff, competence records, contracts, procedures, safeguards, monitoring evidence and stakeholder agreements tailored to Jetties.</x:v>
      </x:c>
      <x:c r="AL448" s="2" t="str">
        <x:v>Sustained implementation of Jetties requires procurement and service contracts, audit protocols, training material, reporting templates, insurance or guarantees and periodic independent review.</x:v>
      </x:c>
      <x:c r="AM448" s="2" t="str">
        <x:v>Iron ore / steel inputs</x:v>
      </x:c>
      <x:c r="AN448" s="2" t="str">
        <x:v>Australia; Brazil; China</x:v>
      </x:c>
      <x:c r="AO448" s="2" t="str">
        <x:v>China; India; Japan</x:v>
      </x:c>
      <x:c r="AP448" s="2" t="str">
        <x:v>Jetties: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8" s="2" t="str">
        <x:v>2024–2025</x:v>
      </x:c>
      <x:c r="AR448" s="2" t="str">
        <x:v>https://pubs.usgs.gov/periodicals/mcs2026/mcs2026.pdf</x:v>
      </x:c>
    </x:row>
    <x:row r="449" ht="240" customHeight="1">
      <x:c r="A449" s="2" t="str">
        <x:v>ADP-0179</x:v>
      </x:c>
      <x:c r="B449" s="2" t="str">
        <x:v>Adaptation</x:v>
      </x:c>
      <x:c r="C449" s="2" t="str">
        <x:v>Coastal Zones</x:v>
      </x:c>
      <x:c r="D449" s="2" t="str">
        <x:v>Protection (hard engineering)</x:v>
      </x:c>
      <x:c r="E449" s="2" t="str">
        <x:v>Dikes</x:v>
      </x:c>
      <x:c r="F449" s="2" t="str">
        <x:v>Dikes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49" s="2" t="str">
        <x:v>Primarily fixed</x:v>
      </x:c>
      <x:c r="H449" s="2" t="str">
        <x:v>Dikes is tied to long-lived, site-specific assets and design loads. Its principle remains the same, but resource quality, climate, scale, interfaces and safety constraints must be recalculated for each deployment.</x:v>
      </x:c>
      <x:c r="I449" s="2" t="str">
        <x:v>Primarily hard, with a soft component</x:v>
      </x:c>
      <x:c r="J449" s="2" t="str">
        <x:v>Dikes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49" s="2" t="str">
        <x:v>Equipment and operation</x:v>
      </x:c>
      <x:c r="L449" s="2" t="str">
        <x:v>Dikes is embodied mainly as an equipment-and-operation system. The deliverable is accepted only when measurable service, quality, safety and climate-performance criteria are met under real conditions.</x:v>
      </x:c>
      <x:c r="M449" s="2" t="str">
        <x:v>Yes, subject to life-cycle safeguards</x:v>
      </x:c>
      <x:c r="N449" s="2" t="str">
        <x:v>Dikes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49" s="2" t="str">
        <x:v>Dikes: resilient structural, drainage, transport, coastal or utility components; foundations, barriers, armour, geosynthetics, sensors and nature-based elements as applicable.</x:v>
      </x:c>
      <x:c r="P449" s="2" t="str">
        <x:v>Dikes: climate-load and hazard analysis, structural or hydraulic modelling, geotechnical design, spatial planning, asset criticality, inspection and adaptation pathways.</x:v>
      </x:c>
      <x:c r="Q449" s="2" t="str">
        <x:v>Dikes: building and infrastructure codes, zoning, permits, land acquisition or easements, maintenance responsibility, emergency access, environmental safeguards and community participation.</x:v>
      </x:c>
      <x:c r="R449" s="2" t="str">
        <x:v>Dikes: site access, foundations, drainage, utility relocation, monitoring, construction staging, sediment or material supply and long-term maintenance corridors.</x:v>
      </x:c>
      <x:c r="S449" s="2" t="str">
        <x:v>Dikes: construction fuel and electricity plus operational pumping, monitoring, lighting or active control; passive and ecosystem measures have lower operational demand.</x:v>
      </x:c>
      <x:c r="T449" s="2" t="str">
        <x:v>Dikes: concrete, steel, stone, asphalt, timber, geotextiles, soil or sand, corrosion protection, vegetation and locally compatible fill.</x:v>
      </x:c>
      <x:c r="U449" s="2" t="str">
        <x:v>Dikes: drainage and pump parts, expansion joints, fasteners, coatings, sensors, geotextile repair, replacement armour or fill and planting stock.</x:v>
      </x:c>
      <x:c r="V449" s="2" t="str">
        <x:v>https://www.ctc-n.org/sites/default/files/resources/ctcn_taxonomy_0.pdf</x:v>
      </x:c>
      <x:c r="W449" s="2" t="str">
        <x:v>https://institutoagricoladepueblobello.edu.co/colegiapp/archivostemas/GUIA%209.%5B25%5D.pdf</x:v>
      </x:c>
      <x:c r="X449" s="2" t="str">
        <x:v>https://iiasa.ac.at/what-is-technology</x:v>
      </x:c>
      <x:c r="Y449" s="2" t="str">
        <x:v>https://www.ipcc.ch/srocc/chapter/chapter-4-sea-level-rise-and-implications-for-low-lying-islands-coasts-and-communities/; https://www.ipcc.ch/report/ar6/wg2/chapter/chapter-6/; https://www.unep.org/topics/climate-action/adaptation/ecosystem-based-adaptation</x:v>
      </x:c>
      <x:c r="Z449" s="2" t="str">
        <x:v>Technology-specific analytical synthesis. The CTCN hierarchy is retained; classifications and component dependencies require validation against the selected design, site and supplier documentation before investment or policy use.</x:v>
      </x:c>
      <x:c r="AA449" s="2" t="str">
        <x:v>Physical deployment of Dikes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49" s="2" t="str">
        <x:v>For Dikes,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49" s="2" t="str">
        <x:v>Construction and operation use concrete, steel, stone, asphalt, timber, geotextiles, soil or sand, corrosion protection, vegetation and locally compatible fill. For Dikes, specifications must include durability, compatibility, recycled content and recoverability.</x:v>
      </x:c>
      <x:c r="AD449" s="2" t="str">
        <x:v>Maintenance of Dikes depends on drainage and pump parts, expansion joints, fasteners, coatings, sensors, geotextile repair, replacement armour or fill and planting stock; critical spares are selected from failure-mode, lead-time and safety analysis for its installed configuration.</x:v>
      </x:c>
      <x:c r="AE449" s="2" t="str">
        <x:v>The software stack for Dikes requires databases, secure communications, version-controlled models, computing, backup and interfaces with field or operational systems.</x:v>
      </x:c>
      <x:c r="AF449" s="2" t="str">
        <x:v>For Dikes, software-related energy is electricity for sensing, computing, storage, communication and cooling; it is normally secondary but must be included for data-intensive or continuous services.</x:v>
      </x:c>
      <x:c r="AG449" s="2" t="str">
        <x:v>The non-physical inputs are calibrated data, metadata, algorithms, boundary conditions, emission or hazard factors, manuals and validation records specific to Dikes.</x:v>
      </x:c>
      <x:c r="AH449" s="2" t="str">
        <x:v>Software continuity for Dikes requires licences where applicable, updates, cybersecurity patches, backups, calibration files, model validation and technical support.</x:v>
      </x:c>
      <x:c r="AI449" s="2" t="str">
        <x:v>Orgware depends on the institutions, laboratories, training providers, regulators, operators and community interfaces needed to govern Dikes.</x:v>
      </x:c>
      <x:c r="AJ449" s="2" t="str">
        <x:v>The orgware supporting Dikes has mainly indirect energy use from offices, meetings, training and information systems; travel and field supervision may be material at dispersed sites.</x:v>
      </x:c>
      <x:c r="AK449" s="2" t="str">
        <x:v>Its organisational inputs are permits, budgets, trained staff, competence records, contracts, procedures, safeguards, monitoring evidence and stakeholder agreements tailored to Dikes.</x:v>
      </x:c>
      <x:c r="AL449" s="2" t="str">
        <x:v>Sustained implementation of Dikes requires procurement and service contracts, audit protocols, training material, reporting templates, insurance or guarantees and periodic independent review.</x:v>
      </x:c>
      <x:c r="AM449" s="2" t="str">
        <x:v>Iron ore / steel inputs; Limestone / cement raw materials</x:v>
      </x:c>
      <x:c r="AN449" s="2" t="str">
        <x:v>Australia; Brazil; China; India; Vietnam</x:v>
      </x:c>
      <x:c r="AO449" s="2" t="str">
        <x:v>China; India; Japan; Vietnam</x:v>
      </x:c>
      <x:c r="AP449" s="2" t="str">
        <x:v>Dikes: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9" s="2" t="str">
        <x:v>2024–2025</x:v>
      </x:c>
      <x:c r="AR449" s="2" t="str">
        <x:v>https://pubs.usgs.gov/periodicals/mcs2026/mcs2026.pdf</x:v>
      </x:c>
    </x:row>
    <x:row r="450" ht="240" customHeight="1">
      <x:c r="A450" s="2" t="str">
        <x:v>ADP-0180</x:v>
      </x:c>
      <x:c r="B450" s="2" t="str">
        <x:v>Adaptation</x:v>
      </x:c>
      <x:c r="C450" s="2" t="str">
        <x:v>Coastal Zones</x:v>
      </x:c>
      <x:c r="D450" s="2" t="str">
        <x:v>Protection (hard engineering)</x:v>
      </x:c>
      <x:c r="E450" s="2" t="str">
        <x:v>Sea walls</x:v>
      </x:c>
      <x:c r="F450" s="2" t="str">
        <x:v>Sea walls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0" s="2" t="str">
        <x:v>Primarily fixed</x:v>
      </x:c>
      <x:c r="H450" s="2" t="str">
        <x:v>Sea walls is tied to long-lived, site-specific assets and design loads. Its principle remains the same, but resource quality, climate, scale, interfaces and safety constraints must be recalculated for each deployment.</x:v>
      </x:c>
      <x:c r="I450" s="2" t="str">
        <x:v>Primarily hard, with a soft component</x:v>
      </x:c>
      <x:c r="J450" s="2" t="str">
        <x:v>Sea walls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0" s="2" t="str">
        <x:v>Equipment and operation</x:v>
      </x:c>
      <x:c r="L450" s="2" t="str">
        <x:v>Sea walls is embodied mainly as an equipment-and-operation system. The deliverable is accepted only when measurable service, quality, safety and climate-performance criteria are met under real conditions.</x:v>
      </x:c>
      <x:c r="M450" s="2" t="str">
        <x:v>Yes, subject to life-cycle safeguards</x:v>
      </x:c>
      <x:c r="N450" s="2" t="str">
        <x:v>Sea walls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0" s="2" t="str">
        <x:v>Sea walls: resilient structural, drainage, transport, coastal or utility components; foundations, barriers, armour, geosynthetics, sensors and nature-based elements as applicable.</x:v>
      </x:c>
      <x:c r="P450" s="2" t="str">
        <x:v>Sea walls: climate-load and hazard analysis, structural or hydraulic modelling, geotechnical design, spatial planning, asset criticality, inspection and adaptation pathways.</x:v>
      </x:c>
      <x:c r="Q450" s="2" t="str">
        <x:v>Sea walls: building and infrastructure codes, zoning, permits, land acquisition or easements, maintenance responsibility, emergency access, environmental safeguards and community participation.</x:v>
      </x:c>
      <x:c r="R450" s="2" t="str">
        <x:v>Sea walls: site access, foundations, drainage, utility relocation, monitoring, construction staging, sediment or material supply and long-term maintenance corridors.</x:v>
      </x:c>
      <x:c r="S450" s="2" t="str">
        <x:v>Sea walls: construction fuel and electricity plus operational pumping, monitoring, lighting or active control; passive and ecosystem measures have lower operational demand.</x:v>
      </x:c>
      <x:c r="T450" s="2" t="str">
        <x:v>Sea walls: concrete, steel, stone, asphalt, timber, geotextiles, soil or sand, corrosion protection, vegetation and locally compatible fill.</x:v>
      </x:c>
      <x:c r="U450" s="2" t="str">
        <x:v>Sea walls: drainage and pump parts, expansion joints, fasteners, coatings, sensors, geotextile repair, replacement armour or fill and planting stock.</x:v>
      </x:c>
      <x:c r="V450" s="2" t="str">
        <x:v>https://www.ctc-n.org/sites/default/files/resources/ctcn_taxonomy_0.pdf</x:v>
      </x:c>
      <x:c r="W450" s="2" t="str">
        <x:v>https://institutoagricoladepueblobello.edu.co/colegiapp/archivostemas/GUIA%209.%5B25%5D.pdf</x:v>
      </x:c>
      <x:c r="X450" s="2" t="str">
        <x:v>https://iiasa.ac.at/what-is-technology</x:v>
      </x:c>
      <x:c r="Y450" s="2" t="str">
        <x:v>https://www.ipcc.ch/srocc/chapter/chapter-4-sea-level-rise-and-implications-for-low-lying-islands-coasts-and-communities/; https://www.ipcc.ch/report/ar6/wg2/chapter/chapter-6/; https://www.unep.org/topics/climate-action/adaptation/ecosystem-based-adaptation</x:v>
      </x:c>
      <x:c r="Z450" s="2" t="str">
        <x:v>Technology-specific analytical synthesis. The CTCN hierarchy is retained; classifications and component dependencies require validation against the selected design, site and supplier documentation before investment or policy use.</x:v>
      </x:c>
      <x:c r="AA450" s="2" t="str">
        <x:v>Physical deployment of Sea walls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0" s="2" t="str">
        <x:v>For Sea walls,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0" s="2" t="str">
        <x:v>Construction and operation use concrete, steel, stone, asphalt, timber, geotextiles, soil or sand, corrosion protection, vegetation and locally compatible fill. For Sea walls, specifications must include durability, compatibility, recycled content and recoverability.</x:v>
      </x:c>
      <x:c r="AD450" s="2" t="str">
        <x:v>Maintenance of Sea walls depends on drainage and pump parts, expansion joints, fasteners, coatings, sensors, geotextile repair, replacement armour or fill and planting stock; critical spares are selected from failure-mode, lead-time and safety analysis for its installed configuration.</x:v>
      </x:c>
      <x:c r="AE450" s="2" t="str">
        <x:v>The software stack for Sea walls requires databases, secure communications, version-controlled models, computing, backup and interfaces with field or operational systems.</x:v>
      </x:c>
      <x:c r="AF450" s="2" t="str">
        <x:v>For Sea walls, software-related energy is electricity for sensing, computing, storage, communication and cooling; it is normally secondary but must be included for data-intensive or continuous services.</x:v>
      </x:c>
      <x:c r="AG450" s="2" t="str">
        <x:v>The non-physical inputs are calibrated data, metadata, algorithms, boundary conditions, emission or hazard factors, manuals and validation records specific to Sea walls.</x:v>
      </x:c>
      <x:c r="AH450" s="2" t="str">
        <x:v>Software continuity for Sea walls requires licences where applicable, updates, cybersecurity patches, backups, calibration files, model validation and technical support.</x:v>
      </x:c>
      <x:c r="AI450" s="2" t="str">
        <x:v>Orgware depends on the institutions, laboratories, training providers, regulators, operators and community interfaces needed to govern Sea walls.</x:v>
      </x:c>
      <x:c r="AJ450" s="2" t="str">
        <x:v>The orgware supporting Sea walls has mainly indirect energy use from offices, meetings, training and information systems; travel and field supervision may be material at dispersed sites.</x:v>
      </x:c>
      <x:c r="AK450" s="2" t="str">
        <x:v>Its organisational inputs are permits, budgets, trained staff, competence records, contracts, procedures, safeguards, monitoring evidence and stakeholder agreements tailored to Sea walls.</x:v>
      </x:c>
      <x:c r="AL450" s="2" t="str">
        <x:v>Sustained implementation of Sea walls requires procurement and service contracts, audit protocols, training material, reporting templates, insurance or guarantees and periodic independent review.</x:v>
      </x:c>
      <x:c r="AM450" s="2" t="str">
        <x:v>Iron ore / steel inputs; Limestone / cement raw materials</x:v>
      </x:c>
      <x:c r="AN450" s="2" t="str">
        <x:v>Australia; Brazil; China; India; Vietnam</x:v>
      </x:c>
      <x:c r="AO450" s="2" t="str">
        <x:v>China; India; Japan; Vietnam</x:v>
      </x:c>
      <x:c r="AP450" s="2" t="str">
        <x:v>Sea walls: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0" s="2" t="str">
        <x:v>2024–2025</x:v>
      </x:c>
      <x:c r="AR450" s="2" t="str">
        <x:v>https://pubs.usgs.gov/periodicals/mcs2026/mcs2026.pdf</x:v>
      </x:c>
    </x:row>
    <x:row r="451" ht="240" customHeight="1">
      <x:c r="A451" s="2" t="str">
        <x:v>ADP-0181</x:v>
      </x:c>
      <x:c r="B451" s="2" t="str">
        <x:v>Adaptation</x:v>
      </x:c>
      <x:c r="C451" s="2" t="str">
        <x:v>Coastal Zones</x:v>
      </x:c>
      <x:c r="D451" s="2" t="str">
        <x:v>Protection (hard engineering)</x:v>
      </x:c>
      <x:c r="E451" s="2" t="str">
        <x:v>Groynes</x:v>
      </x:c>
      <x:c r="F451" s="2" t="str">
        <x:v>Groynes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1" s="2" t="str">
        <x:v>Primarily fixed</x:v>
      </x:c>
      <x:c r="H451" s="2" t="str">
        <x:v>Groynes is tied to long-lived, site-specific assets and design loads. Its principle remains the same, but resource quality, climate, scale, interfaces and safety constraints must be recalculated for each deployment.</x:v>
      </x:c>
      <x:c r="I451" s="2" t="str">
        <x:v>Primarily hard, with a soft component</x:v>
      </x:c>
      <x:c r="J451" s="2" t="str">
        <x:v>Groynes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1" s="2" t="str">
        <x:v>Equipment and operation</x:v>
      </x:c>
      <x:c r="L451" s="2" t="str">
        <x:v>Groynes is embodied mainly as an equipment-and-operation system. The deliverable is accepted only when measurable service, quality, safety and climate-performance criteria are met under real conditions.</x:v>
      </x:c>
      <x:c r="M451" s="2" t="str">
        <x:v>Yes, subject to life-cycle safeguards</x:v>
      </x:c>
      <x:c r="N451" s="2" t="str">
        <x:v>Groynes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1" s="2" t="str">
        <x:v>Groynes: resilient structural, drainage, transport, coastal or utility components; foundations, barriers, armour, geosynthetics, sensors and nature-based elements as applicable.</x:v>
      </x:c>
      <x:c r="P451" s="2" t="str">
        <x:v>Groynes: climate-load and hazard analysis, structural or hydraulic modelling, geotechnical design, spatial planning, asset criticality, inspection and adaptation pathways.</x:v>
      </x:c>
      <x:c r="Q451" s="2" t="str">
        <x:v>Groynes: building and infrastructure codes, zoning, permits, land acquisition or easements, maintenance responsibility, emergency access, environmental safeguards and community participation.</x:v>
      </x:c>
      <x:c r="R451" s="2" t="str">
        <x:v>Groynes: site access, foundations, drainage, utility relocation, monitoring, construction staging, sediment or material supply and long-term maintenance corridors.</x:v>
      </x:c>
      <x:c r="S451" s="2" t="str">
        <x:v>Groynes: construction fuel and electricity plus operational pumping, monitoring, lighting or active control; passive and ecosystem measures have lower operational demand.</x:v>
      </x:c>
      <x:c r="T451" s="2" t="str">
        <x:v>Groynes: concrete, steel, stone, asphalt, timber, geotextiles, soil or sand, corrosion protection, vegetation and locally compatible fill.</x:v>
      </x:c>
      <x:c r="U451" s="2" t="str">
        <x:v>Groynes: drainage and pump parts, expansion joints, fasteners, coatings, sensors, geotextile repair, replacement armour or fill and planting stock.</x:v>
      </x:c>
      <x:c r="V451" s="2" t="str">
        <x:v>https://www.ctc-n.org/sites/default/files/resources/ctcn_taxonomy_0.pdf</x:v>
      </x:c>
      <x:c r="W451" s="2" t="str">
        <x:v>https://institutoagricoladepueblobello.edu.co/colegiapp/archivostemas/GUIA%209.%5B25%5D.pdf</x:v>
      </x:c>
      <x:c r="X451" s="2" t="str">
        <x:v>https://iiasa.ac.at/what-is-technology</x:v>
      </x:c>
      <x:c r="Y451" s="2" t="str">
        <x:v>https://www.ipcc.ch/srocc/chapter/chapter-4-sea-level-rise-and-implications-for-low-lying-islands-coasts-and-communities/; https://www.ipcc.ch/report/ar6/wg2/chapter/chapter-6/; https://www.unep.org/topics/climate-action/adaptation/ecosystem-based-adaptation</x:v>
      </x:c>
      <x:c r="Z451" s="2" t="str">
        <x:v>Technology-specific analytical synthesis. The CTCN hierarchy is retained; classifications and component dependencies require validation against the selected design, site and supplier documentation before investment or policy use.</x:v>
      </x:c>
      <x:c r="AA451" s="2" t="str">
        <x:v>Physical deployment of Groynes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1" s="2" t="str">
        <x:v>For Groynes,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1" s="2" t="str">
        <x:v>Construction and operation use concrete, steel, stone, asphalt, timber, geotextiles, soil or sand, corrosion protection, vegetation and locally compatible fill. For Groynes, specifications must include durability, compatibility, recycled content and recoverability.</x:v>
      </x:c>
      <x:c r="AD451" s="2" t="str">
        <x:v>Maintenance of Groynes depends on drainage and pump parts, expansion joints, fasteners, coatings, sensors, geotextile repair, replacement armour or fill and planting stock; critical spares are selected from failure-mode, lead-time and safety analysis for its installed configuration.</x:v>
      </x:c>
      <x:c r="AE451" s="2" t="str">
        <x:v>The software stack for Groynes requires databases, secure communications, version-controlled models, computing, backup and interfaces with field or operational systems.</x:v>
      </x:c>
      <x:c r="AF451" s="2" t="str">
        <x:v>For Groynes, software-related energy is electricity for sensing, computing, storage, communication and cooling; it is normally secondary but must be included for data-intensive or continuous services.</x:v>
      </x:c>
      <x:c r="AG451" s="2" t="str">
        <x:v>The non-physical inputs are calibrated data, metadata, algorithms, boundary conditions, emission or hazard factors, manuals and validation records specific to Groynes.</x:v>
      </x:c>
      <x:c r="AH451" s="2" t="str">
        <x:v>Software continuity for Groynes requires licences where applicable, updates, cybersecurity patches, backups, calibration files, model validation and technical support.</x:v>
      </x:c>
      <x:c r="AI451" s="2" t="str">
        <x:v>Orgware depends on the institutions, laboratories, training providers, regulators, operators and community interfaces needed to govern Groynes.</x:v>
      </x:c>
      <x:c r="AJ451" s="2" t="str">
        <x:v>The orgware supporting Groynes has mainly indirect energy use from offices, meetings, training and information systems; travel and field supervision may be material at dispersed sites.</x:v>
      </x:c>
      <x:c r="AK451" s="2" t="str">
        <x:v>Its organisational inputs are permits, budgets, trained staff, competence records, contracts, procedures, safeguards, monitoring evidence and stakeholder agreements tailored to Groynes.</x:v>
      </x:c>
      <x:c r="AL451" s="2" t="str">
        <x:v>Sustained implementation of Groynes requires procurement and service contracts, audit protocols, training material, reporting templates, insurance or guarantees and periodic independent review.</x:v>
      </x:c>
      <x:c r="AM451" s="2" t="str">
        <x:v>Iron ore / steel inputs</x:v>
      </x:c>
      <x:c r="AN451" s="2" t="str">
        <x:v>Australia; Brazil; China</x:v>
      </x:c>
      <x:c r="AO451" s="2" t="str">
        <x:v>China; India; Japan</x:v>
      </x:c>
      <x:c r="AP451" s="2" t="str">
        <x:v>Groynes: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1" s="2" t="str">
        <x:v>2024–2025</x:v>
      </x:c>
      <x:c r="AR451" s="2" t="str">
        <x:v>https://pubs.usgs.gov/periodicals/mcs2026/mcs2026.pdf</x:v>
      </x:c>
    </x:row>
    <x:row r="452" ht="240" customHeight="1">
      <x:c r="A452" s="2" t="str">
        <x:v>ADP-0182</x:v>
      </x:c>
      <x:c r="B452" s="2" t="str">
        <x:v>Adaptation</x:v>
      </x:c>
      <x:c r="C452" s="2" t="str">
        <x:v>Coastal Zones</x:v>
      </x:c>
      <x:c r="D452" s="2" t="str">
        <x:v>Protection (hard engineering)</x:v>
      </x:c>
      <x:c r="E452" s="2" t="str">
        <x:v>Geosynthetics</x:v>
      </x:c>
      <x:c r="F452" s="2" t="str">
        <x:v>Geosynthetics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Geosynthetics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2" s="2" t="str">
        <x:v>Mixed: adaptable design, site-specific implementation</x:v>
      </x:c>
      <x:c r="H452" s="2" t="str">
        <x:v>Geosynthetics is adaptable in capacity and configuration but site-specific in final engineering. Its principle remains the same, but resource quality, climate, scale, interfaces and safety constraints must be recalculated for each deployment.</x:v>
      </x:c>
      <x:c r="I452" s="2" t="str">
        <x:v>Primarily hard, with a soft component</x:v>
      </x:c>
      <x:c r="J452" s="2" t="str">
        <x:v>Geosynthetics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2" s="2" t="str">
        <x:v>Equipment and operation</x:v>
      </x:c>
      <x:c r="L452" s="2" t="str">
        <x:v>Geosynthetics is embodied mainly as an equipment-and-operation system. The deliverable is accepted only when measurable service, quality, safety and climate-performance criteria are met under real conditions.</x:v>
      </x:c>
      <x:c r="M452" s="2" t="str">
        <x:v>Yes, subject to life-cycle safeguards</x:v>
      </x:c>
      <x:c r="N452" s="2" t="str">
        <x:v>Geosynthetics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2" s="2" t="str">
        <x:v>Geosynthetics: resilient structural, drainage, transport, coastal or utility components; foundations, barriers, armour, geosynthetics, sensors and nature-based elements as applicable.</x:v>
      </x:c>
      <x:c r="P452" s="2" t="str">
        <x:v>Geosynthetics: climate-load and hazard analysis, structural or hydraulic modelling, geotechnical design, spatial planning, asset criticality, inspection and adaptation pathways.</x:v>
      </x:c>
      <x:c r="Q452" s="2" t="str">
        <x:v>Geosynthetics: building and infrastructure codes, zoning, permits, land acquisition or easements, maintenance responsibility, emergency access, environmental safeguards and community participation.</x:v>
      </x:c>
      <x:c r="R452" s="2" t="str">
        <x:v>Geosynthetics: site access, foundations, drainage, utility relocation, monitoring, construction staging, sediment or material supply and long-term maintenance corridors.</x:v>
      </x:c>
      <x:c r="S452" s="2" t="str">
        <x:v>Geosynthetics: construction fuel and electricity plus operational pumping, monitoring, lighting or active control; passive and ecosystem measures have lower operational demand.</x:v>
      </x:c>
      <x:c r="T452" s="2" t="str">
        <x:v>Geosynthetics: concrete, steel, stone, asphalt, timber, geotextiles, soil or sand, corrosion protection, vegetation and locally compatible fill.</x:v>
      </x:c>
      <x:c r="U452" s="2" t="str">
        <x:v>Geosynthetics: drainage and pump parts, expansion joints, fasteners, coatings, sensors, geotextile repair, replacement armour or fill and planting stock.</x:v>
      </x:c>
      <x:c r="V452" s="2" t="str">
        <x:v>https://www.ctc-n.org/sites/default/files/resources/ctcn_taxonomy_0.pdf</x:v>
      </x:c>
      <x:c r="W452" s="2" t="str">
        <x:v>https://institutoagricoladepueblobello.edu.co/colegiapp/archivostemas/GUIA%209.%5B25%5D.pdf</x:v>
      </x:c>
      <x:c r="X452" s="2" t="str">
        <x:v>https://iiasa.ac.at/what-is-technology</x:v>
      </x:c>
      <x:c r="Y452" s="2" t="str">
        <x:v>https://www.ipcc.ch/srocc/chapter/chapter-4-sea-level-rise-and-implications-for-low-lying-islands-coasts-and-communities/; https://www.ipcc.ch/report/ar6/wg2/chapter/chapter-6/; https://www.unep.org/topics/climate-action/adaptation/ecosystem-based-adaptation</x:v>
      </x:c>
      <x:c r="Z452" s="2" t="str">
        <x:v>Technology-specific analytical synthesis. The CTCN hierarchy is retained; classifications and component dependencies require validation against the selected design, site and supplier documentation before investment or policy use.</x:v>
      </x:c>
      <x:c r="AA452" s="2" t="str">
        <x:v>Physical deployment of Geosynthetics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2" s="2" t="str">
        <x:v>For Geosynthetics,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2" s="2" t="str">
        <x:v>Construction and operation use concrete, steel, stone, asphalt, timber, geotextiles, soil or sand, corrosion protection, vegetation and locally compatible fill. For Geosynthetics, specifications must include durability, compatibility, recycled content and recoverability.</x:v>
      </x:c>
      <x:c r="AD452" s="2" t="str">
        <x:v>Maintenance of Geosynthetics depends on drainage and pump parts, expansion joints, fasteners, coatings, sensors, geotextile repair, replacement armour or fill and planting stock; critical spares are selected from failure-mode, lead-time and safety analysis for its installed configuration.</x:v>
      </x:c>
      <x:c r="AE452" s="2" t="str">
        <x:v>The software stack for Geosynthetics requires databases, secure communications, version-controlled models, computing, backup and interfaces with field or operational systems.</x:v>
      </x:c>
      <x:c r="AF452" s="2" t="str">
        <x:v>For Geosynthetics, software-related energy is electricity for sensing, computing, storage, communication and cooling; it is normally secondary but must be included for data-intensive or continuous services.</x:v>
      </x:c>
      <x:c r="AG452" s="2" t="str">
        <x:v>The non-physical inputs are calibrated data, metadata, algorithms, boundary conditions, emission or hazard factors, manuals and validation records specific to Geosynthetics.</x:v>
      </x:c>
      <x:c r="AH452" s="2" t="str">
        <x:v>Software continuity for Geosynthetics requires licences where applicable, updates, cybersecurity patches, backups, calibration files, model validation and technical support.</x:v>
      </x:c>
      <x:c r="AI452" s="2" t="str">
        <x:v>Orgware depends on the institutions, laboratories, training providers, regulators, operators and community interfaces needed to govern Geosynthetics.</x:v>
      </x:c>
      <x:c r="AJ452" s="2" t="str">
        <x:v>The orgware supporting Geosynthetics has mainly indirect energy use from offices, meetings, training and information systems; travel and field supervision may be material at dispersed sites.</x:v>
      </x:c>
      <x:c r="AK452" s="2" t="str">
        <x:v>Its organisational inputs are permits, budgets, trained staff, competence records, contracts, procedures, safeguards, monitoring evidence and stakeholder agreements tailored to Geosynthetics.</x:v>
      </x:c>
      <x:c r="AL452" s="2" t="str">
        <x:v>Sustained implementation of Geosynthetics requires procurement and service contracts, audit protocols, training material, reporting templates, insurance or guarantees and periodic independent review.</x:v>
      </x:c>
      <x:c r="AM452" s="2" t="str">
        <x:v>Iron ore / steel inputs</x:v>
      </x:c>
      <x:c r="AN452" s="2" t="str">
        <x:v>Australia; Brazil; China</x:v>
      </x:c>
      <x:c r="AO452" s="2" t="str">
        <x:v>China; India; Japan</x:v>
      </x:c>
      <x:c r="AP452" s="2" t="str">
        <x:v>Geosynthetics: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2" s="2" t="str">
        <x:v>2024–2025</x:v>
      </x:c>
      <x:c r="AR452" s="2" t="str">
        <x:v>https://pubs.usgs.gov/periodicals/mcs2026/mcs2026.pdf</x:v>
      </x:c>
    </x:row>
    <x:row r="453" ht="240" customHeight="1">
      <x:c r="A453" s="2" t="str">
        <x:v>ADP-0183</x:v>
      </x:c>
      <x:c r="B453" s="2" t="str">
        <x:v>Adaptation</x:v>
      </x:c>
      <x:c r="C453" s="2" t="str">
        <x:v>Coastal Zones</x:v>
      </x:c>
      <x:c r="D453" s="2" t="str">
        <x:v>Protection (hard engineering)</x:v>
      </x:c>
      <x:c r="E453" s="2" t="str">
        <x:v>Coastal infrastructure rehabilitation</x:v>
      </x:c>
      <x:c r="F453" s="2" t="str">
        <x:v>Coastal infrastructure rehabilitation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Coastal infrastructure rehabilitation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3" s="2" t="str">
        <x:v>Mixed: adaptable design, site-specific implementation</x:v>
      </x:c>
      <x:c r="H453" s="2" t="str">
        <x:v>Coastal infrastructure rehabilitation is adaptable in capacity and configuration but site-specific in final engineering. Its principle remains the same, but resource quality, climate, scale, interfaces and safety constraints must be recalculated for each deployment.</x:v>
      </x:c>
      <x:c r="I453" s="2" t="str">
        <x:v>Primarily hard, with a soft component</x:v>
      </x:c>
      <x:c r="J453" s="2" t="str">
        <x:v>Coastal infrastructure rehabilitation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3" s="2" t="str">
        <x:v>Equipment and operation</x:v>
      </x:c>
      <x:c r="L453" s="2" t="str">
        <x:v>Coastal infrastructure rehabilitation is embodied mainly as an equipment-and-operation system. The deliverable is accepted only when measurable service, quality, safety and climate-performance criteria are met under real conditions.</x:v>
      </x:c>
      <x:c r="M453" s="2" t="str">
        <x:v>Yes, subject to life-cycle safeguards</x:v>
      </x:c>
      <x:c r="N453" s="2" t="str">
        <x:v>Coastal infrastructure rehabilitation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3" s="2" t="str">
        <x:v>Coastal infrastructure rehabilitation: resilient structural, drainage, transport, coastal or utility components; foundations, barriers, armour, geosynthetics, sensors and nature-based elements as applicable.</x:v>
      </x:c>
      <x:c r="P453" s="2" t="str">
        <x:v>Coastal infrastructure rehabilitation: climate-load and hazard analysis, structural or hydraulic modelling, geotechnical design, spatial planning, asset criticality, inspection and adaptation pathways.</x:v>
      </x:c>
      <x:c r="Q453" s="2" t="str">
        <x:v>Coastal infrastructure rehabilitation: building and infrastructure codes, zoning, permits, land acquisition or easements, maintenance responsibility, emergency access, environmental safeguards and community participation.</x:v>
      </x:c>
      <x:c r="R453" s="2" t="str">
        <x:v>Coastal infrastructure rehabilitation: site access, foundations, drainage, utility relocation, monitoring, construction staging, sediment or material supply and long-term maintenance corridors.</x:v>
      </x:c>
      <x:c r="S453" s="2" t="str">
        <x:v>Coastal infrastructure rehabilitation: construction fuel and electricity plus operational pumping, monitoring, lighting or active control; passive and ecosystem measures have lower operational demand.</x:v>
      </x:c>
      <x:c r="T453" s="2" t="str">
        <x:v>Coastal infrastructure rehabilitation: concrete, steel, stone, asphalt, timber, geotextiles, soil or sand, corrosion protection, vegetation and locally compatible fill.</x:v>
      </x:c>
      <x:c r="U453" s="2" t="str">
        <x:v>Coastal infrastructure rehabilitation: drainage and pump parts, expansion joints, fasteners, coatings, sensors, geotextile repair, replacement armour or fill and planting stock.</x:v>
      </x:c>
      <x:c r="V453" s="2" t="str">
        <x:v>https://www.ctc-n.org/sites/default/files/resources/ctcn_taxonomy_0.pdf</x:v>
      </x:c>
      <x:c r="W453" s="2" t="str">
        <x:v>https://institutoagricoladepueblobello.edu.co/colegiapp/archivostemas/GUIA%209.%5B25%5D.pdf</x:v>
      </x:c>
      <x:c r="X453" s="2" t="str">
        <x:v>https://iiasa.ac.at/what-is-technology</x:v>
      </x:c>
      <x:c r="Y453" s="2" t="str">
        <x:v>https://www.ipcc.ch/srocc/chapter/chapter-4-sea-level-rise-and-implications-for-low-lying-islands-coasts-and-communities/; https://www.ipcc.ch/report/ar6/wg2/chapter/chapter-6/; https://www.unep.org/topics/climate-action/adaptation/ecosystem-based-adaptation</x:v>
      </x:c>
      <x:c r="Z453" s="2" t="str">
        <x:v>Technology-specific analytical synthesis. The CTCN hierarchy is retained; classifications and component dependencies require validation against the selected design, site and supplier documentation before investment or policy use.</x:v>
      </x:c>
      <x:c r="AA453" s="2" t="str">
        <x:v>Physical deployment of Coastal infrastructure rehabilitation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3" s="2" t="str">
        <x:v>For Coastal infrastructure rehabilitation,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3" s="2" t="str">
        <x:v>Construction and operation use concrete, steel, stone, asphalt, timber, geotextiles, soil or sand, corrosion protection, vegetation and locally compatible fill. For Coastal infrastructure rehabilitation, specifications must include durability, compatibility, recycled content and recoverability.</x:v>
      </x:c>
      <x:c r="AD453" s="2" t="str">
        <x:v>Maintenance of Coastal infrastructure rehabilitation depends on drainage and pump parts, expansion joints, fasteners, coatings, sensors, geotextile repair, replacement armour or fill and planting stock; critical spares are selected from failure-mode, lead-time and safety analysis for its installed configuration.</x:v>
      </x:c>
      <x:c r="AE453" s="2" t="str">
        <x:v>The software stack for Coastal infrastructure rehabilitation requires databases, secure communications, version-controlled models, computing, backup and interfaces with field or operational systems.</x:v>
      </x:c>
      <x:c r="AF453" s="2" t="str">
        <x:v>For Coastal infrastructure rehabilitation, software-related energy is electricity for sensing, computing, storage, communication and cooling; it is normally secondary but must be included for data-intensive or continuous services.</x:v>
      </x:c>
      <x:c r="AG453" s="2" t="str">
        <x:v>The non-physical inputs are calibrated data, metadata, algorithms, boundary conditions, emission or hazard factors, manuals and validation records specific to Coastal infrastructure rehabilitation.</x:v>
      </x:c>
      <x:c r="AH453" s="2" t="str">
        <x:v>Software continuity for Coastal infrastructure rehabilitation requires licences where applicable, updates, cybersecurity patches, backups, calibration files, model validation and technical support.</x:v>
      </x:c>
      <x:c r="AI453" s="2" t="str">
        <x:v>Orgware depends on the institutions, laboratories, training providers, regulators, operators and community interfaces needed to govern Coastal infrastructure rehabilitation.</x:v>
      </x:c>
      <x:c r="AJ453" s="2" t="str">
        <x:v>The orgware supporting Coastal infrastructure rehabilitation has mainly indirect energy use from offices, meetings, training and information systems; travel and field supervision may be material at dispersed sites.</x:v>
      </x:c>
      <x:c r="AK453" s="2" t="str">
        <x:v>Its organisational inputs are permits, budgets, trained staff, competence records, contracts, procedures, safeguards, monitoring evidence and stakeholder agreements tailored to Coastal infrastructure rehabilitation.</x:v>
      </x:c>
      <x:c r="AL453" s="2" t="str">
        <x:v>Sustained implementation of Coastal infrastructure rehabilitation requires procurement and service contracts, audit protocols, training material, reporting templates, insurance or guarantees and periodic independent review.</x:v>
      </x:c>
      <x:c r="AM453" s="2" t="str">
        <x:v>Iron ore / steel inputs; Nickel; Chromium; Limestone / cement raw materials; Zinc</x:v>
      </x:c>
      <x:c r="AN453" s="2" t="str">
        <x:v>Australia; Brazil; China; Indonesia; Philippines; Russia; South Africa; Kazakhstan; Turkey; India; Vietnam; Peru</x:v>
      </x:c>
      <x:c r="AO453" s="2" t="str">
        <x:v>China; India; Japan; Indonesia; South Africa; Kazakhstan; Vietnam; South Korea</x:v>
      </x:c>
      <x:c r="AP453" s="2" t="str">
        <x:v>Coastal infrastructure rehabilitation: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3" s="2" t="str">
        <x:v>2024–2025</x:v>
      </x:c>
      <x:c r="AR453" s="2" t="str">
        <x:v>https://pubs.usgs.gov/periodicals/mcs2026/mcs2026.pdf; https://www.iea.org/reports/global-critical-minerals-outlook-2025</x:v>
      </x:c>
    </x:row>
    <x:row r="454" ht="240" customHeight="1">
      <x:c r="A454" s="2" t="str">
        <x:v>ADP-0184</x:v>
      </x:c>
      <x:c r="B454" s="2" t="str">
        <x:v>Adaptation</x:v>
      </x:c>
      <x:c r="C454" s="2" t="str">
        <x:v>Coastal Zones</x:v>
      </x:c>
      <x:c r="D454" s="2" t="str">
        <x:v>Protection (hard engineering)</x:v>
      </x:c>
      <x:c r="E454" s="2" t="str">
        <x:v>Revetments</x:v>
      </x:c>
      <x:c r="F454" s="2" t="str">
        <x:v>Revetments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4" s="2" t="str">
        <x:v>Primarily fixed</x:v>
      </x:c>
      <x:c r="H454" s="2" t="str">
        <x:v>Revetments is tied to long-lived, site-specific assets and design loads. Its principle remains the same, but resource quality, climate, scale, interfaces and safety constraints must be recalculated for each deployment.</x:v>
      </x:c>
      <x:c r="I454" s="2" t="str">
        <x:v>Primarily hard, with a soft component</x:v>
      </x:c>
      <x:c r="J454" s="2" t="str">
        <x:v>Revetments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4" s="2" t="str">
        <x:v>Equipment and operation</x:v>
      </x:c>
      <x:c r="L454" s="2" t="str">
        <x:v>Revetments is embodied mainly as an equipment-and-operation system. The deliverable is accepted only when measurable service, quality, safety and climate-performance criteria are met under real conditions.</x:v>
      </x:c>
      <x:c r="M454" s="2" t="str">
        <x:v>Yes, subject to life-cycle safeguards</x:v>
      </x:c>
      <x:c r="N454" s="2" t="str">
        <x:v>Revetments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4" s="2" t="str">
        <x:v>Revetments: resilient structural, drainage, transport, coastal or utility components; foundations, barriers, armour, geosynthetics, sensors and nature-based elements as applicable.</x:v>
      </x:c>
      <x:c r="P454" s="2" t="str">
        <x:v>Revetments: climate-load and hazard analysis, structural or hydraulic modelling, geotechnical design, spatial planning, asset criticality, inspection and adaptation pathways.</x:v>
      </x:c>
      <x:c r="Q454" s="2" t="str">
        <x:v>Revetments: building and infrastructure codes, zoning, permits, land acquisition or easements, maintenance responsibility, emergency access, environmental safeguards and community participation.</x:v>
      </x:c>
      <x:c r="R454" s="2" t="str">
        <x:v>Revetments: site access, foundations, drainage, utility relocation, monitoring, construction staging, sediment or material supply and long-term maintenance corridors.</x:v>
      </x:c>
      <x:c r="S454" s="2" t="str">
        <x:v>Revetments: construction fuel and electricity plus operational pumping, monitoring, lighting or active control; passive and ecosystem measures have lower operational demand.</x:v>
      </x:c>
      <x:c r="T454" s="2" t="str">
        <x:v>Revetments: concrete, steel, stone, asphalt, timber, geotextiles, soil or sand, corrosion protection, vegetation and locally compatible fill.</x:v>
      </x:c>
      <x:c r="U454" s="2" t="str">
        <x:v>Revetments: drainage and pump parts, expansion joints, fasteners, coatings, sensors, geotextile repair, replacement armour or fill and planting stock.</x:v>
      </x:c>
      <x:c r="V454" s="2" t="str">
        <x:v>https://www.ctc-n.org/sites/default/files/resources/ctcn_taxonomy_0.pdf</x:v>
      </x:c>
      <x:c r="W454" s="2" t="str">
        <x:v>https://institutoagricoladepueblobello.edu.co/colegiapp/archivostemas/GUIA%209.%5B25%5D.pdf</x:v>
      </x:c>
      <x:c r="X454" s="2" t="str">
        <x:v>https://iiasa.ac.at/what-is-technology</x:v>
      </x:c>
      <x:c r="Y454" s="2" t="str">
        <x:v>https://www.ipcc.ch/srocc/chapter/chapter-4-sea-level-rise-and-implications-for-low-lying-islands-coasts-and-communities/; https://www.ipcc.ch/report/ar6/wg2/chapter/chapter-6/; https://www.unep.org/topics/climate-action/adaptation/ecosystem-based-adaptation</x:v>
      </x:c>
      <x:c r="Z454" s="2" t="str">
        <x:v>Technology-specific analytical synthesis. The CTCN hierarchy is retained; classifications and component dependencies require validation against the selected design, site and supplier documentation before investment or policy use.</x:v>
      </x:c>
      <x:c r="AA454" s="2" t="str">
        <x:v>Physical deployment of Revetments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4" s="2" t="str">
        <x:v>For Revetments,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4" s="2" t="str">
        <x:v>Construction and operation use concrete, steel, stone, asphalt, timber, geotextiles, soil or sand, corrosion protection, vegetation and locally compatible fill. For Revetments, specifications must include durability, compatibility, recycled content and recoverability.</x:v>
      </x:c>
      <x:c r="AD454" s="2" t="str">
        <x:v>Maintenance of Revetments depends on drainage and pump parts, expansion joints, fasteners, coatings, sensors, geotextile repair, replacement armour or fill and planting stock; critical spares are selected from failure-mode, lead-time and safety analysis for its installed configuration.</x:v>
      </x:c>
      <x:c r="AE454" s="2" t="str">
        <x:v>The software stack for Revetments requires databases, secure communications, version-controlled models, computing, backup and interfaces with field or operational systems.</x:v>
      </x:c>
      <x:c r="AF454" s="2" t="str">
        <x:v>For Revetments, software-related energy is electricity for sensing, computing, storage, communication and cooling; it is normally secondary but must be included for data-intensive or continuous services.</x:v>
      </x:c>
      <x:c r="AG454" s="2" t="str">
        <x:v>The non-physical inputs are calibrated data, metadata, algorithms, boundary conditions, emission or hazard factors, manuals and validation records specific to Revetments.</x:v>
      </x:c>
      <x:c r="AH454" s="2" t="str">
        <x:v>Software continuity for Revetments requires licences where applicable, updates, cybersecurity patches, backups, calibration files, model validation and technical support.</x:v>
      </x:c>
      <x:c r="AI454" s="2" t="str">
        <x:v>Orgware depends on the institutions, laboratories, training providers, regulators, operators and community interfaces needed to govern Revetments.</x:v>
      </x:c>
      <x:c r="AJ454" s="2" t="str">
        <x:v>The orgware supporting Revetments has mainly indirect energy use from offices, meetings, training and information systems; travel and field supervision may be material at dispersed sites.</x:v>
      </x:c>
      <x:c r="AK454" s="2" t="str">
        <x:v>Its organisational inputs are permits, budgets, trained staff, competence records, contracts, procedures, safeguards, monitoring evidence and stakeholder agreements tailored to Revetments.</x:v>
      </x:c>
      <x:c r="AL454" s="2" t="str">
        <x:v>Sustained implementation of Revetments requires procurement and service contracts, audit protocols, training material, reporting templates, insurance or guarantees and periodic independent review.</x:v>
      </x:c>
      <x:c r="AM454" s="2" t="str">
        <x:v>Iron ore / steel inputs; Limestone / cement raw materials</x:v>
      </x:c>
      <x:c r="AN454" s="2" t="str">
        <x:v>Australia; Brazil; China; India; Vietnam</x:v>
      </x:c>
      <x:c r="AO454" s="2" t="str">
        <x:v>China; India; Japan; Vietnam</x:v>
      </x:c>
      <x:c r="AP454" s="2" t="str">
        <x:v>Revetments: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4" s="2" t="str">
        <x:v>2024–2025</x:v>
      </x:c>
      <x:c r="AR454" s="2" t="str">
        <x:v>https://pubs.usgs.gov/periodicals/mcs2026/mcs2026.pdf</x:v>
      </x:c>
    </x:row>
    <x:row r="455" ht="240" customHeight="1">
      <x:c r="A455" s="2" t="str">
        <x:v>ADP-0185</x:v>
      </x:c>
      <x:c r="B455" s="2" t="str">
        <x:v>Adaptation</x:v>
      </x:c>
      <x:c r="C455" s="2" t="str">
        <x:v>Coastal Zones</x:v>
      </x:c>
      <x:c r="D455" s="2" t="str">
        <x:v>Protection (soft engineering)</x:v>
      </x:c>
      <x:c r="E455" s="2" t="str">
        <x:v>Cliff stabilisation</x:v>
      </x:c>
      <x:c r="F455" s="2" t="str">
        <x:v>Cliff stabilisation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Cliff stabilisation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5" s="2" t="str">
        <x:v>Mixed: adaptable design, site-specific implementation</x:v>
      </x:c>
      <x:c r="H455" s="2" t="str">
        <x:v>Cliff stabilisation is adaptable in capacity and configuration but site-specific in final engineering. Its principle remains the same, but resource quality, climate, scale, interfaces and safety constraints must be recalculated for each deployment.</x:v>
      </x:c>
      <x:c r="I455" s="2" t="str">
        <x:v>Primarily hard, with a soft component</x:v>
      </x:c>
      <x:c r="J455" s="2" t="str">
        <x:v>Cliff stabilisation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5" s="2" t="str">
        <x:v>Equipment and operation</x:v>
      </x:c>
      <x:c r="L455" s="2" t="str">
        <x:v>Cliff stabilisation is embodied mainly as an equipment-and-operation system. The deliverable is accepted only when measurable service, quality, safety and climate-performance criteria are met under real conditions.</x:v>
      </x:c>
      <x:c r="M455" s="2" t="str">
        <x:v>Yes, subject to life-cycle safeguards</x:v>
      </x:c>
      <x:c r="N455" s="2" t="str">
        <x:v>Cliff stabilisation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5" s="2" t="str">
        <x:v>Cliff stabilisation: resilient structural, drainage, transport, coastal or utility components; foundations, barriers, armour, geosynthetics, sensors and nature-based elements as applicable.</x:v>
      </x:c>
      <x:c r="P455" s="2" t="str">
        <x:v>Cliff stabilisation: climate-load and hazard analysis, structural or hydraulic modelling, geotechnical design, spatial planning, asset criticality, inspection and adaptation pathways.</x:v>
      </x:c>
      <x:c r="Q455" s="2" t="str">
        <x:v>Cliff stabilisation: building and infrastructure codes, zoning, permits, land acquisition or easements, maintenance responsibility, emergency access, environmental safeguards and community participation.</x:v>
      </x:c>
      <x:c r="R455" s="2" t="str">
        <x:v>Cliff stabilisation: site access, foundations, drainage, utility relocation, monitoring, construction staging, sediment or material supply and long-term maintenance corridors.</x:v>
      </x:c>
      <x:c r="S455" s="2" t="str">
        <x:v>Cliff stabilisation: construction fuel and electricity plus operational pumping, monitoring, lighting or active control; passive and ecosystem measures have lower operational demand.</x:v>
      </x:c>
      <x:c r="T455" s="2" t="str">
        <x:v>Cliff stabilisation: concrete, steel, stone, asphalt, timber, geotextiles, soil or sand, corrosion protection, vegetation and locally compatible fill.</x:v>
      </x:c>
      <x:c r="U455" s="2" t="str">
        <x:v>Cliff stabilisation: drainage and pump parts, expansion joints, fasteners, coatings, sensors, geotextile repair, replacement armour or fill and planting stock.</x:v>
      </x:c>
      <x:c r="V455" s="2" t="str">
        <x:v>https://www.ctc-n.org/sites/default/files/resources/ctcn_taxonomy_0.pdf</x:v>
      </x:c>
      <x:c r="W455" s="2" t="str">
        <x:v>https://institutoagricoladepueblobello.edu.co/colegiapp/archivostemas/GUIA%209.%5B25%5D.pdf</x:v>
      </x:c>
      <x:c r="X455" s="2" t="str">
        <x:v>https://iiasa.ac.at/what-is-technology</x:v>
      </x:c>
      <x:c r="Y455" s="2" t="str">
        <x:v>https://www.ipcc.ch/srocc/chapter/chapter-4-sea-level-rise-and-implications-for-low-lying-islands-coasts-and-communities/; https://www.ipcc.ch/report/ar6/wg2/chapter/chapter-6/; https://www.unep.org/topics/climate-action/adaptation/ecosystem-based-adaptation</x:v>
      </x:c>
      <x:c r="Z455" s="2" t="str">
        <x:v>Technology-specific analytical synthesis. The CTCN hierarchy is retained; classifications and component dependencies require validation against the selected design, site and supplier documentation before investment or policy use.</x:v>
      </x:c>
      <x:c r="AA455" s="2" t="str">
        <x:v>Physical deployment of Cliff stabilisation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5" s="2" t="str">
        <x:v>For Cliff stabilisation,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5" s="2" t="str">
        <x:v>Construction and operation use concrete, steel, stone, asphalt, timber, geotextiles, soil or sand, corrosion protection, vegetation and locally compatible fill. For Cliff stabilisation, specifications must include durability, compatibility, recycled content and recoverability.</x:v>
      </x:c>
      <x:c r="AD455" s="2" t="str">
        <x:v>Maintenance of Cliff stabilisation depends on drainage and pump parts, expansion joints, fasteners, coatings, sensors, geotextile repair, replacement armour or fill and planting stock; critical spares are selected from failure-mode, lead-time and safety analysis for its installed configuration.</x:v>
      </x:c>
      <x:c r="AE455" s="2" t="str">
        <x:v>The software stack for Cliff stabilisation requires databases, secure communications, version-controlled models, computing, backup and interfaces with field or operational systems.</x:v>
      </x:c>
      <x:c r="AF455" s="2" t="str">
        <x:v>For Cliff stabilisation, software-related energy is electricity for sensing, computing, storage, communication and cooling; it is normally secondary but must be included for data-intensive or continuous services.</x:v>
      </x:c>
      <x:c r="AG455" s="2" t="str">
        <x:v>The non-physical inputs are calibrated data, metadata, algorithms, boundary conditions, emission or hazard factors, manuals and validation records specific to Cliff stabilisation.</x:v>
      </x:c>
      <x:c r="AH455" s="2" t="str">
        <x:v>Software continuity for Cliff stabilisation requires licences where applicable, updates, cybersecurity patches, backups, calibration files, model validation and technical support.</x:v>
      </x:c>
      <x:c r="AI455" s="2" t="str">
        <x:v>Orgware depends on the institutions, laboratories, training providers, regulators, operators and community interfaces needed to govern Cliff stabilisation.</x:v>
      </x:c>
      <x:c r="AJ455" s="2" t="str">
        <x:v>The orgware supporting Cliff stabilisation has mainly indirect energy use from offices, meetings, training and information systems; travel and field supervision may be material at dispersed sites.</x:v>
      </x:c>
      <x:c r="AK455" s="2" t="str">
        <x:v>Its organisational inputs are permits, budgets, trained staff, competence records, contracts, procedures, safeguards, monitoring evidence and stakeholder agreements tailored to Cliff stabilisation.</x:v>
      </x:c>
      <x:c r="AL455" s="2" t="str">
        <x:v>Sustained implementation of Cliff stabilisation requires procurement and service contracts, audit protocols, training material, reporting templates, insurance or guarantees and periodic independent review.</x:v>
      </x:c>
      <x:c r="AM455" s="2" t="str">
        <x:v>Iron ore / steel inputs</x:v>
      </x:c>
      <x:c r="AN455" s="2" t="str">
        <x:v>Australia; Brazil; China</x:v>
      </x:c>
      <x:c r="AO455" s="2" t="str">
        <x:v>China; India; Japan</x:v>
      </x:c>
      <x:c r="AP455" s="2" t="str">
        <x:v>Cliff stabilisation: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5" s="2" t="str">
        <x:v>2024–2025</x:v>
      </x:c>
      <x:c r="AR455" s="2" t="str">
        <x:v>https://pubs.usgs.gov/periodicals/mcs2026/mcs2026.pdf</x:v>
      </x:c>
    </x:row>
    <x:row r="456" ht="240" customHeight="1">
      <x:c r="A456" s="2" t="str">
        <x:v>ADP-0186</x:v>
      </x:c>
      <x:c r="B456" s="2" t="str">
        <x:v>Adaptation</x:v>
      </x:c>
      <x:c r="C456" s="2" t="str">
        <x:v>Coastal Zones</x:v>
      </x:c>
      <x:c r="D456" s="2" t="str">
        <x:v>Protection (soft engineering)</x:v>
      </x:c>
      <x:c r="E456" s="2" t="str">
        <x:v>Land claim</x:v>
      </x:c>
      <x:c r="F456" s="2" t="str">
        <x:v>Land claim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Land claim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6" s="2" t="str">
        <x:v>Mixed: adaptable design, site-specific implementation</x:v>
      </x:c>
      <x:c r="H456" s="2" t="str">
        <x:v>Land claim is adaptable in capacity and configuration but site-specific in final engineering. Its principle remains the same, but resource quality, climate, scale, interfaces and safety constraints must be recalculated for each deployment.</x:v>
      </x:c>
      <x:c r="I456" s="2" t="str">
        <x:v>Primarily hard, with a soft component</x:v>
      </x:c>
      <x:c r="J456" s="2" t="str">
        <x:v>Land claim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6" s="2" t="str">
        <x:v>Equipment and operation</x:v>
      </x:c>
      <x:c r="L456" s="2" t="str">
        <x:v>Land claim is embodied mainly as an equipment-and-operation system. The deliverable is accepted only when measurable service, quality, safety and climate-performance criteria are met under real conditions.</x:v>
      </x:c>
      <x:c r="M456" s="2" t="str">
        <x:v>Conditional on performance and life cycle</x:v>
      </x:c>
      <x:c r="N456" s="2" t="str">
        <x:v>Land claim is classified as conditional.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6" s="2" t="str">
        <x:v>Land claim: resilient structural, drainage, transport, coastal or utility components; foundations, barriers, armour, geosynthetics, sensors and nature-based elements as applicable.</x:v>
      </x:c>
      <x:c r="P456" s="2" t="str">
        <x:v>Land claim: climate-load and hazard analysis, structural or hydraulic modelling, geotechnical design, spatial planning, asset criticality, inspection and adaptation pathways.</x:v>
      </x:c>
      <x:c r="Q456" s="2" t="str">
        <x:v>Land claim: building and infrastructure codes, zoning, permits, land acquisition or easements, maintenance responsibility, emergency access, environmental safeguards and community participation.</x:v>
      </x:c>
      <x:c r="R456" s="2" t="str">
        <x:v>Land claim: site access, foundations, drainage, utility relocation, monitoring, construction staging, sediment or material supply and long-term maintenance corridors.</x:v>
      </x:c>
      <x:c r="S456" s="2" t="str">
        <x:v>Land claim: construction fuel and electricity plus operational pumping, monitoring, lighting or active control; passive and ecosystem measures have lower operational demand.</x:v>
      </x:c>
      <x:c r="T456" s="2" t="str">
        <x:v>Land claim: concrete, steel, stone, asphalt, timber, geotextiles, soil or sand, corrosion protection, vegetation and locally compatible fill.</x:v>
      </x:c>
      <x:c r="U456" s="2" t="str">
        <x:v>Land claim: drainage and pump parts, expansion joints, fasteners, coatings, sensors, geotextile repair, replacement armour or fill and planting stock.</x:v>
      </x:c>
      <x:c r="V456" s="2" t="str">
        <x:v>https://www.ctc-n.org/sites/default/files/resources/ctcn_taxonomy_0.pdf</x:v>
      </x:c>
      <x:c r="W456" s="2" t="str">
        <x:v>https://institutoagricoladepueblobello.edu.co/colegiapp/archivostemas/GUIA%209.%5B25%5D.pdf</x:v>
      </x:c>
      <x:c r="X456" s="2" t="str">
        <x:v>https://iiasa.ac.at/what-is-technology</x:v>
      </x:c>
      <x:c r="Y456" s="2" t="str">
        <x:v>https://www.ipcc.ch/srocc/chapter/chapter-4-sea-level-rise-and-implications-for-low-lying-islands-coasts-and-communities/; https://www.ipcc.ch/report/ar6/wg2/chapter/chapter-6/; https://www.unep.org/topics/climate-action/adaptation/ecosystem-based-adaptation</x:v>
      </x:c>
      <x:c r="Z456" s="2" t="str">
        <x:v>Technology-specific analytical synthesis. The CTCN hierarchy is retained; classifications and component dependencies require validation against the selected design, site and supplier documentation before investment or policy use.</x:v>
      </x:c>
      <x:c r="AA456" s="2" t="str">
        <x:v>Physical deployment of Land claim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6" s="2" t="str">
        <x:v>For Land claim,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6" s="2" t="str">
        <x:v>Construction and operation use concrete, steel, stone, asphalt, timber, geotextiles, soil or sand, corrosion protection, vegetation and locally compatible fill. For Land claim, specifications must include durability, compatibility, recycled content and recoverability.</x:v>
      </x:c>
      <x:c r="AD456" s="2" t="str">
        <x:v>Maintenance of Land claim depends on drainage and pump parts, expansion joints, fasteners, coatings, sensors, geotextile repair, replacement armour or fill and planting stock; critical spares are selected from failure-mode, lead-time and safety analysis for its installed configuration.</x:v>
      </x:c>
      <x:c r="AE456" s="2" t="str">
        <x:v>The software stack for Land claim requires databases, secure communications, version-controlled models, computing, backup and interfaces with field or operational systems.</x:v>
      </x:c>
      <x:c r="AF456" s="2" t="str">
        <x:v>For Land claim, software-related energy is electricity for sensing, computing, storage, communication and cooling; it is normally secondary but must be included for data-intensive or continuous services.</x:v>
      </x:c>
      <x:c r="AG456" s="2" t="str">
        <x:v>The non-physical inputs are calibrated data, metadata, algorithms, boundary conditions, emission or hazard factors, manuals and validation records specific to Land claim.</x:v>
      </x:c>
      <x:c r="AH456" s="2" t="str">
        <x:v>Software continuity for Land claim requires licences where applicable, updates, cybersecurity patches, backups, calibration files, model validation and technical support.</x:v>
      </x:c>
      <x:c r="AI456" s="2" t="str">
        <x:v>Orgware depends on the institutions, laboratories, training providers, regulators, operators and community interfaces needed to govern Land claim.</x:v>
      </x:c>
      <x:c r="AJ456" s="2" t="str">
        <x:v>The orgware supporting Land claim has mainly indirect energy use from offices, meetings, training and information systems; travel and field supervision may be material at dispersed sites.</x:v>
      </x:c>
      <x:c r="AK456" s="2" t="str">
        <x:v>Its organisational inputs are permits, budgets, trained staff, competence records, contracts, procedures, safeguards, monitoring evidence and stakeholder agreements tailored to Land claim.</x:v>
      </x:c>
      <x:c r="AL456" s="2" t="str">
        <x:v>Sustained implementation of Land claim requires procurement and service contracts, audit protocols, training material, reporting templates, insurance or guarantees and periodic independent review.</x:v>
      </x:c>
      <x:c r="AM456" s="2" t="str">
        <x:v>Iron ore / steel inputs</x:v>
      </x:c>
      <x:c r="AN456" s="2" t="str">
        <x:v>Australia; Brazil; China</x:v>
      </x:c>
      <x:c r="AO456" s="2" t="str">
        <x:v>China; India; Japan</x:v>
      </x:c>
      <x:c r="AP456" s="2" t="str">
        <x:v>Land claim: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6" s="2" t="str">
        <x:v>2024–2025</x:v>
      </x:c>
      <x:c r="AR456" s="2" t="str">
        <x:v>https://pubs.usgs.gov/periodicals/mcs2026/mcs2026.pdf</x:v>
      </x:c>
    </x:row>
    <x:row r="457" ht="240" customHeight="1">
      <x:c r="A457" s="2" t="str">
        <x:v>ADP-0187</x:v>
      </x:c>
      <x:c r="B457" s="2" t="str">
        <x:v>Adaptation</x:v>
      </x:c>
      <x:c r="C457" s="2" t="str">
        <x:v>Coastal Zones</x:v>
      </x:c>
      <x:c r="D457" s="2" t="str">
        <x:v>Protection (soft engineering)</x:v>
      </x:c>
      <x:c r="E457" s="2" t="str">
        <x:v>Beach nourishment</x:v>
      </x:c>
      <x:c r="F457" s="2" t="str">
        <x:v>Beach nourishment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7" s="2" t="str">
        <x:v>Mixed: adaptable design, site-specific implementation</x:v>
      </x:c>
      <x:c r="H457" s="2" t="str">
        <x:v>Beach nourishment is adaptable in capacity and configuration but site-specific in final engineering. Its principle remains the same, but resource quality, climate, scale, interfaces and safety constraints must be recalculated for each deployment.</x:v>
      </x:c>
      <x:c r="I457" s="2" t="str">
        <x:v>Primarily hard, with a soft component</x:v>
      </x:c>
      <x:c r="J457" s="2" t="str">
        <x:v>Beach nourishment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7" s="2" t="str">
        <x:v>Equipment and operation</x:v>
      </x:c>
      <x:c r="L457" s="2" t="str">
        <x:v>Beach nourishment is embodied mainly as an equipment-and-operation system. The deliverable is accepted only when measurable service, quality, safety and climate-performance criteria are met under real conditions.</x:v>
      </x:c>
      <x:c r="M457" s="2" t="str">
        <x:v>Yes, subject to life-cycle safeguards</x:v>
      </x:c>
      <x:c r="N457" s="2" t="str">
        <x:v>Beach nourishment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7" s="2" t="str">
        <x:v>Beach nourishment: resilient structural, drainage, transport, coastal or utility components; foundations, barriers, armour, geosynthetics, sensors and nature-based elements as applicable.</x:v>
      </x:c>
      <x:c r="P457" s="2" t="str">
        <x:v>Beach nourishment: climate-load and hazard analysis, structural or hydraulic modelling, geotechnical design, spatial planning, asset criticality, inspection and adaptation pathways.</x:v>
      </x:c>
      <x:c r="Q457" s="2" t="str">
        <x:v>Beach nourishment: building and infrastructure codes, zoning, permits, land acquisition or easements, maintenance responsibility, emergency access, environmental safeguards and community participation.</x:v>
      </x:c>
      <x:c r="R457" s="2" t="str">
        <x:v>Beach nourishment: site access, foundations, drainage, utility relocation, monitoring, construction staging, sediment or material supply and long-term maintenance corridors.</x:v>
      </x:c>
      <x:c r="S457" s="2" t="str">
        <x:v>Beach nourishment: construction fuel and electricity plus operational pumping, monitoring, lighting or active control; passive and ecosystem measures have lower operational demand.</x:v>
      </x:c>
      <x:c r="T457" s="2" t="str">
        <x:v>Beach nourishment: concrete, steel, stone, asphalt, timber, geotextiles, soil or sand, corrosion protection, vegetation and locally compatible fill.</x:v>
      </x:c>
      <x:c r="U457" s="2" t="str">
        <x:v>Beach nourishment: drainage and pump parts, expansion joints, fasteners, coatings, sensors, geotextile repair, replacement armour or fill and planting stock.</x:v>
      </x:c>
      <x:c r="V457" s="2" t="str">
        <x:v>https://www.ctc-n.org/sites/default/files/resources/ctcn_taxonomy_0.pdf</x:v>
      </x:c>
      <x:c r="W457" s="2" t="str">
        <x:v>https://institutoagricoladepueblobello.edu.co/colegiapp/archivostemas/GUIA%209.%5B25%5D.pdf</x:v>
      </x:c>
      <x:c r="X457" s="2" t="str">
        <x:v>https://iiasa.ac.at/what-is-technology</x:v>
      </x:c>
      <x:c r="Y457" s="2" t="str">
        <x:v>https://www.ipcc.ch/srocc/chapter/chapter-4-sea-level-rise-and-implications-for-low-lying-islands-coasts-and-communities/; https://www.ipcc.ch/report/ar6/wg2/chapter/chapter-6/; https://www.unep.org/topics/climate-action/adaptation/ecosystem-based-adaptation</x:v>
      </x:c>
      <x:c r="Z457" s="2" t="str">
        <x:v>Technology-specific analytical synthesis. The CTCN hierarchy is retained; classifications and component dependencies require validation against the selected design, site and supplier documentation before investment or policy use.</x:v>
      </x:c>
      <x:c r="AA457" s="2" t="str">
        <x:v>Physical deployment of Beach nourishment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7" s="2" t="str">
        <x:v>For Beach nourishment,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7" s="2" t="str">
        <x:v>Construction and operation use concrete, steel, stone, asphalt, timber, geotextiles, soil or sand, corrosion protection, vegetation and locally compatible fill. For Beach nourishment, specifications must include durability, compatibility, recycled content and recoverability.</x:v>
      </x:c>
      <x:c r="AD457" s="2" t="str">
        <x:v>Maintenance of Beach nourishment depends on drainage and pump parts, expansion joints, fasteners, coatings, sensors, geotextile repair, replacement armour or fill and planting stock; critical spares are selected from failure-mode, lead-time and safety analysis for its installed configuration.</x:v>
      </x:c>
      <x:c r="AE457" s="2" t="str">
        <x:v>The software stack for Beach nourishment requires databases, secure communications, version-controlled models, computing, backup and interfaces with field or operational systems.</x:v>
      </x:c>
      <x:c r="AF457" s="2" t="str">
        <x:v>For Beach nourishment, software-related energy is electricity for sensing, computing, storage, communication and cooling; it is normally secondary but must be included for data-intensive or continuous services.</x:v>
      </x:c>
      <x:c r="AG457" s="2" t="str">
        <x:v>The non-physical inputs are calibrated data, metadata, algorithms, boundary conditions, emission or hazard factors, manuals and validation records specific to Beach nourishment.</x:v>
      </x:c>
      <x:c r="AH457" s="2" t="str">
        <x:v>Software continuity for Beach nourishment requires licences where applicable, updates, cybersecurity patches, backups, calibration files, model validation and technical support.</x:v>
      </x:c>
      <x:c r="AI457" s="2" t="str">
        <x:v>Orgware depends on the institutions, laboratories, training providers, regulators, operators and community interfaces needed to govern Beach nourishment.</x:v>
      </x:c>
      <x:c r="AJ457" s="2" t="str">
        <x:v>The orgware supporting Beach nourishment has mainly indirect energy use from offices, meetings, training and information systems; travel and field supervision may be material at dispersed sites.</x:v>
      </x:c>
      <x:c r="AK457" s="2" t="str">
        <x:v>Its organisational inputs are permits, budgets, trained staff, competence records, contracts, procedures, safeguards, monitoring evidence and stakeholder agreements tailored to Beach nourishment.</x:v>
      </x:c>
      <x:c r="AL457" s="2" t="str">
        <x:v>Sustained implementation of Beach nourishment requires procurement and service contracts, audit protocols, training material, reporting templates, insurance or guarantees and periodic independent review.</x:v>
      </x:c>
      <x:c r="AM457" s="2" t="str">
        <x:v>Iron ore / steel inputs</x:v>
      </x:c>
      <x:c r="AN457" s="2" t="str">
        <x:v>Australia; Brazil; China</x:v>
      </x:c>
      <x:c r="AO457" s="2" t="str">
        <x:v>China; India; Japan</x:v>
      </x:c>
      <x:c r="AP457" s="2" t="str">
        <x:v>Beach nourishment: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7" s="2" t="str">
        <x:v>2024–2025</x:v>
      </x:c>
      <x:c r="AR457" s="2" t="str">
        <x:v>https://pubs.usgs.gov/periodicals/mcs2026/mcs2026.pdf</x:v>
      </x:c>
    </x:row>
    <x:row r="458" ht="240" customHeight="1">
      <x:c r="A458" s="2" t="str">
        <x:v>ADP-0188</x:v>
      </x:c>
      <x:c r="B458" s="2" t="str">
        <x:v>Adaptation</x:v>
      </x:c>
      <x:c r="C458" s="2" t="str">
        <x:v>Coastal Zones</x:v>
      </x:c>
      <x:c r="D458" s="2" t="str">
        <x:v>Protection (soft engineering)</x:v>
      </x:c>
      <x:c r="E458" s="2" t="str">
        <x:v>Constructed wetlands</x:v>
      </x:c>
      <x:c r="F458" s="2" t="str">
        <x:v>Constructed wetlands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It slows, stores and infiltrates runoff through porous media, vegetation and soil–microbe processes, reducing peak flow while filtering sediments and selected pollutants.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8" s="2" t="str">
        <x:v>Mixed: adaptable design, site-specific implementation</x:v>
      </x:c>
      <x:c r="H458" s="2" t="str">
        <x:v>Constructed wetlands is adaptable in capacity and configuration but site-specific in final engineering. Its principle remains the same, but resource quality, climate, scale, interfaces and safety constraints must be recalculated for each deployment.</x:v>
      </x:c>
      <x:c r="I458" s="2" t="str">
        <x:v>Primarily hard, with a soft component</x:v>
      </x:c>
      <x:c r="J458" s="2" t="str">
        <x:v>Constructed wetlands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8" s="2" t="str">
        <x:v>Equipment and operation</x:v>
      </x:c>
      <x:c r="L458" s="2" t="str">
        <x:v>Constructed wetlands is embodied mainly as an equipment-and-operation system. The deliverable is accepted only when measurable service, quality, safety and climate-performance criteria are met under real conditions.</x:v>
      </x:c>
      <x:c r="M458" s="2" t="str">
        <x:v>Yes, subject to life-cycle safeguards</x:v>
      </x:c>
      <x:c r="N458" s="2" t="str">
        <x:v>Constructed wetlands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8" s="2" t="str">
        <x:v>Constructed wetlands: resilient structural, drainage, transport, coastal or utility components; foundations, barriers, armour, geosynthetics, sensors and nature-based elements as applicable.</x:v>
      </x:c>
      <x:c r="P458" s="2" t="str">
        <x:v>Constructed wetlands: climate-load and hazard analysis, structural or hydraulic modelling, geotechnical design, spatial planning, asset criticality, inspection and adaptation pathways.</x:v>
      </x:c>
      <x:c r="Q458" s="2" t="str">
        <x:v>Constructed wetlands: building and infrastructure codes, zoning, permits, land acquisition or easements, maintenance responsibility, emergency access, environmental safeguards and community participation.</x:v>
      </x:c>
      <x:c r="R458" s="2" t="str">
        <x:v>Constructed wetlands: site access, foundations, drainage, utility relocation, monitoring, construction staging, sediment or material supply and long-term maintenance corridors.</x:v>
      </x:c>
      <x:c r="S458" s="2" t="str">
        <x:v>Constructed wetlands: construction fuel and electricity plus operational pumping, monitoring, lighting or active control; passive and ecosystem measures have lower operational demand.</x:v>
      </x:c>
      <x:c r="T458" s="2" t="str">
        <x:v>Constructed wetlands: concrete, steel, stone, asphalt, timber, geotextiles, soil or sand, corrosion protection, vegetation and locally compatible fill.</x:v>
      </x:c>
      <x:c r="U458" s="2" t="str">
        <x:v>Constructed wetlands: drainage and pump parts, expansion joints, fasteners, coatings, sensors, geotextile repair, replacement armour or fill and planting stock.</x:v>
      </x:c>
      <x:c r="V458" s="2" t="str">
        <x:v>https://www.ctc-n.org/sites/default/files/resources/ctcn_taxonomy_0.pdf</x:v>
      </x:c>
      <x:c r="W458" s="2" t="str">
        <x:v>https://institutoagricoladepueblobello.edu.co/colegiapp/archivostemas/GUIA%209.%5B25%5D.pdf</x:v>
      </x:c>
      <x:c r="X458" s="2" t="str">
        <x:v>https://iiasa.ac.at/what-is-technology</x:v>
      </x:c>
      <x:c r="Y458" s="2" t="str">
        <x:v>https://www.ipcc.ch/srocc/chapter/chapter-4-sea-level-rise-and-implications-for-low-lying-islands-coasts-and-communities/; https://www.ipcc.ch/report/ar6/wg2/chapter/chapter-6/; https://www.unep.org/topics/climate-action/adaptation/ecosystem-based-adaptation</x:v>
      </x:c>
      <x:c r="Z458" s="2" t="str">
        <x:v>Technology-specific analytical synthesis. The CTCN hierarchy is retained; classifications and component dependencies require validation against the selected design, site and supplier documentation before investment or policy use.</x:v>
      </x:c>
      <x:c r="AA458" s="2" t="str">
        <x:v>Physical deployment of Constructed wetlands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8" s="2" t="str">
        <x:v>For Constructed wetlands,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8" s="2" t="str">
        <x:v>Construction and operation use concrete, steel, stone, asphalt, timber, geotextiles, soil or sand, corrosion protection, vegetation and locally compatible fill. For Constructed wetlands, specifications must include durability, compatibility, recycled content and recoverability.</x:v>
      </x:c>
      <x:c r="AD458" s="2" t="str">
        <x:v>Maintenance of Constructed wetlands depends on drainage and pump parts, expansion joints, fasteners, coatings, sensors, geotextile repair, replacement armour or fill and planting stock; critical spares are selected from failure-mode, lead-time and safety analysis for its installed configuration.</x:v>
      </x:c>
      <x:c r="AE458" s="2" t="str">
        <x:v>The software stack for Constructed wetlands requires databases, secure communications, version-controlled models, computing, backup and interfaces with field or operational systems.</x:v>
      </x:c>
      <x:c r="AF458" s="2" t="str">
        <x:v>For Constructed wetlands, software-related energy is electricity for sensing, computing, storage, communication and cooling; it is normally secondary but must be included for data-intensive or continuous services.</x:v>
      </x:c>
      <x:c r="AG458" s="2" t="str">
        <x:v>The non-physical inputs are calibrated data, metadata, algorithms, boundary conditions, emission or hazard factors, manuals and validation records specific to Constructed wetlands.</x:v>
      </x:c>
      <x:c r="AH458" s="2" t="str">
        <x:v>Software continuity for Constructed wetlands requires licences where applicable, updates, cybersecurity patches, backups, calibration files, model validation and technical support.</x:v>
      </x:c>
      <x:c r="AI458" s="2" t="str">
        <x:v>Orgware depends on the institutions, laboratories, training providers, regulators, operators and community interfaces needed to govern Constructed wetlands.</x:v>
      </x:c>
      <x:c r="AJ458" s="2" t="str">
        <x:v>The orgware supporting Constructed wetlands has mainly indirect energy use from offices, meetings, training and information systems; travel and field supervision may be material at dispersed sites.</x:v>
      </x:c>
      <x:c r="AK458" s="2" t="str">
        <x:v>Its organisational inputs are permits, budgets, trained staff, competence records, contracts, procedures, safeguards, monitoring evidence and stakeholder agreements tailored to Constructed wetlands.</x:v>
      </x:c>
      <x:c r="AL458" s="2" t="str">
        <x:v>Sustained implementation of Constructed wetlands requires procurement and service contracts, audit protocols, training material, reporting templates, insurance or guarantees and periodic independent review.</x:v>
      </x:c>
      <x:c r="AM458" s="2" t="str">
        <x:v>Iron ore / steel inputs</x:v>
      </x:c>
      <x:c r="AN458" s="2" t="str">
        <x:v>Australia; Brazil; China</x:v>
      </x:c>
      <x:c r="AO458" s="2" t="str">
        <x:v>China; India; Japan</x:v>
      </x:c>
      <x:c r="AP458" s="2" t="str">
        <x:v>Constructed wetlands: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8" s="2" t="str">
        <x:v>2024–2025</x:v>
      </x:c>
      <x:c r="AR458" s="2" t="str">
        <x:v>https://pubs.usgs.gov/periodicals/mcs2026/mcs2026.pdf</x:v>
      </x:c>
    </x:row>
    <x:row r="459" ht="240" customHeight="1">
      <x:c r="A459" s="2" t="str">
        <x:v>ADP-0189</x:v>
      </x:c>
      <x:c r="B459" s="2" t="str">
        <x:v>Adaptation</x:v>
      </x:c>
      <x:c r="C459" s="2" t="str">
        <x:v>Coastal Zones</x:v>
      </x:c>
      <x:c r="D459" s="2" t="str">
        <x:v>Protection (soft engineering)</x:v>
      </x:c>
      <x:c r="E459" s="2" t="str">
        <x:v>Dune construction &amp; stabilisation</x:v>
      </x:c>
      <x:c r="F459" s="2" t="str">
        <x:v>Dune construction &amp; stabilisation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59" s="2" t="str">
        <x:v>Mixed: adaptable design, site-specific implementation</x:v>
      </x:c>
      <x:c r="H459" s="2" t="str">
        <x:v>Dune construction &amp; stabilisation is adaptable in capacity and configuration but site-specific in final engineering. Its principle remains the same, but resource quality, climate, scale, interfaces and safety constraints must be recalculated for each deployment.</x:v>
      </x:c>
      <x:c r="I459" s="2" t="str">
        <x:v>Primarily hard, with a soft component</x:v>
      </x:c>
      <x:c r="J459" s="2" t="str">
        <x:v>Dune construction &amp; stabilisation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59" s="2" t="str">
        <x:v>Equipment and operation</x:v>
      </x:c>
      <x:c r="L459" s="2" t="str">
        <x:v>Dune construction &amp; stabilisation is embodied mainly as an equipment-and-operation system. The deliverable is accepted only when measurable service, quality, safety and climate-performance criteria are met under real conditions.</x:v>
      </x:c>
      <x:c r="M459" s="2" t="str">
        <x:v>Yes, subject to life-cycle safeguards</x:v>
      </x:c>
      <x:c r="N459" s="2" t="str">
        <x:v>Dune construction &amp; stabilisation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59" s="2" t="str">
        <x:v>Dune construction &amp; stabilisation: resilient structural, drainage, transport, coastal or utility components; foundations, barriers, armour, geosynthetics, sensors and nature-based elements as applicable.</x:v>
      </x:c>
      <x:c r="P459" s="2" t="str">
        <x:v>Dune construction &amp; stabilisation: climate-load and hazard analysis, structural or hydraulic modelling, geotechnical design, spatial planning, asset criticality, inspection and adaptation pathways.</x:v>
      </x:c>
      <x:c r="Q459" s="2" t="str">
        <x:v>Dune construction &amp; stabilisation: building and infrastructure codes, zoning, permits, land acquisition or easements, maintenance responsibility, emergency access, environmental safeguards and community participation.</x:v>
      </x:c>
      <x:c r="R459" s="2" t="str">
        <x:v>Dune construction &amp; stabilisation: site access, foundations, drainage, utility relocation, monitoring, construction staging, sediment or material supply and long-term maintenance corridors.</x:v>
      </x:c>
      <x:c r="S459" s="2" t="str">
        <x:v>Dune construction &amp; stabilisation: construction fuel and electricity plus operational pumping, monitoring, lighting or active control; passive and ecosystem measures have lower operational demand.</x:v>
      </x:c>
      <x:c r="T459" s="2" t="str">
        <x:v>Dune construction &amp; stabilisation: concrete, steel, stone, asphalt, timber, geotextiles, soil or sand, corrosion protection, vegetation and locally compatible fill.</x:v>
      </x:c>
      <x:c r="U459" s="2" t="str">
        <x:v>Dune construction &amp; stabilisation: drainage and pump parts, expansion joints, fasteners, coatings, sensors, geotextile repair, replacement armour or fill and planting stock.</x:v>
      </x:c>
      <x:c r="V459" s="2" t="str">
        <x:v>https://www.ctc-n.org/sites/default/files/resources/ctcn_taxonomy_0.pdf</x:v>
      </x:c>
      <x:c r="W459" s="2" t="str">
        <x:v>https://institutoagricoladepueblobello.edu.co/colegiapp/archivostemas/GUIA%209.%5B25%5D.pdf</x:v>
      </x:c>
      <x:c r="X459" s="2" t="str">
        <x:v>https://iiasa.ac.at/what-is-technology</x:v>
      </x:c>
      <x:c r="Y459" s="2" t="str">
        <x:v>https://www.ipcc.ch/srocc/chapter/chapter-4-sea-level-rise-and-implications-for-low-lying-islands-coasts-and-communities/; https://www.ipcc.ch/report/ar6/wg2/chapter/chapter-6/; https://www.unep.org/topics/climate-action/adaptation/ecosystem-based-adaptation</x:v>
      </x:c>
      <x:c r="Z459" s="2" t="str">
        <x:v>Technology-specific analytical synthesis. The CTCN hierarchy is retained; classifications and component dependencies require validation against the selected design, site and supplier documentation before investment or policy use.</x:v>
      </x:c>
      <x:c r="AA459" s="2" t="str">
        <x:v>Physical deployment of Dune construction &amp; stabilisation requires site access, foundations, drainage, utility relocation, monitoring, construction staging, sediment or material supply and long-term maintenance corridors; interfaces, foundations, access and environmental protection are sized to the specific resource and design load.</x:v>
      </x:c>
      <x:c r="AB459" s="2" t="str">
        <x:v>For Dune construction &amp; stabilisation,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59" s="2" t="str">
        <x:v>Construction and operation use concrete, steel, stone, asphalt, timber, geotextiles, soil or sand, corrosion protection, vegetation and locally compatible fill. For Dune construction &amp; stabilisation, specifications must include durability, compatibility, recycled content and recoverability.</x:v>
      </x:c>
      <x:c r="AD459" s="2" t="str">
        <x:v>Maintenance of Dune construction &amp; stabilisation depends on drainage and pump parts, expansion joints, fasteners, coatings, sensors, geotextile repair, replacement armour or fill and planting stock; critical spares are selected from failure-mode, lead-time and safety analysis for its installed configuration.</x:v>
      </x:c>
      <x:c r="AE459" s="2" t="str">
        <x:v>The software stack for Dune construction &amp; stabilisation requires databases, secure communications, version-controlled models, computing, backup and interfaces with field or operational systems.</x:v>
      </x:c>
      <x:c r="AF459" s="2" t="str">
        <x:v>For Dune construction &amp; stabilisation, software-related energy is electricity for sensing, computing, storage, communication and cooling; it is normally secondary but must be included for data-intensive or continuous services.</x:v>
      </x:c>
      <x:c r="AG459" s="2" t="str">
        <x:v>The non-physical inputs are calibrated data, metadata, algorithms, boundary conditions, emission or hazard factors, manuals and validation records specific to Dune construction &amp; stabilisation.</x:v>
      </x:c>
      <x:c r="AH459" s="2" t="str">
        <x:v>Software continuity for Dune construction &amp; stabilisation requires licences where applicable, updates, cybersecurity patches, backups, calibration files, model validation and technical support.</x:v>
      </x:c>
      <x:c r="AI459" s="2" t="str">
        <x:v>Orgware depends on the institutions, laboratories, training providers, regulators, operators and community interfaces needed to govern Dune construction &amp; stabilisation.</x:v>
      </x:c>
      <x:c r="AJ459" s="2" t="str">
        <x:v>The orgware supporting Dune construction &amp; stabilisation has mainly indirect energy use from offices, meetings, training and information systems; travel and field supervision may be material at dispersed sites.</x:v>
      </x:c>
      <x:c r="AK459" s="2" t="str">
        <x:v>Its organisational inputs are permits, budgets, trained staff, competence records, contracts, procedures, safeguards, monitoring evidence and stakeholder agreements tailored to Dune construction &amp; stabilisation.</x:v>
      </x:c>
      <x:c r="AL459" s="2" t="str">
        <x:v>Sustained implementation of Dune construction &amp; stabilisation requires procurement and service contracts, audit protocols, training material, reporting templates, insurance or guarantees and periodic independent review.</x:v>
      </x:c>
      <x:c r="AM459" s="2" t="str">
        <x:v>Iron ore / steel inputs; Limestone / cement raw materials</x:v>
      </x:c>
      <x:c r="AN459" s="2" t="str">
        <x:v>Australia; Brazil; China; India; Vietnam</x:v>
      </x:c>
      <x:c r="AO459" s="2" t="str">
        <x:v>China; India; Japan; Vietnam</x:v>
      </x:c>
      <x:c r="AP459" s="2" t="str">
        <x:v>Dune construction &amp; stabilisation: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9" s="2" t="str">
        <x:v>2024–2025</x:v>
      </x:c>
      <x:c r="AR459" s="2" t="str">
        <x:v>https://pubs.usgs.gov/periodicals/mcs2026/mcs2026.pdf</x:v>
      </x:c>
    </x:row>
    <x:row r="460" ht="240" customHeight="1">
      <x:c r="A460" s="2" t="str">
        <x:v>ADP-0190</x:v>
      </x:c>
      <x:c r="B460" s="2" t="str">
        <x:v>Adaptation</x:v>
      </x:c>
      <x:c r="C460" s="2" t="str">
        <x:v>Marine and Fisheries</x:v>
      </x:c>
      <x:c r="D460" s="2" t="str">
        <x:v>Active motion-dampening systems for marine ports</x:v>
      </x:c>
      <x:c r="E460" s="2" t="str">
        <x:v>Active motion-dampening systems for marine ports</x:v>
      </x:c>
      <x:c r="F460" s="2" t="str">
        <x:v>Active motion-dampening systems for marine ports is a adaptation technology in the Marine and Fisheries sector and the Active motion-dampening systems for marine ports technology group. It is defined as a combined hardware–software–orgware system that reduces exposure and physical vulnerability through resilient siting, design loads, protective structures, adaptable construction, ecosystem buffers and planned management of residual risk. Active motion-dampening systems for marine ports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60" s="2" t="str">
        <x:v>Primarily fixed</x:v>
      </x:c>
      <x:c r="H460" s="2" t="str">
        <x:v>Active motion-dampening systems for marine ports is tied to long-lived, site-specific assets and design loads. Its principle remains the same, but resource quality, climate, scale, interfaces and safety constraints must be recalculated for each deployment.</x:v>
      </x:c>
      <x:c r="I460" s="2" t="str">
        <x:v>Primarily hard, with a soft component</x:v>
      </x:c>
      <x:c r="J460" s="2" t="str">
        <x:v>Active motion-dampening systems for marine ports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60" s="2" t="str">
        <x:v>Equipment and operation</x:v>
      </x:c>
      <x:c r="L460" s="2" t="str">
        <x:v>Active motion-dampening systems for marine ports is embodied mainly as an equipment-and-operation system. The deliverable is accepted only when measurable service, quality, safety and climate-performance criteria are met under real conditions.</x:v>
      </x:c>
      <x:c r="M460" s="2" t="str">
        <x:v>Yes, subject to life-cycle safeguards</x:v>
      </x:c>
      <x:c r="N460" s="2" t="str">
        <x:v>Active motion-dampening systems for marine ports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60" s="2" t="str">
        <x:v>Active motion-dampening systems for marine ports: resilient structural, drainage, transport, coastal or utility components; foundations, barriers, armour, geosynthetics, sensors and nature-based elements as applicable.</x:v>
      </x:c>
      <x:c r="P460" s="2" t="str">
        <x:v>Active motion-dampening systems for marine ports: climate-load and hazard analysis, structural or hydraulic modelling, geotechnical design, spatial planning, asset criticality, inspection and adaptation pathways.</x:v>
      </x:c>
      <x:c r="Q460" s="2" t="str">
        <x:v>Active motion-dampening systems for marine ports: building and infrastructure codes, zoning, permits, land acquisition or easements, maintenance responsibility, emergency access, environmental safeguards and community participation.</x:v>
      </x:c>
      <x:c r="R460" s="2" t="str">
        <x:v>Active motion-dampening systems for marine ports: site access, foundations, drainage, utility relocation, monitoring, construction staging, sediment or material supply and long-term maintenance corridors.</x:v>
      </x:c>
      <x:c r="S460" s="2" t="str">
        <x:v>Active motion-dampening systems for marine ports: construction fuel and electricity plus operational pumping, monitoring, lighting or active control; passive and ecosystem measures have lower operational demand.</x:v>
      </x:c>
      <x:c r="T460" s="2" t="str">
        <x:v>Active motion-dampening systems for marine ports: concrete, steel, stone, asphalt, timber, geotextiles, soil or sand, corrosion protection, vegetation and locally compatible fill.</x:v>
      </x:c>
      <x:c r="U460" s="2" t="str">
        <x:v>Active motion-dampening systems for marine ports: drainage and pump parts, expansion joints, fasteners, coatings, sensors, geotextile repair, replacement armour or fill and planting stock.</x:v>
      </x:c>
      <x:c r="V460" s="2" t="str">
        <x:v>https://www.ctc-n.org/sites/default/files/resources/ctcn_taxonomy_0.pdf</x:v>
      </x:c>
      <x:c r="W460" s="2" t="str">
        <x:v>https://institutoagricoladepueblobello.edu.co/colegiapp/archivostemas/GUIA%209.%5B25%5D.pdf</x:v>
      </x:c>
      <x:c r="X460" s="2" t="str">
        <x:v>https://iiasa.ac.at/what-is-technology</x:v>
      </x:c>
      <x:c r="Y460" s="2" t="str">
        <x:v>https://www.fao.org/3/i9705en/i9705en.pdf; https://www.ipcc.ch/report/ar6/wg2/chapter/chapter-6/; https://www.ipcc.ch/srocc/chapter/chapter-4-sea-level-rise-and-implications-for-low-lying-islands-coasts-and-communities/; https://www.unep.org/topics/climate-action/adaptation/ecosystem-based-adaptation</x:v>
      </x:c>
      <x:c r="Z460" s="2" t="str">
        <x:v>Technology-specific analytical synthesis. The CTCN hierarchy is retained; classifications and component dependencies require validation against the selected design, site and supplier documentation before investment or policy use.</x:v>
      </x:c>
      <x:c r="AA460" s="2" t="str">
        <x:v>Physical deployment of Active motion-dampening systems for marine ports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60" s="2" t="str">
        <x:v>For Active motion-dampening systems for marine ports,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60" s="2" t="str">
        <x:v>Construction and operation use concrete, steel, stone, asphalt, timber, geotextiles, soil or sand, corrosion protection, vegetation and locally compatible fill. For Active motion-dampening systems for marine ports, specifications must include durability, compatibility, recycled content and recoverability.</x:v>
      </x:c>
      <x:c r="AD460" s="2" t="str">
        <x:v>Maintenance of Active motion-dampening systems for marine ports depends on drainage and pump parts, expansion joints, fasteners, coatings, sensors, geotextile repair, replacement armour or fill and planting stock; critical spares are selected from failure-mode, lead-time and safety analysis for its installed configuration.</x:v>
      </x:c>
      <x:c r="AE460" s="2" t="str">
        <x:v>The software stack for Active motion-dampening systems for marine ports requires databases, secure communications, version-controlled models, computing, backup and interfaces with field or operational systems.</x:v>
      </x:c>
      <x:c r="AF460" s="2" t="str">
        <x:v>For Active motion-dampening systems for marine ports, software-related energy is electricity for sensing, computing, storage, communication and cooling; it is normally secondary but must be included for data-intensive or continuous services.</x:v>
      </x:c>
      <x:c r="AG460" s="2" t="str">
        <x:v>The non-physical inputs are calibrated data, metadata, algorithms, boundary conditions, emission or hazard factors, manuals and validation records specific to Active motion-dampening systems for marine ports.</x:v>
      </x:c>
      <x:c r="AH460" s="2" t="str">
        <x:v>Software continuity for Active motion-dampening systems for marine ports requires licences where applicable, updates, cybersecurity patches, backups, calibration files, model validation and technical support.</x:v>
      </x:c>
      <x:c r="AI460" s="2" t="str">
        <x:v>Orgware depends on the institutions, laboratories, training providers, regulators, operators and community interfaces needed to govern Active motion-dampening systems for marine ports.</x:v>
      </x:c>
      <x:c r="AJ460" s="2" t="str">
        <x:v>The orgware supporting Active motion-dampening systems for marine ports has mainly indirect energy use from offices, meetings, training and information systems; travel and field supervision may be material at dispersed sites.</x:v>
      </x:c>
      <x:c r="AK460" s="2" t="str">
        <x:v>Its organisational inputs are permits, budgets, trained staff, competence records, contracts, procedures, safeguards, monitoring evidence and stakeholder agreements tailored to Active motion-dampening systems for marine ports.</x:v>
      </x:c>
      <x:c r="AL460" s="2" t="str">
        <x:v>Sustained implementation of Active motion-dampening systems for marine ports requires procurement and service contracts, audit protocols, training material, reporting templates, insurance or guarantees and periodic independent review.</x:v>
      </x:c>
      <x:c r="AM460" s="2" t="str">
        <x:v>Iron ore / steel inputs; Nickel; Chromium; Limestone / cement raw materials; Zinc</x:v>
      </x:c>
      <x:c r="AN460" s="2" t="str">
        <x:v>Australia; Brazil; China; Indonesia; Philippines; Russia; South Africa; Kazakhstan; Turkey; India; Vietnam; Peru</x:v>
      </x:c>
      <x:c r="AO460" s="2" t="str">
        <x:v>China; India; Japan; Indonesia; South Africa; Kazakhstan; Vietnam; South Korea</x:v>
      </x:c>
      <x:c r="AP460" s="2" t="str">
        <x:v>Active motion-dampening systems for marine ports: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0" s="2" t="str">
        <x:v>2024–2025</x:v>
      </x:c>
      <x:c r="AR460" s="2" t="str">
        <x:v>https://pubs.usgs.gov/periodicals/mcs2026/mcs2026.pdf; https://www.iea.org/reports/global-critical-minerals-outlook-2025</x:v>
      </x:c>
    </x:row>
    <x:row r="461" ht="240" customHeight="1">
      <x:c r="A461" s="2" t="str">
        <x:v>ADP-0191</x:v>
      </x:c>
      <x:c r="B461" s="2" t="str">
        <x:v>Adaptation</x:v>
      </x:c>
      <x:c r="C461" s="2" t="str">
        <x:v>Marine and Fisheries</x:v>
      </x:c>
      <x:c r="D461" s="2" t="str">
        <x:v>Seaweed farming</x:v>
      </x:c>
      <x:c r="E461" s="2" t="str">
        <x:v>Seaweed farming</x:v>
      </x:c>
      <x:c r="F461" s="2" t="str">
        <x:v>Seaweed farming is a adaptation technology in the Marine and Fisheries sector and the Seaweed farming technology group. It is defined as a combined hardware–software–orgware system that reduces exposure and physical vulnerability through resilient siting, design loads, protective structures, adaptable construction, ecosystem buffers and planned management of residual risk. Seaweed farming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61" s="2" t="str">
        <x:v>Mixed: adaptable design, site-specific implementation</x:v>
      </x:c>
      <x:c r="H461" s="2" t="str">
        <x:v>Seaweed farming is adaptable in capacity and configuration but site-specific in final engineering. Its principle remains the same, but resource quality, climate, scale, interfaces and safety constraints must be recalculated for each deployment.</x:v>
      </x:c>
      <x:c r="I461" s="2" t="str">
        <x:v>Primarily hard, with a soft component</x:v>
      </x:c>
      <x:c r="J461" s="2" t="str">
        <x:v>Seaweed farming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61" s="2" t="str">
        <x:v>Equipment and operation</x:v>
      </x:c>
      <x:c r="L461" s="2" t="str">
        <x:v>Seaweed farming is embodied mainly as an equipment-and-operation system. The deliverable is accepted only when measurable service, quality, safety and climate-performance criteria are met under real conditions.</x:v>
      </x:c>
      <x:c r="M461" s="2" t="str">
        <x:v>Yes, subject to life-cycle safeguards</x:v>
      </x:c>
      <x:c r="N461" s="2" t="str">
        <x:v>Seaweed farming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61" s="2" t="str">
        <x:v>Seaweed farming: resilient structural, drainage, transport, coastal or utility components; foundations, barriers, armour, geosynthetics, sensors and nature-based elements as applicable.</x:v>
      </x:c>
      <x:c r="P461" s="2" t="str">
        <x:v>Seaweed farming: climate-load and hazard analysis, structural or hydraulic modelling, geotechnical design, spatial planning, asset criticality, inspection and adaptation pathways.</x:v>
      </x:c>
      <x:c r="Q461" s="2" t="str">
        <x:v>Seaweed farming: building and infrastructure codes, zoning, permits, land acquisition or easements, maintenance responsibility, emergency access, environmental safeguards and community participation.</x:v>
      </x:c>
      <x:c r="R461" s="2" t="str">
        <x:v>Seaweed farming: site access, foundations, drainage, utility relocation, monitoring, construction staging, sediment or material supply and long-term maintenance corridors.</x:v>
      </x:c>
      <x:c r="S461" s="2" t="str">
        <x:v>Seaweed farming: construction fuel and electricity plus operational pumping, monitoring, lighting or active control; passive and ecosystem measures have lower operational demand.</x:v>
      </x:c>
      <x:c r="T461" s="2" t="str">
        <x:v>Seaweed farming: concrete, steel, stone, asphalt, timber, geotextiles, soil or sand, corrosion protection, vegetation and locally compatible fill.</x:v>
      </x:c>
      <x:c r="U461" s="2" t="str">
        <x:v>Seaweed farming: drainage and pump parts, expansion joints, fasteners, coatings, sensors, geotextile repair, replacement armour or fill and planting stock.</x:v>
      </x:c>
      <x:c r="V461" s="2" t="str">
        <x:v>https://www.ctc-n.org/sites/default/files/resources/ctcn_taxonomy_0.pdf</x:v>
      </x:c>
      <x:c r="W461" s="2" t="str">
        <x:v>https://institutoagricoladepueblobello.edu.co/colegiapp/archivostemas/GUIA%209.%5B25%5D.pdf</x:v>
      </x:c>
      <x:c r="X461" s="2" t="str">
        <x:v>https://iiasa.ac.at/what-is-technology</x:v>
      </x:c>
      <x:c r="Y461" s="2" t="str">
        <x:v>https://www.fao.org/3/i9705en/i9705en.pdf; https://www.ipcc.ch/report/ar6/wg2/chapter/chapter-6/; https://www.ipcc.ch/srocc/chapter/chapter-4-sea-level-rise-and-implications-for-low-lying-islands-coasts-and-communities/; https://www.unep.org/topics/climate-action/adaptation/ecosystem-based-adaptation</x:v>
      </x:c>
      <x:c r="Z461" s="2" t="str">
        <x:v>Technology-specific analytical synthesis. The CTCN hierarchy is retained; classifications and component dependencies require validation against the selected design, site and supplier documentation before investment or policy use.</x:v>
      </x:c>
      <x:c r="AA461" s="2" t="str">
        <x:v>Physical deployment of Seaweed farming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461" s="2" t="str">
        <x:v>For Seaweed farming,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61" s="2" t="str">
        <x:v>Construction and operation use concrete, steel, stone, asphalt, timber, geotextiles, soil or sand, corrosion protection, vegetation and locally compatible fill. For Seaweed farming, specifications must include durability, compatibility, recycled content and recoverability.</x:v>
      </x:c>
      <x:c r="AD461" s="2" t="str">
        <x:v>Maintenance of Seaweed farming depends on drainage and pump parts, expansion joints, fasteners, coatings, sensors, geotextile repair, replacement armour or fill and planting stock; critical spares are selected from failure-mode, lead-time and safety analysis for its installed configuration.</x:v>
      </x:c>
      <x:c r="AE461" s="2" t="str">
        <x:v>The software stack for Seaweed farming requires databases, secure communications, version-controlled models, computing, backup and interfaces with field or operational systems.</x:v>
      </x:c>
      <x:c r="AF461" s="2" t="str">
        <x:v>For Seaweed farming, software-related energy is electricity for sensing, computing, storage, communication and cooling; it is normally secondary but must be included for data-intensive or continuous services.</x:v>
      </x:c>
      <x:c r="AG461" s="2" t="str">
        <x:v>The non-physical inputs are calibrated data, metadata, algorithms, boundary conditions, emission or hazard factors, manuals and validation records specific to Seaweed farming.</x:v>
      </x:c>
      <x:c r="AH461" s="2" t="str">
        <x:v>Software continuity for Seaweed farming requires licences where applicable, updates, cybersecurity patches, backups, calibration files, model validation and technical support.</x:v>
      </x:c>
      <x:c r="AI461" s="2" t="str">
        <x:v>Orgware depends on the institutions, laboratories, training providers, regulators, operators and community interfaces needed to govern Seaweed farming.</x:v>
      </x:c>
      <x:c r="AJ461" s="2" t="str">
        <x:v>The orgware supporting Seaweed farming has mainly indirect energy use from offices, meetings, training and information systems; travel and field supervision may be material at dispersed sites.</x:v>
      </x:c>
      <x:c r="AK461" s="2" t="str">
        <x:v>Its organisational inputs are permits, budgets, trained staff, competence records, contracts, procedures, safeguards, monitoring evidence and stakeholder agreements tailored to Seaweed farming.</x:v>
      </x:c>
      <x:c r="AL461" s="2" t="str">
        <x:v>Sustained implementation of Seaweed farming requires procurement and service contracts, audit protocols, training material, reporting templates, insurance or guarantees and periodic independent review.</x:v>
      </x:c>
      <x:c r="AM461" s="2" t="str">
        <x:v>Iron ore / steel inputs</x:v>
      </x:c>
      <x:c r="AN461" s="2" t="str">
        <x:v>Australia; Brazil; China</x:v>
      </x:c>
      <x:c r="AO461" s="2" t="str">
        <x:v>China; India; Japan</x:v>
      </x:c>
      <x:c r="AP461" s="2" t="str">
        <x:v>Seaweed farming: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1" s="2" t="str">
        <x:v>2024–2025</x:v>
      </x:c>
      <x:c r="AR461" s="2" t="str">
        <x:v>https://pubs.usgs.gov/periodicals/mcs2026/mcs2026.pdf</x:v>
      </x:c>
    </x:row>
    <x:row r="462" ht="240" customHeight="1">
      <x:c r="A462" s="2" t="str">
        <x:v>ADP-0192</x:v>
      </x:c>
      <x:c r="B462" s="2" t="str">
        <x:v>Adaptation</x:v>
      </x:c>
      <x:c r="C462" s="2" t="str">
        <x:v>Marine and Fisheries</x:v>
      </x:c>
      <x:c r="D462" s="2" t="str">
        <x:v>Marine protected areas</x:v>
      </x:c>
      <x:c r="E462" s="2" t="str">
        <x:v>Marine protected areas</x:v>
      </x:c>
      <x:c r="F462" s="2" t="str">
        <x:v>Marine protected areas is a adaptation technology in the Marine and Fisheries sector and the Marine protected areas technology group. It is defined as a combined hardware–software–orgware system that reduces exposure and physical vulnerability through resilient siting, design loads, protective structures, adaptable construction, ecosystem buffers and planned management of residual risk. Marine protected areas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62" s="2" t="str">
        <x:v>Flexible</x:v>
      </x:c>
      <x:c r="H462" s="2" t="str">
        <x:v>Marine protected areas is transferable through configurable methods, rules and operating parameters. Its principle remains the same, but resource quality, climate, scale, interfaces and safety constraints must be recalculated for each deployment.</x:v>
      </x:c>
      <x:c r="I462" s="2" t="str">
        <x:v>Primarily soft, with physical support</x:v>
      </x:c>
      <x:c r="J462" s="2" t="str">
        <x:v>Marine protected areas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62" s="2" t="str">
        <x:v>Operation</x:v>
      </x:c>
      <x:c r="L462" s="2" t="str">
        <x:v>Marine protected areas is embodied mainly as an operating practice. The deliverable is accepted only when measurable service, quality, safety and climate-performance criteria are met under real conditions.</x:v>
      </x:c>
      <x:c r="M462" s="2" t="str">
        <x:v>Yes, subject to life-cycle safeguards</x:v>
      </x:c>
      <x:c r="N462" s="2" t="str">
        <x:v>Marine protected areas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62" s="2" t="str">
        <x:v>Marine protected areas: resilient structural, drainage, transport, coastal or utility components; foundations, barriers, armour, geosynthetics, sensors and nature-based elements as applicable.</x:v>
      </x:c>
      <x:c r="P462" s="2" t="str">
        <x:v>Marine protected areas: climate-load and hazard analysis, structural or hydraulic modelling, geotechnical design, spatial planning, asset criticality, inspection and adaptation pathways.</x:v>
      </x:c>
      <x:c r="Q462" s="2" t="str">
        <x:v>Marine protected areas: building and infrastructure codes, zoning, permits, land acquisition or easements, maintenance responsibility, emergency access, environmental safeguards and community participation.</x:v>
      </x:c>
      <x:c r="R462" s="2" t="str">
        <x:v>Marine protected areas: site access, foundations, drainage, utility relocation, monitoring, construction staging, sediment or material supply and long-term maintenance corridors.</x:v>
      </x:c>
      <x:c r="S462" s="2" t="str">
        <x:v>Marine protected areas: construction fuel and electricity plus operational pumping, monitoring, lighting or active control; passive and ecosystem measures have lower operational demand.</x:v>
      </x:c>
      <x:c r="T462" s="2" t="str">
        <x:v>Marine protected areas: concrete, steel, stone, asphalt, timber, geotextiles, soil or sand, corrosion protection, vegetation and locally compatible fill.</x:v>
      </x:c>
      <x:c r="U462" s="2" t="str">
        <x:v>Marine protected areas: drainage and pump parts, expansion joints, fasteners, coatings, sensors, geotextile repair, replacement armour or fill and planting stock.</x:v>
      </x:c>
      <x:c r="V462" s="2" t="str">
        <x:v>https://www.ctc-n.org/sites/default/files/resources/ctcn_taxonomy_0.pdf</x:v>
      </x:c>
      <x:c r="W462" s="2" t="str">
        <x:v>https://institutoagricoladepueblobello.edu.co/colegiapp/archivostemas/GUIA%209.%5B25%5D.pdf</x:v>
      </x:c>
      <x:c r="X462" s="2" t="str">
        <x:v>https://iiasa.ac.at/what-is-technology</x:v>
      </x:c>
      <x:c r="Y462" s="2" t="str">
        <x:v>https://www.fao.org/3/i9705en/i9705en.pdf; https://www.ipcc.ch/report/ar6/wg2/chapter/chapter-6/; https://www.ipcc.ch/srocc/chapter/chapter-4-sea-level-rise-and-implications-for-low-lying-islands-coasts-and-communities/; https://www.unep.org/topics/climate-action/adaptation/ecosystem-based-adaptation</x:v>
      </x:c>
      <x:c r="Z462" s="2" t="str">
        <x:v>Technology-specific analytical synthesis. The CTCN hierarchy is retained; classifications and component dependencies require validation against the selected design, site and supplier documentation before investment or policy use.</x:v>
      </x:c>
      <x:c r="AA462" s="2" t="str">
        <x:v>Physical deployment of Marine protected areas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62" s="2" t="str">
        <x:v>For Marine protected areas,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62" s="2" t="str">
        <x:v>Construction and operation use concrete, steel, stone, asphalt, timber, geotextiles, soil or sand, corrosion protection, vegetation and locally compatible fill. For Marine protected areas, specifications must include durability, compatibility, recycled content and recoverability.</x:v>
      </x:c>
      <x:c r="AD462" s="2" t="str">
        <x:v>Maintenance of Marine protected areas depends on drainage and pump parts, expansion joints, fasteners, coatings, sensors, geotextile repair, replacement armour or fill and planting stock; critical spares are selected from failure-mode, lead-time and safety analysis for its installed configuration.</x:v>
      </x:c>
      <x:c r="AE462" s="2" t="str">
        <x:v>The software stack for Marine protected areas requires databases, secure communications, version-controlled models, computing, backup and interfaces with field or operational systems.</x:v>
      </x:c>
      <x:c r="AF462" s="2" t="str">
        <x:v>For Marine protected areas, software-related energy is electricity for sensing, computing, storage, communication and cooling; it is normally secondary but must be included for data-intensive or continuous services.</x:v>
      </x:c>
      <x:c r="AG462" s="2" t="str">
        <x:v>The non-physical inputs are calibrated data, metadata, algorithms, boundary conditions, emission or hazard factors, manuals and validation records specific to Marine protected areas.</x:v>
      </x:c>
      <x:c r="AH462" s="2" t="str">
        <x:v>Software continuity for Marine protected areas requires licences where applicable, updates, cybersecurity patches, backups, calibration files, model validation and technical support.</x:v>
      </x:c>
      <x:c r="AI462" s="2" t="str">
        <x:v>Orgware depends on the institutions, laboratories, training providers, regulators, operators and community interfaces needed to govern Marine protected areas.</x:v>
      </x:c>
      <x:c r="AJ462" s="2" t="str">
        <x:v>The orgware supporting Marine protected areas has mainly indirect energy use from offices, meetings, training and information systems; travel and field supervision may be material at dispersed sites.</x:v>
      </x:c>
      <x:c r="AK462" s="2" t="str">
        <x:v>Its organisational inputs are permits, budgets, trained staff, competence records, contracts, procedures, safeguards, monitoring evidence and stakeholder agreements tailored to Marine protected areas.</x:v>
      </x:c>
      <x:c r="AL462" s="2" t="str">
        <x:v>Sustained implementation of Marine protected areas requires procurement and service contracts, audit protocols, training material, reporting templates, insurance or guarantees and periodic independent review.</x:v>
      </x:c>
      <x:c r="AM462" s="2" t="str">
        <x:v>Iron ore / steel inputs; Nickel; Chromium; Zinc</x:v>
      </x:c>
      <x:c r="AN462" s="2" t="str">
        <x:v>Australia; Brazil; China; Indonesia; Philippines; Russia; South Africa; Kazakhstan; Turkey; Peru</x:v>
      </x:c>
      <x:c r="AO462" s="2" t="str">
        <x:v>China; India; Japan; Indonesia; South Africa; Kazakhstan; South Korea</x:v>
      </x:c>
      <x:c r="AP462" s="2" t="str">
        <x:v>Marine protected areas: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2" s="2" t="str">
        <x:v>2024–2025</x:v>
      </x:c>
      <x:c r="AR462" s="2" t="str">
        <x:v>https://pubs.usgs.gov/periodicals/mcs2026/mcs2026.pdf; https://www.iea.org/reports/global-critical-minerals-outlook-2025</x:v>
      </x:c>
    </x:row>
    <x:row r="463" ht="240" customHeight="1">
      <x:c r="A463" s="2" t="str">
        <x:v>ADP-0193</x:v>
      </x:c>
      <x:c r="B463" s="2" t="str">
        <x:v>Adaptation</x:v>
      </x:c>
      <x:c r="C463" s="2" t="str">
        <x:v>Marine and Fisheries</x:v>
      </x:c>
      <x:c r="D463" s="2" t="str">
        <x:v>Fisheries management</x:v>
      </x:c>
      <x:c r="E463" s="2" t="str">
        <x:v>Fisheries management</x:v>
      </x:c>
      <x:c r="F463" s="2" t="str">
        <x:v>Fisheries management is a adaptation technology in the Marine and Fisheries sector and the Fisheries management technology group. It is defined as a combined hardware–software–orgware system that reduces exposure and physical vulnerability through resilient siting, design loads, protective structures, adaptable construction, ecosystem buffers and planned management of residual risk. Fisheries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63" s="2" t="str">
        <x:v>Flexible</x:v>
      </x:c>
      <x:c r="H463" s="2" t="str">
        <x:v>Fisheries management is transferable through configurable methods, rules and operating parameters. Its principle remains the same, but resource quality, climate, scale, interfaces and safety constraints must be recalculated for each deployment.</x:v>
      </x:c>
      <x:c r="I463" s="2" t="str">
        <x:v>Primarily soft, with physical support</x:v>
      </x:c>
      <x:c r="J463" s="2" t="str">
        <x:v>Fisheries management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63" s="2" t="str">
        <x:v>Operation</x:v>
      </x:c>
      <x:c r="L463" s="2" t="str">
        <x:v>Fisheries management is embodied mainly as an operating practice. The deliverable is accepted only when measurable service, quality, safety and climate-performance criteria are met under real conditions.</x:v>
      </x:c>
      <x:c r="M463" s="2" t="str">
        <x:v>Yes, subject to life-cycle safeguards</x:v>
      </x:c>
      <x:c r="N463" s="2" t="str">
        <x:v>Fisheries management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63" s="2" t="str">
        <x:v>Fisheries management: resilient structural, drainage, transport, coastal or utility components; foundations, barriers, armour, geosynthetics, sensors and nature-based elements as applicable.</x:v>
      </x:c>
      <x:c r="P463" s="2" t="str">
        <x:v>Fisheries management: climate-load and hazard analysis, structural or hydraulic modelling, geotechnical design, spatial planning, asset criticality, inspection and adaptation pathways.</x:v>
      </x:c>
      <x:c r="Q463" s="2" t="str">
        <x:v>Fisheries management: building and infrastructure codes, zoning, permits, land acquisition or easements, maintenance responsibility, emergency access, environmental safeguards and community participation.</x:v>
      </x:c>
      <x:c r="R463" s="2" t="str">
        <x:v>Fisheries management: site access, foundations, drainage, utility relocation, monitoring, construction staging, sediment or material supply and long-term maintenance corridors.</x:v>
      </x:c>
      <x:c r="S463" s="2" t="str">
        <x:v>Fisheries management: construction fuel and electricity plus operational pumping, monitoring, lighting or active control; passive and ecosystem measures have lower operational demand.</x:v>
      </x:c>
      <x:c r="T463" s="2" t="str">
        <x:v>Fisheries management: concrete, steel, stone, asphalt, timber, geotextiles, soil or sand, corrosion protection, vegetation and locally compatible fill.</x:v>
      </x:c>
      <x:c r="U463" s="2" t="str">
        <x:v>Fisheries management: drainage and pump parts, expansion joints, fasteners, coatings, sensors, geotextile repair, replacement armour or fill and planting stock.</x:v>
      </x:c>
      <x:c r="V463" s="2" t="str">
        <x:v>https://www.ctc-n.org/sites/default/files/resources/ctcn_taxonomy_0.pdf</x:v>
      </x:c>
      <x:c r="W463" s="2" t="str">
        <x:v>https://institutoagricoladepueblobello.edu.co/colegiapp/archivostemas/GUIA%209.%5B25%5D.pdf</x:v>
      </x:c>
      <x:c r="X463" s="2" t="str">
        <x:v>https://iiasa.ac.at/what-is-technology</x:v>
      </x:c>
      <x:c r="Y463" s="2" t="str">
        <x:v>https://www.fao.org/3/i9705en/i9705en.pdf; https://www.ipcc.ch/report/ar6/wg2/chapter/chapter-6/; https://www.ipcc.ch/srocc/chapter/chapter-4-sea-level-rise-and-implications-for-low-lying-islands-coasts-and-communities/; https://www.unep.org/topics/climate-action/adaptation/ecosystem-based-adaptation</x:v>
      </x:c>
      <x:c r="Z463" s="2" t="str">
        <x:v>Technology-specific analytical synthesis. The CTCN hierarchy is retained; classifications and component dependencies require validation against the selected design, site and supplier documentation before investment or policy use.</x:v>
      </x:c>
      <x:c r="AA463" s="2" t="str">
        <x:v>Physical deployment of Fisheries management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463" s="2" t="str">
        <x:v>For Fisheries management,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63" s="2" t="str">
        <x:v>Construction and operation use concrete, steel, stone, asphalt, timber, geotextiles, soil or sand, corrosion protection, vegetation and locally compatible fill. For Fisheries management, specifications must include durability, compatibility, recycled content and recoverability.</x:v>
      </x:c>
      <x:c r="AD463" s="2" t="str">
        <x:v>Maintenance of Fisheries management depends on drainage and pump parts, expansion joints, fasteners, coatings, sensors, geotextile repair, replacement armour or fill and planting stock; critical spares are selected from failure-mode, lead-time and safety analysis for its installed configuration.</x:v>
      </x:c>
      <x:c r="AE463" s="2" t="str">
        <x:v>The software stack for Fisheries management requires databases, secure communications, version-controlled models, computing, backup and interfaces with field or operational systems.</x:v>
      </x:c>
      <x:c r="AF463" s="2" t="str">
        <x:v>For Fisheries management, software-related energy is electricity for sensing, computing, storage, communication and cooling; it is normally secondary but must be included for data-intensive or continuous services.</x:v>
      </x:c>
      <x:c r="AG463" s="2" t="str">
        <x:v>The non-physical inputs are calibrated data, metadata, algorithms, boundary conditions, emission or hazard factors, manuals and validation records specific to Fisheries management.</x:v>
      </x:c>
      <x:c r="AH463" s="2" t="str">
        <x:v>Software continuity for Fisheries management requires licences where applicable, updates, cybersecurity patches, backups, calibration files, model validation and technical support.</x:v>
      </x:c>
      <x:c r="AI463" s="2" t="str">
        <x:v>Orgware depends on the institutions, laboratories, training providers, regulators, operators and community interfaces needed to govern Fisheries management.</x:v>
      </x:c>
      <x:c r="AJ463" s="2" t="str">
        <x:v>The orgware supporting Fisheries management has mainly indirect energy use from offices, meetings, training and information systems; travel and field supervision may be material at dispersed sites.</x:v>
      </x:c>
      <x:c r="AK463" s="2" t="str">
        <x:v>Its organisational inputs are permits, budgets, trained staff, competence records, contracts, procedures, safeguards, monitoring evidence and stakeholder agreements tailored to Fisheries management.</x:v>
      </x:c>
      <x:c r="AL463" s="2" t="str">
        <x:v>Sustained implementation of Fisheries management requires procurement and service contracts, audit protocols, training material, reporting templates, insurance or guarantees and periodic independent review.</x:v>
      </x:c>
      <x:c r="AM463" s="2" t="str">
        <x:v>No critical or strategic raw material is identifiable at taxonomy level; site-specific bulk materials may still be required.</x:v>
      </x:c>
      <x:c r="AN463" s="2" t="str"/>
      <x:c r="AO463" s="2" t="str"/>
      <x:c r="AP463" s="2" t="str">
        <x:v>Fisheries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3" s="2" t="str">
        <x:v>2024–2025</x:v>
      </x:c>
      <x:c r="AR463" s="2" t="str">
        <x:v>https://pubs.usgs.gov/periodicals/mcs2026/mcs2026.pdf; https://www.iea.org/reports/global-critical-minerals-outlook-2025</x:v>
      </x:c>
    </x:row>
    <x:row r="464" ht="240" customHeight="1">
      <x:c r="A464" s="2" t="str">
        <x:v>ADP-0194</x:v>
      </x:c>
      <x:c r="B464" s="2" t="str">
        <x:v>Adaptation</x:v>
      </x:c>
      <x:c r="C464" s="2" t="str">
        <x:v>Marine and Fisheries</x:v>
      </x:c>
      <x:c r="D464" s="2" t="str">
        <x:v>Artificial reefs</x:v>
      </x:c>
      <x:c r="E464" s="2" t="str">
        <x:v>Artificial reefs</x:v>
      </x:c>
      <x:c r="F464" s="2" t="str">
        <x:v>Artificial reefs is a adaptation technology in the Marine and Fisheries sector and the Artificial reefs technology group. It is defined as a combined hardware–software–orgware system that reduces exposure and physical vulnerability through resilient siting, design loads, protective structures, adaptable construction, ecosystem buffers and planned management of residual risk. Artificial reefs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64" s="2" t="str">
        <x:v>Mixed: adaptable design, site-specific implementation</x:v>
      </x:c>
      <x:c r="H464" s="2" t="str">
        <x:v>Artificial reefs is adaptable in capacity and configuration but site-specific in final engineering. Its principle remains the same, but resource quality, climate, scale, interfaces and safety constraints must be recalculated for each deployment.</x:v>
      </x:c>
      <x:c r="I464" s="2" t="str">
        <x:v>Primarily hard, with a soft component</x:v>
      </x:c>
      <x:c r="J464" s="2" t="str">
        <x:v>Artificial reefs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64" s="2" t="str">
        <x:v>Equipment and operation</x:v>
      </x:c>
      <x:c r="L464" s="2" t="str">
        <x:v>Artificial reefs is embodied mainly as an equipment-and-operation system. The deliverable is accepted only when measurable service, quality, safety and climate-performance criteria are met under real conditions.</x:v>
      </x:c>
      <x:c r="M464" s="2" t="str">
        <x:v>Yes, subject to life-cycle safeguards</x:v>
      </x:c>
      <x:c r="N464" s="2" t="str">
        <x:v>Artificial reefs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64" s="2" t="str">
        <x:v>Artificial reefs: resilient structural, drainage, transport, coastal or utility components; foundations, barriers, armour, geosynthetics, sensors and nature-based elements as applicable.</x:v>
      </x:c>
      <x:c r="P464" s="2" t="str">
        <x:v>Artificial reefs: climate-load and hazard analysis, structural or hydraulic modelling, geotechnical design, spatial planning, asset criticality, inspection and adaptation pathways.</x:v>
      </x:c>
      <x:c r="Q464" s="2" t="str">
        <x:v>Artificial reefs: building and infrastructure codes, zoning, permits, land acquisition or easements, maintenance responsibility, emergency access, environmental safeguards and community participation.</x:v>
      </x:c>
      <x:c r="R464" s="2" t="str">
        <x:v>Artificial reefs: site access, foundations, drainage, utility relocation, monitoring, construction staging, sediment or material supply and long-term maintenance corridors.</x:v>
      </x:c>
      <x:c r="S464" s="2" t="str">
        <x:v>Artificial reefs: construction fuel and electricity plus operational pumping, monitoring, lighting or active control; passive and ecosystem measures have lower operational demand.</x:v>
      </x:c>
      <x:c r="T464" s="2" t="str">
        <x:v>Artificial reefs: concrete, steel, stone, asphalt, timber, geotextiles, soil or sand, corrosion protection, vegetation and locally compatible fill.</x:v>
      </x:c>
      <x:c r="U464" s="2" t="str">
        <x:v>Artificial reefs: drainage and pump parts, expansion joints, fasteners, coatings, sensors, geotextile repair, replacement armour or fill and planting stock.</x:v>
      </x:c>
      <x:c r="V464" s="2" t="str">
        <x:v>https://www.ctc-n.org/sites/default/files/resources/ctcn_taxonomy_0.pdf</x:v>
      </x:c>
      <x:c r="W464" s="2" t="str">
        <x:v>https://institutoagricoladepueblobello.edu.co/colegiapp/archivostemas/GUIA%209.%5B25%5D.pdf</x:v>
      </x:c>
      <x:c r="X464" s="2" t="str">
        <x:v>https://iiasa.ac.at/what-is-technology</x:v>
      </x:c>
      <x:c r="Y464" s="2" t="str">
        <x:v>https://www.fao.org/3/i9705en/i9705en.pdf; https://www.ipcc.ch/report/ar6/wg2/chapter/chapter-6/; https://www.ipcc.ch/srocc/chapter/chapter-4-sea-level-rise-and-implications-for-low-lying-islands-coasts-and-communities/; https://www.unep.org/topics/climate-action/adaptation/ecosystem-based-adaptation</x:v>
      </x:c>
      <x:c r="Z464" s="2" t="str">
        <x:v>Technology-specific analytical synthesis. The CTCN hierarchy is retained; classifications and component dependencies require validation against the selected design, site and supplier documentation before investment or policy use.</x:v>
      </x:c>
      <x:c r="AA464" s="2" t="str">
        <x:v>Physical deployment of Artificial reefs requires site access, foundations, drainage, utility relocation, monitoring, construction staging, sediment or material supply and long-term maintenance corridors; interfaces, foundations, access and environmental protection are sized to the specific resource and design load.</x:v>
      </x:c>
      <x:c r="AB464" s="2" t="str">
        <x:v>For Artificial reefs,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64" s="2" t="str">
        <x:v>Construction and operation use concrete, steel, stone, asphalt, timber, geotextiles, soil or sand, corrosion protection, vegetation and locally compatible fill. For Artificial reefs, specifications must include durability, compatibility, recycled content and recoverability.</x:v>
      </x:c>
      <x:c r="AD464" s="2" t="str">
        <x:v>Maintenance of Artificial reefs depends on drainage and pump parts, expansion joints, fasteners, coatings, sensors, geotextile repair, replacement armour or fill and planting stock; critical spares are selected from failure-mode, lead-time and safety analysis for its installed configuration.</x:v>
      </x:c>
      <x:c r="AE464" s="2" t="str">
        <x:v>The software stack for Artificial reefs requires databases, secure communications, version-controlled models, computing, backup and interfaces with field or operational systems.</x:v>
      </x:c>
      <x:c r="AF464" s="2" t="str">
        <x:v>For Artificial reefs, software-related energy is electricity for sensing, computing, storage, communication and cooling; it is normally secondary but must be included for data-intensive or continuous services.</x:v>
      </x:c>
      <x:c r="AG464" s="2" t="str">
        <x:v>The non-physical inputs are calibrated data, metadata, algorithms, boundary conditions, emission or hazard factors, manuals and validation records specific to Artificial reefs.</x:v>
      </x:c>
      <x:c r="AH464" s="2" t="str">
        <x:v>Software continuity for Artificial reefs requires licences where applicable, updates, cybersecurity patches, backups, calibration files, model validation and technical support.</x:v>
      </x:c>
      <x:c r="AI464" s="2" t="str">
        <x:v>Orgware depends on the institutions, laboratories, training providers, regulators, operators and community interfaces needed to govern Artificial reefs.</x:v>
      </x:c>
      <x:c r="AJ464" s="2" t="str">
        <x:v>The orgware supporting Artificial reefs has mainly indirect energy use from offices, meetings, training and information systems; travel and field supervision may be material at dispersed sites.</x:v>
      </x:c>
      <x:c r="AK464" s="2" t="str">
        <x:v>Its organisational inputs are permits, budgets, trained staff, competence records, contracts, procedures, safeguards, monitoring evidence and stakeholder agreements tailored to Artificial reefs.</x:v>
      </x:c>
      <x:c r="AL464" s="2" t="str">
        <x:v>Sustained implementation of Artificial reefs requires procurement and service contracts, audit protocols, training material, reporting templates, insurance or guarantees and periodic independent review.</x:v>
      </x:c>
      <x:c r="AM464" s="2" t="str">
        <x:v>Iron ore / steel inputs</x:v>
      </x:c>
      <x:c r="AN464" s="2" t="str">
        <x:v>Australia; Brazil; China</x:v>
      </x:c>
      <x:c r="AO464" s="2" t="str">
        <x:v>China; India; Japan</x:v>
      </x:c>
      <x:c r="AP464" s="2" t="str">
        <x:v>Artificial reefs: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4" s="2" t="str">
        <x:v>2024–2025</x:v>
      </x:c>
      <x:c r="AR464" s="2" t="str">
        <x:v>https://pubs.usgs.gov/periodicals/mcs2026/mcs2026.pdf</x:v>
      </x:c>
    </x:row>
    <x:row r="465" ht="240" customHeight="1">
      <x:c r="A465" s="2" t="str">
        <x:v>ADP-0195</x:v>
      </x:c>
      <x:c r="B465" s="2" t="str">
        <x:v>Adaptation</x:v>
      </x:c>
      <x:c r="C465" s="2" t="str">
        <x:v>Marine and Fisheries</x:v>
      </x:c>
      <x:c r="D465" s="2" t="str">
        <x:v>Aquaculture management</x:v>
      </x:c>
      <x:c r="E465" s="2" t="str">
        <x:v>Aquaculture management</x:v>
      </x:c>
      <x:c r="F465" s="2" t="str">
        <x:v>Aquaculture management is a adaptation technology in the Marine and Fisheries sector and the Aquaculture management technology group. It is defined as a combined hardware–software–orgware system that reduces exposure and physical vulnerability through resilient siting, design loads, protective structures, adaptable construction, ecosystem buffers and planned management of residual risk. Aquaculture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465" s="2" t="str">
        <x:v>Flexible</x:v>
      </x:c>
      <x:c r="H465" s="2" t="str">
        <x:v>Aquaculture management is transferable through configurable methods, rules and operating parameters. Its principle remains the same, but resource quality, climate, scale, interfaces and safety constraints must be recalculated for each deployment.</x:v>
      </x:c>
      <x:c r="I465" s="2" t="str">
        <x:v>Primarily soft, with physical support</x:v>
      </x:c>
      <x:c r="J465" s="2" t="str">
        <x:v>Aquaculture management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465" s="2" t="str">
        <x:v>Operation</x:v>
      </x:c>
      <x:c r="L465" s="2" t="str">
        <x:v>Aquaculture management is embodied mainly as an operating practice. The deliverable is accepted only when measurable service, quality, safety and climate-performance criteria are met under real conditions.</x:v>
      </x:c>
      <x:c r="M465" s="2" t="str">
        <x:v>Yes, subject to life-cycle safeguards</x:v>
      </x:c>
      <x:c r="N465" s="2" t="str">
        <x:v>Aquaculture management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465" s="2" t="str">
        <x:v>Aquaculture management: resilient structural, drainage, transport, coastal or utility components; foundations, barriers, armour, geosynthetics, sensors and nature-based elements as applicable.</x:v>
      </x:c>
      <x:c r="P465" s="2" t="str">
        <x:v>Aquaculture management: climate-load and hazard analysis, structural or hydraulic modelling, geotechnical design, spatial planning, asset criticality, inspection and adaptation pathways.</x:v>
      </x:c>
      <x:c r="Q465" s="2" t="str">
        <x:v>Aquaculture management: building and infrastructure codes, zoning, permits, land acquisition or easements, maintenance responsibility, emergency access, environmental safeguards and community participation.</x:v>
      </x:c>
      <x:c r="R465" s="2" t="str">
        <x:v>Aquaculture management: site access, foundations, drainage, utility relocation, monitoring, construction staging, sediment or material supply and long-term maintenance corridors.</x:v>
      </x:c>
      <x:c r="S465" s="2" t="str">
        <x:v>Aquaculture management: construction fuel and electricity plus operational pumping, monitoring, lighting or active control; passive and ecosystem measures have lower operational demand.</x:v>
      </x:c>
      <x:c r="T465" s="2" t="str">
        <x:v>Aquaculture management: concrete, steel, stone, asphalt, timber, geotextiles, soil or sand, corrosion protection, vegetation and locally compatible fill.</x:v>
      </x:c>
      <x:c r="U465" s="2" t="str">
        <x:v>Aquaculture management: drainage and pump parts, expansion joints, fasteners, coatings, sensors, geotextile repair, replacement armour or fill and planting stock.</x:v>
      </x:c>
      <x:c r="V465" s="2" t="str">
        <x:v>https://www.ctc-n.org/sites/default/files/resources/ctcn_taxonomy_0.pdf</x:v>
      </x:c>
      <x:c r="W465" s="2" t="str">
        <x:v>https://institutoagricoladepueblobello.edu.co/colegiapp/archivostemas/GUIA%209.%5B25%5D.pdf</x:v>
      </x:c>
      <x:c r="X465" s="2" t="str">
        <x:v>https://iiasa.ac.at/what-is-technology</x:v>
      </x:c>
      <x:c r="Y465" s="2" t="str">
        <x:v>https://www.fao.org/3/i9705en/i9705en.pdf; https://www.ipcc.ch/report/ar6/wg2/chapter/chapter-6/; https://www.ipcc.ch/srocc/chapter/chapter-4-sea-level-rise-and-implications-for-low-lying-islands-coasts-and-communities/; https://www.unep.org/topics/climate-action/adaptation/ecosystem-based-adaptation</x:v>
      </x:c>
      <x:c r="Z465" s="2" t="str">
        <x:v>Technology-specific analytical synthesis. The CTCN hierarchy is retained; classifications and component dependencies require validation against the selected design, site and supplier documentation before investment or policy use.</x:v>
      </x:c>
      <x:c r="AA465" s="2" t="str">
        <x:v>Physical deployment of Aquaculture management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465" s="2" t="str">
        <x:v>For Aquaculture management,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465" s="2" t="str">
        <x:v>Construction and operation use concrete, steel, stone, asphalt, timber, geotextiles, soil or sand, corrosion protection, vegetation and locally compatible fill. For Aquaculture management, specifications must include durability, compatibility, recycled content and recoverability.</x:v>
      </x:c>
      <x:c r="AD465" s="2" t="str">
        <x:v>Maintenance of Aquaculture management depends on drainage and pump parts, expansion joints, fasteners, coatings, sensors, geotextile repair, replacement armour or fill and planting stock; critical spares are selected from failure-mode, lead-time and safety analysis for its installed configuration.</x:v>
      </x:c>
      <x:c r="AE465" s="2" t="str">
        <x:v>The software stack for Aquaculture management requires databases, secure communications, version-controlled models, computing, backup and interfaces with field or operational systems.</x:v>
      </x:c>
      <x:c r="AF465" s="2" t="str">
        <x:v>For Aquaculture management, software-related energy is electricity for sensing, computing, storage, communication and cooling; it is normally secondary but must be included for data-intensive or continuous services.</x:v>
      </x:c>
      <x:c r="AG465" s="2" t="str">
        <x:v>The non-physical inputs are calibrated data, metadata, algorithms, boundary conditions, emission or hazard factors, manuals and validation records specific to Aquaculture management.</x:v>
      </x:c>
      <x:c r="AH465" s="2" t="str">
        <x:v>Software continuity for Aquaculture management requires licences where applicable, updates, cybersecurity patches, backups, calibration files, model validation and technical support.</x:v>
      </x:c>
      <x:c r="AI465" s="2" t="str">
        <x:v>Orgware depends on the institutions, laboratories, training providers, regulators, operators and community interfaces needed to govern Aquaculture management.</x:v>
      </x:c>
      <x:c r="AJ465" s="2" t="str">
        <x:v>The orgware supporting Aquaculture management has mainly indirect energy use from offices, meetings, training and information systems; travel and field supervision may be material at dispersed sites.</x:v>
      </x:c>
      <x:c r="AK465" s="2" t="str">
        <x:v>Its organisational inputs are permits, budgets, trained staff, competence records, contracts, procedures, safeguards, monitoring evidence and stakeholder agreements tailored to Aquaculture management.</x:v>
      </x:c>
      <x:c r="AL465" s="2" t="str">
        <x:v>Sustained implementation of Aquaculture management requires procurement and service contracts, audit protocols, training material, reporting templates, insurance or guarantees and periodic independent review.</x:v>
      </x:c>
      <x:c r="AM465" s="2" t="str">
        <x:v>No critical or strategic raw material is identifiable at taxonomy level; site-specific bulk materials may still be required.</x:v>
      </x:c>
      <x:c r="AN465" s="2" t="str"/>
      <x:c r="AO465" s="2" t="str"/>
      <x:c r="AP465" s="2" t="str">
        <x:v>Aquaculture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5" s="2" t="str">
        <x:v>2024–2025</x:v>
      </x:c>
      <x:c r="AR465" s="2" t="str">
        <x:v>https://pubs.usgs.gov/periodicals/mcs2026/mcs2026.pdf; https://www.iea.org/reports/global-critical-minerals-outlook-2025</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ea325036b7324938"/>
  </x:tableParts>
</x:worksheet>
</file>

<file path=xl/worksheets/sheet2.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COMPLETE MITIGATION PACKAGE</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Technology-by-technology analytical expansion of the CTCN hierarchy. Each record explains the climate function, operating mechanism, life cycle, typology, hardware, software, orgware, implementation requirements, supply dependencies and traceability limits. Examples are representative real applications and do not imply endorsement. Validate every investment decision against site and supplier data.</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REQUIREMENTS AND DEPENDENCIES</x:v>
      </x:c>
      <x:c r="AB6" s="14"/>
      <x:c r="AC6" s="14"/>
      <x:c r="AD6" s="14"/>
      <x:c r="AE6" s="18" t="str">
        <x:v>SOFTWARE — REQUIREMENTS AND DEPENDENCIES</x:v>
      </x:c>
      <x:c r="AF6" s="18"/>
      <x:c r="AG6" s="18"/>
      <x:c r="AH6" s="18"/>
      <x:c r="AI6" s="22" t="str">
        <x:v>ORGWARE — REQUIREMENTS AND DEPENDENCIES</x:v>
      </x:c>
      <x:c r="AJ6" s="22"/>
      <x:c r="AK6" s="22"/>
      <x:c r="AL6" s="22"/>
      <x:c r="AM6" s="24" t="str">
        <x:v>RAW MATERIALS AND SUPPLY GEOGRAPHY</x:v>
      </x:c>
      <x:c r="AN6" s="24"/>
      <x:c r="AO6" s="24"/>
      <x:c r="AP6" s="24"/>
      <x:c r="AQ6" s="24"/>
      <x:c r="AR6" s="24"/>
    </x:row>
    <x:row r="7" ht="40.5" customHeight="1">
      <x:c r="A7" s="29" t="str">
        <x:v>technology_id</x:v>
      </x:c>
      <x:c r="B7" s="34" t="str">
        <x:v>CTCN branch</x:v>
      </x:c>
      <x:c r="C7" s="34" t="str">
        <x:v>A. Sector (CTCN)</x:v>
      </x:c>
      <x:c r="D7" s="34" t="str">
        <x:v>B. Technology group (CTCN)</x:v>
      </x:c>
      <x:c r="E7" s="34" t="str">
        <x:v>C. Technology (CTCN)</x:v>
      </x:c>
      <x:c r="F7" s="29" t="str">
        <x:v>Technology description / function</x:v>
      </x:c>
      <x:c r="G7" s="39" t="str">
        <x:v>Flexible / fixed</x:v>
      </x:c>
      <x:c r="H7" s="39" t="str">
        <x:v>Technical justification — flexible / fixed</x:v>
      </x:c>
      <x:c r="I7" s="39" t="str">
        <x:v>Hard / soft</x:v>
      </x:c>
      <x:c r="J7" s="39" t="str">
        <x:v>Technical justification — hard / soft</x:v>
      </x:c>
      <x:c r="K7" s="39" t="str">
        <x:v>Equipment / operation / product</x:v>
      </x:c>
      <x:c r="L7" s="39" t="str">
        <x:v>Technical justification — equipment / operation / product</x:v>
      </x:c>
      <x:c r="M7" s="39" t="str">
        <x:v>Clean technology</x:v>
      </x:c>
      <x:c r="N7" s="39" t="str">
        <x:v>Technical justification — clean technology</x:v>
      </x:c>
      <x:c r="O7" s="44" t="str">
        <x:v>Hardware</x:v>
      </x:c>
      <x:c r="P7" s="47" t="str">
        <x:v>Software</x:v>
      </x:c>
      <x:c r="Q7" s="50" t="str">
        <x:v>Orgware</x:v>
      </x:c>
      <x:c r="R7" s="55" t="str">
        <x:v>Associated infrastructure</x:v>
      </x:c>
      <x:c r="S7" s="55" t="str">
        <x:v>Energy carriers</x:v>
      </x:c>
      <x:c r="T7" s="55" t="str">
        <x:v>Raw materials and inputs</x:v>
      </x:c>
      <x:c r="U7" s="55" t="str">
        <x:v>Supplies and spare parts</x:v>
      </x:c>
      <x:c r="V7" s="29" t="str">
        <x:v>CTCN source</x:v>
      </x:c>
      <x:c r="W7" s="29" t="str">
        <x:v>Typology source</x:v>
      </x:c>
      <x:c r="X7" s="29" t="str">
        <x:v>IIASA source</x:v>
      </x:c>
      <x:c r="Y7" s="29" t="str">
        <x:v>Additional technical sources</x:v>
      </x:c>
      <x:c r="Z7" s="29" t="str">
        <x:v>Observations</x:v>
      </x:c>
      <x:c r="AA7" s="60" t="str">
        <x:v>Hardware — infrastructure</x:v>
      </x:c>
      <x:c r="AB7" s="60" t="str">
        <x:v>Hardware — energy</x:v>
      </x:c>
      <x:c r="AC7" s="60" t="str">
        <x:v>Hardware — materials and inputs</x:v>
      </x:c>
      <x:c r="AD7" s="60" t="str">
        <x:v>Hardware — supplies and spare parts</x:v>
      </x:c>
      <x:c r="AE7" s="65" t="str">
        <x:v>Software — infrastructure</x:v>
      </x:c>
      <x:c r="AF7" s="65" t="str">
        <x:v>Software — energy</x:v>
      </x:c>
      <x:c r="AG7" s="65" t="str">
        <x:v>Software — materials and inputs</x:v>
      </x:c>
      <x:c r="AH7" s="65" t="str">
        <x:v>Software — supplies and spare parts</x:v>
      </x:c>
      <x:c r="AI7" s="70" t="str">
        <x:v>Orgware — infrastructure</x:v>
      </x:c>
      <x:c r="AJ7" s="70" t="str">
        <x:v>Orgware — energy</x:v>
      </x:c>
      <x:c r="AK7" s="70" t="str">
        <x:v>Orgware — materials and inputs</x:v>
      </x:c>
      <x:c r="AL7" s="70" t="str">
        <x:v>Orgware — supplies and spare parts</x:v>
      </x:c>
      <x:c r="AM7" s="75" t="str">
        <x:v>Identified critical / strategic raw materials</x:v>
      </x:c>
      <x:c r="AN7" s="75" t="str">
        <x:v>Main extraction / production countries</x:v>
      </x:c>
      <x:c r="AO7" s="75" t="str">
        <x:v>Main refining / processing countries</x:v>
      </x:c>
      <x:c r="AP7" s="75" t="str">
        <x:v>Geographic and traceability note</x:v>
      </x:c>
      <x:c r="AQ7" s="75" t="str">
        <x:v>Geographic reference year</x:v>
      </x:c>
      <x:c r="AR7" s="75" t="str">
        <x:v>Raw-material and country source</x:v>
      </x:c>
    </x:row>
    <x:row r="8" ht="240" customHeight="1">
      <x:c r="A8" s="2" t="str">
        <x:v>MIT-0001</x:v>
      </x:c>
      <x:c r="B8" s="2" t="str">
        <x:v>Mitigation</x:v>
      </x:c>
      <x:c r="C8" s="2" t="str">
        <x:v>Carbon Fixation and Abatement</x:v>
      </x:c>
      <x:c r="D8" s="2" t="str">
        <x:v>Fugitive emission control</x:v>
      </x:c>
      <x:c r="E8" s="2" t="str">
        <x:v>Oil and gas flaring reduction</x:v>
      </x:c>
      <x:c r="F8" s="2" t="str">
        <x:v>Oil and gas flaring reduction is a mitigation technology in the Carbon Fixation and Abatement sector and the Fugitive emission control technology group. It is defined as a combined hardware–software–orgware system that detects, separates, captures, conditions, transports or securely contains carbon-bearing gases so that methane or CO₂ does not reach the atmosphere. It captures associated gas for use or routes it to a correctly designed flare where controlled combustion converts methane and volatile hydrocarbons mainly to CO₂ and water.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8" s="2" t="str">
        <x:v>Mixed: adaptable design, site-specific implementation</x:v>
      </x:c>
      <x:c r="H8" s="2" t="str">
        <x:v>Oil and gas flaring reduction is adaptable in capacity and configuration but site-specific in final engineering. Its principle remains the same, but resource quality, climate, scale, interfaces and safety constraints must be recalculated for each deployment.</x:v>
      </x:c>
      <x:c r="I8" s="2" t="str">
        <x:v>Primarily hard, with a soft component</x:v>
      </x:c>
      <x:c r="J8" s="2" t="str">
        <x:v>Oil and gas flaring reduction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8" s="2" t="str">
        <x:v>Equipment and operation</x:v>
      </x:c>
      <x:c r="L8" s="2" t="str">
        <x:v>Oil and gas flaring reduction is embodied mainly as an equipment-and-operation system. The deliverable is accepted only when measurable service, quality, safety and climate-performance criteria are met under real conditions.</x:v>
      </x:c>
      <x:c r="M8" s="2" t="str">
        <x:v>Yes, subject to life-cycle safeguards</x:v>
      </x:c>
      <x:c r="N8" s="2" t="str">
        <x:v>Oil and gas flaring reduction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8" s="2" t="str">
        <x:v>Oil and gas flaring reduction: gas analysers; flow, pressure and temperature instrumentation; separators; compressors; valves; sealed piping; flare or injection equipment.</x:v>
      </x:c>
      <x:c r="P8" s="2" t="str">
        <x:v>Oil and gas flaring reduction: mass and energy balances; leak detection and repair logic; process simulation; dispersion modelling; integrity and injection surveillance.</x:v>
      </x:c>
      <x:c r="Q8" s="2" t="str">
        <x:v>Oil and gas flaring reduction: emission permits; measurement, reporting and verification; asset-integrity management; emergency procedures; long-term liability.</x:v>
      </x:c>
      <x:c r="R8" s="2" t="str">
        <x:v>Oil and gas flaring reduction: process units, access roads, power supply, pipelines, compression or storage sites, laboratories and monitoring networks.</x:v>
      </x:c>
      <x:c r="S8" s="2" t="str">
        <x:v>Oil and gas flaring reduction: electricity for compression, pumping, refrigeration and instrumentation; fuel or heat where oxidation or regeneration is required.</x:v>
      </x:c>
      <x:c r="T8" s="2" t="str">
        <x:v>Oil and gas flaring reduction: pressure-grade steel, corrosion-resistant alloys, concrete, elastomeric seals, sorbents, solvents, membranes or catalysts according to the process.</x:v>
      </x:c>
      <x:c r="U8" s="2" t="str">
        <x:v>Oil and gas flaring reduction: calibrated sensors, valve trim, seals, compressor parts, filters, reagents and certified sampling equipment.</x:v>
      </x:c>
      <x:c r="V8" s="2" t="str">
        <x:v>https://www.ctc-n.org/sites/default/files/resources/ctcn_taxonomy_0.pdf</x:v>
      </x:c>
      <x:c r="W8" s="2" t="str">
        <x:v>https://institutoagricoladepueblobello.edu.co/colegiapp/archivostemas/GUIA%209.%5B25%5D.pdf</x:v>
      </x:c>
      <x:c r="X8" s="2" t="str">
        <x:v>https://iiasa.ac.at/what-is-technology</x:v>
      </x:c>
      <x:c r="Y8" s="2" t="str">
        <x:v>https://www.ipcc.ch/report/carbon-dioxide-capture-and-storage/; https://www.ipcc.ch/report/ar6/wg3/chapter/chapter-11/</x:v>
      </x:c>
      <x:c r="Z8" s="2" t="str">
        <x:v>Technology-specific analytical synthesis. The CTCN hierarchy is retained; classifications and component dependencies require validation against the selected design, site and supplier documentation before investment or policy use.</x:v>
      </x:c>
      <x:c r="AA8" s="2" t="str">
        <x:v>Physical deployment of Oil and gas flaring reduction requires process units, access roads, power supply, pipelines, compression or storage sites, laboratories and monitoring networks; interfaces, foundations, access and environmental protection are sized to the specific resource and design load.</x:v>
      </x:c>
      <x:c r="AB8" s="2" t="str">
        <x:v>For Oil and gas flaring reduction, the hardware energy balance comprises electricity for compression, pumping, refrigeration and instrumentation; fuel or heat where oxidation or regeneration is required; metering must separate useful output, conversion losses and auxiliaries for the selected design.</x:v>
      </x:c>
      <x:c r="AC8" s="2" t="str">
        <x:v>Construction and operation use pressure-grade steel, corrosion-resistant alloys, concrete, elastomeric seals, sorbents, solvents, membranes or catalysts according to the process. For Oil and gas flaring reduction, specifications must include durability, compatibility, recycled content and recoverability.</x:v>
      </x:c>
      <x:c r="AD8" s="2" t="str">
        <x:v>Maintenance of Oil and gas flaring reduction depends on calibrated sensors, valve trim, seals, compressor parts, filters, reagents and certified sampling equipment; critical spares are selected from failure-mode, lead-time and safety analysis for its installed configuration.</x:v>
      </x:c>
      <x:c r="AE8" s="2" t="str">
        <x:v>The software stack for Oil and gas flaring reduction requires databases, secure communications, version-controlled models, computing, backup and interfaces with field or operational systems.</x:v>
      </x:c>
      <x:c r="AF8" s="2" t="str">
        <x:v>For Oil and gas flaring reduction, software-related energy is electricity for sensing, computing, storage, communication and cooling; it is normally secondary but must be included for data-intensive or continuous services.</x:v>
      </x:c>
      <x:c r="AG8" s="2" t="str">
        <x:v>The non-physical inputs are calibrated data, metadata, algorithms, boundary conditions, emission or hazard factors, manuals and validation records specific to Oil and gas flaring reduction.</x:v>
      </x:c>
      <x:c r="AH8" s="2" t="str">
        <x:v>Software continuity for Oil and gas flaring reduction requires licences where applicable, updates, cybersecurity patches, backups, calibration files, model validation and technical support.</x:v>
      </x:c>
      <x:c r="AI8" s="2" t="str">
        <x:v>Orgware depends on the institutions, laboratories, training providers, regulators, operators and community interfaces needed to govern Oil and gas flaring reduction.</x:v>
      </x:c>
      <x:c r="AJ8" s="2" t="str">
        <x:v>The orgware supporting Oil and gas flaring reduction has mainly indirect energy use from offices, meetings, training and information systems; travel and field supervision may be material at dispersed sites.</x:v>
      </x:c>
      <x:c r="AK8" s="2" t="str">
        <x:v>Its organisational inputs are permits, budgets, trained staff, competence records, contracts, procedures, safeguards, monitoring evidence and stakeholder agreements tailored to Oil and gas flaring reduction.</x:v>
      </x:c>
      <x:c r="AL8" s="2" t="str">
        <x:v>Sustained implementation of Oil and gas flaring reduction requires procurement and service contracts, audit protocols, training material, reporting templates, insurance or guarantees and periodic independent review.</x:v>
      </x:c>
      <x:c r="AM8" s="2" t="str">
        <x:v>Iron ore / steel inputs; Copper; Tin</x:v>
      </x:c>
      <x:c r="AN8" s="2" t="str">
        <x:v>Australia; Brazil; China; Chile; Democratic Republic of the Congo; Peru; Indonesia; Myanmar</x:v>
      </x:c>
      <x:c r="AO8" s="2" t="str">
        <x:v>China; India; Japan; Chile; Democratic Republic of the Congo; Indonesia; Malaysia</x:v>
      </x:c>
      <x:c r="AP8" s="2" t="str">
        <x:v>Oil and gas flaring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 s="2" t="str">
        <x:v>2024–2025</x:v>
      </x:c>
      <x:c r="AR8" s="2" t="str">
        <x:v>https://pubs.usgs.gov/periodicals/mcs2026/mcs2026.pdf</x:v>
      </x:c>
    </x:row>
    <x:row r="9" ht="240" customHeight="1">
      <x:c r="A9" s="2" t="str">
        <x:v>MIT-0002</x:v>
      </x:c>
      <x:c r="B9" s="2" t="str">
        <x:v>Mitigation</x:v>
      </x:c>
      <x:c r="C9" s="2" t="str">
        <x:v>Carbon Fixation and Abatement</x:v>
      </x:c>
      <x:c r="D9" s="2" t="str">
        <x:v>Fugitive emission control</x:v>
      </x:c>
      <x:c r="E9" s="2" t="str">
        <x:v>Coal mine methane</x:v>
      </x:c>
      <x:c r="F9" s="2" t="str">
        <x:v>Coal mine methane is a mitigation technology in the Carbon Fixation and Abatement sector and the Fugitive emission control technology group. It is defined as a combined hardware–software–orgware system that detects, separates, captures, conditions, transports or securely contains carbon-bearing gases so that methane or CO₂ does not reach the atmosphere. Coal mine methane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9" s="2" t="str">
        <x:v>Mixed: adaptable design, site-specific implementation</x:v>
      </x:c>
      <x:c r="H9" s="2" t="str">
        <x:v>Coal mine methane is adaptable in capacity and configuration but site-specific in final engineering. Its principle remains the same, but resource quality, climate, scale, interfaces and safety constraints must be recalculated for each deployment.</x:v>
      </x:c>
      <x:c r="I9" s="2" t="str">
        <x:v>Primarily hard, with a soft component</x:v>
      </x:c>
      <x:c r="J9" s="2" t="str">
        <x:v>Coal mine methane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9" s="2" t="str">
        <x:v>Equipment and operation</x:v>
      </x:c>
      <x:c r="L9" s="2" t="str">
        <x:v>Coal mine methane is embodied mainly as an equipment-and-operation system. The deliverable is accepted only when measurable service, quality, safety and climate-performance criteria are met under real conditions.</x:v>
      </x:c>
      <x:c r="M9" s="2" t="str">
        <x:v>Yes, subject to life-cycle safeguards</x:v>
      </x:c>
      <x:c r="N9" s="2" t="str">
        <x:v>Coal mine methane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9" s="2" t="str">
        <x:v>Coal mine methane: gas analysers; flow, pressure and temperature instrumentation; separators; compressors; valves; sealed piping; flare or injection equipment.</x:v>
      </x:c>
      <x:c r="P9" s="2" t="str">
        <x:v>Coal mine methane: mass and energy balances; leak detection and repair logic; process simulation; dispersion modelling; integrity and injection surveillance.</x:v>
      </x:c>
      <x:c r="Q9" s="2" t="str">
        <x:v>Coal mine methane: emission permits; measurement, reporting and verification; asset-integrity management; emergency procedures; long-term liability.</x:v>
      </x:c>
      <x:c r="R9" s="2" t="str">
        <x:v>Coal mine methane: process units, access roads, power supply, pipelines, compression or storage sites, laboratories and monitoring networks.</x:v>
      </x:c>
      <x:c r="S9" s="2" t="str">
        <x:v>Coal mine methane: electricity for compression, pumping, refrigeration and instrumentation; fuel or heat where oxidation or regeneration is required.</x:v>
      </x:c>
      <x:c r="T9" s="2" t="str">
        <x:v>Coal mine methane: pressure-grade steel, corrosion-resistant alloys, concrete, elastomeric seals, sorbents, solvents, membranes or catalysts according to the process.</x:v>
      </x:c>
      <x:c r="U9" s="2" t="str">
        <x:v>Coal mine methane: calibrated sensors, valve trim, seals, compressor parts, filters, reagents and certified sampling equipment.</x:v>
      </x:c>
      <x:c r="V9" s="2" t="str">
        <x:v>https://www.ctc-n.org/sites/default/files/resources/ctcn_taxonomy_0.pdf</x:v>
      </x:c>
      <x:c r="W9" s="2" t="str">
        <x:v>https://institutoagricoladepueblobello.edu.co/colegiapp/archivostemas/GUIA%209.%5B25%5D.pdf</x:v>
      </x:c>
      <x:c r="X9" s="2" t="str">
        <x:v>https://iiasa.ac.at/what-is-technology</x:v>
      </x:c>
      <x:c r="Y9" s="2" t="str">
        <x:v>https://www.ipcc.ch/report/carbon-dioxide-capture-and-storage/; https://www.ipcc.ch/report/ar6/wg3/chapter/chapter-11/</x:v>
      </x:c>
      <x:c r="Z9" s="2" t="str">
        <x:v>Technology-specific analytical synthesis. The CTCN hierarchy is retained; classifications and component dependencies require validation against the selected design, site and supplier documentation before investment or policy use.</x:v>
      </x:c>
      <x:c r="AA9" s="2" t="str">
        <x:v>Physical deployment of Coal mine methane requires process units, access roads, power supply, pipelines, compression or storage sites, laboratories and monitoring networks; interfaces, foundations, access and environmental protection are sized to the specific resource and design load.</x:v>
      </x:c>
      <x:c r="AB9" s="2" t="str">
        <x:v>For Coal mine methane, the hardware energy balance comprises electricity for compression, pumping, refrigeration and instrumentation; fuel or heat where oxidation or regeneration is required; metering must separate useful output, conversion losses and auxiliaries for the selected design.</x:v>
      </x:c>
      <x:c r="AC9" s="2" t="str">
        <x:v>Construction and operation use pressure-grade steel, corrosion-resistant alloys, concrete, elastomeric seals, sorbents, solvents, membranes or catalysts according to the process. For Coal mine methane, specifications must include durability, compatibility, recycled content and recoverability.</x:v>
      </x:c>
      <x:c r="AD9" s="2" t="str">
        <x:v>Maintenance of Coal mine methane depends on calibrated sensors, valve trim, seals, compressor parts, filters, reagents and certified sampling equipment; critical spares are selected from failure-mode, lead-time and safety analysis for its installed configuration.</x:v>
      </x:c>
      <x:c r="AE9" s="2" t="str">
        <x:v>The software stack for Coal mine methane requires databases, secure communications, version-controlled models, computing, backup and interfaces with field or operational systems.</x:v>
      </x:c>
      <x:c r="AF9" s="2" t="str">
        <x:v>For Coal mine methane, software-related energy is electricity for sensing, computing, storage, communication and cooling; it is normally secondary but must be included for data-intensive or continuous services.</x:v>
      </x:c>
      <x:c r="AG9" s="2" t="str">
        <x:v>The non-physical inputs are calibrated data, metadata, algorithms, boundary conditions, emission or hazard factors, manuals and validation records specific to Coal mine methane.</x:v>
      </x:c>
      <x:c r="AH9" s="2" t="str">
        <x:v>Software continuity for Coal mine methane requires licences where applicable, updates, cybersecurity patches, backups, calibration files, model validation and technical support.</x:v>
      </x:c>
      <x:c r="AI9" s="2" t="str">
        <x:v>Orgware depends on the institutions, laboratories, training providers, regulators, operators and community interfaces needed to govern Coal mine methane.</x:v>
      </x:c>
      <x:c r="AJ9" s="2" t="str">
        <x:v>The orgware supporting Coal mine methane has mainly indirect energy use from offices, meetings, training and information systems; travel and field supervision may be material at dispersed sites.</x:v>
      </x:c>
      <x:c r="AK9" s="2" t="str">
        <x:v>Its organisational inputs are permits, budgets, trained staff, competence records, contracts, procedures, safeguards, monitoring evidence and stakeholder agreements tailored to Coal mine methane.</x:v>
      </x:c>
      <x:c r="AL9" s="2" t="str">
        <x:v>Sustained implementation of Coal mine methane requires procurement and service contracts, audit protocols, training material, reporting templates, insurance or guarantees and periodic independent review.</x:v>
      </x:c>
      <x:c r="AM9" s="2" t="str">
        <x:v>Iron ore / steel inputs; Copper; Tin</x:v>
      </x:c>
      <x:c r="AN9" s="2" t="str">
        <x:v>Australia; Brazil; China; Chile; Democratic Republic of the Congo; Peru; Indonesia; Myanmar</x:v>
      </x:c>
      <x:c r="AO9" s="2" t="str">
        <x:v>China; India; Japan; Chile; Democratic Republic of the Congo; Indonesia; Malaysia</x:v>
      </x:c>
      <x:c r="AP9" s="2" t="str">
        <x:v>Coal mine methane: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 s="2" t="str">
        <x:v>2024–2025</x:v>
      </x:c>
      <x:c r="AR9" s="2" t="str">
        <x:v>https://pubs.usgs.gov/periodicals/mcs2026/mcs2026.pdf</x:v>
      </x:c>
    </x:row>
    <x:row r="10" ht="240" customHeight="1">
      <x:c r="A10" s="2" t="str">
        <x:v>MIT-0003</x:v>
      </x:c>
      <x:c r="B10" s="2" t="str">
        <x:v>Mitigation</x:v>
      </x:c>
      <x:c r="C10" s="2" t="str">
        <x:v>Carbon Fixation and Abatement</x:v>
      </x:c>
      <x:c r="D10" s="2" t="str">
        <x:v>Fugitive emission control</x:v>
      </x:c>
      <x:c r="E10" s="2" t="str">
        <x:v>Natural gas pipeline leaking</x:v>
      </x:c>
      <x:c r="F10" s="2" t="str">
        <x:v>Natural gas pipeline leaking is a mitigation technology in the Carbon Fixation and Abatement sector and the Fugitive emission control technology group. It is defined as a combined hardware–software–orgware system that detects, separates, captures, conditions, transports or securely contains carbon-bearing gases so that methane or CO₂ does not reach the atmosphere. It locates losses by measurement and inspection, quantifies leak rate and restores containment through repair, pressure management or component replacement.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0" s="2" t="str">
        <x:v>Primarily fixed</x:v>
      </x:c>
      <x:c r="H10" s="2" t="str">
        <x:v>Natural gas pipeline leaking is tied to long-lived, site-specific assets and design loads. Its principle remains the same, but resource quality, climate, scale, interfaces and safety constraints must be recalculated for each deployment.</x:v>
      </x:c>
      <x:c r="I10" s="2" t="str">
        <x:v>Primarily hard, with a soft component</x:v>
      </x:c>
      <x:c r="J10" s="2" t="str">
        <x:v>Natural gas pipeline leaking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0" s="2" t="str">
        <x:v>Equipment and operation</x:v>
      </x:c>
      <x:c r="L10" s="2" t="str">
        <x:v>Natural gas pipeline leaking is embodied mainly as an equipment-and-operation system. The deliverable is accepted only when measurable service, quality, safety and climate-performance criteria are met under real conditions.</x:v>
      </x:c>
      <x:c r="M10" s="2" t="str">
        <x:v>Conditional on performance and life cycle</x:v>
      </x:c>
      <x:c r="N10" s="2" t="str">
        <x:v>Natural gas pipeline leaking is classified as conditional.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0" s="2" t="str">
        <x:v>Natural gas pipeline leaking: gas analysers; flow, pressure and temperature instrumentation; separators; compressors; valves; sealed piping; flare or injection equipment.</x:v>
      </x:c>
      <x:c r="P10" s="2" t="str">
        <x:v>Natural gas pipeline leaking: mass and energy balances; leak detection and repair logic; process simulation; dispersion modelling; integrity and injection surveillance.</x:v>
      </x:c>
      <x:c r="Q10" s="2" t="str">
        <x:v>Natural gas pipeline leaking: emission permits; measurement, reporting and verification; asset-integrity management; emergency procedures; long-term liability.</x:v>
      </x:c>
      <x:c r="R10" s="2" t="str">
        <x:v>Natural gas pipeline leaking: process units, access roads, power supply, pipelines, compression or storage sites, laboratories and monitoring networks.</x:v>
      </x:c>
      <x:c r="S10" s="2" t="str">
        <x:v>Natural gas pipeline leaking: electricity for compression, pumping, refrigeration and instrumentation; fuel or heat where oxidation or regeneration is required.</x:v>
      </x:c>
      <x:c r="T10" s="2" t="str">
        <x:v>Natural gas pipeline leaking: pressure-grade steel, corrosion-resistant alloys, concrete, elastomeric seals, sorbents, solvents, membranes or catalysts according to the process.</x:v>
      </x:c>
      <x:c r="U10" s="2" t="str">
        <x:v>Natural gas pipeline leaking: calibrated sensors, valve trim, seals, compressor parts, filters, reagents and certified sampling equipment.</x:v>
      </x:c>
      <x:c r="V10" s="2" t="str">
        <x:v>https://www.ctc-n.org/sites/default/files/resources/ctcn_taxonomy_0.pdf</x:v>
      </x:c>
      <x:c r="W10" s="2" t="str">
        <x:v>https://institutoagricoladepueblobello.edu.co/colegiapp/archivostemas/GUIA%209.%5B25%5D.pdf</x:v>
      </x:c>
      <x:c r="X10" s="2" t="str">
        <x:v>https://iiasa.ac.at/what-is-technology</x:v>
      </x:c>
      <x:c r="Y10" s="2" t="str">
        <x:v>https://www.ipcc.ch/report/carbon-dioxide-capture-and-storage/; https://www.ipcc.ch/report/ar6/wg3/chapter/chapter-11/</x:v>
      </x:c>
      <x:c r="Z10" s="2" t="str">
        <x:v>Technology-specific analytical synthesis. The CTCN hierarchy is retained; classifications and component dependencies require validation against the selected design, site and supplier documentation before investment or policy use.</x:v>
      </x:c>
      <x:c r="AA10" s="2" t="str">
        <x:v>Physical deployment of Natural gas pipeline leaking requires process units, access roads, power supply, pipelines, compression or storage sites, laboratories and monitoring networks; interfaces, foundations, access and environmental protection are sized to the specific resource and design load.</x:v>
      </x:c>
      <x:c r="AB10" s="2" t="str">
        <x:v>For Natural gas pipeline leaking, the hardware energy balance comprises electricity for compression, pumping, refrigeration and instrumentation; fuel or heat where oxidation or regeneration is required; metering must separate useful output, conversion losses and auxiliaries for the selected design.</x:v>
      </x:c>
      <x:c r="AC10" s="2" t="str">
        <x:v>Construction and operation use pressure-grade steel, corrosion-resistant alloys, concrete, elastomeric seals, sorbents, solvents, membranes or catalysts according to the process. For Natural gas pipeline leaking, specifications must include durability, compatibility, recycled content and recoverability.</x:v>
      </x:c>
      <x:c r="AD10" s="2" t="str">
        <x:v>Maintenance of Natural gas pipeline leaking depends on calibrated sensors, valve trim, seals, compressor parts, filters, reagents and certified sampling equipment; critical spares are selected from failure-mode, lead-time and safety analysis for its installed configuration.</x:v>
      </x:c>
      <x:c r="AE10" s="2" t="str">
        <x:v>The software stack for Natural gas pipeline leaking requires databases, secure communications, version-controlled models, computing, backup and interfaces with field or operational systems.</x:v>
      </x:c>
      <x:c r="AF10" s="2" t="str">
        <x:v>For Natural gas pipeline leaking, software-related energy is electricity for sensing, computing, storage, communication and cooling; it is normally secondary but must be included for data-intensive or continuous services.</x:v>
      </x:c>
      <x:c r="AG10" s="2" t="str">
        <x:v>The non-physical inputs are calibrated data, metadata, algorithms, boundary conditions, emission or hazard factors, manuals and validation records specific to Natural gas pipeline leaking.</x:v>
      </x:c>
      <x:c r="AH10" s="2" t="str">
        <x:v>Software continuity for Natural gas pipeline leaking requires licences where applicable, updates, cybersecurity patches, backups, calibration files, model validation and technical support.</x:v>
      </x:c>
      <x:c r="AI10" s="2" t="str">
        <x:v>Orgware depends on the institutions, laboratories, training providers, regulators, operators and community interfaces needed to govern Natural gas pipeline leaking.</x:v>
      </x:c>
      <x:c r="AJ10" s="2" t="str">
        <x:v>The orgware supporting Natural gas pipeline leaking has mainly indirect energy use from offices, meetings, training and information systems; travel and field supervision may be material at dispersed sites.</x:v>
      </x:c>
      <x:c r="AK10" s="2" t="str">
        <x:v>Its organisational inputs are permits, budgets, trained staff, competence records, contracts, procedures, safeguards, monitoring evidence and stakeholder agreements tailored to Natural gas pipeline leaking.</x:v>
      </x:c>
      <x:c r="AL10" s="2" t="str">
        <x:v>Sustained implementation of Natural gas pipeline leaking requires procurement and service contracts, audit protocols, training material, reporting templates, insurance or guarantees and periodic independent review.</x:v>
      </x:c>
      <x:c r="AM10" s="2" t="str">
        <x:v>Iron ore / steel inputs; Copper; Tin; Nickel; Chromium</x:v>
      </x:c>
      <x:c r="AN10" s="2" t="str">
        <x:v>Australia; Brazil; China; Chile; Democratic Republic of the Congo; Peru; Indonesia; Myanmar; Philippines; Russia; South Africa; Kazakhstan; Turkey</x:v>
      </x:c>
      <x:c r="AO10" s="2" t="str">
        <x:v>China; India; Japan; Chile; Democratic Republic of the Congo; Indonesia; Malaysia; South Africa; Kazakhstan</x:v>
      </x:c>
      <x:c r="AP10" s="2" t="str">
        <x:v>Natural gas pipeline leaking: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 s="2" t="str">
        <x:v>2024–2025</x:v>
      </x:c>
      <x:c r="AR10" s="2" t="str">
        <x:v>https://pubs.usgs.gov/periodicals/mcs2026/mcs2026.pdf; https://www.iea.org/reports/global-critical-minerals-outlook-2025</x:v>
      </x:c>
    </x:row>
    <x:row r="11" ht="240" customHeight="1">
      <x:c r="A11" s="2" t="str">
        <x:v>MIT-0004</x:v>
      </x:c>
      <x:c r="B11" s="2" t="str">
        <x:v>Mitigation</x:v>
      </x:c>
      <x:c r="C11" s="2" t="str">
        <x:v>Carbon Fixation and Abatement</x:v>
      </x:c>
      <x:c r="D11" s="2" t="str">
        <x:v>Fugitive emission control</x:v>
      </x:c>
      <x:c r="E11" s="2" t="str">
        <x:v>Charcoal production</x:v>
      </x:c>
      <x:c r="F11" s="2" t="str">
        <x:v>Charcoal production is a mitigation technology in the Carbon Fixation and Abatement sector and the Fugitive emission control technology group. It is defined as a combined hardware–software–orgware system that detects, separates, captures, conditions, transports or securely contains carbon-bearing gases so that methane or CO₂ does not reach the atmosphere. Charcoal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1" s="2" t="str">
        <x:v>Mixed: adaptable design, site-specific implementation</x:v>
      </x:c>
      <x:c r="H11" s="2" t="str">
        <x:v>Charcoal production is adaptable in capacity and configuration but site-specific in final engineering. Its principle remains the same, but resource quality, climate, scale, interfaces and safety constraints must be recalculated for each deployment.</x:v>
      </x:c>
      <x:c r="I11" s="2" t="str">
        <x:v>Primarily hard, with a soft component</x:v>
      </x:c>
      <x:c r="J11" s="2" t="str">
        <x:v>Charcoal production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1" s="2" t="str">
        <x:v>Equipment and operation</x:v>
      </x:c>
      <x:c r="L11" s="2" t="str">
        <x:v>Charcoal production is embodied mainly as an equipment-and-operation system. The deliverable is accepted only when measurable service, quality, safety and climate-performance criteria are met under real conditions.</x:v>
      </x:c>
      <x:c r="M11" s="2" t="str">
        <x:v>Yes, subject to life-cycle safeguards</x:v>
      </x:c>
      <x:c r="N11" s="2" t="str">
        <x:v>Charcoal production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1" s="2" t="str">
        <x:v>Charcoal production: gas analysers; flow, pressure and temperature instrumentation; separators; compressors; valves; sealed piping; flare or injection equipment.</x:v>
      </x:c>
      <x:c r="P11" s="2" t="str">
        <x:v>Charcoal production: mass and energy balances; leak detection and repair logic; process simulation; dispersion modelling; integrity and injection surveillance.</x:v>
      </x:c>
      <x:c r="Q11" s="2" t="str">
        <x:v>Charcoal production: emission permits; measurement, reporting and verification; asset-integrity management; emergency procedures; long-term liability.</x:v>
      </x:c>
      <x:c r="R11" s="2" t="str">
        <x:v>Charcoal production: process units, access roads, power supply, pipelines, compression or storage sites, laboratories and monitoring networks.</x:v>
      </x:c>
      <x:c r="S11" s="2" t="str">
        <x:v>Charcoal production: electricity for compression, pumping, refrigeration and instrumentation; fuel or heat where oxidation or regeneration is required.</x:v>
      </x:c>
      <x:c r="T11" s="2" t="str">
        <x:v>Charcoal production: pressure-grade steel, corrosion-resistant alloys, concrete, elastomeric seals, sorbents, solvents, membranes or catalysts according to the process.</x:v>
      </x:c>
      <x:c r="U11" s="2" t="str">
        <x:v>Charcoal production: calibrated sensors, valve trim, seals, compressor parts, filters, reagents and certified sampling equipment.</x:v>
      </x:c>
      <x:c r="V11" s="2" t="str">
        <x:v>https://www.ctc-n.org/sites/default/files/resources/ctcn_taxonomy_0.pdf</x:v>
      </x:c>
      <x:c r="W11" s="2" t="str">
        <x:v>https://institutoagricoladepueblobello.edu.co/colegiapp/archivostemas/GUIA%209.%5B25%5D.pdf</x:v>
      </x:c>
      <x:c r="X11" s="2" t="str">
        <x:v>https://iiasa.ac.at/what-is-technology</x:v>
      </x:c>
      <x:c r="Y11" s="2" t="str">
        <x:v>https://www.ipcc.ch/report/carbon-dioxide-capture-and-storage/; https://www.ipcc.ch/report/ar6/wg3/chapter/chapter-11/</x:v>
      </x:c>
      <x:c r="Z11" s="2" t="str">
        <x:v>Technology-specific analytical synthesis. The CTCN hierarchy is retained; classifications and component dependencies require validation against the selected design, site and supplier documentation before investment or policy use.</x:v>
      </x:c>
      <x:c r="AA11" s="2" t="str">
        <x:v>Physical deployment of Charcoal production requires process units, access roads, power supply, pipelines, compression or storage sites, laboratories and monitoring networks; interfaces, foundations, access and environmental protection are sized to the specific resource and design load.</x:v>
      </x:c>
      <x:c r="AB11" s="2" t="str">
        <x:v>For Charcoal production, the hardware energy balance comprises electricity for compression, pumping, refrigeration and instrumentation; fuel or heat where oxidation or regeneration is required; metering must separate useful output, conversion losses and auxiliaries for the selected design.</x:v>
      </x:c>
      <x:c r="AC11" s="2" t="str">
        <x:v>Construction and operation use pressure-grade steel, corrosion-resistant alloys, concrete, elastomeric seals, sorbents, solvents, membranes or catalysts according to the process. For Charcoal production, specifications must include durability, compatibility, recycled content and recoverability.</x:v>
      </x:c>
      <x:c r="AD11" s="2" t="str">
        <x:v>Maintenance of Charcoal production depends on calibrated sensors, valve trim, seals, compressor parts, filters, reagents and certified sampling equipment; critical spares are selected from failure-mode, lead-time and safety analysis for its installed configuration.</x:v>
      </x:c>
      <x:c r="AE11" s="2" t="str">
        <x:v>The software stack for Charcoal production requires databases, secure communications, version-controlled models, computing, backup and interfaces with field or operational systems.</x:v>
      </x:c>
      <x:c r="AF11" s="2" t="str">
        <x:v>For Charcoal production, software-related energy is electricity for sensing, computing, storage, communication and cooling; it is normally secondary but must be included for data-intensive or continuous services.</x:v>
      </x:c>
      <x:c r="AG11" s="2" t="str">
        <x:v>The non-physical inputs are calibrated data, metadata, algorithms, boundary conditions, emission or hazard factors, manuals and validation records specific to Charcoal production.</x:v>
      </x:c>
      <x:c r="AH11" s="2" t="str">
        <x:v>Software continuity for Charcoal production requires licences where applicable, updates, cybersecurity patches, backups, calibration files, model validation and technical support.</x:v>
      </x:c>
      <x:c r="AI11" s="2" t="str">
        <x:v>Orgware depends on the institutions, laboratories, training providers, regulators, operators and community interfaces needed to govern Charcoal production.</x:v>
      </x:c>
      <x:c r="AJ11" s="2" t="str">
        <x:v>The orgware supporting Charcoal production has mainly indirect energy use from offices, meetings, training and information systems; travel and field supervision may be material at dispersed sites.</x:v>
      </x:c>
      <x:c r="AK11" s="2" t="str">
        <x:v>Its organisational inputs are permits, budgets, trained staff, competence records, contracts, procedures, safeguards, monitoring evidence and stakeholder agreements tailored to Charcoal production.</x:v>
      </x:c>
      <x:c r="AL11" s="2" t="str">
        <x:v>Sustained implementation of Charcoal production requires procurement and service contracts, audit protocols, training material, reporting templates, insurance or guarantees and periodic independent review.</x:v>
      </x:c>
      <x:c r="AM11" s="2" t="str">
        <x:v>Iron ore / steel inputs; Copper; Tin</x:v>
      </x:c>
      <x:c r="AN11" s="2" t="str">
        <x:v>Australia; Brazil; China; Chile; Democratic Republic of the Congo; Peru; Indonesia; Myanmar</x:v>
      </x:c>
      <x:c r="AO11" s="2" t="str">
        <x:v>China; India; Japan; Chile; Democratic Republic of the Congo; Indonesia; Malaysia</x:v>
      </x:c>
      <x:c r="AP11" s="2" t="str">
        <x:v>Charcoal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 s="2" t="str">
        <x:v>2024–2025</x:v>
      </x:c>
      <x:c r="AR11" s="2" t="str">
        <x:v>https://pubs.usgs.gov/periodicals/mcs2026/mcs2026.pdf</x:v>
      </x:c>
    </x:row>
    <x:row r="12" ht="240" customHeight="1">
      <x:c r="A12" s="2" t="str">
        <x:v>MIT-0005</x:v>
      </x:c>
      <x:c r="B12" s="2" t="str">
        <x:v>Mitigation</x:v>
      </x:c>
      <x:c r="C12" s="2" t="str">
        <x:v>Carbon Fixation and Abatement</x:v>
      </x:c>
      <x:c r="D12" s="2" t="str">
        <x:v>Carbon capture and storage</x:v>
      </x:c>
      <x:c r="E12" s="2" t="str">
        <x:v>CO2 transport technologies</x:v>
      </x:c>
      <x:c r="F12" s="2" t="str">
        <x:v>CO2 transport technologies is a mitigation technology in the Carbon Fixation and Abatement sector and the Carbon capture and storage technology group. It is defined as a combined hardware–software–orgware system that detects, separates, captures, conditions, transports or securely contains carbon-bearing gases so that methane or CO₂ does not reach the atmosphere. It conditions dense-phase or gaseous CO₂ and moves it through pipelines, ships or road/rail containers while controlling pressure, impurities, fracture propagation and release risk.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2" s="2" t="str">
        <x:v>Mixed: adaptable design, site-specific implementation</x:v>
      </x:c>
      <x:c r="H12" s="2" t="str">
        <x:v>CO2 transport technologies is adaptable in capacity and configuration but site-specific in final engineering. Its principle remains the same, but resource quality, climate, scale, interfaces and safety constraints must be recalculated for each deployment.</x:v>
      </x:c>
      <x:c r="I12" s="2" t="str">
        <x:v>Primarily hard, with a soft component</x:v>
      </x:c>
      <x:c r="J12" s="2" t="str">
        <x:v>CO2 transport technologies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2" s="2" t="str">
        <x:v>Equipment and operation</x:v>
      </x:c>
      <x:c r="L12" s="2" t="str">
        <x:v>CO2 transport technologies is embodied mainly as an equipment-and-operation system. The deliverable is accepted only when measurable service, quality, safety and climate-performance criteria are met under real conditions.</x:v>
      </x:c>
      <x:c r="M12" s="2" t="str">
        <x:v>Yes, subject to life-cycle safeguards</x:v>
      </x:c>
      <x:c r="N12" s="2" t="str">
        <x:v>CO2 transport technologies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2" s="2" t="str">
        <x:v>CO2 transport technologies: gas analysers; flow, pressure and temperature instrumentation; separators; compressors; valves; sealed piping; flare or injection equipment.</x:v>
      </x:c>
      <x:c r="P12" s="2" t="str">
        <x:v>CO2 transport technologies: mass and energy balances; leak detection and repair logic; process simulation; dispersion modelling; integrity and injection surveillance.</x:v>
      </x:c>
      <x:c r="Q12" s="2" t="str">
        <x:v>CO2 transport technologies: emission permits; measurement, reporting and verification; asset-integrity management; emergency procedures; long-term liability.</x:v>
      </x:c>
      <x:c r="R12" s="2" t="str">
        <x:v>CO2 transport technologies: process units, access roads, power supply, pipelines, compression or storage sites, laboratories and monitoring networks.</x:v>
      </x:c>
      <x:c r="S12" s="2" t="str">
        <x:v>CO2 transport technologies: electricity for compression, pumping, refrigeration and instrumentation; fuel or heat where oxidation or regeneration is required.</x:v>
      </x:c>
      <x:c r="T12" s="2" t="str">
        <x:v>CO2 transport technologies: pressure-grade steel, corrosion-resistant alloys, concrete, elastomeric seals, sorbents, solvents, membranes or catalysts according to the process.</x:v>
      </x:c>
      <x:c r="U12" s="2" t="str">
        <x:v>CO2 transport technologies: calibrated sensors, valve trim, seals, compressor parts, filters, reagents and certified sampling equipment.</x:v>
      </x:c>
      <x:c r="V12" s="2" t="str">
        <x:v>https://www.ctc-n.org/sites/default/files/resources/ctcn_taxonomy_0.pdf</x:v>
      </x:c>
      <x:c r="W12" s="2" t="str">
        <x:v>https://institutoagricoladepueblobello.edu.co/colegiapp/archivostemas/GUIA%209.%5B25%5D.pdf</x:v>
      </x:c>
      <x:c r="X12" s="2" t="str">
        <x:v>https://iiasa.ac.at/what-is-technology</x:v>
      </x:c>
      <x:c r="Y12" s="2" t="str">
        <x:v>https://www.ipcc.ch/report/carbon-dioxide-capture-and-storage/; https://www.ipcc.ch/report/ar6/wg3/chapter/chapter-11/</x:v>
      </x:c>
      <x:c r="Z12" s="2" t="str">
        <x:v>Technology-specific analytical synthesis. The CTCN hierarchy is retained; classifications and component dependencies require validation against the selected design, site and supplier documentation before investment or policy use.</x:v>
      </x:c>
      <x:c r="AA12" s="2" t="str">
        <x:v>Physical deployment of CO2 transport technologies requires process units, access roads, power supply, pipelines, compression or storage sites, laboratories and monitoring networks; interfaces, foundations, access and environmental protection are sized to the specific resource and design load.</x:v>
      </x:c>
      <x:c r="AB12" s="2" t="str">
        <x:v>For CO2 transport technologies, the hardware energy balance comprises electricity for compression, pumping, refrigeration and instrumentation; fuel or heat where oxidation or regeneration is required; metering must separate useful output, conversion losses and auxiliaries for the selected design.</x:v>
      </x:c>
      <x:c r="AC12" s="2" t="str">
        <x:v>Construction and operation use pressure-grade steel, corrosion-resistant alloys, concrete, elastomeric seals, sorbents, solvents, membranes or catalysts according to the process. For CO2 transport technologies, specifications must include durability, compatibility, recycled content and recoverability.</x:v>
      </x:c>
      <x:c r="AD12" s="2" t="str">
        <x:v>Maintenance of CO2 transport technologies depends on calibrated sensors, valve trim, seals, compressor parts, filters, reagents and certified sampling equipment; critical spares are selected from failure-mode, lead-time and safety analysis for its installed configuration.</x:v>
      </x:c>
      <x:c r="AE12" s="2" t="str">
        <x:v>The software stack for CO2 transport technologies requires databases, secure communications, version-controlled models, computing, backup and interfaces with field or operational systems.</x:v>
      </x:c>
      <x:c r="AF12" s="2" t="str">
        <x:v>For CO2 transport technologies, software-related energy is electricity for sensing, computing, storage, communication and cooling; it is normally secondary but must be included for data-intensive or continuous services.</x:v>
      </x:c>
      <x:c r="AG12" s="2" t="str">
        <x:v>The non-physical inputs are calibrated data, metadata, algorithms, boundary conditions, emission or hazard factors, manuals and validation records specific to CO2 transport technologies.</x:v>
      </x:c>
      <x:c r="AH12" s="2" t="str">
        <x:v>Software continuity for CO2 transport technologies requires licences where applicable, updates, cybersecurity patches, backups, calibration files, model validation and technical support.</x:v>
      </x:c>
      <x:c r="AI12" s="2" t="str">
        <x:v>Orgware depends on the institutions, laboratories, training providers, regulators, operators and community interfaces needed to govern CO2 transport technologies.</x:v>
      </x:c>
      <x:c r="AJ12" s="2" t="str">
        <x:v>The orgware supporting CO2 transport technologies has mainly indirect energy use from offices, meetings, training and information systems; travel and field supervision may be material at dispersed sites.</x:v>
      </x:c>
      <x:c r="AK12" s="2" t="str">
        <x:v>Its organisational inputs are permits, budgets, trained staff, competence records, contracts, procedures, safeguards, monitoring evidence and stakeholder agreements tailored to CO2 transport technologies.</x:v>
      </x:c>
      <x:c r="AL12" s="2" t="str">
        <x:v>Sustained implementation of CO2 transport technologies requires procurement and service contracts, audit protocols, training material, reporting templates, insurance or guarantees and periodic independent review.</x:v>
      </x:c>
      <x:c r="AM12" s="2" t="str">
        <x:v>Iron ore / steel inputs</x:v>
      </x:c>
      <x:c r="AN12" s="2" t="str">
        <x:v>Australia; Brazil; China</x:v>
      </x:c>
      <x:c r="AO12" s="2" t="str">
        <x:v>China; India; Japan</x:v>
      </x:c>
      <x:c r="AP12" s="2" t="str">
        <x:v>CO2 transport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 s="2" t="str">
        <x:v>2024–2025</x:v>
      </x:c>
      <x:c r="AR12" s="2" t="str">
        <x:v>https://pubs.usgs.gov/periodicals/mcs2026/mcs2026.pdf</x:v>
      </x:c>
    </x:row>
    <x:row r="13" ht="240" customHeight="1">
      <x:c r="A13" s="2" t="str">
        <x:v>MIT-0006</x:v>
      </x:c>
      <x:c r="B13" s="2" t="str">
        <x:v>Mitigation</x:v>
      </x:c>
      <x:c r="C13" s="2" t="str">
        <x:v>Carbon Fixation and Abatement</x:v>
      </x:c>
      <x:c r="D13" s="2" t="str">
        <x:v>Carbon capture and storage</x:v>
      </x:c>
      <x:c r="E13" s="2" t="str">
        <x:v>CO2 storage technologies</x:v>
      </x:c>
      <x:c r="F13" s="2" t="str">
        <x:v>CO2 storage technologies is a mitigation technology in the Carbon Fixation and Abatement sector and the Carbon capture and storage technology group. It is defined as a combined hardware–software–orgware system that detects, separates, captures, conditions, transports or securely contains carbon-bearing gases so that methane or CO₂ does not reach the atmosphere. It injects characterised CO₂ into a suitable geological formation, uses caprock and trapping mechanisms for containment, and verifies plume behaviour, pressure and absence of leakage.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3" s="2" t="str">
        <x:v>Primarily fixed</x:v>
      </x:c>
      <x:c r="H13" s="2" t="str">
        <x:v>CO2 storage technologies is tied to long-lived, site-specific assets and design loads. Its principle remains the same, but resource quality, climate, scale, interfaces and safety constraints must be recalculated for each deployment.</x:v>
      </x:c>
      <x:c r="I13" s="2" t="str">
        <x:v>Primarily hard, with a soft component</x:v>
      </x:c>
      <x:c r="J13" s="2" t="str">
        <x:v>CO2 storage technologies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3" s="2" t="str">
        <x:v>Equipment and operation</x:v>
      </x:c>
      <x:c r="L13" s="2" t="str">
        <x:v>CO2 storage technologies is embodied mainly as an equipment-and-operation system. The deliverable is accepted only when measurable service, quality, safety and climate-performance criteria are met under real conditions.</x:v>
      </x:c>
      <x:c r="M13" s="2" t="str">
        <x:v>Yes, subject to life-cycle safeguards</x:v>
      </x:c>
      <x:c r="N13" s="2" t="str">
        <x:v>CO2 storage technologies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3" s="2" t="str">
        <x:v>CO2 storage technologies: gas analysers; flow, pressure and temperature instrumentation; separators; compressors; valves; sealed piping; flare or injection equipment.</x:v>
      </x:c>
      <x:c r="P13" s="2" t="str">
        <x:v>CO2 storage technologies: mass and energy balances; leak detection and repair logic; process simulation; dispersion modelling; integrity and injection surveillance.</x:v>
      </x:c>
      <x:c r="Q13" s="2" t="str">
        <x:v>CO2 storage technologies: emission permits; measurement, reporting and verification; asset-integrity management; emergency procedures; long-term liability.</x:v>
      </x:c>
      <x:c r="R13" s="2" t="str">
        <x:v>CO2 storage technologies: process units, access roads, power supply, pipelines, compression or storage sites, laboratories and monitoring networks.</x:v>
      </x:c>
      <x:c r="S13" s="2" t="str">
        <x:v>CO2 storage technologies: electricity for compression, pumping, refrigeration and instrumentation; fuel or heat where oxidation or regeneration is required.</x:v>
      </x:c>
      <x:c r="T13" s="2" t="str">
        <x:v>CO2 storage technologies: pressure-grade steel, corrosion-resistant alloys, concrete, elastomeric seals, sorbents, solvents, membranes or catalysts according to the process.</x:v>
      </x:c>
      <x:c r="U13" s="2" t="str">
        <x:v>CO2 storage technologies: calibrated sensors, valve trim, seals, compressor parts, filters, reagents and certified sampling equipment.</x:v>
      </x:c>
      <x:c r="V13" s="2" t="str">
        <x:v>https://www.ctc-n.org/sites/default/files/resources/ctcn_taxonomy_0.pdf</x:v>
      </x:c>
      <x:c r="W13" s="2" t="str">
        <x:v>https://institutoagricoladepueblobello.edu.co/colegiapp/archivostemas/GUIA%209.%5B25%5D.pdf</x:v>
      </x:c>
      <x:c r="X13" s="2" t="str">
        <x:v>https://iiasa.ac.at/what-is-technology</x:v>
      </x:c>
      <x:c r="Y13" s="2" t="str">
        <x:v>https://www.ipcc.ch/report/carbon-dioxide-capture-and-storage/; https://www.ipcc.ch/report/ar6/wg3/chapter/chapter-11/</x:v>
      </x:c>
      <x:c r="Z13" s="2" t="str">
        <x:v>Technology-specific analytical synthesis. The CTCN hierarchy is retained; classifications and component dependencies require validation against the selected design, site and supplier documentation before investment or policy use.</x:v>
      </x:c>
      <x:c r="AA13" s="2" t="str">
        <x:v>Physical deployment of CO2 storage technologies requires process units, access roads, power supply, pipelines, compression or storage sites, laboratories and monitoring networks; interfaces, foundations, access and environmental protection are sized to the specific resource and design load.</x:v>
      </x:c>
      <x:c r="AB13" s="2" t="str">
        <x:v>For CO2 storage technologies, the hardware energy balance comprises electricity for compression, pumping, refrigeration and instrumentation; fuel or heat where oxidation or regeneration is required; metering must separate useful output, conversion losses and auxiliaries for the selected design.</x:v>
      </x:c>
      <x:c r="AC13" s="2" t="str">
        <x:v>Construction and operation use pressure-grade steel, corrosion-resistant alloys, concrete, elastomeric seals, sorbents, solvents, membranes or catalysts according to the process. For CO2 storage technologies, specifications must include durability, compatibility, recycled content and recoverability.</x:v>
      </x:c>
      <x:c r="AD13" s="2" t="str">
        <x:v>Maintenance of CO2 storage technologies depends on calibrated sensors, valve trim, seals, compressor parts, filters, reagents and certified sampling equipment; critical spares are selected from failure-mode, lead-time and safety analysis for its installed configuration.</x:v>
      </x:c>
      <x:c r="AE13" s="2" t="str">
        <x:v>The software stack for CO2 storage technologies requires databases, secure communications, version-controlled models, computing, backup and interfaces with field or operational systems.</x:v>
      </x:c>
      <x:c r="AF13" s="2" t="str">
        <x:v>For CO2 storage technologies, software-related energy is electricity for sensing, computing, storage, communication and cooling; it is normally secondary but must be included for data-intensive or continuous services.</x:v>
      </x:c>
      <x:c r="AG13" s="2" t="str">
        <x:v>The non-physical inputs are calibrated data, metadata, algorithms, boundary conditions, emission or hazard factors, manuals and validation records specific to CO2 storage technologies.</x:v>
      </x:c>
      <x:c r="AH13" s="2" t="str">
        <x:v>Software continuity for CO2 storage technologies requires licences where applicable, updates, cybersecurity patches, backups, calibration files, model validation and technical support.</x:v>
      </x:c>
      <x:c r="AI13" s="2" t="str">
        <x:v>Orgware depends on the institutions, laboratories, training providers, regulators, operators and community interfaces needed to govern CO2 storage technologies.</x:v>
      </x:c>
      <x:c r="AJ13" s="2" t="str">
        <x:v>The orgware supporting CO2 storage technologies has mainly indirect energy use from offices, meetings, training and information systems; travel and field supervision may be material at dispersed sites.</x:v>
      </x:c>
      <x:c r="AK13" s="2" t="str">
        <x:v>Its organisational inputs are permits, budgets, trained staff, competence records, contracts, procedures, safeguards, monitoring evidence and stakeholder agreements tailored to CO2 storage technologies.</x:v>
      </x:c>
      <x:c r="AL13" s="2" t="str">
        <x:v>Sustained implementation of CO2 storage technologies requires procurement and service contracts, audit protocols, training material, reporting templates, insurance or guarantees and periodic independent review.</x:v>
      </x:c>
      <x:c r="AM13" s="2" t="str">
        <x:v>Iron ore / steel inputs</x:v>
      </x:c>
      <x:c r="AN13" s="2" t="str">
        <x:v>Australia; Brazil; China</x:v>
      </x:c>
      <x:c r="AO13" s="2" t="str">
        <x:v>China; India; Japan</x:v>
      </x:c>
      <x:c r="AP13" s="2" t="str">
        <x:v>CO2 storage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 s="2" t="str">
        <x:v>2024–2025</x:v>
      </x:c>
      <x:c r="AR13" s="2" t="str">
        <x:v>https://pubs.usgs.gov/periodicals/mcs2026/mcs2026.pdf</x:v>
      </x:c>
    </x:row>
    <x:row r="14" ht="240" customHeight="1">
      <x:c r="A14" s="2" t="str">
        <x:v>MIT-0007</x:v>
      </x:c>
      <x:c r="B14" s="2" t="str">
        <x:v>Mitigation</x:v>
      </x:c>
      <x:c r="C14" s="2" t="str">
        <x:v>Carbon Fixation and Abatement</x:v>
      </x:c>
      <x:c r="D14" s="2" t="str">
        <x:v>Carbon capture and storage</x:v>
      </x:c>
      <x:c r="E14" s="2" t="str">
        <x:v>CO2 capture technologies</x:v>
      </x:c>
      <x:c r="F14" s="2" t="str">
        <x:v>CO2 capture technologies is a mitigation technology in the Carbon Fixation and Abatement sector and the Carbon capture and storage technology group. It is defined as a combined hardware–software–orgware system that detects, separates, captures, conditions, transports or securely contains carbon-bearing gases so that methane or CO₂ does not reach the atmosphere. It separates CO₂ from flue gas or process gas by absorption, adsorption, membranes, cryogenic separation or process-specific conversion, followed by dehydration and compression.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4" s="2" t="str">
        <x:v>Mixed: adaptable design, site-specific implementation</x:v>
      </x:c>
      <x:c r="H14" s="2" t="str">
        <x:v>CO2 capture technologies is adaptable in capacity and configuration but site-specific in final engineering. Its principle remains the same, but resource quality, climate, scale, interfaces and safety constraints must be recalculated for each deployment.</x:v>
      </x:c>
      <x:c r="I14" s="2" t="str">
        <x:v>Primarily hard, with a soft component</x:v>
      </x:c>
      <x:c r="J14" s="2" t="str">
        <x:v>CO2 capture technologies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4" s="2" t="str">
        <x:v>Equipment and operation</x:v>
      </x:c>
      <x:c r="L14" s="2" t="str">
        <x:v>CO2 capture technologies is embodied mainly as an equipment-and-operation system. The deliverable is accepted only when measurable service, quality, safety and climate-performance criteria are met under real conditions.</x:v>
      </x:c>
      <x:c r="M14" s="2" t="str">
        <x:v>Yes, subject to life-cycle safeguards</x:v>
      </x:c>
      <x:c r="N14" s="2" t="str">
        <x:v>CO2 capture technologies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4" s="2" t="str">
        <x:v>CO2 capture technologies: gas analysers; flow, pressure and temperature instrumentation; separators; compressors; valves; sealed piping; flare or injection equipment.</x:v>
      </x:c>
      <x:c r="P14" s="2" t="str">
        <x:v>CO2 capture technologies: mass and energy balances; leak detection and repair logic; process simulation; dispersion modelling; integrity and injection surveillance.</x:v>
      </x:c>
      <x:c r="Q14" s="2" t="str">
        <x:v>CO2 capture technologies: emission permits; measurement, reporting and verification; asset-integrity management; emergency procedures; long-term liability.</x:v>
      </x:c>
      <x:c r="R14" s="2" t="str">
        <x:v>CO2 capture technologies: process units, access roads, power supply, pipelines, compression or storage sites, laboratories and monitoring networks.</x:v>
      </x:c>
      <x:c r="S14" s="2" t="str">
        <x:v>CO2 capture technologies: electricity for compression, pumping, refrigeration and instrumentation; fuel or heat where oxidation or regeneration is required.</x:v>
      </x:c>
      <x:c r="T14" s="2" t="str">
        <x:v>CO2 capture technologies: pressure-grade steel, corrosion-resistant alloys, concrete, elastomeric seals, sorbents, solvents, membranes or catalysts according to the process.</x:v>
      </x:c>
      <x:c r="U14" s="2" t="str">
        <x:v>CO2 capture technologies: calibrated sensors, valve trim, seals, compressor parts, filters, reagents and certified sampling equipment.</x:v>
      </x:c>
      <x:c r="V14" s="2" t="str">
        <x:v>https://www.ctc-n.org/sites/default/files/resources/ctcn_taxonomy_0.pdf</x:v>
      </x:c>
      <x:c r="W14" s="2" t="str">
        <x:v>https://institutoagricoladepueblobello.edu.co/colegiapp/archivostemas/GUIA%209.%5B25%5D.pdf</x:v>
      </x:c>
      <x:c r="X14" s="2" t="str">
        <x:v>https://iiasa.ac.at/what-is-technology</x:v>
      </x:c>
      <x:c r="Y14" s="2" t="str">
        <x:v>https://www.ipcc.ch/report/carbon-dioxide-capture-and-storage/; https://www.ipcc.ch/report/ar6/wg3/chapter/chapter-11/</x:v>
      </x:c>
      <x:c r="Z14" s="2" t="str">
        <x:v>Technology-specific analytical synthesis. The CTCN hierarchy is retained; classifications and component dependencies require validation against the selected design, site and supplier documentation before investment or policy use.</x:v>
      </x:c>
      <x:c r="AA14" s="2" t="str">
        <x:v>Physical deployment of CO2 capture technologies requires process units, access roads, power supply, pipelines, compression or storage sites, laboratories and monitoring networks; interfaces, foundations, access and environmental protection are sized to the specific resource and design load.</x:v>
      </x:c>
      <x:c r="AB14" s="2" t="str">
        <x:v>For CO2 capture technologies, the hardware energy balance comprises electricity for compression, pumping, refrigeration and instrumentation; fuel or heat where oxidation or regeneration is required; metering must separate useful output, conversion losses and auxiliaries for the selected design.</x:v>
      </x:c>
      <x:c r="AC14" s="2" t="str">
        <x:v>Construction and operation use pressure-grade steel, corrosion-resistant alloys, concrete, elastomeric seals, sorbents, solvents, membranes or catalysts according to the process. For CO2 capture technologies, specifications must include durability, compatibility, recycled content and recoverability.</x:v>
      </x:c>
      <x:c r="AD14" s="2" t="str">
        <x:v>Maintenance of CO2 capture technologies depends on calibrated sensors, valve trim, seals, compressor parts, filters, reagents and certified sampling equipment; critical spares are selected from failure-mode, lead-time and safety analysis for its installed configuration.</x:v>
      </x:c>
      <x:c r="AE14" s="2" t="str">
        <x:v>The software stack for CO2 capture technologies requires databases, secure communications, version-controlled models, computing, backup and interfaces with field or operational systems.</x:v>
      </x:c>
      <x:c r="AF14" s="2" t="str">
        <x:v>For CO2 capture technologies, software-related energy is electricity for sensing, computing, storage, communication and cooling; it is normally secondary but must be included for data-intensive or continuous services.</x:v>
      </x:c>
      <x:c r="AG14" s="2" t="str">
        <x:v>The non-physical inputs are calibrated data, metadata, algorithms, boundary conditions, emission or hazard factors, manuals and validation records specific to CO2 capture technologies.</x:v>
      </x:c>
      <x:c r="AH14" s="2" t="str">
        <x:v>Software continuity for CO2 capture technologies requires licences where applicable, updates, cybersecurity patches, backups, calibration files, model validation and technical support.</x:v>
      </x:c>
      <x:c r="AI14" s="2" t="str">
        <x:v>Orgware depends on the institutions, laboratories, training providers, regulators, operators and community interfaces needed to govern CO2 capture technologies.</x:v>
      </x:c>
      <x:c r="AJ14" s="2" t="str">
        <x:v>The orgware supporting CO2 capture technologies has mainly indirect energy use from offices, meetings, training and information systems; travel and field supervision may be material at dispersed sites.</x:v>
      </x:c>
      <x:c r="AK14" s="2" t="str">
        <x:v>Its organisational inputs are permits, budgets, trained staff, competence records, contracts, procedures, safeguards, monitoring evidence and stakeholder agreements tailored to CO2 capture technologies.</x:v>
      </x:c>
      <x:c r="AL14" s="2" t="str">
        <x:v>Sustained implementation of CO2 capture technologies requires procurement and service contracts, audit protocols, training material, reporting templates, insurance or guarantees and periodic independent review.</x:v>
      </x:c>
      <x:c r="AM14" s="2" t="str">
        <x:v>Iron ore / steel inputs</x:v>
      </x:c>
      <x:c r="AN14" s="2" t="str">
        <x:v>Australia; Brazil; China</x:v>
      </x:c>
      <x:c r="AO14" s="2" t="str">
        <x:v>China; India; Japan</x:v>
      </x:c>
      <x:c r="AP14" s="2" t="str">
        <x:v>CO2 capture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 s="2" t="str">
        <x:v>2024–2025</x:v>
      </x:c>
      <x:c r="AR14" s="2" t="str">
        <x:v>https://pubs.usgs.gov/periodicals/mcs2026/mcs2026.pdf</x:v>
      </x:c>
    </x:row>
    <x:row r="15" ht="240" customHeight="1">
      <x:c r="A15" s="2" t="str">
        <x:v>MIT-0008</x:v>
      </x:c>
      <x:c r="B15" s="2" t="str">
        <x:v>Mitigation</x:v>
      </x:c>
      <x:c r="C15" s="2" t="str">
        <x:v>Transport</x:v>
      </x:c>
      <x:c r="D15" s="2" t="str">
        <x:v>Inland water &amp; maritime</x:v>
      </x:c>
      <x:c r="E15" s="2" t="str">
        <x:v>Maritime freight</x:v>
      </x:c>
      <x:c r="F15" s="2" t="str">
        <x:v>Maritime freight is a mitigation technology in the Transport sector and the Inland water &amp; maritime technology group. It is defined as a combined hardware–software–orgware system that changes vehicle kilometres, modal share, occupancy, speed profiles, routing or logistics so that the same mobility service is delivered with less final energy and fewer tailpipe emissions. Maritime freight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 s="2" t="str">
        <x:v>Mixed: adaptable design, site-specific implementation</x:v>
      </x:c>
      <x:c r="H15" s="2" t="str">
        <x:v>Maritime freight is adaptable in capacity and configuration but site-specific in final engineering. Its principle remains the same, but resource quality, climate, scale, interfaces and safety constraints must be recalculated for each deployment.</x:v>
      </x:c>
      <x:c r="I15" s="2" t="str">
        <x:v>Primarily hard, with a soft component</x:v>
      </x:c>
      <x:c r="J15" s="2" t="str">
        <x:v>Maritime freight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 s="2" t="str">
        <x:v>Equipment and operation</x:v>
      </x:c>
      <x:c r="L15" s="2" t="str">
        <x:v>Maritime freight is embodied mainly as an equipment-and-operation system. The deliverable is accepted only when measurable service, quality, safety and climate-performance criteria are met under real conditions.</x:v>
      </x:c>
      <x:c r="M15" s="2" t="str">
        <x:v>Yes, subject to life-cycle safeguards</x:v>
      </x:c>
      <x:c r="N15" s="2" t="str">
        <x:v>Maritime freight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 s="2" t="str">
        <x:v>Maritime freight: corridor and station infrastructure, signalling, ticketing, communications, fleet equipment, traffic sensors and user interfaces as applicable.</x:v>
      </x:c>
      <x:c r="P15" s="2" t="str">
        <x:v>Maritime freight: network and timetable design, demand models, traffic control, fleet dispatch, logistics optimisation, safety analysis and service-performance analytics.</x:v>
      </x:c>
      <x:c r="Q15" s="2" t="str">
        <x:v>Maritime freight: transport authority mandates, operating contracts, tariffs, enforcement, street-space allocation, accessibility rules and coordination with land-use planning.</x:v>
      </x:c>
      <x:c r="R15" s="2" t="str">
        <x:v>Maritime freight: rights-of-way, stops or terminals, depots, interchanges, control centres, communications and safe pedestrian or cycling access.</x:v>
      </x:c>
      <x:c r="S15" s="2" t="str">
        <x:v>Maritime freight: electricity for control and stations plus the energy used by the affected vehicle fleet; the net result is governed by modal shift and occupancy.</x:v>
      </x:c>
      <x:c r="T15" s="2" t="str">
        <x:v>Maritime freight: concrete, steel, asphalt, copper, signalling electronics, pavement materials and vehicle-related materials where new infrastructure is built.</x:v>
      </x:c>
      <x:c r="U15" s="2" t="str">
        <x:v>Maritime freight: signal modules, communications equipment, validators, sensors, pavement components, station equipment and fleet consumables.</x:v>
      </x:c>
      <x:c r="V15" s="2" t="str">
        <x:v>https://www.ctc-n.org/sites/default/files/resources/ctcn_taxonomy_0.pdf</x:v>
      </x:c>
      <x:c r="W15" s="2" t="str">
        <x:v>https://institutoagricoladepueblobello.edu.co/colegiapp/archivostemas/GUIA%209.%5B25%5D.pdf</x:v>
      </x:c>
      <x:c r="X15" s="2" t="str">
        <x:v>https://iiasa.ac.at/what-is-technology</x:v>
      </x:c>
      <x:c r="Y15" s="2" t="str">
        <x:v>https://www.ipcc.ch/report/ar6/wg3/chapter/chapter-10/; https://ppp.worldbank.org/print/pdf/node/7300</x:v>
      </x:c>
      <x:c r="Z15" s="2" t="str">
        <x:v>Technology-specific analytical synthesis. The CTCN hierarchy is retained; classifications and component dependencies require validation against the selected design, site and supplier documentation before investment or policy use.</x:v>
      </x:c>
      <x:c r="AA15" s="2" t="str">
        <x:v>Physical deployment of Maritime freight requires rights-of-way, stops or terminals, depots, interchanges, control centres, communications and safe pedestrian or cycling access; interfaces, foundations, access and environmental protection are sized to the specific resource and design load.</x:v>
      </x:c>
      <x:c r="AB15" s="2" t="str">
        <x:v>For Maritime freight,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 s="2" t="str">
        <x:v>Construction and operation use concrete, steel, asphalt, copper, signalling electronics, pavement materials and vehicle-related materials where new infrastructure is built. For Maritime freight, specifications must include durability, compatibility, recycled content and recoverability.</x:v>
      </x:c>
      <x:c r="AD15" s="2" t="str">
        <x:v>Maintenance of Maritime freight depends on signal modules, communications equipment, validators, sensors, pavement components, station equipment and fleet consumables; critical spares are selected from failure-mode, lead-time and safety analysis for its installed configuration.</x:v>
      </x:c>
      <x:c r="AE15" s="2" t="str">
        <x:v>The software stack for Maritime freight requires databases, secure communications, version-controlled models, computing, backup and interfaces with field or operational systems.</x:v>
      </x:c>
      <x:c r="AF15" s="2" t="str">
        <x:v>For Maritime freight, software-related energy is electricity for sensing, computing, storage, communication and cooling; it is normally secondary but must be included for data-intensive or continuous services.</x:v>
      </x:c>
      <x:c r="AG15" s="2" t="str">
        <x:v>The non-physical inputs are calibrated data, metadata, algorithms, boundary conditions, emission or hazard factors, manuals and validation records specific to Maritime freight.</x:v>
      </x:c>
      <x:c r="AH15" s="2" t="str">
        <x:v>Software continuity for Maritime freight requires licences where applicable, updates, cybersecurity patches, backups, calibration files, model validation and technical support.</x:v>
      </x:c>
      <x:c r="AI15" s="2" t="str">
        <x:v>Orgware depends on the institutions, laboratories, training providers, regulators, operators and community interfaces needed to govern Maritime freight.</x:v>
      </x:c>
      <x:c r="AJ15" s="2" t="str">
        <x:v>The orgware supporting Maritime freight has mainly indirect energy use from offices, meetings, training and information systems; travel and field supervision may be material at dispersed sites.</x:v>
      </x:c>
      <x:c r="AK15" s="2" t="str">
        <x:v>Its organisational inputs are permits, budgets, trained staff, competence records, contracts, procedures, safeguards, monitoring evidence and stakeholder agreements tailored to Maritime freight.</x:v>
      </x:c>
      <x:c r="AL15" s="2" t="str">
        <x:v>Sustained implementation of Maritime freight requires procurement and service contracts, audit protocols, training material, reporting templates, insurance or guarantees and periodic independent review.</x:v>
      </x:c>
      <x:c r="AM15" s="2" t="str">
        <x:v>Iron ore / steel inputs</x:v>
      </x:c>
      <x:c r="AN15" s="2" t="str">
        <x:v>Australia; Brazil; China</x:v>
      </x:c>
      <x:c r="AO15" s="2" t="str">
        <x:v>China; India; Japan</x:v>
      </x:c>
      <x:c r="AP15" s="2" t="str">
        <x:v>Maritime freight: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 s="2" t="str">
        <x:v>2024–2025</x:v>
      </x:c>
      <x:c r="AR15" s="2" t="str">
        <x:v>https://pubs.usgs.gov/periodicals/mcs2026/mcs2026.pdf</x:v>
      </x:c>
    </x:row>
    <x:row r="16" ht="240" customHeight="1">
      <x:c r="A16" s="2" t="str">
        <x:v>MIT-0009</x:v>
      </x:c>
      <x:c r="B16" s="2" t="str">
        <x:v>Mitigation</x:v>
      </x:c>
      <x:c r="C16" s="2" t="str">
        <x:v>Transport</x:v>
      </x:c>
      <x:c r="D16" s="2" t="str">
        <x:v>Inland water &amp; maritime</x:v>
      </x:c>
      <x:c r="E16" s="2" t="str">
        <x:v>Maritime support systems</x:v>
      </x:c>
      <x:c r="F16" s="2" t="str">
        <x:v>Maritime support systems is a mitigation technology in the Transport sector and the Inland water &amp; maritime technology group. It is defined as a combined hardware–software–orgware system that changes vehicle kilometres, modal share, occupancy, speed profiles, routing or logistics so that the same mobility service is delivered with less final energy and fewer tailpipe emissions. Maritime support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6" s="2" t="str">
        <x:v>Mixed: adaptable design, site-specific implementation</x:v>
      </x:c>
      <x:c r="H16" s="2" t="str">
        <x:v>Maritime support systems is adaptable in capacity and configuration but site-specific in final engineering. Its principle remains the same, but resource quality, climate, scale, interfaces and safety constraints must be recalculated for each deployment.</x:v>
      </x:c>
      <x:c r="I16" s="2" t="str">
        <x:v>Primarily hard, with a soft component</x:v>
      </x:c>
      <x:c r="J16" s="2" t="str">
        <x:v>Maritime support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6" s="2" t="str">
        <x:v>Equipment and operation</x:v>
      </x:c>
      <x:c r="L16" s="2" t="str">
        <x:v>Maritime support systems is embodied mainly as an equipment-and-operation system. The deliverable is accepted only when measurable service, quality, safety and climate-performance criteria are met under real conditions.</x:v>
      </x:c>
      <x:c r="M16" s="2" t="str">
        <x:v>Yes, subject to life-cycle safeguards</x:v>
      </x:c>
      <x:c r="N16" s="2" t="str">
        <x:v>Maritime support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6" s="2" t="str">
        <x:v>Maritime support systems: corridor and station infrastructure, signalling, ticketing, communications, fleet equipment, traffic sensors and user interfaces as applicable.</x:v>
      </x:c>
      <x:c r="P16" s="2" t="str">
        <x:v>Maritime support systems: network and timetable design, demand models, traffic control, fleet dispatch, logistics optimisation, safety analysis and service-performance analytics.</x:v>
      </x:c>
      <x:c r="Q16" s="2" t="str">
        <x:v>Maritime support systems: transport authority mandates, operating contracts, tariffs, enforcement, street-space allocation, accessibility rules and coordination with land-use planning.</x:v>
      </x:c>
      <x:c r="R16" s="2" t="str">
        <x:v>Maritime support systems: rights-of-way, stops or terminals, depots, interchanges, control centres, communications and safe pedestrian or cycling access.</x:v>
      </x:c>
      <x:c r="S16" s="2" t="str">
        <x:v>Maritime support systems: electricity for control and stations plus the energy used by the affected vehicle fleet; the net result is governed by modal shift and occupancy.</x:v>
      </x:c>
      <x:c r="T16" s="2" t="str">
        <x:v>Maritime support systems: concrete, steel, asphalt, copper, signalling electronics, pavement materials and vehicle-related materials where new infrastructure is built.</x:v>
      </x:c>
      <x:c r="U16" s="2" t="str">
        <x:v>Maritime support systems: signal modules, communications equipment, validators, sensors, pavement components, station equipment and fleet consumables.</x:v>
      </x:c>
      <x:c r="V16" s="2" t="str">
        <x:v>https://www.ctc-n.org/sites/default/files/resources/ctcn_taxonomy_0.pdf</x:v>
      </x:c>
      <x:c r="W16" s="2" t="str">
        <x:v>https://institutoagricoladepueblobello.edu.co/colegiapp/archivostemas/GUIA%209.%5B25%5D.pdf</x:v>
      </x:c>
      <x:c r="X16" s="2" t="str">
        <x:v>https://iiasa.ac.at/what-is-technology</x:v>
      </x:c>
      <x:c r="Y16" s="2" t="str">
        <x:v>https://www.ipcc.ch/report/ar6/wg3/chapter/chapter-10/; https://ppp.worldbank.org/print/pdf/node/7300</x:v>
      </x:c>
      <x:c r="Z16" s="2" t="str">
        <x:v>Technology-specific analytical synthesis. The CTCN hierarchy is retained; classifications and component dependencies require validation against the selected design, site and supplier documentation before investment or policy use.</x:v>
      </x:c>
      <x:c r="AA16" s="2" t="str">
        <x:v>Physical deployment of Maritime support systems requires rights-of-way, stops or terminals, depots, interchanges, control centres, communications and safe pedestrian or cycling access; interfaces, foundations, access and environmental protection are sized to the specific resource and design load.</x:v>
      </x:c>
      <x:c r="AB16" s="2" t="str">
        <x:v>For Maritime support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6" s="2" t="str">
        <x:v>Construction and operation use concrete, steel, asphalt, copper, signalling electronics, pavement materials and vehicle-related materials where new infrastructure is built. For Maritime support systems, specifications must include durability, compatibility, recycled content and recoverability.</x:v>
      </x:c>
      <x:c r="AD16" s="2" t="str">
        <x:v>Maintenance of Maritime support systems depends on signal modules, communications equipment, validators, sensors, pavement components, station equipment and fleet consumables; critical spares are selected from failure-mode, lead-time and safety analysis for its installed configuration.</x:v>
      </x:c>
      <x:c r="AE16" s="2" t="str">
        <x:v>The software stack for Maritime support systems requires databases, secure communications, version-controlled models, computing, backup and interfaces with field or operational systems.</x:v>
      </x:c>
      <x:c r="AF16" s="2" t="str">
        <x:v>For Maritime support systems, software-related energy is electricity for sensing, computing, storage, communication and cooling; it is normally secondary but must be included for data-intensive or continuous services.</x:v>
      </x:c>
      <x:c r="AG16" s="2" t="str">
        <x:v>The non-physical inputs are calibrated data, metadata, algorithms, boundary conditions, emission or hazard factors, manuals and validation records specific to Maritime support systems.</x:v>
      </x:c>
      <x:c r="AH16" s="2" t="str">
        <x:v>Software continuity for Maritime support systems requires licences where applicable, updates, cybersecurity patches, backups, calibration files, model validation and technical support.</x:v>
      </x:c>
      <x:c r="AI16" s="2" t="str">
        <x:v>Orgware depends on the institutions, laboratories, training providers, regulators, operators and community interfaces needed to govern Maritime support systems.</x:v>
      </x:c>
      <x:c r="AJ16" s="2" t="str">
        <x:v>The orgware supporting Maritime support systems has mainly indirect energy use from offices, meetings, training and information systems; travel and field supervision may be material at dispersed sites.</x:v>
      </x:c>
      <x:c r="AK16" s="2" t="str">
        <x:v>Its organisational inputs are permits, budgets, trained staff, competence records, contracts, procedures, safeguards, monitoring evidence and stakeholder agreements tailored to Maritime support systems.</x:v>
      </x:c>
      <x:c r="AL16" s="2" t="str">
        <x:v>Sustained implementation of Maritime support systems requires procurement and service contracts, audit protocols, training material, reporting templates, insurance or guarantees and periodic independent review.</x:v>
      </x:c>
      <x:c r="AM16" s="2" t="str">
        <x:v>Iron ore / steel inputs</x:v>
      </x:c>
      <x:c r="AN16" s="2" t="str">
        <x:v>Australia; Brazil; China</x:v>
      </x:c>
      <x:c r="AO16" s="2" t="str">
        <x:v>China; India; Japan</x:v>
      </x:c>
      <x:c r="AP16" s="2" t="str">
        <x:v>Maritime support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 s="2" t="str">
        <x:v>2024–2025</x:v>
      </x:c>
      <x:c r="AR16" s="2" t="str">
        <x:v>https://pubs.usgs.gov/periodicals/mcs2026/mcs2026.pdf</x:v>
      </x:c>
    </x:row>
    <x:row r="17" ht="240" customHeight="1">
      <x:c r="A17" s="2" t="str">
        <x:v>MIT-0010</x:v>
      </x:c>
      <x:c r="B17" s="2" t="str">
        <x:v>Mitigation</x:v>
      </x:c>
      <x:c r="C17" s="2" t="str">
        <x:v>Transport</x:v>
      </x:c>
      <x:c r="D17" s="2" t="str">
        <x:v>Land transport</x:v>
      </x:c>
      <x:c r="E17" s="2" t="str">
        <x:v>Traffic management</x:v>
      </x:c>
      <x:c r="F17" s="2" t="str">
        <x:v>Traffic management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Traffic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7" s="2" t="str">
        <x:v>Flexible</x:v>
      </x:c>
      <x:c r="H17" s="2" t="str">
        <x:v>Traffic management is transferable through configurable methods, rules and operating parameters. Its principle remains the same, but resource quality, climate, scale, interfaces and safety constraints must be recalculated for each deployment.</x:v>
      </x:c>
      <x:c r="I17" s="2" t="str">
        <x:v>Primarily soft, with physical support</x:v>
      </x:c>
      <x:c r="J17" s="2" t="str">
        <x:v>Traffic management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7" s="2" t="str">
        <x:v>Operation</x:v>
      </x:c>
      <x:c r="L17" s="2" t="str">
        <x:v>Traffic management is embodied mainly as an operating practice. The deliverable is accepted only when measurable service, quality, safety and climate-performance criteria are met under real conditions.</x:v>
      </x:c>
      <x:c r="M17" s="2" t="str">
        <x:v>Yes, subject to life-cycle safeguards</x:v>
      </x:c>
      <x:c r="N17" s="2" t="str">
        <x:v>Traffic management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7" s="2" t="str">
        <x:v>Traffic management: corridor and station infrastructure, signalling, ticketing, communications, fleet equipment, traffic sensors and user interfaces as applicable.</x:v>
      </x:c>
      <x:c r="P17" s="2" t="str">
        <x:v>Traffic management: network and timetable design, demand models, traffic control, fleet dispatch, logistics optimisation, safety analysis and service-performance analytics.</x:v>
      </x:c>
      <x:c r="Q17" s="2" t="str">
        <x:v>Traffic management: transport authority mandates, operating contracts, tariffs, enforcement, street-space allocation, accessibility rules and coordination with land-use planning.</x:v>
      </x:c>
      <x:c r="R17" s="2" t="str">
        <x:v>Traffic management: rights-of-way, stops or terminals, depots, interchanges, control centres, communications and safe pedestrian or cycling access.</x:v>
      </x:c>
      <x:c r="S17" s="2" t="str">
        <x:v>Traffic management: electricity for control and stations plus the energy used by the affected vehicle fleet; the net result is governed by modal shift and occupancy.</x:v>
      </x:c>
      <x:c r="T17" s="2" t="str">
        <x:v>Traffic management: concrete, steel, asphalt, copper, signalling electronics, pavement materials and vehicle-related materials where new infrastructure is built.</x:v>
      </x:c>
      <x:c r="U17" s="2" t="str">
        <x:v>Traffic management: signal modules, communications equipment, validators, sensors, pavement components, station equipment and fleet consumables.</x:v>
      </x:c>
      <x:c r="V17" s="2" t="str">
        <x:v>https://www.ctc-n.org/sites/default/files/resources/ctcn_taxonomy_0.pdf</x:v>
      </x:c>
      <x:c r="W17" s="2" t="str">
        <x:v>https://institutoagricoladepueblobello.edu.co/colegiapp/archivostemas/GUIA%209.%5B25%5D.pdf</x:v>
      </x:c>
      <x:c r="X17" s="2" t="str">
        <x:v>https://iiasa.ac.at/what-is-technology</x:v>
      </x:c>
      <x:c r="Y17" s="2" t="str">
        <x:v>https://www.ipcc.ch/report/ar6/wg3/chapter/chapter-10/; https://ppp.worldbank.org/print/pdf/node/7300</x:v>
      </x:c>
      <x:c r="Z17" s="2" t="str">
        <x:v>Technology-specific analytical synthesis. The CTCN hierarchy is retained; classifications and component dependencies require validation against the selected design, site and supplier documentation before investment or policy use.</x:v>
      </x:c>
      <x:c r="AA17" s="2" t="str">
        <x:v>Physical deployment of Traffic management requires rights-of-way, stops or terminals, depots, interchanges, control centres, communications and safe pedestrian or cycling access; interfaces, foundations, access and environmental protection are sized to the specific resource and design load.</x:v>
      </x:c>
      <x:c r="AB17" s="2" t="str">
        <x:v>For Traffic management,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7" s="2" t="str">
        <x:v>Construction and operation use concrete, steel, asphalt, copper, signalling electronics, pavement materials and vehicle-related materials where new infrastructure is built. For Traffic management, specifications must include durability, compatibility, recycled content and recoverability.</x:v>
      </x:c>
      <x:c r="AD17" s="2" t="str">
        <x:v>Maintenance of Traffic management depends on signal modules, communications equipment, validators, sensors, pavement components, station equipment and fleet consumables; critical spares are selected from failure-mode, lead-time and safety analysis for its installed configuration.</x:v>
      </x:c>
      <x:c r="AE17" s="2" t="str">
        <x:v>The software stack for Traffic management requires databases, secure communications, version-controlled models, computing, backup and interfaces with field or operational systems.</x:v>
      </x:c>
      <x:c r="AF17" s="2" t="str">
        <x:v>For Traffic management, software-related energy is electricity for sensing, computing, storage, communication and cooling; it is normally secondary but must be included for data-intensive or continuous services.</x:v>
      </x:c>
      <x:c r="AG17" s="2" t="str">
        <x:v>The non-physical inputs are calibrated data, metadata, algorithms, boundary conditions, emission or hazard factors, manuals and validation records specific to Traffic management.</x:v>
      </x:c>
      <x:c r="AH17" s="2" t="str">
        <x:v>Software continuity for Traffic management requires licences where applicable, updates, cybersecurity patches, backups, calibration files, model validation and technical support.</x:v>
      </x:c>
      <x:c r="AI17" s="2" t="str">
        <x:v>Orgware depends on the institutions, laboratories, training providers, regulators, operators and community interfaces needed to govern Traffic management.</x:v>
      </x:c>
      <x:c r="AJ17" s="2" t="str">
        <x:v>The orgware supporting Traffic management has mainly indirect energy use from offices, meetings, training and information systems; travel and field supervision may be material at dispersed sites.</x:v>
      </x:c>
      <x:c r="AK17" s="2" t="str">
        <x:v>Its organisational inputs are permits, budgets, trained staff, competence records, contracts, procedures, safeguards, monitoring evidence and stakeholder agreements tailored to Traffic management.</x:v>
      </x:c>
      <x:c r="AL17" s="2" t="str">
        <x:v>Sustained implementation of Traffic management requires procurement and service contracts, audit protocols, training material, reporting templates, insurance or guarantees and periodic independent review.</x:v>
      </x:c>
      <x:c r="AM17" s="2" t="str">
        <x:v>No critical or strategic raw material is identifiable at taxonomy level; site-specific bulk materials may still be required.</x:v>
      </x:c>
      <x:c r="AN17" s="2" t="str"/>
      <x:c r="AO17" s="2" t="str"/>
      <x:c r="AP17" s="2" t="str">
        <x:v>Traffic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 s="2" t="str">
        <x:v>2024–2025</x:v>
      </x:c>
      <x:c r="AR17" s="2" t="str">
        <x:v>https://pubs.usgs.gov/periodicals/mcs2026/mcs2026.pdf; https://www.iea.org/reports/global-critical-minerals-outlook-2025</x:v>
      </x:c>
    </x:row>
    <x:row r="18" ht="240" customHeight="1">
      <x:c r="A18" s="2" t="str">
        <x:v>MIT-0011</x:v>
      </x:c>
      <x:c r="B18" s="2" t="str">
        <x:v>Mitigation</x:v>
      </x:c>
      <x:c r="C18" s="2" t="str">
        <x:v>Transport</x:v>
      </x:c>
      <x:c r="D18" s="2" t="str">
        <x:v>Land transport</x:v>
      </x:c>
      <x:c r="E18" s="2" t="str">
        <x:v>More efficient heavy duty vehicles</x:v>
      </x:c>
      <x:c r="F18" s="2" t="str">
        <x:v>More efficient heavy duty vehicles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More efficient heavy duty vehicles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8" s="2" t="str">
        <x:v>Mixed: adaptable design, site-specific implementation</x:v>
      </x:c>
      <x:c r="H18" s="2" t="str">
        <x:v>More efficient heavy duty vehicles is adaptable in capacity and configuration but site-specific in final engineering. Its principle remains the same, but resource quality, climate, scale, interfaces and safety constraints must be recalculated for each deployment.</x:v>
      </x:c>
      <x:c r="I18" s="2" t="str">
        <x:v>Primarily hard, with a soft component</x:v>
      </x:c>
      <x:c r="J18" s="2" t="str">
        <x:v>More efficient heavy duty vehicles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8" s="2" t="str">
        <x:v>Equipment and operation</x:v>
      </x:c>
      <x:c r="L18" s="2" t="str">
        <x:v>More efficient heavy duty vehicles is embodied mainly as an equipment-and-operation system. The deliverable is accepted only when measurable service, quality, safety and climate-performance criteria are met under real conditions.</x:v>
      </x:c>
      <x:c r="M18" s="2" t="str">
        <x:v>Yes, subject to life-cycle safeguards</x:v>
      </x:c>
      <x:c r="N18" s="2" t="str">
        <x:v>More efficient heavy duty vehicles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8" s="2" t="str">
        <x:v>More efficient heavy duty vehicles: corridor and station infrastructure, signalling, ticketing, communications, fleet equipment, traffic sensors and user interfaces as applicable.</x:v>
      </x:c>
      <x:c r="P18" s="2" t="str">
        <x:v>More efficient heavy duty vehicles: network and timetable design, demand models, traffic control, fleet dispatch, logistics optimisation, safety analysis and service-performance analytics.</x:v>
      </x:c>
      <x:c r="Q18" s="2" t="str">
        <x:v>More efficient heavy duty vehicles: transport authority mandates, operating contracts, tariffs, enforcement, street-space allocation, accessibility rules and coordination with land-use planning.</x:v>
      </x:c>
      <x:c r="R18" s="2" t="str">
        <x:v>More efficient heavy duty vehicles: rights-of-way, stops or terminals, depots, interchanges, control centres, communications and safe pedestrian or cycling access.</x:v>
      </x:c>
      <x:c r="S18" s="2" t="str">
        <x:v>More efficient heavy duty vehicles: electricity for control and stations plus the energy used by the affected vehicle fleet; the net result is governed by modal shift and occupancy.</x:v>
      </x:c>
      <x:c r="T18" s="2" t="str">
        <x:v>More efficient heavy duty vehicles: concrete, steel, asphalt, copper, signalling electronics, pavement materials and vehicle-related materials where new infrastructure is built.</x:v>
      </x:c>
      <x:c r="U18" s="2" t="str">
        <x:v>More efficient heavy duty vehicles: signal modules, communications equipment, validators, sensors, pavement components, station equipment and fleet consumables.</x:v>
      </x:c>
      <x:c r="V18" s="2" t="str">
        <x:v>https://www.ctc-n.org/sites/default/files/resources/ctcn_taxonomy_0.pdf</x:v>
      </x:c>
      <x:c r="W18" s="2" t="str">
        <x:v>https://institutoagricoladepueblobello.edu.co/colegiapp/archivostemas/GUIA%209.%5B25%5D.pdf</x:v>
      </x:c>
      <x:c r="X18" s="2" t="str">
        <x:v>https://iiasa.ac.at/what-is-technology</x:v>
      </x:c>
      <x:c r="Y18" s="2" t="str">
        <x:v>https://www.ipcc.ch/report/ar6/wg3/chapter/chapter-10/; https://ppp.worldbank.org/print/pdf/node/7300</x:v>
      </x:c>
      <x:c r="Z18" s="2" t="str">
        <x:v>Technology-specific analytical synthesis. The CTCN hierarchy is retained; classifications and component dependencies require validation against the selected design, site and supplier documentation before investment or policy use.</x:v>
      </x:c>
      <x:c r="AA18" s="2" t="str">
        <x:v>Physical deployment of More efficient heavy duty vehicles requires rights-of-way, stops or terminals, depots, interchanges, control centres, communications and safe pedestrian or cycling access; interfaces, foundations, access and environmental protection are sized to the specific resource and design load.</x:v>
      </x:c>
      <x:c r="AB18" s="2" t="str">
        <x:v>For More efficient heavy duty vehicles,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8" s="2" t="str">
        <x:v>Construction and operation use concrete, steel, asphalt, copper, signalling electronics, pavement materials and vehicle-related materials where new infrastructure is built. For More efficient heavy duty vehicles, specifications must include durability, compatibility, recycled content and recoverability.</x:v>
      </x:c>
      <x:c r="AD18" s="2" t="str">
        <x:v>Maintenance of More efficient heavy duty vehicles depends on signal modules, communications equipment, validators, sensors, pavement components, station equipment and fleet consumables; critical spares are selected from failure-mode, lead-time and safety analysis for its installed configuration.</x:v>
      </x:c>
      <x:c r="AE18" s="2" t="str">
        <x:v>The software stack for More efficient heavy duty vehicles requires databases, secure communications, version-controlled models, computing, backup and interfaces with field or operational systems.</x:v>
      </x:c>
      <x:c r="AF18" s="2" t="str">
        <x:v>For More efficient heavy duty vehicles, software-related energy is electricity for sensing, computing, storage, communication and cooling; it is normally secondary but must be included for data-intensive or continuous services.</x:v>
      </x:c>
      <x:c r="AG18" s="2" t="str">
        <x:v>The non-physical inputs are calibrated data, metadata, algorithms, boundary conditions, emission or hazard factors, manuals and validation records specific to More efficient heavy duty vehicles.</x:v>
      </x:c>
      <x:c r="AH18" s="2" t="str">
        <x:v>Software continuity for More efficient heavy duty vehicles requires licences where applicable, updates, cybersecurity patches, backups, calibration files, model validation and technical support.</x:v>
      </x:c>
      <x:c r="AI18" s="2" t="str">
        <x:v>Orgware depends on the institutions, laboratories, training providers, regulators, operators and community interfaces needed to govern More efficient heavy duty vehicles.</x:v>
      </x:c>
      <x:c r="AJ18" s="2" t="str">
        <x:v>The orgware supporting More efficient heavy duty vehicles has mainly indirect energy use from offices, meetings, training and information systems; travel and field supervision may be material at dispersed sites.</x:v>
      </x:c>
      <x:c r="AK18" s="2" t="str">
        <x:v>Its organisational inputs are permits, budgets, trained staff, competence records, contracts, procedures, safeguards, monitoring evidence and stakeholder agreements tailored to More efficient heavy duty vehicles.</x:v>
      </x:c>
      <x:c r="AL18" s="2" t="str">
        <x:v>Sustained implementation of More efficient heavy duty vehicles requires procurement and service contracts, audit protocols, training material, reporting templates, insurance or guarantees and periodic independent review.</x:v>
      </x:c>
      <x:c r="AM18" s="2" t="str">
        <x:v>Iron ore / steel inputs; Copper; Tin; Rare earth elements; Bauxite / aluminium</x:v>
      </x:c>
      <x:c r="AN18" s="2" t="str">
        <x:v>Australia; Brazil; China; Chile; Democratic Republic of the Congo; Peru; Indonesia; Myanmar; United States; Guinea</x:v>
      </x:c>
      <x:c r="AO18" s="2" t="str">
        <x:v>China; India; Japan; Chile; Democratic Republic of the Congo; Indonesia; Malaysia; Estonia; Russia</x:v>
      </x:c>
      <x:c r="AP18" s="2" t="str">
        <x:v>More efficient heavy duty vehicles: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 s="2" t="str">
        <x:v>2024–2025</x:v>
      </x:c>
      <x:c r="AR18" s="2" t="str">
        <x:v>https://pubs.usgs.gov/periodicals/mcs2026/mcs2026.pdf; https://www.iea.org/reports/global-critical-minerals-outlook-2025</x:v>
      </x:c>
    </x:row>
    <x:row r="19" ht="240" customHeight="1">
      <x:c r="A19" s="2" t="str">
        <x:v>MIT-0012</x:v>
      </x:c>
      <x:c r="B19" s="2" t="str">
        <x:v>Mitigation</x:v>
      </x:c>
      <x:c r="C19" s="2" t="str">
        <x:v>Transport</x:v>
      </x:c>
      <x:c r="D19" s="2" t="str">
        <x:v>Land transport</x:v>
      </x:c>
      <x:c r="E19" s="2" t="str">
        <x:v>More efficient light duty vehicles</x:v>
      </x:c>
      <x:c r="F19" s="2" t="str">
        <x:v>More efficient light duty vehicles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More efficient light duty vehicles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9" s="2" t="str">
        <x:v>Mixed: adaptable design, site-specific implementation</x:v>
      </x:c>
      <x:c r="H19" s="2" t="str">
        <x:v>More efficient light duty vehicles is adaptable in capacity and configuration but site-specific in final engineering. Its principle remains the same, but resource quality, climate, scale, interfaces and safety constraints must be recalculated for each deployment.</x:v>
      </x:c>
      <x:c r="I19" s="2" t="str">
        <x:v>Primarily hard, with a soft component</x:v>
      </x:c>
      <x:c r="J19" s="2" t="str">
        <x:v>More efficient light duty vehicles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9" s="2" t="str">
        <x:v>Equipment and operation</x:v>
      </x:c>
      <x:c r="L19" s="2" t="str">
        <x:v>More efficient light duty vehicles is embodied mainly as an equipment-and-operation system. The deliverable is accepted only when measurable service, quality, safety and climate-performance criteria are met under real conditions.</x:v>
      </x:c>
      <x:c r="M19" s="2" t="str">
        <x:v>Yes, subject to life-cycle safeguards</x:v>
      </x:c>
      <x:c r="N19" s="2" t="str">
        <x:v>More efficient light duty vehicles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9" s="2" t="str">
        <x:v>More efficient light duty vehicles: corridor and station infrastructure, signalling, ticketing, communications, fleet equipment, traffic sensors and user interfaces as applicable.</x:v>
      </x:c>
      <x:c r="P19" s="2" t="str">
        <x:v>More efficient light duty vehicles: network and timetable design, demand models, traffic control, fleet dispatch, logistics optimisation, safety analysis and service-performance analytics.</x:v>
      </x:c>
      <x:c r="Q19" s="2" t="str">
        <x:v>More efficient light duty vehicles: transport authority mandates, operating contracts, tariffs, enforcement, street-space allocation, accessibility rules and coordination with land-use planning.</x:v>
      </x:c>
      <x:c r="R19" s="2" t="str">
        <x:v>More efficient light duty vehicles: rights-of-way, stops or terminals, depots, interchanges, control centres, communications and safe pedestrian or cycling access.</x:v>
      </x:c>
      <x:c r="S19" s="2" t="str">
        <x:v>More efficient light duty vehicles: electricity for control and stations plus the energy used by the affected vehicle fleet; the net result is governed by modal shift and occupancy.</x:v>
      </x:c>
      <x:c r="T19" s="2" t="str">
        <x:v>More efficient light duty vehicles: concrete, steel, asphalt, copper, signalling electronics, pavement materials and vehicle-related materials where new infrastructure is built.</x:v>
      </x:c>
      <x:c r="U19" s="2" t="str">
        <x:v>More efficient light duty vehicles: signal modules, communications equipment, validators, sensors, pavement components, station equipment and fleet consumables.</x:v>
      </x:c>
      <x:c r="V19" s="2" t="str">
        <x:v>https://www.ctc-n.org/sites/default/files/resources/ctcn_taxonomy_0.pdf</x:v>
      </x:c>
      <x:c r="W19" s="2" t="str">
        <x:v>https://institutoagricoladepueblobello.edu.co/colegiapp/archivostemas/GUIA%209.%5B25%5D.pdf</x:v>
      </x:c>
      <x:c r="X19" s="2" t="str">
        <x:v>https://iiasa.ac.at/what-is-technology</x:v>
      </x:c>
      <x:c r="Y19" s="2" t="str">
        <x:v>https://www.ipcc.ch/report/ar6/wg3/chapter/chapter-10/; https://ppp.worldbank.org/print/pdf/node/7300</x:v>
      </x:c>
      <x:c r="Z19" s="2" t="str">
        <x:v>Technology-specific analytical synthesis. The CTCN hierarchy is retained; classifications and component dependencies require validation against the selected design, site and supplier documentation before investment or policy use.</x:v>
      </x:c>
      <x:c r="AA19" s="2" t="str">
        <x:v>Physical deployment of More efficient light duty vehicles requires rights-of-way, stops or terminals, depots, interchanges, control centres, communications and safe pedestrian or cycling access; interfaces, foundations, access and environmental protection are sized to the specific resource and design load.</x:v>
      </x:c>
      <x:c r="AB19" s="2" t="str">
        <x:v>For More efficient light duty vehicles,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9" s="2" t="str">
        <x:v>Construction and operation use concrete, steel, asphalt, copper, signalling electronics, pavement materials and vehicle-related materials where new infrastructure is built. For More efficient light duty vehicles, specifications must include durability, compatibility, recycled content and recoverability.</x:v>
      </x:c>
      <x:c r="AD19" s="2" t="str">
        <x:v>Maintenance of More efficient light duty vehicles depends on signal modules, communications equipment, validators, sensors, pavement components, station equipment and fleet consumables; critical spares are selected from failure-mode, lead-time and safety analysis for its installed configuration.</x:v>
      </x:c>
      <x:c r="AE19" s="2" t="str">
        <x:v>The software stack for More efficient light duty vehicles requires databases, secure communications, version-controlled models, computing, backup and interfaces with field or operational systems.</x:v>
      </x:c>
      <x:c r="AF19" s="2" t="str">
        <x:v>For More efficient light duty vehicles, software-related energy is electricity for sensing, computing, storage, communication and cooling; it is normally secondary but must be included for data-intensive or continuous services.</x:v>
      </x:c>
      <x:c r="AG19" s="2" t="str">
        <x:v>The non-physical inputs are calibrated data, metadata, algorithms, boundary conditions, emission or hazard factors, manuals and validation records specific to More efficient light duty vehicles.</x:v>
      </x:c>
      <x:c r="AH19" s="2" t="str">
        <x:v>Software continuity for More efficient light duty vehicles requires licences where applicable, updates, cybersecurity patches, backups, calibration files, model validation and technical support.</x:v>
      </x:c>
      <x:c r="AI19" s="2" t="str">
        <x:v>Orgware depends on the institutions, laboratories, training providers, regulators, operators and community interfaces needed to govern More efficient light duty vehicles.</x:v>
      </x:c>
      <x:c r="AJ19" s="2" t="str">
        <x:v>The orgware supporting More efficient light duty vehicles has mainly indirect energy use from offices, meetings, training and information systems; travel and field supervision may be material at dispersed sites.</x:v>
      </x:c>
      <x:c r="AK19" s="2" t="str">
        <x:v>Its organisational inputs are permits, budgets, trained staff, competence records, contracts, procedures, safeguards, monitoring evidence and stakeholder agreements tailored to More efficient light duty vehicles.</x:v>
      </x:c>
      <x:c r="AL19" s="2" t="str">
        <x:v>Sustained implementation of More efficient light duty vehicles requires procurement and service contracts, audit protocols, training material, reporting templates, insurance or guarantees and periodic independent review.</x:v>
      </x:c>
      <x:c r="AM19" s="2" t="str">
        <x:v>Iron ore / steel inputs; Copper; Tin; Rare earth elements; Bauxite / aluminium</x:v>
      </x:c>
      <x:c r="AN19" s="2" t="str">
        <x:v>Australia; Brazil; China; Chile; Democratic Republic of the Congo; Peru; Indonesia; Myanmar; United States; Guinea</x:v>
      </x:c>
      <x:c r="AO19" s="2" t="str">
        <x:v>China; India; Japan; Chile; Democratic Republic of the Congo; Indonesia; Malaysia; Estonia; Russia</x:v>
      </x:c>
      <x:c r="AP19" s="2" t="str">
        <x:v>More efficient light duty vehicles: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 s="2" t="str">
        <x:v>2024–2025</x:v>
      </x:c>
      <x:c r="AR19" s="2" t="str">
        <x:v>https://pubs.usgs.gov/periodicals/mcs2026/mcs2026.pdf; https://www.iea.org/reports/global-critical-minerals-outlook-2025</x:v>
      </x:c>
    </x:row>
    <x:row r="20" ht="240" customHeight="1">
      <x:c r="A20" s="2" t="str">
        <x:v>MIT-0013</x:v>
      </x:c>
      <x:c r="B20" s="2" t="str">
        <x:v>Mitigation</x:v>
      </x:c>
      <x:c r="C20" s="2" t="str">
        <x:v>Transport</x:v>
      </x:c>
      <x:c r="D20" s="2" t="str">
        <x:v>Land transport</x:v>
      </x:c>
      <x:c r="E20" s="2" t="str">
        <x:v>Modal shift from car to cycling</x:v>
      </x:c>
      <x:c r="F20" s="2" t="str">
        <x:v>Modal shift from car to cycling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Modal shift from car to 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0" s="2" t="str">
        <x:v>Mixed: adaptable design, site-specific implementation</x:v>
      </x:c>
      <x:c r="H20" s="2" t="str">
        <x:v>Modal shift from car to cycling is adaptable in capacity and configuration but site-specific in final engineering. Its principle remains the same, but resource quality, climate, scale, interfaces and safety constraints must be recalculated for each deployment.</x:v>
      </x:c>
      <x:c r="I20" s="2" t="str">
        <x:v>Primarily hard, with a soft component</x:v>
      </x:c>
      <x:c r="J20" s="2" t="str">
        <x:v>Modal shift from car to 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0" s="2" t="str">
        <x:v>Equipment and operation</x:v>
      </x:c>
      <x:c r="L20" s="2" t="str">
        <x:v>Modal shift from car to cycling is embodied mainly as an equipment-and-operation system. The deliverable is accepted only when measurable service, quality, safety and climate-performance criteria are met under real conditions.</x:v>
      </x:c>
      <x:c r="M20" s="2" t="str">
        <x:v>Yes, subject to life-cycle safeguards</x:v>
      </x:c>
      <x:c r="N20" s="2" t="str">
        <x:v>Modal shift from car to 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0" s="2" t="str">
        <x:v>Modal shift from car to cycling: corridor and station infrastructure, signalling, ticketing, communications, fleet equipment, traffic sensors and user interfaces as applicable.</x:v>
      </x:c>
      <x:c r="P20" s="2" t="str">
        <x:v>Modal shift from car to cycling: network and timetable design, demand models, traffic control, fleet dispatch, logistics optimisation, safety analysis and service-performance analytics.</x:v>
      </x:c>
      <x:c r="Q20" s="2" t="str">
        <x:v>Modal shift from car to cycling: transport authority mandates, operating contracts, tariffs, enforcement, street-space allocation, accessibility rules and coordination with land-use planning.</x:v>
      </x:c>
      <x:c r="R20" s="2" t="str">
        <x:v>Modal shift from car to cycling: rights-of-way, stops or terminals, depots, interchanges, control centres, communications and safe pedestrian or cycling access.</x:v>
      </x:c>
      <x:c r="S20" s="2" t="str">
        <x:v>Modal shift from car to cycling: electricity for control and stations plus the energy used by the affected vehicle fleet; the net result is governed by modal shift and occupancy.</x:v>
      </x:c>
      <x:c r="T20" s="2" t="str">
        <x:v>Modal shift from car to cycling: concrete, steel, asphalt, copper, signalling electronics, pavement materials and vehicle-related materials where new infrastructure is built.</x:v>
      </x:c>
      <x:c r="U20" s="2" t="str">
        <x:v>Modal shift from car to cycling: signal modules, communications equipment, validators, sensors, pavement components, station equipment and fleet consumables.</x:v>
      </x:c>
      <x:c r="V20" s="2" t="str">
        <x:v>https://www.ctc-n.org/sites/default/files/resources/ctcn_taxonomy_0.pdf</x:v>
      </x:c>
      <x:c r="W20" s="2" t="str">
        <x:v>https://institutoagricoladepueblobello.edu.co/colegiapp/archivostemas/GUIA%209.%5B25%5D.pdf</x:v>
      </x:c>
      <x:c r="X20" s="2" t="str">
        <x:v>https://iiasa.ac.at/what-is-technology</x:v>
      </x:c>
      <x:c r="Y20" s="2" t="str">
        <x:v>https://www.ipcc.ch/report/ar6/wg3/chapter/chapter-10/; https://ppp.worldbank.org/print/pdf/node/7300</x:v>
      </x:c>
      <x:c r="Z20" s="2" t="str">
        <x:v>Technology-specific analytical synthesis. The CTCN hierarchy is retained; classifications and component dependencies require validation against the selected design, site and supplier documentation before investment or policy use.</x:v>
      </x:c>
      <x:c r="AA20" s="2" t="str">
        <x:v>Physical deployment of Modal shift from car to cycling requires rights-of-way, stops or terminals, depots, interchanges, control centres, communications and safe pedestrian or cycling access; interfaces, foundations, access and environmental protection are sized to the specific resource and design load.</x:v>
      </x:c>
      <x:c r="AB20" s="2" t="str">
        <x:v>For Modal shift from car to 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0" s="2" t="str">
        <x:v>Construction and operation use concrete, steel, asphalt, copper, signalling electronics, pavement materials and vehicle-related materials where new infrastructure is built. For Modal shift from car to cycling, specifications must include durability, compatibility, recycled content and recoverability.</x:v>
      </x:c>
      <x:c r="AD20" s="2" t="str">
        <x:v>Maintenance of Modal shift from car to cycling depends on signal modules, communications equipment, validators, sensors, pavement components, station equipment and fleet consumables; critical spares are selected from failure-mode, lead-time and safety analysis for its installed configuration.</x:v>
      </x:c>
      <x:c r="AE20" s="2" t="str">
        <x:v>The software stack for Modal shift from car to cycling requires databases, secure communications, version-controlled models, computing, backup and interfaces with field or operational systems.</x:v>
      </x:c>
      <x:c r="AF20" s="2" t="str">
        <x:v>For Modal shift from car to cycling, software-related energy is electricity for sensing, computing, storage, communication and cooling; it is normally secondary but must be included for data-intensive or continuous services.</x:v>
      </x:c>
      <x:c r="AG20" s="2" t="str">
        <x:v>The non-physical inputs are calibrated data, metadata, algorithms, boundary conditions, emission or hazard factors, manuals and validation records specific to Modal shift from car to cycling.</x:v>
      </x:c>
      <x:c r="AH20" s="2" t="str">
        <x:v>Software continuity for Modal shift from car to cycling requires licences where applicable, updates, cybersecurity patches, backups, calibration files, model validation and technical support.</x:v>
      </x:c>
      <x:c r="AI20" s="2" t="str">
        <x:v>Orgware depends on the institutions, laboratories, training providers, regulators, operators and community interfaces needed to govern Modal shift from car to cycling.</x:v>
      </x:c>
      <x:c r="AJ20" s="2" t="str">
        <x:v>The orgware supporting Modal shift from car to cycling has mainly indirect energy use from offices, meetings, training and information systems; travel and field supervision may be material at dispersed sites.</x:v>
      </x:c>
      <x:c r="AK20" s="2" t="str">
        <x:v>Its organisational inputs are permits, budgets, trained staff, competence records, contracts, procedures, safeguards, monitoring evidence and stakeholder agreements tailored to Modal shift from car to cycling.</x:v>
      </x:c>
      <x:c r="AL20" s="2" t="str">
        <x:v>Sustained implementation of Modal shift from car to cycling requires procurement and service contracts, audit protocols, training material, reporting templates, insurance or guarantees and periodic independent review.</x:v>
      </x:c>
      <x:c r="AM20" s="2" t="str">
        <x:v>Iron ore / steel inputs</x:v>
      </x:c>
      <x:c r="AN20" s="2" t="str">
        <x:v>Australia; Brazil; China</x:v>
      </x:c>
      <x:c r="AO20" s="2" t="str">
        <x:v>China; India; Japan</x:v>
      </x:c>
      <x:c r="AP20" s="2" t="str">
        <x:v>Modal shift from car to 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 s="2" t="str">
        <x:v>2024–2025</x:v>
      </x:c>
      <x:c r="AR20" s="2" t="str">
        <x:v>https://pubs.usgs.gov/periodicals/mcs2026/mcs2026.pdf</x:v>
      </x:c>
    </x:row>
    <x:row r="21" ht="240" customHeight="1">
      <x:c r="A21" s="2" t="str">
        <x:v>MIT-0014</x:v>
      </x:c>
      <x:c r="B21" s="2" t="str">
        <x:v>Mitigation</x:v>
      </x:c>
      <x:c r="C21" s="2" t="str">
        <x:v>Transport</x:v>
      </x:c>
      <x:c r="D21" s="2" t="str">
        <x:v>Land transport</x:v>
      </x:c>
      <x:c r="E21" s="2" t="str">
        <x:v>Modal shift from road to rail</x:v>
      </x:c>
      <x:c r="F21" s="2" t="str">
        <x:v>Modal shift from road to rail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Modal shift from road to rail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1" s="2" t="str">
        <x:v>Primarily fixed</x:v>
      </x:c>
      <x:c r="H21" s="2" t="str">
        <x:v>Modal shift from road to rail is tied to long-lived, site-specific assets and design loads. Its principle remains the same, but resource quality, climate, scale, interfaces and safety constraints must be recalculated for each deployment.</x:v>
      </x:c>
      <x:c r="I21" s="2" t="str">
        <x:v>Primarily hard, with a soft component</x:v>
      </x:c>
      <x:c r="J21" s="2" t="str">
        <x:v>Modal shift from road to rail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1" s="2" t="str">
        <x:v>Equipment and operation</x:v>
      </x:c>
      <x:c r="L21" s="2" t="str">
        <x:v>Modal shift from road to rail is embodied mainly as an equipment-and-operation system. The deliverable is accepted only when measurable service, quality, safety and climate-performance criteria are met under real conditions.</x:v>
      </x:c>
      <x:c r="M21" s="2" t="str">
        <x:v>Yes, subject to life-cycle safeguards</x:v>
      </x:c>
      <x:c r="N21" s="2" t="str">
        <x:v>Modal shift from road to rail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1" s="2" t="str">
        <x:v>Modal shift from road to rail: corridor and station infrastructure, signalling, ticketing, communications, fleet equipment, traffic sensors and user interfaces as applicable.</x:v>
      </x:c>
      <x:c r="P21" s="2" t="str">
        <x:v>Modal shift from road to rail: network and timetable design, demand models, traffic control, fleet dispatch, logistics optimisation, safety analysis and service-performance analytics.</x:v>
      </x:c>
      <x:c r="Q21" s="2" t="str">
        <x:v>Modal shift from road to rail: transport authority mandates, operating contracts, tariffs, enforcement, street-space allocation, accessibility rules and coordination with land-use planning.</x:v>
      </x:c>
      <x:c r="R21" s="2" t="str">
        <x:v>Modal shift from road to rail: rights-of-way, stops or terminals, depots, interchanges, control centres, communications and safe pedestrian or cycling access.</x:v>
      </x:c>
      <x:c r="S21" s="2" t="str">
        <x:v>Modal shift from road to rail: electricity for control and stations plus the energy used by the affected vehicle fleet; the net result is governed by modal shift and occupancy.</x:v>
      </x:c>
      <x:c r="T21" s="2" t="str">
        <x:v>Modal shift from road to rail: concrete, steel, asphalt, copper, signalling electronics, pavement materials and vehicle-related materials where new infrastructure is built.</x:v>
      </x:c>
      <x:c r="U21" s="2" t="str">
        <x:v>Modal shift from road to rail: signal modules, communications equipment, validators, sensors, pavement components, station equipment and fleet consumables.</x:v>
      </x:c>
      <x:c r="V21" s="2" t="str">
        <x:v>https://www.ctc-n.org/sites/default/files/resources/ctcn_taxonomy_0.pdf</x:v>
      </x:c>
      <x:c r="W21" s="2" t="str">
        <x:v>https://institutoagricoladepueblobello.edu.co/colegiapp/archivostemas/GUIA%209.%5B25%5D.pdf</x:v>
      </x:c>
      <x:c r="X21" s="2" t="str">
        <x:v>https://iiasa.ac.at/what-is-technology</x:v>
      </x:c>
      <x:c r="Y21" s="2" t="str">
        <x:v>https://www.ipcc.ch/report/ar6/wg3/chapter/chapter-10/; https://ppp.worldbank.org/print/pdf/node/7300</x:v>
      </x:c>
      <x:c r="Z21" s="2" t="str">
        <x:v>Technology-specific analytical synthesis. The CTCN hierarchy is retained; classifications and component dependencies require validation against the selected design, site and supplier documentation before investment or policy use.</x:v>
      </x:c>
      <x:c r="AA21" s="2" t="str">
        <x:v>Physical deployment of Modal shift from road to rail requires rights-of-way, stops or terminals, depots, interchanges, control centres, communications and safe pedestrian or cycling access; interfaces, foundations, access and environmental protection are sized to the specific resource and design load.</x:v>
      </x:c>
      <x:c r="AB21" s="2" t="str">
        <x:v>For Modal shift from road to rail,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1" s="2" t="str">
        <x:v>Construction and operation use concrete, steel, asphalt, copper, signalling electronics, pavement materials and vehicle-related materials where new infrastructure is built. For Modal shift from road to rail, specifications must include durability, compatibility, recycled content and recoverability.</x:v>
      </x:c>
      <x:c r="AD21" s="2" t="str">
        <x:v>Maintenance of Modal shift from road to rail depends on signal modules, communications equipment, validators, sensors, pavement components, station equipment and fleet consumables; critical spares are selected from failure-mode, lead-time and safety analysis for its installed configuration.</x:v>
      </x:c>
      <x:c r="AE21" s="2" t="str">
        <x:v>The software stack for Modal shift from road to rail requires databases, secure communications, version-controlled models, computing, backup and interfaces with field or operational systems.</x:v>
      </x:c>
      <x:c r="AF21" s="2" t="str">
        <x:v>For Modal shift from road to rail, software-related energy is electricity for sensing, computing, storage, communication and cooling; it is normally secondary but must be included for data-intensive or continuous services.</x:v>
      </x:c>
      <x:c r="AG21" s="2" t="str">
        <x:v>The non-physical inputs are calibrated data, metadata, algorithms, boundary conditions, emission or hazard factors, manuals and validation records specific to Modal shift from road to rail.</x:v>
      </x:c>
      <x:c r="AH21" s="2" t="str">
        <x:v>Software continuity for Modal shift from road to rail requires licences where applicable, updates, cybersecurity patches, backups, calibration files, model validation and technical support.</x:v>
      </x:c>
      <x:c r="AI21" s="2" t="str">
        <x:v>Orgware depends on the institutions, laboratories, training providers, regulators, operators and community interfaces needed to govern Modal shift from road to rail.</x:v>
      </x:c>
      <x:c r="AJ21" s="2" t="str">
        <x:v>The orgware supporting Modal shift from road to rail has mainly indirect energy use from offices, meetings, training and information systems; travel and field supervision may be material at dispersed sites.</x:v>
      </x:c>
      <x:c r="AK21" s="2" t="str">
        <x:v>Its organisational inputs are permits, budgets, trained staff, competence records, contracts, procedures, safeguards, monitoring evidence and stakeholder agreements tailored to Modal shift from road to rail.</x:v>
      </x:c>
      <x:c r="AL21" s="2" t="str">
        <x:v>Sustained implementation of Modal shift from road to rail requires procurement and service contracts, audit protocols, training material, reporting templates, insurance or guarantees and periodic independent review.</x:v>
      </x:c>
      <x:c r="AM21" s="2" t="str">
        <x:v>Iron ore / steel inputs; Copper; Tin; Limestone / cement raw materials</x:v>
      </x:c>
      <x:c r="AN21" s="2" t="str">
        <x:v>Australia; Brazil; China; Chile; Democratic Republic of the Congo; Peru; Indonesia; Myanmar; India; Vietnam</x:v>
      </x:c>
      <x:c r="AO21" s="2" t="str">
        <x:v>China; India; Japan; Chile; Democratic Republic of the Congo; Indonesia; Malaysia; Vietnam</x:v>
      </x:c>
      <x:c r="AP21" s="2" t="str">
        <x:v>Modal shift from road to rail: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 s="2" t="str">
        <x:v>2024–2025</x:v>
      </x:c>
      <x:c r="AR21" s="2" t="str">
        <x:v>https://pubs.usgs.gov/periodicals/mcs2026/mcs2026.pdf</x:v>
      </x:c>
    </x:row>
    <x:row r="22" ht="240" customHeight="1">
      <x:c r="A22" s="2" t="str">
        <x:v>MIT-0015</x:v>
      </x:c>
      <x:c r="B22" s="2" t="str">
        <x:v>Mitigation</x:v>
      </x:c>
      <x:c r="C22" s="2" t="str">
        <x:v>Transport</x:v>
      </x:c>
      <x:c r="D22" s="2" t="str">
        <x:v>Land transport</x:v>
      </x:c>
      <x:c r="E22" s="2" t="str">
        <x:v>Road pricing</x:v>
      </x:c>
      <x:c r="F22" s="2" t="str">
        <x:v>Road pricing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Road pricing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2" s="2" t="str">
        <x:v>Flexible</x:v>
      </x:c>
      <x:c r="H22" s="2" t="str">
        <x:v>Road pricing is transferable through configurable methods, rules and operating parameters. Its principle remains the same, but resource quality, climate, scale, interfaces and safety constraints must be recalculated for each deployment.</x:v>
      </x:c>
      <x:c r="I22" s="2" t="str">
        <x:v>Primarily soft, with physical support</x:v>
      </x:c>
      <x:c r="J22" s="2" t="str">
        <x:v>Road pricing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2" s="2" t="str">
        <x:v>Operation</x:v>
      </x:c>
      <x:c r="L22" s="2" t="str">
        <x:v>Road pricing is embodied mainly as an operating practice. The deliverable is accepted only when measurable service, quality, safety and climate-performance criteria are met under real conditions.</x:v>
      </x:c>
      <x:c r="M22" s="2" t="str">
        <x:v>Yes, subject to life-cycle safeguards</x:v>
      </x:c>
      <x:c r="N22" s="2" t="str">
        <x:v>Road pricing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2" s="2" t="str">
        <x:v>Road pricing: corridor and station infrastructure, signalling, ticketing, communications, fleet equipment, traffic sensors and user interfaces as applicable.</x:v>
      </x:c>
      <x:c r="P22" s="2" t="str">
        <x:v>Road pricing: network and timetable design, demand models, traffic control, fleet dispatch, logistics optimisation, safety analysis and service-performance analytics.</x:v>
      </x:c>
      <x:c r="Q22" s="2" t="str">
        <x:v>Road pricing: transport authority mandates, operating contracts, tariffs, enforcement, street-space allocation, accessibility rules and coordination with land-use planning.</x:v>
      </x:c>
      <x:c r="R22" s="2" t="str">
        <x:v>Road pricing: rights-of-way, stops or terminals, depots, interchanges, control centres, communications and safe pedestrian or cycling access.</x:v>
      </x:c>
      <x:c r="S22" s="2" t="str">
        <x:v>Road pricing: electricity for control and stations plus the energy used by the affected vehicle fleet; the net result is governed by modal shift and occupancy.</x:v>
      </x:c>
      <x:c r="T22" s="2" t="str">
        <x:v>Road pricing: concrete, steel, asphalt, copper, signalling electronics, pavement materials and vehicle-related materials where new infrastructure is built.</x:v>
      </x:c>
      <x:c r="U22" s="2" t="str">
        <x:v>Road pricing: signal modules, communications equipment, validators, sensors, pavement components, station equipment and fleet consumables.</x:v>
      </x:c>
      <x:c r="V22" s="2" t="str">
        <x:v>https://www.ctc-n.org/sites/default/files/resources/ctcn_taxonomy_0.pdf</x:v>
      </x:c>
      <x:c r="W22" s="2" t="str">
        <x:v>https://institutoagricoladepueblobello.edu.co/colegiapp/archivostemas/GUIA%209.%5B25%5D.pdf</x:v>
      </x:c>
      <x:c r="X22" s="2" t="str">
        <x:v>https://iiasa.ac.at/what-is-technology</x:v>
      </x:c>
      <x:c r="Y22" s="2" t="str">
        <x:v>https://www.ipcc.ch/report/ar6/wg3/chapter/chapter-10/; https://ppp.worldbank.org/print/pdf/node/7300</x:v>
      </x:c>
      <x:c r="Z22" s="2" t="str">
        <x:v>Technology-specific analytical synthesis. The CTCN hierarchy is retained; classifications and component dependencies require validation against the selected design, site and supplier documentation before investment or policy use.</x:v>
      </x:c>
      <x:c r="AA22" s="2" t="str">
        <x:v>Physical deployment of Road pricing requires rights-of-way, stops or terminals, depots, interchanges, control centres, communications and safe pedestrian or cycling access; interfaces, foundations, access and environmental protection are sized to the specific resource and design load.</x:v>
      </x:c>
      <x:c r="AB22" s="2" t="str">
        <x:v>For Road pricing,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2" s="2" t="str">
        <x:v>Construction and operation use concrete, steel, asphalt, copper, signalling electronics, pavement materials and vehicle-related materials where new infrastructure is built. For Road pricing, specifications must include durability, compatibility, recycled content and recoverability.</x:v>
      </x:c>
      <x:c r="AD22" s="2" t="str">
        <x:v>Maintenance of Road pricing depends on signal modules, communications equipment, validators, sensors, pavement components, station equipment and fleet consumables; critical spares are selected from failure-mode, lead-time and safety analysis for its installed configuration.</x:v>
      </x:c>
      <x:c r="AE22" s="2" t="str">
        <x:v>The software stack for Road pricing requires databases, secure communications, version-controlled models, computing, backup and interfaces with field or operational systems.</x:v>
      </x:c>
      <x:c r="AF22" s="2" t="str">
        <x:v>For Road pricing, software-related energy is electricity for sensing, computing, storage, communication and cooling; it is normally secondary but must be included for data-intensive or continuous services.</x:v>
      </x:c>
      <x:c r="AG22" s="2" t="str">
        <x:v>The non-physical inputs are calibrated data, metadata, algorithms, boundary conditions, emission or hazard factors, manuals and validation records specific to Road pricing.</x:v>
      </x:c>
      <x:c r="AH22" s="2" t="str">
        <x:v>Software continuity for Road pricing requires licences where applicable, updates, cybersecurity patches, backups, calibration files, model validation and technical support.</x:v>
      </x:c>
      <x:c r="AI22" s="2" t="str">
        <x:v>Orgware depends on the institutions, laboratories, training providers, regulators, operators and community interfaces needed to govern Road pricing.</x:v>
      </x:c>
      <x:c r="AJ22" s="2" t="str">
        <x:v>The orgware supporting Road pricing has mainly indirect energy use from offices, meetings, training and information systems; travel and field supervision may be material at dispersed sites.</x:v>
      </x:c>
      <x:c r="AK22" s="2" t="str">
        <x:v>Its organisational inputs are permits, budgets, trained staff, competence records, contracts, procedures, safeguards, monitoring evidence and stakeholder agreements tailored to Road pricing.</x:v>
      </x:c>
      <x:c r="AL22" s="2" t="str">
        <x:v>Sustained implementation of Road pricing requires procurement and service contracts, audit protocols, training material, reporting templates, insurance or guarantees and periodic independent review.</x:v>
      </x:c>
      <x:c r="AM22" s="2" t="str">
        <x:v>No critical or strategic raw material is identifiable at taxonomy level; site-specific bulk materials may still be required.</x:v>
      </x:c>
      <x:c r="AN22" s="2" t="str"/>
      <x:c r="AO22" s="2" t="str"/>
      <x:c r="AP22" s="2" t="str">
        <x:v>Road pricing: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 s="2" t="str">
        <x:v>2024–2025</x:v>
      </x:c>
      <x:c r="AR22" s="2" t="str">
        <x:v>https://pubs.usgs.gov/periodicals/mcs2026/mcs2026.pdf; https://www.iea.org/reports/global-critical-minerals-outlook-2025</x:v>
      </x:c>
    </x:row>
    <x:row r="23" ht="240" customHeight="1">
      <x:c r="A23" s="2" t="str">
        <x:v>MIT-0016</x:v>
      </x:c>
      <x:c r="B23" s="2" t="str">
        <x:v>Mitigation</x:v>
      </x:c>
      <x:c r="C23" s="2" t="str">
        <x:v>Transport</x:v>
      </x:c>
      <x:c r="D23" s="2" t="str">
        <x:v>Land transport</x:v>
      </x:c>
      <x:c r="E23" s="2" t="str">
        <x:v>Intelligent transport systems</x:v>
      </x:c>
      <x:c r="F23" s="2" t="str">
        <x:v>Intelligent transport systems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Intelligent transport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3" s="2" t="str">
        <x:v>Mixed: adaptable design, site-specific implementation</x:v>
      </x:c>
      <x:c r="H23" s="2" t="str">
        <x:v>Intelligent transport systems is adaptable in capacity and configuration but site-specific in final engineering. Its principle remains the same, but resource quality, climate, scale, interfaces and safety constraints must be recalculated for each deployment.</x:v>
      </x:c>
      <x:c r="I23" s="2" t="str">
        <x:v>Primarily hard, with a soft component</x:v>
      </x:c>
      <x:c r="J23" s="2" t="str">
        <x:v>Intelligent transport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3" s="2" t="str">
        <x:v>Equipment and operation</x:v>
      </x:c>
      <x:c r="L23" s="2" t="str">
        <x:v>Intelligent transport systems is embodied mainly as an equipment-and-operation system. The deliverable is accepted only when measurable service, quality, safety and climate-performance criteria are met under real conditions.</x:v>
      </x:c>
      <x:c r="M23" s="2" t="str">
        <x:v>Yes, subject to life-cycle safeguards</x:v>
      </x:c>
      <x:c r="N23" s="2" t="str">
        <x:v>Intelligent transport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3" s="2" t="str">
        <x:v>Intelligent transport systems: corridor and station infrastructure, signalling, ticketing, communications, fleet equipment, traffic sensors and user interfaces as applicable.</x:v>
      </x:c>
      <x:c r="P23" s="2" t="str">
        <x:v>Intelligent transport systems: network and timetable design, demand models, traffic control, fleet dispatch, logistics optimisation, safety analysis and service-performance analytics.</x:v>
      </x:c>
      <x:c r="Q23" s="2" t="str">
        <x:v>Intelligent transport systems: transport authority mandates, operating contracts, tariffs, enforcement, street-space allocation, accessibility rules and coordination with land-use planning.</x:v>
      </x:c>
      <x:c r="R23" s="2" t="str">
        <x:v>Intelligent transport systems: rights-of-way, stops or terminals, depots, interchanges, control centres, communications and safe pedestrian or cycling access.</x:v>
      </x:c>
      <x:c r="S23" s="2" t="str">
        <x:v>Intelligent transport systems: electricity for control and stations plus the energy used by the affected vehicle fleet; the net result is governed by modal shift and occupancy.</x:v>
      </x:c>
      <x:c r="T23" s="2" t="str">
        <x:v>Intelligent transport systems: concrete, steel, asphalt, copper, signalling electronics, pavement materials and vehicle-related materials where new infrastructure is built.</x:v>
      </x:c>
      <x:c r="U23" s="2" t="str">
        <x:v>Intelligent transport systems: signal modules, communications equipment, validators, sensors, pavement components, station equipment and fleet consumables.</x:v>
      </x:c>
      <x:c r="V23" s="2" t="str">
        <x:v>https://www.ctc-n.org/sites/default/files/resources/ctcn_taxonomy_0.pdf</x:v>
      </x:c>
      <x:c r="W23" s="2" t="str">
        <x:v>https://institutoagricoladepueblobello.edu.co/colegiapp/archivostemas/GUIA%209.%5B25%5D.pdf</x:v>
      </x:c>
      <x:c r="X23" s="2" t="str">
        <x:v>https://iiasa.ac.at/what-is-technology</x:v>
      </x:c>
      <x:c r="Y23" s="2" t="str">
        <x:v>https://www.ipcc.ch/report/ar6/wg3/chapter/chapter-10/; https://ppp.worldbank.org/print/pdf/node/7300</x:v>
      </x:c>
      <x:c r="Z23" s="2" t="str">
        <x:v>Technology-specific analytical synthesis. The CTCN hierarchy is retained; classifications and component dependencies require validation against the selected design, site and supplier documentation before investment or policy use.</x:v>
      </x:c>
      <x:c r="AA23" s="2" t="str">
        <x:v>Physical deployment of Intelligent transport systems requires rights-of-way, stops or terminals, depots, interchanges, control centres, communications and safe pedestrian or cycling access; interfaces, foundations, access and environmental protection are sized to the specific resource and design load.</x:v>
      </x:c>
      <x:c r="AB23" s="2" t="str">
        <x:v>For Intelligent transport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3" s="2" t="str">
        <x:v>Construction and operation use concrete, steel, asphalt, copper, signalling electronics, pavement materials and vehicle-related materials where new infrastructure is built. For Intelligent transport systems, specifications must include durability, compatibility, recycled content and recoverability.</x:v>
      </x:c>
      <x:c r="AD23" s="2" t="str">
        <x:v>Maintenance of Intelligent transport systems depends on signal modules, communications equipment, validators, sensors, pavement components, station equipment and fleet consumables; critical spares are selected from failure-mode, lead-time and safety analysis for its installed configuration.</x:v>
      </x:c>
      <x:c r="AE23" s="2" t="str">
        <x:v>The software stack for Intelligent transport systems requires databases, secure communications, version-controlled models, computing, backup and interfaces with field or operational systems.</x:v>
      </x:c>
      <x:c r="AF23" s="2" t="str">
        <x:v>For Intelligent transport systems, software-related energy is electricity for sensing, computing, storage, communication and cooling; it is normally secondary but must be included for data-intensive or continuous services.</x:v>
      </x:c>
      <x:c r="AG23" s="2" t="str">
        <x:v>The non-physical inputs are calibrated data, metadata, algorithms, boundary conditions, emission or hazard factors, manuals and validation records specific to Intelligent transport systems.</x:v>
      </x:c>
      <x:c r="AH23" s="2" t="str">
        <x:v>Software continuity for Intelligent transport systems requires licences where applicable, updates, cybersecurity patches, backups, calibration files, model validation and technical support.</x:v>
      </x:c>
      <x:c r="AI23" s="2" t="str">
        <x:v>Orgware depends on the institutions, laboratories, training providers, regulators, operators and community interfaces needed to govern Intelligent transport systems.</x:v>
      </x:c>
      <x:c r="AJ23" s="2" t="str">
        <x:v>The orgware supporting Intelligent transport systems has mainly indirect energy use from offices, meetings, training and information systems; travel and field supervision may be material at dispersed sites.</x:v>
      </x:c>
      <x:c r="AK23" s="2" t="str">
        <x:v>Its organisational inputs are permits, budgets, trained staff, competence records, contracts, procedures, safeguards, monitoring evidence and stakeholder agreements tailored to Intelligent transport systems.</x:v>
      </x:c>
      <x:c r="AL23" s="2" t="str">
        <x:v>Sustained implementation of Intelligent transport systems requires procurement and service contracts, audit protocols, training material, reporting templates, insurance or guarantees and periodic independent review.</x:v>
      </x:c>
      <x:c r="AM23" s="2" t="str">
        <x:v>Iron ore / steel inputs</x:v>
      </x:c>
      <x:c r="AN23" s="2" t="str">
        <x:v>Australia; Brazil; China</x:v>
      </x:c>
      <x:c r="AO23" s="2" t="str">
        <x:v>China; India; Japan</x:v>
      </x:c>
      <x:c r="AP23" s="2" t="str">
        <x:v>Intelligent transport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 s="2" t="str">
        <x:v>2024–2025</x:v>
      </x:c>
      <x:c r="AR23" s="2" t="str">
        <x:v>https://pubs.usgs.gov/periodicals/mcs2026/mcs2026.pdf</x:v>
      </x:c>
    </x:row>
    <x:row r="24" ht="240" customHeight="1">
      <x:c r="A24" s="2" t="str">
        <x:v>MIT-0017</x:v>
      </x:c>
      <x:c r="B24" s="2" t="str">
        <x:v>Mitigation</x:v>
      </x:c>
      <x:c r="C24" s="2" t="str">
        <x:v>Transport</x:v>
      </x:c>
      <x:c r="D24" s="2" t="str">
        <x:v>Land transport</x:v>
      </x:c>
      <x:c r="E24" s="2" t="str">
        <x:v>Scrappage programmes</x:v>
      </x:c>
      <x:c r="F24" s="2" t="str">
        <x:v>Scrappage programmes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Scrappage programmes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4" s="2" t="str">
        <x:v>Flexible</x:v>
      </x:c>
      <x:c r="H24" s="2" t="str">
        <x:v>Scrappage programmes is transferable through configurable methods, rules and operating parameters. Its principle remains the same, but resource quality, climate, scale, interfaces and safety constraints must be recalculated for each deployment.</x:v>
      </x:c>
      <x:c r="I24" s="2" t="str">
        <x:v>Primarily soft, with physical support</x:v>
      </x:c>
      <x:c r="J24" s="2" t="str">
        <x:v>Scrappage programmes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4" s="2" t="str">
        <x:v>Operation</x:v>
      </x:c>
      <x:c r="L24" s="2" t="str">
        <x:v>Scrappage programmes is embodied mainly as an operating practice. The deliverable is accepted only when measurable service, quality, safety and climate-performance criteria are met under real conditions.</x:v>
      </x:c>
      <x:c r="M24" s="2" t="str">
        <x:v>Yes, subject to life-cycle safeguards</x:v>
      </x:c>
      <x:c r="N24" s="2" t="str">
        <x:v>Scrappage programmes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4" s="2" t="str">
        <x:v>Scrappage programmes: corridor and station infrastructure, signalling, ticketing, communications, fleet equipment, traffic sensors and user interfaces as applicable.</x:v>
      </x:c>
      <x:c r="P24" s="2" t="str">
        <x:v>Scrappage programmes: network and timetable design, demand models, traffic control, fleet dispatch, logistics optimisation, safety analysis and service-performance analytics.</x:v>
      </x:c>
      <x:c r="Q24" s="2" t="str">
        <x:v>Scrappage programmes: transport authority mandates, operating contracts, tariffs, enforcement, street-space allocation, accessibility rules and coordination with land-use planning.</x:v>
      </x:c>
      <x:c r="R24" s="2" t="str">
        <x:v>Scrappage programmes: rights-of-way, stops or terminals, depots, interchanges, control centres, communications and safe pedestrian or cycling access.</x:v>
      </x:c>
      <x:c r="S24" s="2" t="str">
        <x:v>Scrappage programmes: electricity for control and stations plus the energy used by the affected vehicle fleet; the net result is governed by modal shift and occupancy.</x:v>
      </x:c>
      <x:c r="T24" s="2" t="str">
        <x:v>Scrappage programmes: concrete, steel, asphalt, copper, signalling electronics, pavement materials and vehicle-related materials where new infrastructure is built.</x:v>
      </x:c>
      <x:c r="U24" s="2" t="str">
        <x:v>Scrappage programmes: signal modules, communications equipment, validators, sensors, pavement components, station equipment and fleet consumables.</x:v>
      </x:c>
      <x:c r="V24" s="2" t="str">
        <x:v>https://www.ctc-n.org/sites/default/files/resources/ctcn_taxonomy_0.pdf</x:v>
      </x:c>
      <x:c r="W24" s="2" t="str">
        <x:v>https://institutoagricoladepueblobello.edu.co/colegiapp/archivostemas/GUIA%209.%5B25%5D.pdf</x:v>
      </x:c>
      <x:c r="X24" s="2" t="str">
        <x:v>https://iiasa.ac.at/what-is-technology</x:v>
      </x:c>
      <x:c r="Y24" s="2" t="str">
        <x:v>https://www.ipcc.ch/report/ar6/wg3/chapter/chapter-10/; https://ppp.worldbank.org/print/pdf/node/7300</x:v>
      </x:c>
      <x:c r="Z24" s="2" t="str">
        <x:v>Technology-specific analytical synthesis. The CTCN hierarchy is retained; classifications and component dependencies require validation against the selected design, site and supplier documentation before investment or policy use.</x:v>
      </x:c>
      <x:c r="AA24" s="2" t="str">
        <x:v>Physical deployment of Scrappage programmes requires rights-of-way, stops or terminals, depots, interchanges, control centres, communications and safe pedestrian or cycling access; interfaces, foundations, access and environmental protection are sized to the specific resource and design load.</x:v>
      </x:c>
      <x:c r="AB24" s="2" t="str">
        <x:v>For Scrappage programmes,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4" s="2" t="str">
        <x:v>Construction and operation use concrete, steel, asphalt, copper, signalling electronics, pavement materials and vehicle-related materials where new infrastructure is built. For Scrappage programmes, specifications must include durability, compatibility, recycled content and recoverability.</x:v>
      </x:c>
      <x:c r="AD24" s="2" t="str">
        <x:v>Maintenance of Scrappage programmes depends on signal modules, communications equipment, validators, sensors, pavement components, station equipment and fleet consumables; critical spares are selected from failure-mode, lead-time and safety analysis for its installed configuration.</x:v>
      </x:c>
      <x:c r="AE24" s="2" t="str">
        <x:v>The software stack for Scrappage programmes requires databases, secure communications, version-controlled models, computing, backup and interfaces with field or operational systems.</x:v>
      </x:c>
      <x:c r="AF24" s="2" t="str">
        <x:v>For Scrappage programmes, software-related energy is electricity for sensing, computing, storage, communication and cooling; it is normally secondary but must be included for data-intensive or continuous services.</x:v>
      </x:c>
      <x:c r="AG24" s="2" t="str">
        <x:v>The non-physical inputs are calibrated data, metadata, algorithms, boundary conditions, emission or hazard factors, manuals and validation records specific to Scrappage programmes.</x:v>
      </x:c>
      <x:c r="AH24" s="2" t="str">
        <x:v>Software continuity for Scrappage programmes requires licences where applicable, updates, cybersecurity patches, backups, calibration files, model validation and technical support.</x:v>
      </x:c>
      <x:c r="AI24" s="2" t="str">
        <x:v>Orgware depends on the institutions, laboratories, training providers, regulators, operators and community interfaces needed to govern Scrappage programmes.</x:v>
      </x:c>
      <x:c r="AJ24" s="2" t="str">
        <x:v>The orgware supporting Scrappage programmes has mainly indirect energy use from offices, meetings, training and information systems; travel and field supervision may be material at dispersed sites.</x:v>
      </x:c>
      <x:c r="AK24" s="2" t="str">
        <x:v>Its organisational inputs are permits, budgets, trained staff, competence records, contracts, procedures, safeguards, monitoring evidence and stakeholder agreements tailored to Scrappage programmes.</x:v>
      </x:c>
      <x:c r="AL24" s="2" t="str">
        <x:v>Sustained implementation of Scrappage programmes requires procurement and service contracts, audit protocols, training material, reporting templates, insurance or guarantees and periodic independent review.</x:v>
      </x:c>
      <x:c r="AM24" s="2" t="str">
        <x:v>Iron ore / steel inputs</x:v>
      </x:c>
      <x:c r="AN24" s="2" t="str">
        <x:v>Australia; Brazil; China</x:v>
      </x:c>
      <x:c r="AO24" s="2" t="str">
        <x:v>China; India; Japan</x:v>
      </x:c>
      <x:c r="AP24" s="2" t="str">
        <x:v>Scrappage programmes: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 s="2" t="str">
        <x:v>2024–2025</x:v>
      </x:c>
      <x:c r="AR24" s="2" t="str">
        <x:v>https://pubs.usgs.gov/periodicals/mcs2026/mcs2026.pdf</x:v>
      </x:c>
    </x:row>
    <x:row r="25" ht="240" customHeight="1">
      <x:c r="A25" s="2" t="str">
        <x:v>MIT-0018</x:v>
      </x:c>
      <x:c r="B25" s="2" t="str">
        <x:v>Mitigation</x:v>
      </x:c>
      <x:c r="C25" s="2" t="str">
        <x:v>Transport</x:v>
      </x:c>
      <x:c r="D25" s="2" t="str">
        <x:v>Land transport</x:v>
      </x:c>
      <x:c r="E25" s="2" t="str">
        <x:v>Transport Demand Management</x:v>
      </x:c>
      <x:c r="F25" s="2" t="str">
        <x:v>Transport Demand Management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Transport Demand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5" s="2" t="str">
        <x:v>Flexible</x:v>
      </x:c>
      <x:c r="H25" s="2" t="str">
        <x:v>Transport Demand Management is transferable through configurable methods, rules and operating parameters. Its principle remains the same, but resource quality, climate, scale, interfaces and safety constraints must be recalculated for each deployment.</x:v>
      </x:c>
      <x:c r="I25" s="2" t="str">
        <x:v>Primarily soft, with physical support</x:v>
      </x:c>
      <x:c r="J25" s="2" t="str">
        <x:v>Transport Demand Management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5" s="2" t="str">
        <x:v>Operation</x:v>
      </x:c>
      <x:c r="L25" s="2" t="str">
        <x:v>Transport Demand Management is embodied mainly as an operating practice. The deliverable is accepted only when measurable service, quality, safety and climate-performance criteria are met under real conditions.</x:v>
      </x:c>
      <x:c r="M25" s="2" t="str">
        <x:v>Yes, subject to life-cycle safeguards</x:v>
      </x:c>
      <x:c r="N25" s="2" t="str">
        <x:v>Transport Demand Management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5" s="2" t="str">
        <x:v>Transport Demand Management: corridor and station infrastructure, signalling, ticketing, communications, fleet equipment, traffic sensors and user interfaces as applicable.</x:v>
      </x:c>
      <x:c r="P25" s="2" t="str">
        <x:v>Transport Demand Management: network and timetable design, demand models, traffic control, fleet dispatch, logistics optimisation, safety analysis and service-performance analytics.</x:v>
      </x:c>
      <x:c r="Q25" s="2" t="str">
        <x:v>Transport Demand Management: transport authority mandates, operating contracts, tariffs, enforcement, street-space allocation, accessibility rules and coordination with land-use planning.</x:v>
      </x:c>
      <x:c r="R25" s="2" t="str">
        <x:v>Transport Demand Management: rights-of-way, stops or terminals, depots, interchanges, control centres, communications and safe pedestrian or cycling access.</x:v>
      </x:c>
      <x:c r="S25" s="2" t="str">
        <x:v>Transport Demand Management: electricity for control and stations plus the energy used by the affected vehicle fleet; the net result is governed by modal shift and occupancy.</x:v>
      </x:c>
      <x:c r="T25" s="2" t="str">
        <x:v>Transport Demand Management: concrete, steel, asphalt, copper, signalling electronics, pavement materials and vehicle-related materials where new infrastructure is built.</x:v>
      </x:c>
      <x:c r="U25" s="2" t="str">
        <x:v>Transport Demand Management: signal modules, communications equipment, validators, sensors, pavement components, station equipment and fleet consumables.</x:v>
      </x:c>
      <x:c r="V25" s="2" t="str">
        <x:v>https://www.ctc-n.org/sites/default/files/resources/ctcn_taxonomy_0.pdf</x:v>
      </x:c>
      <x:c r="W25" s="2" t="str">
        <x:v>https://institutoagricoladepueblobello.edu.co/colegiapp/archivostemas/GUIA%209.%5B25%5D.pdf</x:v>
      </x:c>
      <x:c r="X25" s="2" t="str">
        <x:v>https://iiasa.ac.at/what-is-technology</x:v>
      </x:c>
      <x:c r="Y25" s="2" t="str">
        <x:v>https://www.ipcc.ch/report/ar6/wg3/chapter/chapter-10/; https://ppp.worldbank.org/print/pdf/node/7300</x:v>
      </x:c>
      <x:c r="Z25" s="2" t="str">
        <x:v>Technology-specific analytical synthesis. The CTCN hierarchy is retained; classifications and component dependencies require validation against the selected design, site and supplier documentation before investment or policy use.</x:v>
      </x:c>
      <x:c r="AA25" s="2" t="str">
        <x:v>Physical deployment of Transport Demand Management requires rights-of-way, stops or terminals, depots, interchanges, control centres, communications and safe pedestrian or cycling access; interfaces, foundations, access and environmental protection are sized to the specific resource and design load.</x:v>
      </x:c>
      <x:c r="AB25" s="2" t="str">
        <x:v>For Transport Demand Management,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5" s="2" t="str">
        <x:v>Construction and operation use concrete, steel, asphalt, copper, signalling electronics, pavement materials and vehicle-related materials where new infrastructure is built. For Transport Demand Management, specifications must include durability, compatibility, recycled content and recoverability.</x:v>
      </x:c>
      <x:c r="AD25" s="2" t="str">
        <x:v>Maintenance of Transport Demand Management depends on signal modules, communications equipment, validators, sensors, pavement components, station equipment and fleet consumables; critical spares are selected from failure-mode, lead-time and safety analysis for its installed configuration.</x:v>
      </x:c>
      <x:c r="AE25" s="2" t="str">
        <x:v>The software stack for Transport Demand Management requires databases, secure communications, version-controlled models, computing, backup and interfaces with field or operational systems.</x:v>
      </x:c>
      <x:c r="AF25" s="2" t="str">
        <x:v>For Transport Demand Management, software-related energy is electricity for sensing, computing, storage, communication and cooling; it is normally secondary but must be included for data-intensive or continuous services.</x:v>
      </x:c>
      <x:c r="AG25" s="2" t="str">
        <x:v>The non-physical inputs are calibrated data, metadata, algorithms, boundary conditions, emission or hazard factors, manuals and validation records specific to Transport Demand Management.</x:v>
      </x:c>
      <x:c r="AH25" s="2" t="str">
        <x:v>Software continuity for Transport Demand Management requires licences where applicable, updates, cybersecurity patches, backups, calibration files, model validation and technical support.</x:v>
      </x:c>
      <x:c r="AI25" s="2" t="str">
        <x:v>Orgware depends on the institutions, laboratories, training providers, regulators, operators and community interfaces needed to govern Transport Demand Management.</x:v>
      </x:c>
      <x:c r="AJ25" s="2" t="str">
        <x:v>The orgware supporting Transport Demand Management has mainly indirect energy use from offices, meetings, training and information systems; travel and field supervision may be material at dispersed sites.</x:v>
      </x:c>
      <x:c r="AK25" s="2" t="str">
        <x:v>Its organisational inputs are permits, budgets, trained staff, competence records, contracts, procedures, safeguards, monitoring evidence and stakeholder agreements tailored to Transport Demand Management.</x:v>
      </x:c>
      <x:c r="AL25" s="2" t="str">
        <x:v>Sustained implementation of Transport Demand Management requires procurement and service contracts, audit protocols, training material, reporting templates, insurance or guarantees and periodic independent review.</x:v>
      </x:c>
      <x:c r="AM25" s="2" t="str">
        <x:v>No critical or strategic raw material is identifiable at taxonomy level; site-specific bulk materials may still be required.</x:v>
      </x:c>
      <x:c r="AN25" s="2" t="str"/>
      <x:c r="AO25" s="2" t="str"/>
      <x:c r="AP25" s="2" t="str">
        <x:v>Transport Demand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 s="2" t="str">
        <x:v>2024–2025</x:v>
      </x:c>
      <x:c r="AR25" s="2" t="str">
        <x:v>https://pubs.usgs.gov/periodicals/mcs2026/mcs2026.pdf; https://www.iea.org/reports/global-critical-minerals-outlook-2025</x:v>
      </x:c>
    </x:row>
    <x:row r="26" ht="240" customHeight="1">
      <x:c r="A26" s="2" t="str">
        <x:v>MIT-0019</x:v>
      </x:c>
      <x:c r="B26" s="2" t="str">
        <x:v>Mitigation</x:v>
      </x:c>
      <x:c r="C26" s="2" t="str">
        <x:v>Transport</x:v>
      </x:c>
      <x:c r="D26" s="2" t="str">
        <x:v>Land transport</x:v>
      </x:c>
      <x:c r="E26" s="2" t="str">
        <x:v>Freight management</x:v>
      </x:c>
      <x:c r="F26" s="2" t="str">
        <x:v>Freight management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Freight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6" s="2" t="str">
        <x:v>Flexible</x:v>
      </x:c>
      <x:c r="H26" s="2" t="str">
        <x:v>Freight management is transferable through configurable methods, rules and operating parameters. Its principle remains the same, but resource quality, climate, scale, interfaces and safety constraints must be recalculated for each deployment.</x:v>
      </x:c>
      <x:c r="I26" s="2" t="str">
        <x:v>Primarily soft, with physical support</x:v>
      </x:c>
      <x:c r="J26" s="2" t="str">
        <x:v>Freight management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6" s="2" t="str">
        <x:v>Operation</x:v>
      </x:c>
      <x:c r="L26" s="2" t="str">
        <x:v>Freight management is embodied mainly as an operating practice. The deliverable is accepted only when measurable service, quality, safety and climate-performance criteria are met under real conditions.</x:v>
      </x:c>
      <x:c r="M26" s="2" t="str">
        <x:v>Yes, subject to life-cycle safeguards</x:v>
      </x:c>
      <x:c r="N26" s="2" t="str">
        <x:v>Freight management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6" s="2" t="str">
        <x:v>Freight management: corridor and station infrastructure, signalling, ticketing, communications, fleet equipment, traffic sensors and user interfaces as applicable.</x:v>
      </x:c>
      <x:c r="P26" s="2" t="str">
        <x:v>Freight management: network and timetable design, demand models, traffic control, fleet dispatch, logistics optimisation, safety analysis and service-performance analytics.</x:v>
      </x:c>
      <x:c r="Q26" s="2" t="str">
        <x:v>Freight management: transport authority mandates, operating contracts, tariffs, enforcement, street-space allocation, accessibility rules and coordination with land-use planning.</x:v>
      </x:c>
      <x:c r="R26" s="2" t="str">
        <x:v>Freight management: rights-of-way, stops or terminals, depots, interchanges, control centres, communications and safe pedestrian or cycling access.</x:v>
      </x:c>
      <x:c r="S26" s="2" t="str">
        <x:v>Freight management: electricity for control and stations plus the energy used by the affected vehicle fleet; the net result is governed by modal shift and occupancy.</x:v>
      </x:c>
      <x:c r="T26" s="2" t="str">
        <x:v>Freight management: concrete, steel, asphalt, copper, signalling electronics, pavement materials and vehicle-related materials where new infrastructure is built.</x:v>
      </x:c>
      <x:c r="U26" s="2" t="str">
        <x:v>Freight management: signal modules, communications equipment, validators, sensors, pavement components, station equipment and fleet consumables.</x:v>
      </x:c>
      <x:c r="V26" s="2" t="str">
        <x:v>https://www.ctc-n.org/sites/default/files/resources/ctcn_taxonomy_0.pdf</x:v>
      </x:c>
      <x:c r="W26" s="2" t="str">
        <x:v>https://institutoagricoladepueblobello.edu.co/colegiapp/archivostemas/GUIA%209.%5B25%5D.pdf</x:v>
      </x:c>
      <x:c r="X26" s="2" t="str">
        <x:v>https://iiasa.ac.at/what-is-technology</x:v>
      </x:c>
      <x:c r="Y26" s="2" t="str">
        <x:v>https://www.ipcc.ch/report/ar6/wg3/chapter/chapter-10/; https://ppp.worldbank.org/print/pdf/node/7300</x:v>
      </x:c>
      <x:c r="Z26" s="2" t="str">
        <x:v>Technology-specific analytical synthesis. The CTCN hierarchy is retained; classifications and component dependencies require validation against the selected design, site and supplier documentation before investment or policy use.</x:v>
      </x:c>
      <x:c r="AA26" s="2" t="str">
        <x:v>Physical deployment of Freight management requires rights-of-way, stops or terminals, depots, interchanges, control centres, communications and safe pedestrian or cycling access; interfaces, foundations, access and environmental protection are sized to the specific resource and design load.</x:v>
      </x:c>
      <x:c r="AB26" s="2" t="str">
        <x:v>For Freight management,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6" s="2" t="str">
        <x:v>Construction and operation use concrete, steel, asphalt, copper, signalling electronics, pavement materials and vehicle-related materials where new infrastructure is built. For Freight management, specifications must include durability, compatibility, recycled content and recoverability.</x:v>
      </x:c>
      <x:c r="AD26" s="2" t="str">
        <x:v>Maintenance of Freight management depends on signal modules, communications equipment, validators, sensors, pavement components, station equipment and fleet consumables; critical spares are selected from failure-mode, lead-time and safety analysis for its installed configuration.</x:v>
      </x:c>
      <x:c r="AE26" s="2" t="str">
        <x:v>The software stack for Freight management requires databases, secure communications, version-controlled models, computing, backup and interfaces with field or operational systems.</x:v>
      </x:c>
      <x:c r="AF26" s="2" t="str">
        <x:v>For Freight management, software-related energy is electricity for sensing, computing, storage, communication and cooling; it is normally secondary but must be included for data-intensive or continuous services.</x:v>
      </x:c>
      <x:c r="AG26" s="2" t="str">
        <x:v>The non-physical inputs are calibrated data, metadata, algorithms, boundary conditions, emission or hazard factors, manuals and validation records specific to Freight management.</x:v>
      </x:c>
      <x:c r="AH26" s="2" t="str">
        <x:v>Software continuity for Freight management requires licences where applicable, updates, cybersecurity patches, backups, calibration files, model validation and technical support.</x:v>
      </x:c>
      <x:c r="AI26" s="2" t="str">
        <x:v>Orgware depends on the institutions, laboratories, training providers, regulators, operators and community interfaces needed to govern Freight management.</x:v>
      </x:c>
      <x:c r="AJ26" s="2" t="str">
        <x:v>The orgware supporting Freight management has mainly indirect energy use from offices, meetings, training and information systems; travel and field supervision may be material at dispersed sites.</x:v>
      </x:c>
      <x:c r="AK26" s="2" t="str">
        <x:v>Its organisational inputs are permits, budgets, trained staff, competence records, contracts, procedures, safeguards, monitoring evidence and stakeholder agreements tailored to Freight management.</x:v>
      </x:c>
      <x:c r="AL26" s="2" t="str">
        <x:v>Sustained implementation of Freight management requires procurement and service contracts, audit protocols, training material, reporting templates, insurance or guarantees and periodic independent review.</x:v>
      </x:c>
      <x:c r="AM26" s="2" t="str">
        <x:v>No critical or strategic raw material is identifiable at taxonomy level; site-specific bulk materials may still be required.</x:v>
      </x:c>
      <x:c r="AN26" s="2" t="str"/>
      <x:c r="AO26" s="2" t="str"/>
      <x:c r="AP26" s="2" t="str">
        <x:v>Freight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 s="2" t="str">
        <x:v>2024–2025</x:v>
      </x:c>
      <x:c r="AR26" s="2" t="str">
        <x:v>https://pubs.usgs.gov/periodicals/mcs2026/mcs2026.pdf; https://www.iea.org/reports/global-critical-minerals-outlook-2025</x:v>
      </x:c>
    </x:row>
    <x:row r="27" ht="240" customHeight="1">
      <x:c r="A27" s="2" t="str">
        <x:v>MIT-0020</x:v>
      </x:c>
      <x:c r="B27" s="2" t="str">
        <x:v>Mitigation</x:v>
      </x:c>
      <x:c r="C27" s="2" t="str">
        <x:v>Transport</x:v>
      </x:c>
      <x:c r="D27" s="2" t="str">
        <x:v>Land transport</x:v>
      </x:c>
      <x:c r="E27" s="2" t="str">
        <x:v>More efficient train system</x:v>
      </x:c>
      <x:c r="F27" s="2" t="str">
        <x:v>More efficient train system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More efficient train system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7" s="2" t="str">
        <x:v>Mixed: adaptable design, site-specific implementation</x:v>
      </x:c>
      <x:c r="H27" s="2" t="str">
        <x:v>More efficient train system is adaptable in capacity and configuration but site-specific in final engineering. Its principle remains the same, but resource quality, climate, scale, interfaces and safety constraints must be recalculated for each deployment.</x:v>
      </x:c>
      <x:c r="I27" s="2" t="str">
        <x:v>Primarily hard, with a soft component</x:v>
      </x:c>
      <x:c r="J27" s="2" t="str">
        <x:v>More efficient train system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7" s="2" t="str">
        <x:v>Equipment and operation</x:v>
      </x:c>
      <x:c r="L27" s="2" t="str">
        <x:v>More efficient train system is embodied mainly as an equipment-and-operation system. The deliverable is accepted only when measurable service, quality, safety and climate-performance criteria are met under real conditions.</x:v>
      </x:c>
      <x:c r="M27" s="2" t="str">
        <x:v>Yes, subject to life-cycle safeguards</x:v>
      </x:c>
      <x:c r="N27" s="2" t="str">
        <x:v>More efficient train system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7" s="2" t="str">
        <x:v>More efficient train system: corridor and station infrastructure, signalling, ticketing, communications, fleet equipment, traffic sensors and user interfaces as applicable.</x:v>
      </x:c>
      <x:c r="P27" s="2" t="str">
        <x:v>More efficient train system: network and timetable design, demand models, traffic control, fleet dispatch, logistics optimisation, safety analysis and service-performance analytics.</x:v>
      </x:c>
      <x:c r="Q27" s="2" t="str">
        <x:v>More efficient train system: transport authority mandates, operating contracts, tariffs, enforcement, street-space allocation, accessibility rules and coordination with land-use planning.</x:v>
      </x:c>
      <x:c r="R27" s="2" t="str">
        <x:v>More efficient train system: rights-of-way, stops or terminals, depots, interchanges, control centres, communications and safe pedestrian or cycling access.</x:v>
      </x:c>
      <x:c r="S27" s="2" t="str">
        <x:v>More efficient train system: electricity for control and stations plus the energy used by the affected vehicle fleet; the net result is governed by modal shift and occupancy.</x:v>
      </x:c>
      <x:c r="T27" s="2" t="str">
        <x:v>More efficient train system: concrete, steel, asphalt, copper, signalling electronics, pavement materials and vehicle-related materials where new infrastructure is built.</x:v>
      </x:c>
      <x:c r="U27" s="2" t="str">
        <x:v>More efficient train system: signal modules, communications equipment, validators, sensors, pavement components, station equipment and fleet consumables.</x:v>
      </x:c>
      <x:c r="V27" s="2" t="str">
        <x:v>https://www.ctc-n.org/sites/default/files/resources/ctcn_taxonomy_0.pdf</x:v>
      </x:c>
      <x:c r="W27" s="2" t="str">
        <x:v>https://institutoagricoladepueblobello.edu.co/colegiapp/archivostemas/GUIA%209.%5B25%5D.pdf</x:v>
      </x:c>
      <x:c r="X27" s="2" t="str">
        <x:v>https://iiasa.ac.at/what-is-technology</x:v>
      </x:c>
      <x:c r="Y27" s="2" t="str">
        <x:v>https://www.ipcc.ch/report/ar6/wg3/chapter/chapter-10/; https://ppp.worldbank.org/print/pdf/node/7300</x:v>
      </x:c>
      <x:c r="Z27" s="2" t="str">
        <x:v>Technology-specific analytical synthesis. The CTCN hierarchy is retained; classifications and component dependencies require validation against the selected design, site and supplier documentation before investment or policy use.</x:v>
      </x:c>
      <x:c r="AA27" s="2" t="str">
        <x:v>Physical deployment of More efficient train system requires rights-of-way, stops or terminals, depots, interchanges, control centres, communications and safe pedestrian or cycling access; interfaces, foundations, access and environmental protection are sized to the specific resource and design load.</x:v>
      </x:c>
      <x:c r="AB27" s="2" t="str">
        <x:v>For More efficient train system,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7" s="2" t="str">
        <x:v>Construction and operation use concrete, steel, asphalt, copper, signalling electronics, pavement materials and vehicle-related materials where new infrastructure is built. For More efficient train system, specifications must include durability, compatibility, recycled content and recoverability.</x:v>
      </x:c>
      <x:c r="AD27" s="2" t="str">
        <x:v>Maintenance of More efficient train system depends on signal modules, communications equipment, validators, sensors, pavement components, station equipment and fleet consumables; critical spares are selected from failure-mode, lead-time and safety analysis for its installed configuration.</x:v>
      </x:c>
      <x:c r="AE27" s="2" t="str">
        <x:v>The software stack for More efficient train system requires databases, secure communications, version-controlled models, computing, backup and interfaces with field or operational systems.</x:v>
      </x:c>
      <x:c r="AF27" s="2" t="str">
        <x:v>For More efficient train system, software-related energy is electricity for sensing, computing, storage, communication and cooling; it is normally secondary but must be included for data-intensive or continuous services.</x:v>
      </x:c>
      <x:c r="AG27" s="2" t="str">
        <x:v>The non-physical inputs are calibrated data, metadata, algorithms, boundary conditions, emission or hazard factors, manuals and validation records specific to More efficient train system.</x:v>
      </x:c>
      <x:c r="AH27" s="2" t="str">
        <x:v>Software continuity for More efficient train system requires licences where applicable, updates, cybersecurity patches, backups, calibration files, model validation and technical support.</x:v>
      </x:c>
      <x:c r="AI27" s="2" t="str">
        <x:v>Orgware depends on the institutions, laboratories, training providers, regulators, operators and community interfaces needed to govern More efficient train system.</x:v>
      </x:c>
      <x:c r="AJ27" s="2" t="str">
        <x:v>The orgware supporting More efficient train system has mainly indirect energy use from offices, meetings, training and information systems; travel and field supervision may be material at dispersed sites.</x:v>
      </x:c>
      <x:c r="AK27" s="2" t="str">
        <x:v>Its organisational inputs are permits, budgets, trained staff, competence records, contracts, procedures, safeguards, monitoring evidence and stakeholder agreements tailored to More efficient train system.</x:v>
      </x:c>
      <x:c r="AL27" s="2" t="str">
        <x:v>Sustained implementation of More efficient train system requires procurement and service contracts, audit protocols, training material, reporting templates, insurance or guarantees and periodic independent review.</x:v>
      </x:c>
      <x:c r="AM27" s="2" t="str">
        <x:v>Iron ore / steel inputs</x:v>
      </x:c>
      <x:c r="AN27" s="2" t="str">
        <x:v>Australia; Brazil; China</x:v>
      </x:c>
      <x:c r="AO27" s="2" t="str">
        <x:v>China; India; Japan</x:v>
      </x:c>
      <x:c r="AP27" s="2" t="str">
        <x:v>More efficient train system: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 s="2" t="str">
        <x:v>2024–2025</x:v>
      </x:c>
      <x:c r="AR27" s="2" t="str">
        <x:v>https://pubs.usgs.gov/periodicals/mcs2026/mcs2026.pdf</x:v>
      </x:c>
    </x:row>
    <x:row r="28" ht="240" customHeight="1">
      <x:c r="A28" s="2" t="str">
        <x:v>MIT-0021</x:v>
      </x:c>
      <x:c r="B28" s="2" t="str">
        <x:v>Mitigation</x:v>
      </x:c>
      <x:c r="C28" s="2" t="str">
        <x:v>Transport</x:v>
      </x:c>
      <x:c r="D28" s="2" t="str">
        <x:v>Land transport</x:v>
      </x:c>
      <x:c r="E28" s="2" t="str">
        <x:v>Transit-oriented development</x:v>
      </x:c>
      <x:c r="F28" s="2" t="str">
        <x:v>Transit-oriented development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Transit-oriented development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8" s="2" t="str">
        <x:v>Mixed: adaptable design, site-specific implementation</x:v>
      </x:c>
      <x:c r="H28" s="2" t="str">
        <x:v>Transit-oriented development is adaptable in capacity and configuration but site-specific in final engineering. Its principle remains the same, but resource quality, climate, scale, interfaces and safety constraints must be recalculated for each deployment.</x:v>
      </x:c>
      <x:c r="I28" s="2" t="str">
        <x:v>Primarily hard, with a soft component</x:v>
      </x:c>
      <x:c r="J28" s="2" t="str">
        <x:v>Transit-oriented development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8" s="2" t="str">
        <x:v>Equipment and operation</x:v>
      </x:c>
      <x:c r="L28" s="2" t="str">
        <x:v>Transit-oriented development is embodied mainly as an equipment-and-operation system. The deliverable is accepted only when measurable service, quality, safety and climate-performance criteria are met under real conditions.</x:v>
      </x:c>
      <x:c r="M28" s="2" t="str">
        <x:v>Yes, subject to life-cycle safeguards</x:v>
      </x:c>
      <x:c r="N28" s="2" t="str">
        <x:v>Transit-oriented development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8" s="2" t="str">
        <x:v>Transit-oriented development: corridor and station infrastructure, signalling, ticketing, communications, fleet equipment, traffic sensors and user interfaces as applicable.</x:v>
      </x:c>
      <x:c r="P28" s="2" t="str">
        <x:v>Transit-oriented development: network and timetable design, demand models, traffic control, fleet dispatch, logistics optimisation, safety analysis and service-performance analytics.</x:v>
      </x:c>
      <x:c r="Q28" s="2" t="str">
        <x:v>Transit-oriented development: transport authority mandates, operating contracts, tariffs, enforcement, street-space allocation, accessibility rules and coordination with land-use planning.</x:v>
      </x:c>
      <x:c r="R28" s="2" t="str">
        <x:v>Transit-oriented development: rights-of-way, stops or terminals, depots, interchanges, control centres, communications and safe pedestrian or cycling access.</x:v>
      </x:c>
      <x:c r="S28" s="2" t="str">
        <x:v>Transit-oriented development: electricity for control and stations plus the energy used by the affected vehicle fleet; the net result is governed by modal shift and occupancy.</x:v>
      </x:c>
      <x:c r="T28" s="2" t="str">
        <x:v>Transit-oriented development: concrete, steel, asphalt, copper, signalling electronics, pavement materials and vehicle-related materials where new infrastructure is built.</x:v>
      </x:c>
      <x:c r="U28" s="2" t="str">
        <x:v>Transit-oriented development: signal modules, communications equipment, validators, sensors, pavement components, station equipment and fleet consumables.</x:v>
      </x:c>
      <x:c r="V28" s="2" t="str">
        <x:v>https://www.ctc-n.org/sites/default/files/resources/ctcn_taxonomy_0.pdf</x:v>
      </x:c>
      <x:c r="W28" s="2" t="str">
        <x:v>https://institutoagricoladepueblobello.edu.co/colegiapp/archivostemas/GUIA%209.%5B25%5D.pdf</x:v>
      </x:c>
      <x:c r="X28" s="2" t="str">
        <x:v>https://iiasa.ac.at/what-is-technology</x:v>
      </x:c>
      <x:c r="Y28" s="2" t="str">
        <x:v>https://www.ipcc.ch/report/ar6/wg3/chapter/chapter-10/; https://ppp.worldbank.org/print/pdf/node/7300</x:v>
      </x:c>
      <x:c r="Z28" s="2" t="str">
        <x:v>Technology-specific analytical synthesis. The CTCN hierarchy is retained; classifications and component dependencies require validation against the selected design, site and supplier documentation before investment or policy use.</x:v>
      </x:c>
      <x:c r="AA28" s="2" t="str">
        <x:v>Physical deployment of Transit-oriented development requires rights-of-way, stops or terminals, depots, interchanges, control centres, communications and safe pedestrian or cycling access; interfaces, foundations, access and environmental protection are sized to the specific resource and design load.</x:v>
      </x:c>
      <x:c r="AB28" s="2" t="str">
        <x:v>For Transit-oriented development,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8" s="2" t="str">
        <x:v>Construction and operation use concrete, steel, asphalt, copper, signalling electronics, pavement materials and vehicle-related materials where new infrastructure is built. For Transit-oriented development, specifications must include durability, compatibility, recycled content and recoverability.</x:v>
      </x:c>
      <x:c r="AD28" s="2" t="str">
        <x:v>Maintenance of Transit-oriented development depends on signal modules, communications equipment, validators, sensors, pavement components, station equipment and fleet consumables; critical spares are selected from failure-mode, lead-time and safety analysis for its installed configuration.</x:v>
      </x:c>
      <x:c r="AE28" s="2" t="str">
        <x:v>The software stack for Transit-oriented development requires databases, secure communications, version-controlled models, computing, backup and interfaces with field or operational systems.</x:v>
      </x:c>
      <x:c r="AF28" s="2" t="str">
        <x:v>For Transit-oriented development, software-related energy is electricity for sensing, computing, storage, communication and cooling; it is normally secondary but must be included for data-intensive or continuous services.</x:v>
      </x:c>
      <x:c r="AG28" s="2" t="str">
        <x:v>The non-physical inputs are calibrated data, metadata, algorithms, boundary conditions, emission or hazard factors, manuals and validation records specific to Transit-oriented development.</x:v>
      </x:c>
      <x:c r="AH28" s="2" t="str">
        <x:v>Software continuity for Transit-oriented development requires licences where applicable, updates, cybersecurity patches, backups, calibration files, model validation and technical support.</x:v>
      </x:c>
      <x:c r="AI28" s="2" t="str">
        <x:v>Orgware depends on the institutions, laboratories, training providers, regulators, operators and community interfaces needed to govern Transit-oriented development.</x:v>
      </x:c>
      <x:c r="AJ28" s="2" t="str">
        <x:v>The orgware supporting Transit-oriented development has mainly indirect energy use from offices, meetings, training and information systems; travel and field supervision may be material at dispersed sites.</x:v>
      </x:c>
      <x:c r="AK28" s="2" t="str">
        <x:v>Its organisational inputs are permits, budgets, trained staff, competence records, contracts, procedures, safeguards, monitoring evidence and stakeholder agreements tailored to Transit-oriented development.</x:v>
      </x:c>
      <x:c r="AL28" s="2" t="str">
        <x:v>Sustained implementation of Transit-oriented development requires procurement and service contracts, audit protocols, training material, reporting templates, insurance or guarantees and periodic independent review.</x:v>
      </x:c>
      <x:c r="AM28" s="2" t="str">
        <x:v>Iron ore / steel inputs</x:v>
      </x:c>
      <x:c r="AN28" s="2" t="str">
        <x:v>Australia; Brazil; China</x:v>
      </x:c>
      <x:c r="AO28" s="2" t="str">
        <x:v>China; India; Japan</x:v>
      </x:c>
      <x:c r="AP28" s="2" t="str">
        <x:v>Transit-oriented development: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 s="2" t="str">
        <x:v>2024–2025</x:v>
      </x:c>
      <x:c r="AR28" s="2" t="str">
        <x:v>https://pubs.usgs.gov/periodicals/mcs2026/mcs2026.pdf</x:v>
      </x:c>
    </x:row>
    <x:row r="29" ht="240" customHeight="1">
      <x:c r="A29" s="2" t="str">
        <x:v>MIT-0022</x:v>
      </x:c>
      <x:c r="B29" s="2" t="str">
        <x:v>Mitigation</x:v>
      </x:c>
      <x:c r="C29" s="2" t="str">
        <x:v>Transport</x:v>
      </x:c>
      <x:c r="D29" s="2" t="str">
        <x:v>Land transport</x:v>
      </x:c>
      <x:c r="E29" s="2" t="str">
        <x:v>Bus Rapid Transit</x:v>
      </x:c>
      <x:c r="F29" s="2" t="str">
        <x:v>Bus Rapid Transit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Dedicated lanes, high-capacity stations, off-board fare collection and centrally managed services increase commercial speed and passenger throughput, enabling modal shift from less efficient vehicles.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9" s="2" t="str">
        <x:v>Primarily fixed</x:v>
      </x:c>
      <x:c r="H29" s="2" t="str">
        <x:v>Bus Rapid Transit is tied to long-lived, site-specific assets and design loads. Its principle remains the same, but resource quality, climate, scale, interfaces and safety constraints must be recalculated for each deployment.</x:v>
      </x:c>
      <x:c r="I29" s="2" t="str">
        <x:v>Primarily hard, with a soft component</x:v>
      </x:c>
      <x:c r="J29" s="2" t="str">
        <x:v>Bus Rapid Transit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9" s="2" t="str">
        <x:v>Equipment and operation</x:v>
      </x:c>
      <x:c r="L29" s="2" t="str">
        <x:v>Bus Rapid Transit is embodied mainly as an equipment-and-operation system. The deliverable is accepted only when measurable service, quality, safety and climate-performance criteria are met under real conditions.</x:v>
      </x:c>
      <x:c r="M29" s="2" t="str">
        <x:v>Yes, subject to life-cycle safeguards</x:v>
      </x:c>
      <x:c r="N29" s="2" t="str">
        <x:v>Bus Rapid Transit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9" s="2" t="str">
        <x:v>Bus Rapid Transit: corridor and station infrastructure, signalling, ticketing, communications, fleet equipment, traffic sensors and user interfaces as applicable.</x:v>
      </x:c>
      <x:c r="P29" s="2" t="str">
        <x:v>Bus Rapid Transit: network and timetable design, demand models, traffic control, fleet dispatch, logistics optimisation, safety analysis and service-performance analytics.</x:v>
      </x:c>
      <x:c r="Q29" s="2" t="str">
        <x:v>Bus Rapid Transit: transport authority mandates, operating contracts, tariffs, enforcement, street-space allocation, accessibility rules and coordination with land-use planning.</x:v>
      </x:c>
      <x:c r="R29" s="2" t="str">
        <x:v>Bus Rapid Transit: rights-of-way, stops or terminals, depots, interchanges, control centres, communications and safe pedestrian or cycling access.</x:v>
      </x:c>
      <x:c r="S29" s="2" t="str">
        <x:v>Bus Rapid Transit: electricity for control and stations plus the energy used by the affected vehicle fleet; the net result is governed by modal shift and occupancy.</x:v>
      </x:c>
      <x:c r="T29" s="2" t="str">
        <x:v>Bus Rapid Transit: concrete, steel, asphalt, copper, signalling electronics, pavement materials and vehicle-related materials where new infrastructure is built.</x:v>
      </x:c>
      <x:c r="U29" s="2" t="str">
        <x:v>Bus Rapid Transit: signal modules, communications equipment, validators, sensors, pavement components, station equipment and fleet consumables.</x:v>
      </x:c>
      <x:c r="V29" s="2" t="str">
        <x:v>https://www.ctc-n.org/sites/default/files/resources/ctcn_taxonomy_0.pdf</x:v>
      </x:c>
      <x:c r="W29" s="2" t="str">
        <x:v>https://institutoagricoladepueblobello.edu.co/colegiapp/archivostemas/GUIA%209.%5B25%5D.pdf</x:v>
      </x:c>
      <x:c r="X29" s="2" t="str">
        <x:v>https://iiasa.ac.at/what-is-technology</x:v>
      </x:c>
      <x:c r="Y29" s="2" t="str">
        <x:v>https://www.ipcc.ch/report/ar6/wg3/chapter/chapter-10/; https://ppp.worldbank.org/print/pdf/node/7300</x:v>
      </x:c>
      <x:c r="Z29" s="2" t="str">
        <x:v>Technology-specific analytical synthesis. The CTCN hierarchy is retained; classifications and component dependencies require validation against the selected design, site and supplier documentation before investment or policy use.</x:v>
      </x:c>
      <x:c r="AA29" s="2" t="str">
        <x:v>Physical deployment of Bus Rapid Transit requires rights-of-way, stops or terminals, depots, interchanges, control centres, communications and safe pedestrian or cycling access; interfaces, foundations, access and environmental protection are sized to the specific resource and design load.</x:v>
      </x:c>
      <x:c r="AB29" s="2" t="str">
        <x:v>For Bus Rapid Transit,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9" s="2" t="str">
        <x:v>Construction and operation use concrete, steel, asphalt, copper, signalling electronics, pavement materials and vehicle-related materials where new infrastructure is built. For Bus Rapid Transit, specifications must include durability, compatibility, recycled content and recoverability.</x:v>
      </x:c>
      <x:c r="AD29" s="2" t="str">
        <x:v>Maintenance of Bus Rapid Transit depends on signal modules, communications equipment, validators, sensors, pavement components, station equipment and fleet consumables; critical spares are selected from failure-mode, lead-time and safety analysis for its installed configuration.</x:v>
      </x:c>
      <x:c r="AE29" s="2" t="str">
        <x:v>The software stack for Bus Rapid Transit requires databases, secure communications, version-controlled models, computing, backup and interfaces with field or operational systems.</x:v>
      </x:c>
      <x:c r="AF29" s="2" t="str">
        <x:v>For Bus Rapid Transit, software-related energy is electricity for sensing, computing, storage, communication and cooling; it is normally secondary but must be included for data-intensive or continuous services.</x:v>
      </x:c>
      <x:c r="AG29" s="2" t="str">
        <x:v>The non-physical inputs are calibrated data, metadata, algorithms, boundary conditions, emission or hazard factors, manuals and validation records specific to Bus Rapid Transit.</x:v>
      </x:c>
      <x:c r="AH29" s="2" t="str">
        <x:v>Software continuity for Bus Rapid Transit requires licences where applicable, updates, cybersecurity patches, backups, calibration files, model validation and technical support.</x:v>
      </x:c>
      <x:c r="AI29" s="2" t="str">
        <x:v>Orgware depends on the institutions, laboratories, training providers, regulators, operators and community interfaces needed to govern Bus Rapid Transit.</x:v>
      </x:c>
      <x:c r="AJ29" s="2" t="str">
        <x:v>The orgware supporting Bus Rapid Transit has mainly indirect energy use from offices, meetings, training and information systems; travel and field supervision may be material at dispersed sites.</x:v>
      </x:c>
      <x:c r="AK29" s="2" t="str">
        <x:v>Its organisational inputs are permits, budgets, trained staff, competence records, contracts, procedures, safeguards, monitoring evidence and stakeholder agreements tailored to Bus Rapid Transit.</x:v>
      </x:c>
      <x:c r="AL29" s="2" t="str">
        <x:v>Sustained implementation of Bus Rapid Transit requires procurement and service contracts, audit protocols, training material, reporting templates, insurance or guarantees and periodic independent review.</x:v>
      </x:c>
      <x:c r="AM29" s="2" t="str">
        <x:v>Iron ore / steel inputs; Limestone / cement raw materials</x:v>
      </x:c>
      <x:c r="AN29" s="2" t="str">
        <x:v>Australia; Brazil; China; India; Vietnam</x:v>
      </x:c>
      <x:c r="AO29" s="2" t="str">
        <x:v>China; India; Japan; Vietnam</x:v>
      </x:c>
      <x:c r="AP29" s="2" t="str">
        <x:v>Bus Rapid Transit: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 s="2" t="str">
        <x:v>2024–2025</x:v>
      </x:c>
      <x:c r="AR29" s="2" t="str">
        <x:v>https://pubs.usgs.gov/periodicals/mcs2026/mcs2026.pdf</x:v>
      </x:c>
    </x:row>
    <x:row r="30" ht="240" customHeight="1">
      <x:c r="A30" s="2" t="str">
        <x:v>MIT-0023</x:v>
      </x:c>
      <x:c r="B30" s="2" t="str">
        <x:v>Mitigation</x:v>
      </x:c>
      <x:c r="C30" s="2" t="str">
        <x:v>Transport</x:v>
      </x:c>
      <x:c r="D30" s="2" t="str">
        <x:v>Land transport</x:v>
      </x:c>
      <x:c r="E30" s="2" t="str">
        <x:v>Cable cars</x:v>
      </x:c>
      <x:c r="F30" s="2" t="str">
        <x:v>Cable cars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Cable cars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30" s="2" t="str">
        <x:v>Mixed: adaptable design, site-specific implementation</x:v>
      </x:c>
      <x:c r="H30" s="2" t="str">
        <x:v>Cable cars is adaptable in capacity and configuration but site-specific in final engineering. Its principle remains the same, but resource quality, climate, scale, interfaces and safety constraints must be recalculated for each deployment.</x:v>
      </x:c>
      <x:c r="I30" s="2" t="str">
        <x:v>Primarily hard, with a soft component</x:v>
      </x:c>
      <x:c r="J30" s="2" t="str">
        <x:v>Cable cars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30" s="2" t="str">
        <x:v>Equipment and operation</x:v>
      </x:c>
      <x:c r="L30" s="2" t="str">
        <x:v>Cable cars is embodied mainly as an equipment-and-operation system. The deliverable is accepted only when measurable service, quality, safety and climate-performance criteria are met under real conditions.</x:v>
      </x:c>
      <x:c r="M30" s="2" t="str">
        <x:v>Yes, subject to life-cycle safeguards</x:v>
      </x:c>
      <x:c r="N30" s="2" t="str">
        <x:v>Cable cars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30" s="2" t="str">
        <x:v>Cable cars: corridor and station infrastructure, signalling, ticketing, communications, fleet equipment, traffic sensors and user interfaces as applicable.</x:v>
      </x:c>
      <x:c r="P30" s="2" t="str">
        <x:v>Cable cars: network and timetable design, demand models, traffic control, fleet dispatch, logistics optimisation, safety analysis and service-performance analytics.</x:v>
      </x:c>
      <x:c r="Q30" s="2" t="str">
        <x:v>Cable cars: transport authority mandates, operating contracts, tariffs, enforcement, street-space allocation, accessibility rules and coordination with land-use planning.</x:v>
      </x:c>
      <x:c r="R30" s="2" t="str">
        <x:v>Cable cars: rights-of-way, stops or terminals, depots, interchanges, control centres, communications and safe pedestrian or cycling access.</x:v>
      </x:c>
      <x:c r="S30" s="2" t="str">
        <x:v>Cable cars: electricity for control and stations plus the energy used by the affected vehicle fleet; the net result is governed by modal shift and occupancy.</x:v>
      </x:c>
      <x:c r="T30" s="2" t="str">
        <x:v>Cable cars: concrete, steel, asphalt, copper, signalling electronics, pavement materials and vehicle-related materials where new infrastructure is built.</x:v>
      </x:c>
      <x:c r="U30" s="2" t="str">
        <x:v>Cable cars: signal modules, communications equipment, validators, sensors, pavement components, station equipment and fleet consumables.</x:v>
      </x:c>
      <x:c r="V30" s="2" t="str">
        <x:v>https://www.ctc-n.org/sites/default/files/resources/ctcn_taxonomy_0.pdf</x:v>
      </x:c>
      <x:c r="W30" s="2" t="str">
        <x:v>https://institutoagricoladepueblobello.edu.co/colegiapp/archivostemas/GUIA%209.%5B25%5D.pdf</x:v>
      </x:c>
      <x:c r="X30" s="2" t="str">
        <x:v>https://iiasa.ac.at/what-is-technology</x:v>
      </x:c>
      <x:c r="Y30" s="2" t="str">
        <x:v>https://www.ipcc.ch/report/ar6/wg3/chapter/chapter-10/; https://ppp.worldbank.org/print/pdf/node/7300</x:v>
      </x:c>
      <x:c r="Z30" s="2" t="str">
        <x:v>Technology-specific analytical synthesis. The CTCN hierarchy is retained; classifications and component dependencies require validation against the selected design, site and supplier documentation before investment or policy use.</x:v>
      </x:c>
      <x:c r="AA30" s="2" t="str">
        <x:v>Physical deployment of Cable cars requires rights-of-way, stops or terminals, depots, interchanges, control centres, communications and safe pedestrian or cycling access; interfaces, foundations, access and environmental protection are sized to the specific resource and design load.</x:v>
      </x:c>
      <x:c r="AB30" s="2" t="str">
        <x:v>For Cable cars,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30" s="2" t="str">
        <x:v>Construction and operation use concrete, steel, asphalt, copper, signalling electronics, pavement materials and vehicle-related materials where new infrastructure is built. For Cable cars, specifications must include durability, compatibility, recycled content and recoverability.</x:v>
      </x:c>
      <x:c r="AD30" s="2" t="str">
        <x:v>Maintenance of Cable cars depends on signal modules, communications equipment, validators, sensors, pavement components, station equipment and fleet consumables; critical spares are selected from failure-mode, lead-time and safety analysis for its installed configuration.</x:v>
      </x:c>
      <x:c r="AE30" s="2" t="str">
        <x:v>The software stack for Cable cars requires databases, secure communications, version-controlled models, computing, backup and interfaces with field or operational systems.</x:v>
      </x:c>
      <x:c r="AF30" s="2" t="str">
        <x:v>For Cable cars, software-related energy is electricity for sensing, computing, storage, communication and cooling; it is normally secondary but must be included for data-intensive or continuous services.</x:v>
      </x:c>
      <x:c r="AG30" s="2" t="str">
        <x:v>The non-physical inputs are calibrated data, metadata, algorithms, boundary conditions, emission or hazard factors, manuals and validation records specific to Cable cars.</x:v>
      </x:c>
      <x:c r="AH30" s="2" t="str">
        <x:v>Software continuity for Cable cars requires licences where applicable, updates, cybersecurity patches, backups, calibration files, model validation and technical support.</x:v>
      </x:c>
      <x:c r="AI30" s="2" t="str">
        <x:v>Orgware depends on the institutions, laboratories, training providers, regulators, operators and community interfaces needed to govern Cable cars.</x:v>
      </x:c>
      <x:c r="AJ30" s="2" t="str">
        <x:v>The orgware supporting Cable cars has mainly indirect energy use from offices, meetings, training and information systems; travel and field supervision may be material at dispersed sites.</x:v>
      </x:c>
      <x:c r="AK30" s="2" t="str">
        <x:v>Its organisational inputs are permits, budgets, trained staff, competence records, contracts, procedures, safeguards, monitoring evidence and stakeholder agreements tailored to Cable cars.</x:v>
      </x:c>
      <x:c r="AL30" s="2" t="str">
        <x:v>Sustained implementation of Cable cars requires procurement and service contracts, audit protocols, training material, reporting templates, insurance or guarantees and periodic independent review.</x:v>
      </x:c>
      <x:c r="AM30" s="2" t="str">
        <x:v>Iron ore / steel inputs; Bauxite / aluminium</x:v>
      </x:c>
      <x:c r="AN30" s="2" t="str">
        <x:v>Australia; Brazil; China; Guinea</x:v>
      </x:c>
      <x:c r="AO30" s="2" t="str">
        <x:v>China; India; Japan; Russia</x:v>
      </x:c>
      <x:c r="AP30" s="2" t="str">
        <x:v>Cable cars: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 s="2" t="str">
        <x:v>2024–2025</x:v>
      </x:c>
      <x:c r="AR30" s="2" t="str">
        <x:v>https://pubs.usgs.gov/periodicals/mcs2026/mcs2026.pdf</x:v>
      </x:c>
    </x:row>
    <x:row r="31" ht="240" customHeight="1">
      <x:c r="A31" s="2" t="str">
        <x:v>MIT-0024</x:v>
      </x:c>
      <x:c r="B31" s="2" t="str">
        <x:v>Mitigation</x:v>
      </x:c>
      <x:c r="C31" s="2" t="str">
        <x:v>Transport</x:v>
      </x:c>
      <x:c r="D31" s="2" t="str">
        <x:v>Land transport</x:v>
      </x:c>
      <x:c r="E31" s="2" t="str">
        <x:v>Promotion of non-motorised transport</x:v>
      </x:c>
      <x:c r="F31" s="2" t="str">
        <x:v>Promotion of non-motorised transport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Promotion of non-motorised transport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31" s="2" t="str">
        <x:v>Mixed: adaptable design, site-specific implementation</x:v>
      </x:c>
      <x:c r="H31" s="2" t="str">
        <x:v>Promotion of non-motorised transport is adaptable in capacity and configuration but site-specific in final engineering. Its principle remains the same, but resource quality, climate, scale, interfaces and safety constraints must be recalculated for each deployment.</x:v>
      </x:c>
      <x:c r="I31" s="2" t="str">
        <x:v>Primarily hard, with a soft component</x:v>
      </x:c>
      <x:c r="J31" s="2" t="str">
        <x:v>Promotion of non-motorised transport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31" s="2" t="str">
        <x:v>Equipment and operation</x:v>
      </x:c>
      <x:c r="L31" s="2" t="str">
        <x:v>Promotion of non-motorised transport is embodied mainly as an equipment-and-operation system. The deliverable is accepted only when measurable service, quality, safety and climate-performance criteria are met under real conditions.</x:v>
      </x:c>
      <x:c r="M31" s="2" t="str">
        <x:v>Yes, subject to life-cycle safeguards</x:v>
      </x:c>
      <x:c r="N31" s="2" t="str">
        <x:v>Promotion of non-motorised transport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31" s="2" t="str">
        <x:v>Promotion of non-motorised transport: corridor and station infrastructure, signalling, ticketing, communications, fleet equipment, traffic sensors and user interfaces as applicable.</x:v>
      </x:c>
      <x:c r="P31" s="2" t="str">
        <x:v>Promotion of non-motorised transport: network and timetable design, demand models, traffic control, fleet dispatch, logistics optimisation, safety analysis and service-performance analytics.</x:v>
      </x:c>
      <x:c r="Q31" s="2" t="str">
        <x:v>Promotion of non-motorised transport: transport authority mandates, operating contracts, tariffs, enforcement, street-space allocation, accessibility rules and coordination with land-use planning.</x:v>
      </x:c>
      <x:c r="R31" s="2" t="str">
        <x:v>Promotion of non-motorised transport: rights-of-way, stops or terminals, depots, interchanges, control centres, communications and safe pedestrian or cycling access.</x:v>
      </x:c>
      <x:c r="S31" s="2" t="str">
        <x:v>Promotion of non-motorised transport: electricity for control and stations plus the energy used by the affected vehicle fleet; the net result is governed by modal shift and occupancy.</x:v>
      </x:c>
      <x:c r="T31" s="2" t="str">
        <x:v>Promotion of non-motorised transport: concrete, steel, asphalt, copper, signalling electronics, pavement materials and vehicle-related materials where new infrastructure is built.</x:v>
      </x:c>
      <x:c r="U31" s="2" t="str">
        <x:v>Promotion of non-motorised transport: signal modules, communications equipment, validators, sensors, pavement components, station equipment and fleet consumables.</x:v>
      </x:c>
      <x:c r="V31" s="2" t="str">
        <x:v>https://www.ctc-n.org/sites/default/files/resources/ctcn_taxonomy_0.pdf</x:v>
      </x:c>
      <x:c r="W31" s="2" t="str">
        <x:v>https://institutoagricoladepueblobello.edu.co/colegiapp/archivostemas/GUIA%209.%5B25%5D.pdf</x:v>
      </x:c>
      <x:c r="X31" s="2" t="str">
        <x:v>https://iiasa.ac.at/what-is-technology</x:v>
      </x:c>
      <x:c r="Y31" s="2" t="str">
        <x:v>https://www.ipcc.ch/report/ar6/wg3/chapter/chapter-10/; https://ppp.worldbank.org/print/pdf/node/7300</x:v>
      </x:c>
      <x:c r="Z31" s="2" t="str">
        <x:v>Technology-specific analytical synthesis. The CTCN hierarchy is retained; classifications and component dependencies require validation against the selected design, site and supplier documentation before investment or policy use.</x:v>
      </x:c>
      <x:c r="AA31" s="2" t="str">
        <x:v>Physical deployment of Promotion of non-motorised transport requires rights-of-way, stops or terminals, depots, interchanges, control centres, communications and safe pedestrian or cycling access; interfaces, foundations, access and environmental protection are sized to the specific resource and design load.</x:v>
      </x:c>
      <x:c r="AB31" s="2" t="str">
        <x:v>For Promotion of non-motorised transport,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31" s="2" t="str">
        <x:v>Construction and operation use concrete, steel, asphalt, copper, signalling electronics, pavement materials and vehicle-related materials where new infrastructure is built. For Promotion of non-motorised transport, specifications must include durability, compatibility, recycled content and recoverability.</x:v>
      </x:c>
      <x:c r="AD31" s="2" t="str">
        <x:v>Maintenance of Promotion of non-motorised transport depends on signal modules, communications equipment, validators, sensors, pavement components, station equipment and fleet consumables; critical spares are selected from failure-mode, lead-time and safety analysis for its installed configuration.</x:v>
      </x:c>
      <x:c r="AE31" s="2" t="str">
        <x:v>The software stack for Promotion of non-motorised transport requires databases, secure communications, version-controlled models, computing, backup and interfaces with field or operational systems.</x:v>
      </x:c>
      <x:c r="AF31" s="2" t="str">
        <x:v>For Promotion of non-motorised transport, software-related energy is electricity for sensing, computing, storage, communication and cooling; it is normally secondary but must be included for data-intensive or continuous services.</x:v>
      </x:c>
      <x:c r="AG31" s="2" t="str">
        <x:v>The non-physical inputs are calibrated data, metadata, algorithms, boundary conditions, emission or hazard factors, manuals and validation records specific to Promotion of non-motorised transport.</x:v>
      </x:c>
      <x:c r="AH31" s="2" t="str">
        <x:v>Software continuity for Promotion of non-motorised transport requires licences where applicable, updates, cybersecurity patches, backups, calibration files, model validation and technical support.</x:v>
      </x:c>
      <x:c r="AI31" s="2" t="str">
        <x:v>Orgware depends on the institutions, laboratories, training providers, regulators, operators and community interfaces needed to govern Promotion of non-motorised transport.</x:v>
      </x:c>
      <x:c r="AJ31" s="2" t="str">
        <x:v>The orgware supporting Promotion of non-motorised transport has mainly indirect energy use from offices, meetings, training and information systems; travel and field supervision may be material at dispersed sites.</x:v>
      </x:c>
      <x:c r="AK31" s="2" t="str">
        <x:v>Its organisational inputs are permits, budgets, trained staff, competence records, contracts, procedures, safeguards, monitoring evidence and stakeholder agreements tailored to Promotion of non-motorised transport.</x:v>
      </x:c>
      <x:c r="AL31" s="2" t="str">
        <x:v>Sustained implementation of Promotion of non-motorised transport requires procurement and service contracts, audit protocols, training material, reporting templates, insurance or guarantees and periodic independent review.</x:v>
      </x:c>
      <x:c r="AM31" s="2" t="str">
        <x:v>Iron ore / steel inputs; Copper; Tin; Rare earth elements</x:v>
      </x:c>
      <x:c r="AN31" s="2" t="str">
        <x:v>Australia; Brazil; China; Chile; Democratic Republic of the Congo; Peru; Indonesia; Myanmar; United States</x:v>
      </x:c>
      <x:c r="AO31" s="2" t="str">
        <x:v>China; India; Japan; Chile; Democratic Republic of the Congo; Indonesia; Malaysia; Estonia</x:v>
      </x:c>
      <x:c r="AP31" s="2" t="str">
        <x:v>Promotion of non-motorised transport: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 s="2" t="str">
        <x:v>2024–2025</x:v>
      </x:c>
      <x:c r="AR31" s="2" t="str">
        <x:v>https://pubs.usgs.gov/periodicals/mcs2026/mcs2026.pdf; https://www.iea.org/reports/global-critical-minerals-outlook-2025</x:v>
      </x:c>
    </x:row>
    <x:row r="32" ht="240" customHeight="1">
      <x:c r="A32" s="2" t="str">
        <x:v>MIT-0025</x:v>
      </x:c>
      <x:c r="B32" s="2" t="str">
        <x:v>Mitigation</x:v>
      </x:c>
      <x:c r="C32" s="2" t="str">
        <x:v>Transport</x:v>
      </x:c>
      <x:c r="D32" s="2" t="str">
        <x:v>Land transport</x:v>
      </x:c>
      <x:c r="E32" s="2" t="str">
        <x:v>High-speed rail</x:v>
      </x:c>
      <x:c r="F32" s="2" t="str">
        <x:v>High-speed rail is a mitigation technology in the Transport sector and the Land transport technology group. It is defined as a combined hardware–software–orgware system that changes vehicle kilometres, modal share, occupancy, speed profiles, routing or logistics so that the same mobility service is delivered with less final energy and fewer tailpipe emissions. High-speed rail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32" s="2" t="str">
        <x:v>Primarily fixed</x:v>
      </x:c>
      <x:c r="H32" s="2" t="str">
        <x:v>High-speed rail is tied to long-lived, site-specific assets and design loads. Its principle remains the same, but resource quality, climate, scale, interfaces and safety constraints must be recalculated for each deployment.</x:v>
      </x:c>
      <x:c r="I32" s="2" t="str">
        <x:v>Primarily hard, with a soft component</x:v>
      </x:c>
      <x:c r="J32" s="2" t="str">
        <x:v>High-speed rail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32" s="2" t="str">
        <x:v>Equipment and operation</x:v>
      </x:c>
      <x:c r="L32" s="2" t="str">
        <x:v>High-speed rail is embodied mainly as an equipment-and-operation system. The deliverable is accepted only when measurable service, quality, safety and climate-performance criteria are met under real conditions.</x:v>
      </x:c>
      <x:c r="M32" s="2" t="str">
        <x:v>Yes, subject to life-cycle safeguards</x:v>
      </x:c>
      <x:c r="N32" s="2" t="str">
        <x:v>High-speed rail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32" s="2" t="str">
        <x:v>High-speed rail: corridor and station infrastructure, signalling, ticketing, communications, fleet equipment, traffic sensors and user interfaces as applicable.</x:v>
      </x:c>
      <x:c r="P32" s="2" t="str">
        <x:v>High-speed rail: network and timetable design, demand models, traffic control, fleet dispatch, logistics optimisation, safety analysis and service-performance analytics.</x:v>
      </x:c>
      <x:c r="Q32" s="2" t="str">
        <x:v>High-speed rail: transport authority mandates, operating contracts, tariffs, enforcement, street-space allocation, accessibility rules and coordination with land-use planning.</x:v>
      </x:c>
      <x:c r="R32" s="2" t="str">
        <x:v>High-speed rail: rights-of-way, stops or terminals, depots, interchanges, control centres, communications and safe pedestrian or cycling access.</x:v>
      </x:c>
      <x:c r="S32" s="2" t="str">
        <x:v>High-speed rail: electricity for control and stations plus the energy used by the affected vehicle fleet; the net result is governed by modal shift and occupancy.</x:v>
      </x:c>
      <x:c r="T32" s="2" t="str">
        <x:v>High-speed rail: concrete, steel, asphalt, copper, signalling electronics, pavement materials and vehicle-related materials where new infrastructure is built.</x:v>
      </x:c>
      <x:c r="U32" s="2" t="str">
        <x:v>High-speed rail: signal modules, communications equipment, validators, sensors, pavement components, station equipment and fleet consumables.</x:v>
      </x:c>
      <x:c r="V32" s="2" t="str">
        <x:v>https://www.ctc-n.org/sites/default/files/resources/ctcn_taxonomy_0.pdf</x:v>
      </x:c>
      <x:c r="W32" s="2" t="str">
        <x:v>https://institutoagricoladepueblobello.edu.co/colegiapp/archivostemas/GUIA%209.%5B25%5D.pdf</x:v>
      </x:c>
      <x:c r="X32" s="2" t="str">
        <x:v>https://iiasa.ac.at/what-is-technology</x:v>
      </x:c>
      <x:c r="Y32" s="2" t="str">
        <x:v>https://www.ipcc.ch/report/ar6/wg3/chapter/chapter-10/; https://ppp.worldbank.org/print/pdf/node/7300</x:v>
      </x:c>
      <x:c r="Z32" s="2" t="str">
        <x:v>Technology-specific analytical synthesis. The CTCN hierarchy is retained; classifications and component dependencies require validation against the selected design, site and supplier documentation before investment or policy use.</x:v>
      </x:c>
      <x:c r="AA32" s="2" t="str">
        <x:v>Physical deployment of High-speed rail requires rights-of-way, stops or terminals, depots, interchanges, control centres, communications and safe pedestrian or cycling access; interfaces, foundations, access and environmental protection are sized to the specific resource and design load.</x:v>
      </x:c>
      <x:c r="AB32" s="2" t="str">
        <x:v>For High-speed rail,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32" s="2" t="str">
        <x:v>Construction and operation use concrete, steel, asphalt, copper, signalling electronics, pavement materials and vehicle-related materials where new infrastructure is built. For High-speed rail, specifications must include durability, compatibility, recycled content and recoverability.</x:v>
      </x:c>
      <x:c r="AD32" s="2" t="str">
        <x:v>Maintenance of High-speed rail depends on signal modules, communications equipment, validators, sensors, pavement components, station equipment and fleet consumables; critical spares are selected from failure-mode, lead-time and safety analysis for its installed configuration.</x:v>
      </x:c>
      <x:c r="AE32" s="2" t="str">
        <x:v>The software stack for High-speed rail requires databases, secure communications, version-controlled models, computing, backup and interfaces with field or operational systems.</x:v>
      </x:c>
      <x:c r="AF32" s="2" t="str">
        <x:v>For High-speed rail, software-related energy is electricity for sensing, computing, storage, communication and cooling; it is normally secondary but must be included for data-intensive or continuous services.</x:v>
      </x:c>
      <x:c r="AG32" s="2" t="str">
        <x:v>The non-physical inputs are calibrated data, metadata, algorithms, boundary conditions, emission or hazard factors, manuals and validation records specific to High-speed rail.</x:v>
      </x:c>
      <x:c r="AH32" s="2" t="str">
        <x:v>Software continuity for High-speed rail requires licences where applicable, updates, cybersecurity patches, backups, calibration files, model validation and technical support.</x:v>
      </x:c>
      <x:c r="AI32" s="2" t="str">
        <x:v>Orgware depends on the institutions, laboratories, training providers, regulators, operators and community interfaces needed to govern High-speed rail.</x:v>
      </x:c>
      <x:c r="AJ32" s="2" t="str">
        <x:v>The orgware supporting High-speed rail has mainly indirect energy use from offices, meetings, training and information systems; travel and field supervision may be material at dispersed sites.</x:v>
      </x:c>
      <x:c r="AK32" s="2" t="str">
        <x:v>Its organisational inputs are permits, budgets, trained staff, competence records, contracts, procedures, safeguards, monitoring evidence and stakeholder agreements tailored to High-speed rail.</x:v>
      </x:c>
      <x:c r="AL32" s="2" t="str">
        <x:v>Sustained implementation of High-speed rail requires procurement and service contracts, audit protocols, training material, reporting templates, insurance or guarantees and periodic independent review.</x:v>
      </x:c>
      <x:c r="AM32" s="2" t="str">
        <x:v>Iron ore / steel inputs; Copper; Tin; Limestone / cement raw materials</x:v>
      </x:c>
      <x:c r="AN32" s="2" t="str">
        <x:v>Australia; Brazil; China; Chile; Democratic Republic of the Congo; Peru; Indonesia; Myanmar; India; Vietnam</x:v>
      </x:c>
      <x:c r="AO32" s="2" t="str">
        <x:v>China; India; Japan; Chile; Democratic Republic of the Congo; Indonesia; Malaysia; Vietnam</x:v>
      </x:c>
      <x:c r="AP32" s="2" t="str">
        <x:v>High-speed rail: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 s="2" t="str">
        <x:v>2024–2025</x:v>
      </x:c>
      <x:c r="AR32" s="2" t="str">
        <x:v>https://pubs.usgs.gov/periodicals/mcs2026/mcs2026.pdf</x:v>
      </x:c>
    </x:row>
    <x:row r="33" ht="240" customHeight="1">
      <x:c r="A33" s="2" t="str">
        <x:v>MIT-0026</x:v>
      </x:c>
      <x:c r="B33" s="2" t="str">
        <x:v>Mitigation</x:v>
      </x:c>
      <x:c r="C33" s="2" t="str">
        <x:v>Transport</x:v>
      </x:c>
      <x:c r="D33" s="2" t="str">
        <x:v>Vehicle and fuel technologies</x:v>
      </x:c>
      <x:c r="E33" s="2" t="str">
        <x:v>Compressed Natural Gas as fuel</x:v>
      </x:c>
      <x:c r="F33" s="2" t="str">
        <x:v>Compressed Natural Gas as fuel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Compressed Natural Gas as fuel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3" s="2" t="str">
        <x:v>Mixed: adaptable design, site-specific implementation</x:v>
      </x:c>
      <x:c r="H33" s="2" t="str">
        <x:v>Compressed Natural Gas as fuel is adaptable in capacity and configuration but site-specific in final engineering. Its principle remains the same, but resource quality, climate, scale, interfaces and safety constraints must be recalculated for each deployment.</x:v>
      </x:c>
      <x:c r="I33" s="2" t="str">
        <x:v>Primarily hard, with a soft component</x:v>
      </x:c>
      <x:c r="J33" s="2" t="str">
        <x:v>Compressed Natural Gas as fuel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3" s="2" t="str">
        <x:v>Equipment and operation</x:v>
      </x:c>
      <x:c r="L33" s="2" t="str">
        <x:v>Compressed Natural Gas as fuel is embodied mainly as an equipment-and-operation system. The deliverable is accepted only when measurable service, quality, safety and climate-performance criteria are met under real conditions.</x:v>
      </x:c>
      <x:c r="M33" s="2" t="str">
        <x:v>Conditional on performance and life cycle</x:v>
      </x:c>
      <x:c r="N33" s="2" t="str">
        <x:v>Compressed Natural Gas as fuel is classified as conditional.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3" s="2" t="str">
        <x:v>Compressed Natural Gas as fuel: powertrain, motor or engine, inverter, transmission, energy storage or fuel tanks, thermal management, braking, on-board control and refuelling or charging interface.</x:v>
      </x:c>
      <x:c r="P33" s="2" t="str">
        <x:v>Compressed Natural Gas as fuel: powertrain calibration, battery or fuel management, route-energy modelling, diagnostics, eco-driving logic, charging strategy and safety control.</x:v>
      </x:c>
      <x:c r="Q33" s="2" t="str">
        <x:v>Compressed Natural Gas as fuel: vehicle and fuel standards, homologation, charging or refuelling codes, maintenance competence, energy pricing, warranty and end-of-life responsibility.</x:v>
      </x:c>
      <x:c r="R33" s="2" t="str">
        <x:v>Compressed Natural Gas as fuel: vehicle production and maintenance facilities, depots, charging or refuelling stations, grid or fuel supply, rescue equipment and parts logistics.</x:v>
      </x:c>
      <x:c r="S33" s="2" t="str">
        <x:v>Compressed Natural Gas as fuel: electricity, liquid or gaseous fuel and auxiliary thermal loads; well-to-wheel carbon intensity and real operating efficiency determine the climate result.</x:v>
      </x:c>
      <x:c r="T33" s="2" t="str">
        <x:v>Compressed Natural Gas as fuel: steel, aluminium, copper, polymers, power electronics, magnets, catalysts and—where electrochemical storage is used—battery-active materials.</x:v>
      </x:c>
      <x:c r="U33" s="2" t="str">
        <x:v>Compressed Natural Gas as fuel: filters, fluids, seals, bearings, brake components, sensors, control modules, cables, connectors and battery or fuel-system service parts.</x:v>
      </x:c>
      <x:c r="V33" s="2" t="str">
        <x:v>https://www.ctc-n.org/sites/default/files/resources/ctcn_taxonomy_0.pdf</x:v>
      </x:c>
      <x:c r="W33" s="2" t="str">
        <x:v>https://institutoagricoladepueblobello.edu.co/colegiapp/archivostemas/GUIA%209.%5B25%5D.pdf</x:v>
      </x:c>
      <x:c r="X33" s="2" t="str">
        <x:v>https://iiasa.ac.at/what-is-technology</x:v>
      </x:c>
      <x:c r="Y33" s="2" t="str">
        <x:v>https://www.ipcc.ch/report/ar6/wg3/chapter/chapter-10/; https://www.iea.org/data-and-statistics/data-tools/etp-clean-energy-technology-guide; https://bogota.gov.co/en/international/new-era-transmilenio-transmiapp-and-largest-electric-fleet</x:v>
      </x:c>
      <x:c r="Z33" s="2" t="str">
        <x:v>Technology-specific analytical synthesis. The CTCN hierarchy is retained; classifications and component dependencies require validation against the selected design, site and supplier documentation before investment or policy use.</x:v>
      </x:c>
      <x:c r="AA33" s="2" t="str">
        <x:v>Physical deployment of Compressed Natural Gas as fuel requires vehicle production and maintenance facilities, depots, charging or refuelling stations, grid or fuel supply, rescue equipment and parts logistics; interfaces, foundations, access and environmental protection are sized to the specific resource and design load.</x:v>
      </x:c>
      <x:c r="AB33" s="2" t="str">
        <x:v>For Compressed Natural Gas as fuel,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3" s="2" t="str">
        <x:v>Construction and operation use steel, aluminium, copper, polymers, power electronics, magnets, catalysts and—where electrochemical storage is used—battery-active materials. For Compressed Natural Gas as fuel, specifications must include durability, compatibility, recycled content and recoverability.</x:v>
      </x:c>
      <x:c r="AD33" s="2" t="str">
        <x:v>Maintenance of Compressed Natural Gas as fuel depends on filters, fluids, seals, bearings, brake components, sensors, control modules, cables, connectors and battery or fuel-system service parts; critical spares are selected from failure-mode, lead-time and safety analysis for its installed configuration.</x:v>
      </x:c>
      <x:c r="AE33" s="2" t="str">
        <x:v>The software stack for Compressed Natural Gas as fuel requires databases, secure communications, version-controlled models, computing, backup and interfaces with field or operational systems.</x:v>
      </x:c>
      <x:c r="AF33" s="2" t="str">
        <x:v>For Compressed Natural Gas as fuel, software-related energy is electricity for sensing, computing, storage, communication and cooling; it is normally secondary but must be included for data-intensive or continuous services.</x:v>
      </x:c>
      <x:c r="AG33" s="2" t="str">
        <x:v>The non-physical inputs are calibrated data, metadata, algorithms, boundary conditions, emission or hazard factors, manuals and validation records specific to Compressed Natural Gas as fuel.</x:v>
      </x:c>
      <x:c r="AH33" s="2" t="str">
        <x:v>Software continuity for Compressed Natural Gas as fuel requires licences where applicable, updates, cybersecurity patches, backups, calibration files, model validation and technical support.</x:v>
      </x:c>
      <x:c r="AI33" s="2" t="str">
        <x:v>Orgware depends on the institutions, laboratories, training providers, regulators, operators and community interfaces needed to govern Compressed Natural Gas as fuel.</x:v>
      </x:c>
      <x:c r="AJ33" s="2" t="str">
        <x:v>The orgware supporting Compressed Natural Gas as fuel has mainly indirect energy use from offices, meetings, training and information systems; travel and field supervision may be material at dispersed sites.</x:v>
      </x:c>
      <x:c r="AK33" s="2" t="str">
        <x:v>Its organisational inputs are permits, budgets, trained staff, competence records, contracts, procedures, safeguards, monitoring evidence and stakeholder agreements tailored to Compressed Natural Gas as fuel.</x:v>
      </x:c>
      <x:c r="AL33" s="2" t="str">
        <x:v>Sustained implementation of Compressed Natural Gas as fuel requires procurement and service contracts, audit protocols, training material, reporting templates, insurance or guarantees and periodic independent review.</x:v>
      </x:c>
      <x:c r="AM33" s="2" t="str">
        <x:v>Iron ore / steel inputs; Copper; Tin; Rare earth elements; Bauxite / aluminium</x:v>
      </x:c>
      <x:c r="AN33" s="2" t="str">
        <x:v>Australia; Brazil; China; Chile; Democratic Republic of the Congo; Peru; Indonesia; Myanmar; United States; Guinea</x:v>
      </x:c>
      <x:c r="AO33" s="2" t="str">
        <x:v>China; India; Japan; Chile; Democratic Republic of the Congo; Indonesia; Malaysia; Estonia; Russia</x:v>
      </x:c>
      <x:c r="AP33" s="2" t="str">
        <x:v>Compressed Natural Gas as fuel: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 s="2" t="str">
        <x:v>2024–2025</x:v>
      </x:c>
      <x:c r="AR33" s="2" t="str">
        <x:v>https://pubs.usgs.gov/periodicals/mcs2026/mcs2026.pdf; https://www.iea.org/reports/global-critical-minerals-outlook-2025</x:v>
      </x:c>
    </x:row>
    <x:row r="34" ht="240" customHeight="1">
      <x:c r="A34" s="2" t="str">
        <x:v>MIT-0027</x:v>
      </x:c>
      <x:c r="B34" s="2" t="str">
        <x:v>Mitigation</x:v>
      </x:c>
      <x:c r="C34" s="2" t="str">
        <x:v>Transport</x:v>
      </x:c>
      <x:c r="D34" s="2" t="str">
        <x:v>Vehicle and fuel technologies</x:v>
      </x:c>
      <x:c r="E34" s="2" t="str">
        <x:v>Biogas as fuel</x:v>
      </x:c>
      <x:c r="F34" s="2" t="str">
        <x:v>Biogas as fuel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Biogas as fuel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4" s="2" t="str">
        <x:v>Mixed: adaptable design, site-specific implementation</x:v>
      </x:c>
      <x:c r="H34" s="2" t="str">
        <x:v>Biogas as fuel is adaptable in capacity and configuration but site-specific in final engineering. Its principle remains the same, but resource quality, climate, scale, interfaces and safety constraints must be recalculated for each deployment.</x:v>
      </x:c>
      <x:c r="I34" s="2" t="str">
        <x:v>Primarily hard, with a soft component</x:v>
      </x:c>
      <x:c r="J34" s="2" t="str">
        <x:v>Biogas as fuel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4" s="2" t="str">
        <x:v>Equipment and operation</x:v>
      </x:c>
      <x:c r="L34" s="2" t="str">
        <x:v>Biogas as fuel is embodied mainly as an equipment-and-operation system. The deliverable is accepted only when measurable service, quality, safety and climate-performance criteria are met under real conditions.</x:v>
      </x:c>
      <x:c r="M34" s="2" t="str">
        <x:v>Yes, subject to life-cycle safeguards</x:v>
      </x:c>
      <x:c r="N34" s="2" t="str">
        <x:v>Biogas as fuel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4" s="2" t="str">
        <x:v>Biogas as fuel: powertrain, motor or engine, inverter, transmission, energy storage or fuel tanks, thermal management, braking, on-board control and refuelling or charging interface.</x:v>
      </x:c>
      <x:c r="P34" s="2" t="str">
        <x:v>Biogas as fuel: powertrain calibration, battery or fuel management, route-energy modelling, diagnostics, eco-driving logic, charging strategy and safety control.</x:v>
      </x:c>
      <x:c r="Q34" s="2" t="str">
        <x:v>Biogas as fuel: vehicle and fuel standards, homologation, charging or refuelling codes, maintenance competence, energy pricing, warranty and end-of-life responsibility.</x:v>
      </x:c>
      <x:c r="R34" s="2" t="str">
        <x:v>Biogas as fuel: vehicle production and maintenance facilities, depots, charging or refuelling stations, grid or fuel supply, rescue equipment and parts logistics.</x:v>
      </x:c>
      <x:c r="S34" s="2" t="str">
        <x:v>Biogas as fuel: electricity, liquid or gaseous fuel and auxiliary thermal loads; well-to-wheel carbon intensity and real operating efficiency determine the climate result.</x:v>
      </x:c>
      <x:c r="T34" s="2" t="str">
        <x:v>Biogas as fuel: steel, aluminium, copper, polymers, power electronics, magnets, catalysts and—where electrochemical storage is used—battery-active materials.</x:v>
      </x:c>
      <x:c r="U34" s="2" t="str">
        <x:v>Biogas as fuel: filters, fluids, seals, bearings, brake components, sensors, control modules, cables, connectors and battery or fuel-system service parts.</x:v>
      </x:c>
      <x:c r="V34" s="2" t="str">
        <x:v>https://www.ctc-n.org/sites/default/files/resources/ctcn_taxonomy_0.pdf</x:v>
      </x:c>
      <x:c r="W34" s="2" t="str">
        <x:v>https://institutoagricoladepueblobello.edu.co/colegiapp/archivostemas/GUIA%209.%5B25%5D.pdf</x:v>
      </x:c>
      <x:c r="X34" s="2" t="str">
        <x:v>https://iiasa.ac.at/what-is-technology</x:v>
      </x:c>
      <x:c r="Y34" s="2" t="str">
        <x:v>https://www.ipcc.ch/report/ar6/wg3/chapter/chapter-10/; https://www.iea.org/data-and-statistics/data-tools/etp-clean-energy-technology-guide; https://bogota.gov.co/en/international/new-era-transmilenio-transmiapp-and-largest-electric-fleet</x:v>
      </x:c>
      <x:c r="Z34" s="2" t="str">
        <x:v>Technology-specific analytical synthesis. The CTCN hierarchy is retained; classifications and component dependencies require validation against the selected design, site and supplier documentation before investment or policy use.</x:v>
      </x:c>
      <x:c r="AA34" s="2" t="str">
        <x:v>Physical deployment of Biogas as fuel requires vehicle production and maintenance facilities, depots, charging or refuelling stations, grid or fuel supply, rescue equipment and parts logistics; interfaces, foundations, access and environmental protection are sized to the specific resource and design load.</x:v>
      </x:c>
      <x:c r="AB34" s="2" t="str">
        <x:v>For Biogas as fuel,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4" s="2" t="str">
        <x:v>Construction and operation use steel, aluminium, copper, polymers, power electronics, magnets, catalysts and—where electrochemical storage is used—battery-active materials. For Biogas as fuel, specifications must include durability, compatibility, recycled content and recoverability.</x:v>
      </x:c>
      <x:c r="AD34" s="2" t="str">
        <x:v>Maintenance of Biogas as fuel depends on filters, fluids, seals, bearings, brake components, sensors, control modules, cables, connectors and battery or fuel-system service parts; critical spares are selected from failure-mode, lead-time and safety analysis for its installed configuration.</x:v>
      </x:c>
      <x:c r="AE34" s="2" t="str">
        <x:v>The software stack for Biogas as fuel requires databases, secure communications, version-controlled models, computing, backup and interfaces with field or operational systems.</x:v>
      </x:c>
      <x:c r="AF34" s="2" t="str">
        <x:v>For Biogas as fuel, software-related energy is electricity for sensing, computing, storage, communication and cooling; it is normally secondary but must be included for data-intensive or continuous services.</x:v>
      </x:c>
      <x:c r="AG34" s="2" t="str">
        <x:v>The non-physical inputs are calibrated data, metadata, algorithms, boundary conditions, emission or hazard factors, manuals and validation records specific to Biogas as fuel.</x:v>
      </x:c>
      <x:c r="AH34" s="2" t="str">
        <x:v>Software continuity for Biogas as fuel requires licences where applicable, updates, cybersecurity patches, backups, calibration files, model validation and technical support.</x:v>
      </x:c>
      <x:c r="AI34" s="2" t="str">
        <x:v>Orgware depends on the institutions, laboratories, training providers, regulators, operators and community interfaces needed to govern Biogas as fuel.</x:v>
      </x:c>
      <x:c r="AJ34" s="2" t="str">
        <x:v>The orgware supporting Biogas as fuel has mainly indirect energy use from offices, meetings, training and information systems; travel and field supervision may be material at dispersed sites.</x:v>
      </x:c>
      <x:c r="AK34" s="2" t="str">
        <x:v>Its organisational inputs are permits, budgets, trained staff, competence records, contracts, procedures, safeguards, monitoring evidence and stakeholder agreements tailored to Biogas as fuel.</x:v>
      </x:c>
      <x:c r="AL34" s="2" t="str">
        <x:v>Sustained implementation of Biogas as fuel requires procurement and service contracts, audit protocols, training material, reporting templates, insurance or guarantees and periodic independent review.</x:v>
      </x:c>
      <x:c r="AM34" s="2" t="str">
        <x:v>Iron ore / steel inputs; Copper; Tin; Rare earth elements; Bauxite / aluminium</x:v>
      </x:c>
      <x:c r="AN34" s="2" t="str">
        <x:v>Australia; Brazil; China; Chile; Democratic Republic of the Congo; Peru; Indonesia; Myanmar; United States; Guinea</x:v>
      </x:c>
      <x:c r="AO34" s="2" t="str">
        <x:v>China; India; Japan; Chile; Democratic Republic of the Congo; Indonesia; Malaysia; Estonia; Russia</x:v>
      </x:c>
      <x:c r="AP34" s="2" t="str">
        <x:v>Biogas as fuel: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 s="2" t="str">
        <x:v>2024–2025</x:v>
      </x:c>
      <x:c r="AR34" s="2" t="str">
        <x:v>https://pubs.usgs.gov/periodicals/mcs2026/mcs2026.pdf; https://www.iea.org/reports/global-critical-minerals-outlook-2025</x:v>
      </x:c>
    </x:row>
    <x:row r="35" ht="240" customHeight="1">
      <x:c r="A35" s="2" t="str">
        <x:v>MIT-0028</x:v>
      </x:c>
      <x:c r="B35" s="2" t="str">
        <x:v>Mitigation</x:v>
      </x:c>
      <x:c r="C35" s="2" t="str">
        <x:v>Transport</x:v>
      </x:c>
      <x:c r="D35" s="2" t="str">
        <x:v>Vehicle and fuel technologies</x:v>
      </x:c>
      <x:c r="E35" s="2" t="str">
        <x:v>Advanced biofuels</x:v>
      </x:c>
      <x:c r="F35" s="2" t="str">
        <x:v>Advanced biofuels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Advanced biofuels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5" s="2" t="str">
        <x:v>Mixed: adaptable design, site-specific implementation</x:v>
      </x:c>
      <x:c r="H35" s="2" t="str">
        <x:v>Advanced biofuels is adaptable in capacity and configuration but site-specific in final engineering. Its principle remains the same, but resource quality, climate, scale, interfaces and safety constraints must be recalculated for each deployment.</x:v>
      </x:c>
      <x:c r="I35" s="2" t="str">
        <x:v>Primarily hard, with a soft component</x:v>
      </x:c>
      <x:c r="J35" s="2" t="str">
        <x:v>Advanced biofuels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5" s="2" t="str">
        <x:v>Equipment and operation</x:v>
      </x:c>
      <x:c r="L35" s="2" t="str">
        <x:v>Advanced biofuels is embodied mainly as an equipment-and-operation system. The deliverable is accepted only when measurable service, quality, safety and climate-performance criteria are met under real conditions.</x:v>
      </x:c>
      <x:c r="M35" s="2" t="str">
        <x:v>Yes, subject to life-cycle safeguards</x:v>
      </x:c>
      <x:c r="N35" s="2" t="str">
        <x:v>Advanced biofuels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5" s="2" t="str">
        <x:v>Advanced biofuels: powertrain, motor or engine, inverter, transmission, energy storage or fuel tanks, thermal management, braking, on-board control and refuelling or charging interface.</x:v>
      </x:c>
      <x:c r="P35" s="2" t="str">
        <x:v>Advanced biofuels: powertrain calibration, battery or fuel management, route-energy modelling, diagnostics, eco-driving logic, charging strategy and safety control.</x:v>
      </x:c>
      <x:c r="Q35" s="2" t="str">
        <x:v>Advanced biofuels: vehicle and fuel standards, homologation, charging or refuelling codes, maintenance competence, energy pricing, warranty and end-of-life responsibility.</x:v>
      </x:c>
      <x:c r="R35" s="2" t="str">
        <x:v>Advanced biofuels: vehicle production and maintenance facilities, depots, charging or refuelling stations, grid or fuel supply, rescue equipment and parts logistics.</x:v>
      </x:c>
      <x:c r="S35" s="2" t="str">
        <x:v>Advanced biofuels: electricity, liquid or gaseous fuel and auxiliary thermal loads; well-to-wheel carbon intensity and real operating efficiency determine the climate result.</x:v>
      </x:c>
      <x:c r="T35" s="2" t="str">
        <x:v>Advanced biofuels: steel, aluminium, copper, polymers, power electronics, magnets, catalysts and—where electrochemical storage is used—battery-active materials.</x:v>
      </x:c>
      <x:c r="U35" s="2" t="str">
        <x:v>Advanced biofuels: filters, fluids, seals, bearings, brake components, sensors, control modules, cables, connectors and battery or fuel-system service parts.</x:v>
      </x:c>
      <x:c r="V35" s="2" t="str">
        <x:v>https://www.ctc-n.org/sites/default/files/resources/ctcn_taxonomy_0.pdf</x:v>
      </x:c>
      <x:c r="W35" s="2" t="str">
        <x:v>https://institutoagricoladepueblobello.edu.co/colegiapp/archivostemas/GUIA%209.%5B25%5D.pdf</x:v>
      </x:c>
      <x:c r="X35" s="2" t="str">
        <x:v>https://iiasa.ac.at/what-is-technology</x:v>
      </x:c>
      <x:c r="Y35" s="2" t="str">
        <x:v>https://www.ipcc.ch/report/ar6/wg3/chapter/chapter-10/; https://www.iea.org/data-and-statistics/data-tools/etp-clean-energy-technology-guide; https://bogota.gov.co/en/international/new-era-transmilenio-transmiapp-and-largest-electric-fleet</x:v>
      </x:c>
      <x:c r="Z35" s="2" t="str">
        <x:v>Technology-specific analytical synthesis. The CTCN hierarchy is retained; classifications and component dependencies require validation against the selected design, site and supplier documentation before investment or policy use.</x:v>
      </x:c>
      <x:c r="AA35" s="2" t="str">
        <x:v>Physical deployment of Advanced biofuels requires vehicle production and maintenance facilities, depots, charging or refuelling stations, grid or fuel supply, rescue equipment and parts logistics; interfaces, foundations, access and environmental protection are sized to the specific resource and design load.</x:v>
      </x:c>
      <x:c r="AB35" s="2" t="str">
        <x:v>For Advanced biofuels,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5" s="2" t="str">
        <x:v>Construction and operation use steel, aluminium, copper, polymers, power electronics, magnets, catalysts and—where electrochemical storage is used—battery-active materials. For Advanced biofuels, specifications must include durability, compatibility, recycled content and recoverability.</x:v>
      </x:c>
      <x:c r="AD35" s="2" t="str">
        <x:v>Maintenance of Advanced biofuels depends on filters, fluids, seals, bearings, brake components, sensors, control modules, cables, connectors and battery or fuel-system service parts; critical spares are selected from failure-mode, lead-time and safety analysis for its installed configuration.</x:v>
      </x:c>
      <x:c r="AE35" s="2" t="str">
        <x:v>The software stack for Advanced biofuels requires databases, secure communications, version-controlled models, computing, backup and interfaces with field or operational systems.</x:v>
      </x:c>
      <x:c r="AF35" s="2" t="str">
        <x:v>For Advanced biofuels, software-related energy is electricity for sensing, computing, storage, communication and cooling; it is normally secondary but must be included for data-intensive or continuous services.</x:v>
      </x:c>
      <x:c r="AG35" s="2" t="str">
        <x:v>The non-physical inputs are calibrated data, metadata, algorithms, boundary conditions, emission or hazard factors, manuals and validation records specific to Advanced biofuels.</x:v>
      </x:c>
      <x:c r="AH35" s="2" t="str">
        <x:v>Software continuity for Advanced biofuels requires licences where applicable, updates, cybersecurity patches, backups, calibration files, model validation and technical support.</x:v>
      </x:c>
      <x:c r="AI35" s="2" t="str">
        <x:v>Orgware depends on the institutions, laboratories, training providers, regulators, operators and community interfaces needed to govern Advanced biofuels.</x:v>
      </x:c>
      <x:c r="AJ35" s="2" t="str">
        <x:v>The orgware supporting Advanced biofuels has mainly indirect energy use from offices, meetings, training and information systems; travel and field supervision may be material at dispersed sites.</x:v>
      </x:c>
      <x:c r="AK35" s="2" t="str">
        <x:v>Its organisational inputs are permits, budgets, trained staff, competence records, contracts, procedures, safeguards, monitoring evidence and stakeholder agreements tailored to Advanced biofuels.</x:v>
      </x:c>
      <x:c r="AL35" s="2" t="str">
        <x:v>Sustained implementation of Advanced biofuels requires procurement and service contracts, audit protocols, training material, reporting templates, insurance or guarantees and periodic independent review.</x:v>
      </x:c>
      <x:c r="AM35" s="2" t="str">
        <x:v>Iron ore / steel inputs; Copper; Tin; Rare earth elements; Bauxite / aluminium</x:v>
      </x:c>
      <x:c r="AN35" s="2" t="str">
        <x:v>Australia; Brazil; China; Chile; Democratic Republic of the Congo; Peru; Indonesia; Myanmar; United States; Guinea</x:v>
      </x:c>
      <x:c r="AO35" s="2" t="str">
        <x:v>China; India; Japan; Chile; Democratic Republic of the Congo; Indonesia; Malaysia; Estonia; Russia</x:v>
      </x:c>
      <x:c r="AP35" s="2" t="str">
        <x:v>Advanced biofuels: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 s="2" t="str">
        <x:v>2024–2025</x:v>
      </x:c>
      <x:c r="AR35" s="2" t="str">
        <x:v>https://pubs.usgs.gov/periodicals/mcs2026/mcs2026.pdf; https://www.iea.org/reports/global-critical-minerals-outlook-2025</x:v>
      </x:c>
    </x:row>
    <x:row r="36" ht="240" customHeight="1">
      <x:c r="A36" s="2" t="str">
        <x:v>MIT-0029</x:v>
      </x:c>
      <x:c r="B36" s="2" t="str">
        <x:v>Mitigation</x:v>
      </x:c>
      <x:c r="C36" s="2" t="str">
        <x:v>Transport</x:v>
      </x:c>
      <x:c r="D36" s="2" t="str">
        <x:v>Vehicle and fuel technologies</x:v>
      </x:c>
      <x:c r="E36" s="2" t="str">
        <x:v>Energy-efficient motors</x:v>
      </x:c>
      <x:c r="F36" s="2" t="str">
        <x:v>Energy-efficient motors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Energy-efficient motors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6" s="2" t="str">
        <x:v>Mixed: adaptable design, site-specific implementation</x:v>
      </x:c>
      <x:c r="H36" s="2" t="str">
        <x:v>Energy-efficient motors is adaptable in capacity and configuration but site-specific in final engineering. Its principle remains the same, but resource quality, climate, scale, interfaces and safety constraints must be recalculated for each deployment.</x:v>
      </x:c>
      <x:c r="I36" s="2" t="str">
        <x:v>Primarily hard, with a soft component</x:v>
      </x:c>
      <x:c r="J36" s="2" t="str">
        <x:v>Energy-efficient motors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6" s="2" t="str">
        <x:v>Equipment and operation</x:v>
      </x:c>
      <x:c r="L36" s="2" t="str">
        <x:v>Energy-efficient motors is embodied mainly as an equipment-and-operation system. The deliverable is accepted only when measurable service, quality, safety and climate-performance criteria are met under real conditions.</x:v>
      </x:c>
      <x:c r="M36" s="2" t="str">
        <x:v>Yes, subject to life-cycle safeguards</x:v>
      </x:c>
      <x:c r="N36" s="2" t="str">
        <x:v>Energy-efficient motors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6" s="2" t="str">
        <x:v>Energy-efficient motors: powertrain, motor or engine, inverter, transmission, energy storage or fuel tanks, thermal management, braking, on-board control and refuelling or charging interface.</x:v>
      </x:c>
      <x:c r="P36" s="2" t="str">
        <x:v>Energy-efficient motors: powertrain calibration, battery or fuel management, route-energy modelling, diagnostics, eco-driving logic, charging strategy and safety control.</x:v>
      </x:c>
      <x:c r="Q36" s="2" t="str">
        <x:v>Energy-efficient motors: vehicle and fuel standards, homologation, charging or refuelling codes, maintenance competence, energy pricing, warranty and end-of-life responsibility.</x:v>
      </x:c>
      <x:c r="R36" s="2" t="str">
        <x:v>Energy-efficient motors: vehicle production and maintenance facilities, depots, charging or refuelling stations, grid or fuel supply, rescue equipment and parts logistics.</x:v>
      </x:c>
      <x:c r="S36" s="2" t="str">
        <x:v>Energy-efficient motors: electricity, liquid or gaseous fuel and auxiliary thermal loads; well-to-wheel carbon intensity and real operating efficiency determine the climate result.</x:v>
      </x:c>
      <x:c r="T36" s="2" t="str">
        <x:v>Energy-efficient motors: steel, aluminium, copper, polymers, power electronics, magnets, catalysts and—where electrochemical storage is used—battery-active materials.</x:v>
      </x:c>
      <x:c r="U36" s="2" t="str">
        <x:v>Energy-efficient motors: filters, fluids, seals, bearings, brake components, sensors, control modules, cables, connectors and battery or fuel-system service parts.</x:v>
      </x:c>
      <x:c r="V36" s="2" t="str">
        <x:v>https://www.ctc-n.org/sites/default/files/resources/ctcn_taxonomy_0.pdf</x:v>
      </x:c>
      <x:c r="W36" s="2" t="str">
        <x:v>https://institutoagricoladepueblobello.edu.co/colegiapp/archivostemas/GUIA%209.%5B25%5D.pdf</x:v>
      </x:c>
      <x:c r="X36" s="2" t="str">
        <x:v>https://iiasa.ac.at/what-is-technology</x:v>
      </x:c>
      <x:c r="Y36" s="2" t="str">
        <x:v>https://www.ipcc.ch/report/ar6/wg3/chapter/chapter-10/; https://www.iea.org/data-and-statistics/data-tools/etp-clean-energy-technology-guide; https://bogota.gov.co/en/international/new-era-transmilenio-transmiapp-and-largest-electric-fleet</x:v>
      </x:c>
      <x:c r="Z36" s="2" t="str">
        <x:v>Technology-specific analytical synthesis. The CTCN hierarchy is retained; classifications and component dependencies require validation against the selected design, site and supplier documentation before investment or policy use.</x:v>
      </x:c>
      <x:c r="AA36" s="2" t="str">
        <x:v>Physical deployment of Energy-efficient motors requires vehicle production and maintenance facilities, depots, charging or refuelling stations, grid or fuel supply, rescue equipment and parts logistics; interfaces, foundations, access and environmental protection are sized to the specific resource and design load.</x:v>
      </x:c>
      <x:c r="AB36" s="2" t="str">
        <x:v>For Energy-efficient motors,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6" s="2" t="str">
        <x:v>Construction and operation use steel, aluminium, copper, polymers, power electronics, magnets, catalysts and—where electrochemical storage is used—battery-active materials. For Energy-efficient motors, specifications must include durability, compatibility, recycled content and recoverability.</x:v>
      </x:c>
      <x:c r="AD36" s="2" t="str">
        <x:v>Maintenance of Energy-efficient motors depends on filters, fluids, seals, bearings, brake components, sensors, control modules, cables, connectors and battery or fuel-system service parts; critical spares are selected from failure-mode, lead-time and safety analysis for its installed configuration.</x:v>
      </x:c>
      <x:c r="AE36" s="2" t="str">
        <x:v>The software stack for Energy-efficient motors requires databases, secure communications, version-controlled models, computing, backup and interfaces with field or operational systems.</x:v>
      </x:c>
      <x:c r="AF36" s="2" t="str">
        <x:v>For Energy-efficient motors, software-related energy is electricity for sensing, computing, storage, communication and cooling; it is normally secondary but must be included for data-intensive or continuous services.</x:v>
      </x:c>
      <x:c r="AG36" s="2" t="str">
        <x:v>The non-physical inputs are calibrated data, metadata, algorithms, boundary conditions, emission or hazard factors, manuals and validation records specific to Energy-efficient motors.</x:v>
      </x:c>
      <x:c r="AH36" s="2" t="str">
        <x:v>Software continuity for Energy-efficient motors requires licences where applicable, updates, cybersecurity patches, backups, calibration files, model validation and technical support.</x:v>
      </x:c>
      <x:c r="AI36" s="2" t="str">
        <x:v>Orgware depends on the institutions, laboratories, training providers, regulators, operators and community interfaces needed to govern Energy-efficient motors.</x:v>
      </x:c>
      <x:c r="AJ36" s="2" t="str">
        <x:v>The orgware supporting Energy-efficient motors has mainly indirect energy use from offices, meetings, training and information systems; travel and field supervision may be material at dispersed sites.</x:v>
      </x:c>
      <x:c r="AK36" s="2" t="str">
        <x:v>Its organisational inputs are permits, budgets, trained staff, competence records, contracts, procedures, safeguards, monitoring evidence and stakeholder agreements tailored to Energy-efficient motors.</x:v>
      </x:c>
      <x:c r="AL36" s="2" t="str">
        <x:v>Sustained implementation of Energy-efficient motors requires procurement and service contracts, audit protocols, training material, reporting templates, insurance or guarantees and periodic independent review.</x:v>
      </x:c>
      <x:c r="AM36" s="2" t="str">
        <x:v>Iron ore / steel inputs; Copper; Tin; Rare earth elements; Bauxite / aluminium</x:v>
      </x:c>
      <x:c r="AN36" s="2" t="str">
        <x:v>Australia; Brazil; China; Chile; Democratic Republic of the Congo; Peru; Indonesia; Myanmar; United States; Guinea</x:v>
      </x:c>
      <x:c r="AO36" s="2" t="str">
        <x:v>China; India; Japan; Chile; Democratic Republic of the Congo; Indonesia; Malaysia; Estonia; Russia</x:v>
      </x:c>
      <x:c r="AP36" s="2" t="str">
        <x:v>Energy-efficient motors: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 s="2" t="str">
        <x:v>2024–2025</x:v>
      </x:c>
      <x:c r="AR36" s="2" t="str">
        <x:v>https://pubs.usgs.gov/periodicals/mcs2026/mcs2026.pdf; https://www.iea.org/reports/global-critical-minerals-outlook-2025</x:v>
      </x:c>
    </x:row>
    <x:row r="37" ht="240" customHeight="1">
      <x:c r="A37" s="2" t="str">
        <x:v>MIT-0030</x:v>
      </x:c>
      <x:c r="B37" s="2" t="str">
        <x:v>Mitigation</x:v>
      </x:c>
      <x:c r="C37" s="2" t="str">
        <x:v>Transport</x:v>
      </x:c>
      <x:c r="D37" s="2" t="str">
        <x:v>Vehicle and fuel technologies</x:v>
      </x:c>
      <x:c r="E37" s="2" t="str">
        <x:v>Liquefied Natural Gas in trucks and cars</x:v>
      </x:c>
      <x:c r="F37" s="2" t="str">
        <x:v>Liquefied Natural Gas in trucks and cars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Liquefied Natural Gas in trucks and cars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7" s="2" t="str">
        <x:v>Mixed: adaptable design, site-specific implementation</x:v>
      </x:c>
      <x:c r="H37" s="2" t="str">
        <x:v>Liquefied Natural Gas in trucks and cars is adaptable in capacity and configuration but site-specific in final engineering. Its principle remains the same, but resource quality, climate, scale, interfaces and safety constraints must be recalculated for each deployment.</x:v>
      </x:c>
      <x:c r="I37" s="2" t="str">
        <x:v>Primarily hard, with a soft component</x:v>
      </x:c>
      <x:c r="J37" s="2" t="str">
        <x:v>Liquefied Natural Gas in trucks and cars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7" s="2" t="str">
        <x:v>Equipment and operation</x:v>
      </x:c>
      <x:c r="L37" s="2" t="str">
        <x:v>Liquefied Natural Gas in trucks and cars is embodied mainly as an equipment-and-operation system. The deliverable is accepted only when measurable service, quality, safety and climate-performance criteria are met under real conditions.</x:v>
      </x:c>
      <x:c r="M37" s="2" t="str">
        <x:v>Conditional on performance and life cycle</x:v>
      </x:c>
      <x:c r="N37" s="2" t="str">
        <x:v>Liquefied Natural Gas in trucks and cars is classified as conditional.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7" s="2" t="str">
        <x:v>Liquefied Natural Gas in trucks and cars: powertrain, motor or engine, inverter, transmission, energy storage or fuel tanks, thermal management, braking, on-board control and refuelling or charging interface.</x:v>
      </x:c>
      <x:c r="P37" s="2" t="str">
        <x:v>Liquefied Natural Gas in trucks and cars: powertrain calibration, battery or fuel management, route-energy modelling, diagnostics, eco-driving logic, charging strategy and safety control.</x:v>
      </x:c>
      <x:c r="Q37" s="2" t="str">
        <x:v>Liquefied Natural Gas in trucks and cars: vehicle and fuel standards, homologation, charging or refuelling codes, maintenance competence, energy pricing, warranty and end-of-life responsibility.</x:v>
      </x:c>
      <x:c r="R37" s="2" t="str">
        <x:v>Liquefied Natural Gas in trucks and cars: vehicle production and maintenance facilities, depots, charging or refuelling stations, grid or fuel supply, rescue equipment and parts logistics.</x:v>
      </x:c>
      <x:c r="S37" s="2" t="str">
        <x:v>Liquefied Natural Gas in trucks and cars: electricity, liquid or gaseous fuel and auxiliary thermal loads; well-to-wheel carbon intensity and real operating efficiency determine the climate result.</x:v>
      </x:c>
      <x:c r="T37" s="2" t="str">
        <x:v>Liquefied Natural Gas in trucks and cars: steel, aluminium, copper, polymers, power electronics, magnets, catalysts and—where electrochemical storage is used—battery-active materials.</x:v>
      </x:c>
      <x:c r="U37" s="2" t="str">
        <x:v>Liquefied Natural Gas in trucks and cars: filters, fluids, seals, bearings, brake components, sensors, control modules, cables, connectors and battery or fuel-system service parts.</x:v>
      </x:c>
      <x:c r="V37" s="2" t="str">
        <x:v>https://www.ctc-n.org/sites/default/files/resources/ctcn_taxonomy_0.pdf</x:v>
      </x:c>
      <x:c r="W37" s="2" t="str">
        <x:v>https://institutoagricoladepueblobello.edu.co/colegiapp/archivostemas/GUIA%209.%5B25%5D.pdf</x:v>
      </x:c>
      <x:c r="X37" s="2" t="str">
        <x:v>https://iiasa.ac.at/what-is-technology</x:v>
      </x:c>
      <x:c r="Y37" s="2" t="str">
        <x:v>https://www.ipcc.ch/report/ar6/wg3/chapter/chapter-10/; https://www.iea.org/data-and-statistics/data-tools/etp-clean-energy-technology-guide; https://bogota.gov.co/en/international/new-era-transmilenio-transmiapp-and-largest-electric-fleet</x:v>
      </x:c>
      <x:c r="Z37" s="2" t="str">
        <x:v>Technology-specific analytical synthesis. The CTCN hierarchy is retained; classifications and component dependencies require validation against the selected design, site and supplier documentation before investment or policy use.</x:v>
      </x:c>
      <x:c r="AA37" s="2" t="str">
        <x:v>Physical deployment of Liquefied Natural Gas in trucks and cars requires vehicle production and maintenance facilities, depots, charging or refuelling stations, grid or fuel supply, rescue equipment and parts logistics; interfaces, foundations, access and environmental protection are sized to the specific resource and design load.</x:v>
      </x:c>
      <x:c r="AB37" s="2" t="str">
        <x:v>For Liquefied Natural Gas in trucks and cars,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7" s="2" t="str">
        <x:v>Construction and operation use steel, aluminium, copper, polymers, power electronics, magnets, catalysts and—where electrochemical storage is used—battery-active materials. For Liquefied Natural Gas in trucks and cars, specifications must include durability, compatibility, recycled content and recoverability.</x:v>
      </x:c>
      <x:c r="AD37" s="2" t="str">
        <x:v>Maintenance of Liquefied Natural Gas in trucks and cars depends on filters, fluids, seals, bearings, brake components, sensors, control modules, cables, connectors and battery or fuel-system service parts; critical spares are selected from failure-mode, lead-time and safety analysis for its installed configuration.</x:v>
      </x:c>
      <x:c r="AE37" s="2" t="str">
        <x:v>The software stack for Liquefied Natural Gas in trucks and cars requires databases, secure communications, version-controlled models, computing, backup and interfaces with field or operational systems.</x:v>
      </x:c>
      <x:c r="AF37" s="2" t="str">
        <x:v>For Liquefied Natural Gas in trucks and cars, software-related energy is electricity for sensing, computing, storage, communication and cooling; it is normally secondary but must be included for data-intensive or continuous services.</x:v>
      </x:c>
      <x:c r="AG37" s="2" t="str">
        <x:v>The non-physical inputs are calibrated data, metadata, algorithms, boundary conditions, emission or hazard factors, manuals and validation records specific to Liquefied Natural Gas in trucks and cars.</x:v>
      </x:c>
      <x:c r="AH37" s="2" t="str">
        <x:v>Software continuity for Liquefied Natural Gas in trucks and cars requires licences where applicable, updates, cybersecurity patches, backups, calibration files, model validation and technical support.</x:v>
      </x:c>
      <x:c r="AI37" s="2" t="str">
        <x:v>Orgware depends on the institutions, laboratories, training providers, regulators, operators and community interfaces needed to govern Liquefied Natural Gas in trucks and cars.</x:v>
      </x:c>
      <x:c r="AJ37" s="2" t="str">
        <x:v>The orgware supporting Liquefied Natural Gas in trucks and cars has mainly indirect energy use from offices, meetings, training and information systems; travel and field supervision may be material at dispersed sites.</x:v>
      </x:c>
      <x:c r="AK37" s="2" t="str">
        <x:v>Its organisational inputs are permits, budgets, trained staff, competence records, contracts, procedures, safeguards, monitoring evidence and stakeholder agreements tailored to Liquefied Natural Gas in trucks and cars.</x:v>
      </x:c>
      <x:c r="AL37" s="2" t="str">
        <x:v>Sustained implementation of Liquefied Natural Gas in trucks and cars requires procurement and service contracts, audit protocols, training material, reporting templates, insurance or guarantees and periodic independent review.</x:v>
      </x:c>
      <x:c r="AM37" s="2" t="str">
        <x:v>Iron ore / steel inputs; Copper; Tin; Rare earth elements; Bauxite / aluminium</x:v>
      </x:c>
      <x:c r="AN37" s="2" t="str">
        <x:v>Australia; Brazil; China; Chile; Democratic Republic of the Congo; Peru; Indonesia; Myanmar; United States; Guinea</x:v>
      </x:c>
      <x:c r="AO37" s="2" t="str">
        <x:v>China; India; Japan; Chile; Democratic Republic of the Congo; Indonesia; Malaysia; Estonia; Russia</x:v>
      </x:c>
      <x:c r="AP37" s="2" t="str">
        <x:v>Liquefied Natural Gas in trucks and cars: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 s="2" t="str">
        <x:v>2024–2025</x:v>
      </x:c>
      <x:c r="AR37" s="2" t="str">
        <x:v>https://pubs.usgs.gov/periodicals/mcs2026/mcs2026.pdf; https://www.iea.org/reports/global-critical-minerals-outlook-2025</x:v>
      </x:c>
    </x:row>
    <x:row r="38" ht="240" customHeight="1">
      <x:c r="A38" s="2" t="str">
        <x:v>MIT-0031</x:v>
      </x:c>
      <x:c r="B38" s="2" t="str">
        <x:v>Mitigation</x:v>
      </x:c>
      <x:c r="C38" s="2" t="str">
        <x:v>Transport</x:v>
      </x:c>
      <x:c r="D38" s="2" t="str">
        <x:v>Vehicle and fuel technologies</x:v>
      </x:c>
      <x:c r="E38" s="2" t="str">
        <x:v>Electric vehicles</x:v>
      </x:c>
      <x:c r="F38" s="2" t="str">
        <x:v>Electric vehicles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An electric motor converts battery electricity into traction with high drivetrain efficiency; charging strategy, battery thermal management and grid carbon intensity govern real climate performance.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8" s="2" t="str">
        <x:v>Mixed: adaptable design, site-specific implementation</x:v>
      </x:c>
      <x:c r="H38" s="2" t="str">
        <x:v>Electric vehicles is adaptable in capacity and configuration but site-specific in final engineering. Its principle remains the same, but resource quality, climate, scale, interfaces and safety constraints must be recalculated for each deployment.</x:v>
      </x:c>
      <x:c r="I38" s="2" t="str">
        <x:v>Primarily hard, with a soft component</x:v>
      </x:c>
      <x:c r="J38" s="2" t="str">
        <x:v>Electric vehicles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8" s="2" t="str">
        <x:v>Equipment and operation</x:v>
      </x:c>
      <x:c r="L38" s="2" t="str">
        <x:v>Electric vehicles is embodied mainly as an equipment-and-operation system. The deliverable is accepted only when measurable service, quality, safety and climate-performance criteria are met under real conditions.</x:v>
      </x:c>
      <x:c r="M38" s="2" t="str">
        <x:v>Yes, subject to life-cycle safeguards</x:v>
      </x:c>
      <x:c r="N38" s="2" t="str">
        <x:v>Electric vehicles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8" s="2" t="str">
        <x:v>Electric vehicles: powertrain, motor or engine, inverter, transmission, energy storage or fuel tanks, thermal management, braking, on-board control and refuelling or charging interface.</x:v>
      </x:c>
      <x:c r="P38" s="2" t="str">
        <x:v>Electric vehicles: powertrain calibration, battery or fuel management, route-energy modelling, diagnostics, eco-driving logic, charging strategy and safety control.</x:v>
      </x:c>
      <x:c r="Q38" s="2" t="str">
        <x:v>Electric vehicles: vehicle and fuel standards, homologation, charging or refuelling codes, maintenance competence, energy pricing, warranty and end-of-life responsibility.</x:v>
      </x:c>
      <x:c r="R38" s="2" t="str">
        <x:v>Electric vehicles: vehicle production and maintenance facilities, depots, charging or refuelling stations, grid or fuel supply, rescue equipment and parts logistics.</x:v>
      </x:c>
      <x:c r="S38" s="2" t="str">
        <x:v>Electric vehicles: electricity, liquid or gaseous fuel and auxiliary thermal loads; well-to-wheel carbon intensity and real operating efficiency determine the climate result.</x:v>
      </x:c>
      <x:c r="T38" s="2" t="str">
        <x:v>Electric vehicles: steel, aluminium, copper, polymers, power electronics, magnets, catalysts and—where electrochemical storage is used—battery-active materials.</x:v>
      </x:c>
      <x:c r="U38" s="2" t="str">
        <x:v>Electric vehicles: filters, fluids, seals, bearings, brake components, sensors, control modules, cables, connectors and battery or fuel-system service parts.</x:v>
      </x:c>
      <x:c r="V38" s="2" t="str">
        <x:v>https://www.ctc-n.org/sites/default/files/resources/ctcn_taxonomy_0.pdf</x:v>
      </x:c>
      <x:c r="W38" s="2" t="str">
        <x:v>https://institutoagricoladepueblobello.edu.co/colegiapp/archivostemas/GUIA%209.%5B25%5D.pdf</x:v>
      </x:c>
      <x:c r="X38" s="2" t="str">
        <x:v>https://iiasa.ac.at/what-is-technology</x:v>
      </x:c>
      <x:c r="Y38" s="2" t="str">
        <x:v>https://www.ipcc.ch/report/ar6/wg3/chapter/chapter-10/; https://www.iea.org/data-and-statistics/data-tools/etp-clean-energy-technology-guide; https://bogota.gov.co/en/international/new-era-transmilenio-transmiapp-and-largest-electric-fleet</x:v>
      </x:c>
      <x:c r="Z38" s="2" t="str">
        <x:v>Technology-specific analytical synthesis. The CTCN hierarchy is retained; classifications and component dependencies require validation against the selected design, site and supplier documentation before investment or policy use.</x:v>
      </x:c>
      <x:c r="AA38" s="2" t="str">
        <x:v>Physical deployment of Electric vehicles requires vehicle production and maintenance facilities, depots, charging or refuelling stations, grid or fuel supply, rescue equipment and parts logistics; interfaces, foundations, access and environmental protection are sized to the specific resource and design load.</x:v>
      </x:c>
      <x:c r="AB38" s="2" t="str">
        <x:v>For Electric vehicles,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8" s="2" t="str">
        <x:v>Construction and operation use steel, aluminium, copper, polymers, power electronics, magnets, catalysts and—where electrochemical storage is used—battery-active materials. For Electric vehicles, specifications must include durability, compatibility, recycled content and recoverability.</x:v>
      </x:c>
      <x:c r="AD38" s="2" t="str">
        <x:v>Maintenance of Electric vehicles depends on filters, fluids, seals, bearings, brake components, sensors, control modules, cables, connectors and battery or fuel-system service parts; critical spares are selected from failure-mode, lead-time and safety analysis for its installed configuration.</x:v>
      </x:c>
      <x:c r="AE38" s="2" t="str">
        <x:v>The software stack for Electric vehicles requires databases, secure communications, version-controlled models, computing, backup and interfaces with field or operational systems.</x:v>
      </x:c>
      <x:c r="AF38" s="2" t="str">
        <x:v>For Electric vehicles, software-related energy is electricity for sensing, computing, storage, communication and cooling; it is normally secondary but must be included for data-intensive or continuous services.</x:v>
      </x:c>
      <x:c r="AG38" s="2" t="str">
        <x:v>The non-physical inputs are calibrated data, metadata, algorithms, boundary conditions, emission or hazard factors, manuals and validation records specific to Electric vehicles.</x:v>
      </x:c>
      <x:c r="AH38" s="2" t="str">
        <x:v>Software continuity for Electric vehicles requires licences where applicable, updates, cybersecurity patches, backups, calibration files, model validation and technical support.</x:v>
      </x:c>
      <x:c r="AI38" s="2" t="str">
        <x:v>Orgware depends on the institutions, laboratories, training providers, regulators, operators and community interfaces needed to govern Electric vehicles.</x:v>
      </x:c>
      <x:c r="AJ38" s="2" t="str">
        <x:v>The orgware supporting Electric vehicles has mainly indirect energy use from offices, meetings, training and information systems; travel and field supervision may be material at dispersed sites.</x:v>
      </x:c>
      <x:c r="AK38" s="2" t="str">
        <x:v>Its organisational inputs are permits, budgets, trained staff, competence records, contracts, procedures, safeguards, monitoring evidence and stakeholder agreements tailored to Electric vehicles.</x:v>
      </x:c>
      <x:c r="AL38" s="2" t="str">
        <x:v>Sustained implementation of Electric vehicles requires procurement and service contracts, audit protocols, training material, reporting templates, insurance or guarantees and periodic independent review.</x:v>
      </x:c>
      <x:c r="AM38" s="2" t="str">
        <x:v>Iron ore / steel inputs; Copper; Tin; Lithium; Nickel; Cobalt; Natural graphite; Manganese; Rare earth elements; Bauxite / aluminium</x:v>
      </x:c>
      <x:c r="AN38" s="2" t="str">
        <x:v>Australia; Brazil; China; Chile; Democratic Republic of the Congo; Peru; Indonesia; Myanmar; Philippines; Russia; Madagascar; Mozambique; South Africa; Gabon; Ghana; United States; Guinea</x:v>
      </x:c>
      <x:c r="AO38" s="2" t="str">
        <x:v>China; India; Japan; Chile; Democratic Republic of the Congo; Indonesia; Malaysia; Argentina; Finland; Canada; South Korea; South Africa; Australia; Estonia; Russia</x:v>
      </x:c>
      <x:c r="AP38" s="2" t="str">
        <x:v>Electric vehicles: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 s="2" t="str">
        <x:v>2024–2025</x:v>
      </x:c>
      <x:c r="AR38" s="2" t="str">
        <x:v>https://pubs.usgs.gov/periodicals/mcs2026/mcs2026.pdf; https://www.iea.org/reports/global-critical-minerals-outlook-2025</x:v>
      </x:c>
    </x:row>
    <x:row r="39" ht="240" customHeight="1">
      <x:c r="A39" s="2" t="str">
        <x:v>MIT-0032</x:v>
      </x:c>
      <x:c r="B39" s="2" t="str">
        <x:v>Mitigation</x:v>
      </x:c>
      <x:c r="C39" s="2" t="str">
        <x:v>Transport</x:v>
      </x:c>
      <x:c r="D39" s="2" t="str">
        <x:v>Vehicle and fuel technologies</x:v>
      </x:c>
      <x:c r="E39" s="2" t="str">
        <x:v>Regenerative braking</x:v>
      </x:c>
      <x:c r="F39" s="2" t="str">
        <x:v>Regenerative braking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During deceleration the traction motor operates as a generator; power electronics return part of the vehicle's kinetic energy to the battery or another storage device instead of dissipating it entirely as friction heat.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39" s="2" t="str">
        <x:v>Mixed: adaptable design, site-specific implementation</x:v>
      </x:c>
      <x:c r="H39" s="2" t="str">
        <x:v>Regenerative braking is adaptable in capacity and configuration but site-specific in final engineering. Its principle remains the same, but resource quality, climate, scale, interfaces and safety constraints must be recalculated for each deployment.</x:v>
      </x:c>
      <x:c r="I39" s="2" t="str">
        <x:v>Primarily hard, with a soft component</x:v>
      </x:c>
      <x:c r="J39" s="2" t="str">
        <x:v>Regenerative braking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39" s="2" t="str">
        <x:v>Equipment and operation</x:v>
      </x:c>
      <x:c r="L39" s="2" t="str">
        <x:v>Regenerative braking is embodied mainly as an equipment-and-operation system. The deliverable is accepted only when measurable service, quality, safety and climate-performance criteria are met under real conditions.</x:v>
      </x:c>
      <x:c r="M39" s="2" t="str">
        <x:v>Yes, subject to life-cycle safeguards</x:v>
      </x:c>
      <x:c r="N39" s="2" t="str">
        <x:v>Regenerative braking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39" s="2" t="str">
        <x:v>Regenerative braking: powertrain, motor or engine, inverter, transmission, energy storage or fuel tanks, thermal management, braking, on-board control and refuelling or charging interface.</x:v>
      </x:c>
      <x:c r="P39" s="2" t="str">
        <x:v>Regenerative braking: powertrain calibration, battery or fuel management, route-energy modelling, diagnostics, eco-driving logic, charging strategy and safety control.</x:v>
      </x:c>
      <x:c r="Q39" s="2" t="str">
        <x:v>Regenerative braking: vehicle and fuel standards, homologation, charging or refuelling codes, maintenance competence, energy pricing, warranty and end-of-life responsibility.</x:v>
      </x:c>
      <x:c r="R39" s="2" t="str">
        <x:v>Regenerative braking: vehicle production and maintenance facilities, depots, charging or refuelling stations, grid or fuel supply, rescue equipment and parts logistics.</x:v>
      </x:c>
      <x:c r="S39" s="2" t="str">
        <x:v>Regenerative braking: electricity, liquid or gaseous fuel and auxiliary thermal loads; well-to-wheel carbon intensity and real operating efficiency determine the climate result.</x:v>
      </x:c>
      <x:c r="T39" s="2" t="str">
        <x:v>Regenerative braking: steel, aluminium, copper, polymers, power electronics, magnets, catalysts and—where electrochemical storage is used—battery-active materials.</x:v>
      </x:c>
      <x:c r="U39" s="2" t="str">
        <x:v>Regenerative braking: filters, fluids, seals, bearings, brake components, sensors, control modules, cables, connectors and battery or fuel-system service parts.</x:v>
      </x:c>
      <x:c r="V39" s="2" t="str">
        <x:v>https://www.ctc-n.org/sites/default/files/resources/ctcn_taxonomy_0.pdf</x:v>
      </x:c>
      <x:c r="W39" s="2" t="str">
        <x:v>https://institutoagricoladepueblobello.edu.co/colegiapp/archivostemas/GUIA%209.%5B25%5D.pdf</x:v>
      </x:c>
      <x:c r="X39" s="2" t="str">
        <x:v>https://iiasa.ac.at/what-is-technology</x:v>
      </x:c>
      <x:c r="Y39" s="2" t="str">
        <x:v>https://www.ipcc.ch/report/ar6/wg3/chapter/chapter-10/; https://www.iea.org/data-and-statistics/data-tools/etp-clean-energy-technology-guide; https://bogota.gov.co/en/international/new-era-transmilenio-transmiapp-and-largest-electric-fleet</x:v>
      </x:c>
      <x:c r="Z39" s="2" t="str">
        <x:v>Technology-specific analytical synthesis. The CTCN hierarchy is retained; classifications and component dependencies require validation against the selected design, site and supplier documentation before investment or policy use.</x:v>
      </x:c>
      <x:c r="AA39" s="2" t="str">
        <x:v>Physical deployment of Regenerative braking requires vehicle production and maintenance facilities, depots, charging or refuelling stations, grid or fuel supply, rescue equipment and parts logistics; interfaces, foundations, access and environmental protection are sized to the specific resource and design load.</x:v>
      </x:c>
      <x:c r="AB39" s="2" t="str">
        <x:v>For Regenerative braking,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39" s="2" t="str">
        <x:v>Construction and operation use steel, aluminium, copper, polymers, power electronics, magnets, catalysts and—where electrochemical storage is used—battery-active materials. For Regenerative braking, specifications must include durability, compatibility, recycled content and recoverability.</x:v>
      </x:c>
      <x:c r="AD39" s="2" t="str">
        <x:v>Maintenance of Regenerative braking depends on filters, fluids, seals, bearings, brake components, sensors, control modules, cables, connectors and battery or fuel-system service parts; critical spares are selected from failure-mode, lead-time and safety analysis for its installed configuration.</x:v>
      </x:c>
      <x:c r="AE39" s="2" t="str">
        <x:v>The software stack for Regenerative braking requires databases, secure communications, version-controlled models, computing, backup and interfaces with field or operational systems.</x:v>
      </x:c>
      <x:c r="AF39" s="2" t="str">
        <x:v>For Regenerative braking, software-related energy is electricity for sensing, computing, storage, communication and cooling; it is normally secondary but must be included for data-intensive or continuous services.</x:v>
      </x:c>
      <x:c r="AG39" s="2" t="str">
        <x:v>The non-physical inputs are calibrated data, metadata, algorithms, boundary conditions, emission or hazard factors, manuals and validation records specific to Regenerative braking.</x:v>
      </x:c>
      <x:c r="AH39" s="2" t="str">
        <x:v>Software continuity for Regenerative braking requires licences where applicable, updates, cybersecurity patches, backups, calibration files, model validation and technical support.</x:v>
      </x:c>
      <x:c r="AI39" s="2" t="str">
        <x:v>Orgware depends on the institutions, laboratories, training providers, regulators, operators and community interfaces needed to govern Regenerative braking.</x:v>
      </x:c>
      <x:c r="AJ39" s="2" t="str">
        <x:v>The orgware supporting Regenerative braking has mainly indirect energy use from offices, meetings, training and information systems; travel and field supervision may be material at dispersed sites.</x:v>
      </x:c>
      <x:c r="AK39" s="2" t="str">
        <x:v>Its organisational inputs are permits, budgets, trained staff, competence records, contracts, procedures, safeguards, monitoring evidence and stakeholder agreements tailored to Regenerative braking.</x:v>
      </x:c>
      <x:c r="AL39" s="2" t="str">
        <x:v>Sustained implementation of Regenerative braking requires procurement and service contracts, audit protocols, training material, reporting templates, insurance or guarantees and periodic independent review.</x:v>
      </x:c>
      <x:c r="AM39" s="2" t="str">
        <x:v>Iron ore / steel inputs; Copper; Tin; Rare earth elements; Bauxite / aluminium</x:v>
      </x:c>
      <x:c r="AN39" s="2" t="str">
        <x:v>Australia; Brazil; China; Chile; Democratic Republic of the Congo; Peru; Indonesia; Myanmar; United States; Guinea</x:v>
      </x:c>
      <x:c r="AO39" s="2" t="str">
        <x:v>China; India; Japan; Chile; Democratic Republic of the Congo; Indonesia; Malaysia; Estonia; Russia</x:v>
      </x:c>
      <x:c r="AP39" s="2" t="str">
        <x:v>Regenerative braking: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 s="2" t="str">
        <x:v>2024–2025</x:v>
      </x:c>
      <x:c r="AR39" s="2" t="str">
        <x:v>https://pubs.usgs.gov/periodicals/mcs2026/mcs2026.pdf; https://www.iea.org/reports/global-critical-minerals-outlook-2025</x:v>
      </x:c>
    </x:row>
    <x:row r="40" ht="240" customHeight="1">
      <x:c r="A40" s="2" t="str">
        <x:v>MIT-0033</x:v>
      </x:c>
      <x:c r="B40" s="2" t="str">
        <x:v>Mitigation</x:v>
      </x:c>
      <x:c r="C40" s="2" t="str">
        <x:v>Transport</x:v>
      </x:c>
      <x:c r="D40" s="2" t="str">
        <x:v>Vehicle and fuel technologies</x:v>
      </x:c>
      <x:c r="E40" s="2" t="str">
        <x:v>Liquefied Petroleum Gas in transport</x:v>
      </x:c>
      <x:c r="F40" s="2" t="str">
        <x:v>Liquefied Petroleum Gas in transport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Liquefied Petroleum Gas in transport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40" s="2" t="str">
        <x:v>Mixed: adaptable design, site-specific implementation</x:v>
      </x:c>
      <x:c r="H40" s="2" t="str">
        <x:v>Liquefied Petroleum Gas in transport is adaptable in capacity and configuration but site-specific in final engineering. Its principle remains the same, but resource quality, climate, scale, interfaces and safety constraints must be recalculated for each deployment.</x:v>
      </x:c>
      <x:c r="I40" s="2" t="str">
        <x:v>Primarily hard, with a soft component</x:v>
      </x:c>
      <x:c r="J40" s="2" t="str">
        <x:v>Liquefied Petroleum Gas in transport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40" s="2" t="str">
        <x:v>Equipment and operation</x:v>
      </x:c>
      <x:c r="L40" s="2" t="str">
        <x:v>Liquefied Petroleum Gas in transport is embodied mainly as an equipment-and-operation system. The deliverable is accepted only when measurable service, quality, safety and climate-performance criteria are met under real conditions.</x:v>
      </x:c>
      <x:c r="M40" s="2" t="str">
        <x:v>Yes, subject to life-cycle safeguards</x:v>
      </x:c>
      <x:c r="N40" s="2" t="str">
        <x:v>Liquefied Petroleum Gas in transport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40" s="2" t="str">
        <x:v>Liquefied Petroleum Gas in transport: powertrain, motor or engine, inverter, transmission, energy storage or fuel tanks, thermal management, braking, on-board control and refuelling or charging interface.</x:v>
      </x:c>
      <x:c r="P40" s="2" t="str">
        <x:v>Liquefied Petroleum Gas in transport: powertrain calibration, battery or fuel management, route-energy modelling, diagnostics, eco-driving logic, charging strategy and safety control.</x:v>
      </x:c>
      <x:c r="Q40" s="2" t="str">
        <x:v>Liquefied Petroleum Gas in transport: vehicle and fuel standards, homologation, charging or refuelling codes, maintenance competence, energy pricing, warranty and end-of-life responsibility.</x:v>
      </x:c>
      <x:c r="R40" s="2" t="str">
        <x:v>Liquefied Petroleum Gas in transport: vehicle production and maintenance facilities, depots, charging or refuelling stations, grid or fuel supply, rescue equipment and parts logistics.</x:v>
      </x:c>
      <x:c r="S40" s="2" t="str">
        <x:v>Liquefied Petroleum Gas in transport: electricity, liquid or gaseous fuel and auxiliary thermal loads; well-to-wheel carbon intensity and real operating efficiency determine the climate result.</x:v>
      </x:c>
      <x:c r="T40" s="2" t="str">
        <x:v>Liquefied Petroleum Gas in transport: steel, aluminium, copper, polymers, power electronics, magnets, catalysts and—where electrochemical storage is used—battery-active materials.</x:v>
      </x:c>
      <x:c r="U40" s="2" t="str">
        <x:v>Liquefied Petroleum Gas in transport: filters, fluids, seals, bearings, brake components, sensors, control modules, cables, connectors and battery or fuel-system service parts.</x:v>
      </x:c>
      <x:c r="V40" s="2" t="str">
        <x:v>https://www.ctc-n.org/sites/default/files/resources/ctcn_taxonomy_0.pdf</x:v>
      </x:c>
      <x:c r="W40" s="2" t="str">
        <x:v>https://institutoagricoladepueblobello.edu.co/colegiapp/archivostemas/GUIA%209.%5B25%5D.pdf</x:v>
      </x:c>
      <x:c r="X40" s="2" t="str">
        <x:v>https://iiasa.ac.at/what-is-technology</x:v>
      </x:c>
      <x:c r="Y40" s="2" t="str">
        <x:v>https://www.ipcc.ch/report/ar6/wg3/chapter/chapter-10/; https://www.iea.org/data-and-statistics/data-tools/etp-clean-energy-technology-guide; https://bogota.gov.co/en/international/new-era-transmilenio-transmiapp-and-largest-electric-fleet</x:v>
      </x:c>
      <x:c r="Z40" s="2" t="str">
        <x:v>Technology-specific analytical synthesis. The CTCN hierarchy is retained; classifications and component dependencies require validation against the selected design, site and supplier documentation before investment or policy use.</x:v>
      </x:c>
      <x:c r="AA40" s="2" t="str">
        <x:v>Physical deployment of Liquefied Petroleum Gas in transport requires vehicle production and maintenance facilities, depots, charging or refuelling stations, grid or fuel supply, rescue equipment and parts logistics; interfaces, foundations, access and environmental protection are sized to the specific resource and design load.</x:v>
      </x:c>
      <x:c r="AB40" s="2" t="str">
        <x:v>For Liquefied Petroleum Gas in transport,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40" s="2" t="str">
        <x:v>Construction and operation use steel, aluminium, copper, polymers, power electronics, magnets, catalysts and—where electrochemical storage is used—battery-active materials. For Liquefied Petroleum Gas in transport, specifications must include durability, compatibility, recycled content and recoverability.</x:v>
      </x:c>
      <x:c r="AD40" s="2" t="str">
        <x:v>Maintenance of Liquefied Petroleum Gas in transport depends on filters, fluids, seals, bearings, brake components, sensors, control modules, cables, connectors and battery or fuel-system service parts; critical spares are selected from failure-mode, lead-time and safety analysis for its installed configuration.</x:v>
      </x:c>
      <x:c r="AE40" s="2" t="str">
        <x:v>The software stack for Liquefied Petroleum Gas in transport requires databases, secure communications, version-controlled models, computing, backup and interfaces with field or operational systems.</x:v>
      </x:c>
      <x:c r="AF40" s="2" t="str">
        <x:v>For Liquefied Petroleum Gas in transport, software-related energy is electricity for sensing, computing, storage, communication and cooling; it is normally secondary but must be included for data-intensive or continuous services.</x:v>
      </x:c>
      <x:c r="AG40" s="2" t="str">
        <x:v>The non-physical inputs are calibrated data, metadata, algorithms, boundary conditions, emission or hazard factors, manuals and validation records specific to Liquefied Petroleum Gas in transport.</x:v>
      </x:c>
      <x:c r="AH40" s="2" t="str">
        <x:v>Software continuity for Liquefied Petroleum Gas in transport requires licences where applicable, updates, cybersecurity patches, backups, calibration files, model validation and technical support.</x:v>
      </x:c>
      <x:c r="AI40" s="2" t="str">
        <x:v>Orgware depends on the institutions, laboratories, training providers, regulators, operators and community interfaces needed to govern Liquefied Petroleum Gas in transport.</x:v>
      </x:c>
      <x:c r="AJ40" s="2" t="str">
        <x:v>The orgware supporting Liquefied Petroleum Gas in transport has mainly indirect energy use from offices, meetings, training and information systems; travel and field supervision may be material at dispersed sites.</x:v>
      </x:c>
      <x:c r="AK40" s="2" t="str">
        <x:v>Its organisational inputs are permits, budgets, trained staff, competence records, contracts, procedures, safeguards, monitoring evidence and stakeholder agreements tailored to Liquefied Petroleum Gas in transport.</x:v>
      </x:c>
      <x:c r="AL40" s="2" t="str">
        <x:v>Sustained implementation of Liquefied Petroleum Gas in transport requires procurement and service contracts, audit protocols, training material, reporting templates, insurance or guarantees and periodic independent review.</x:v>
      </x:c>
      <x:c r="AM40" s="2" t="str">
        <x:v>Iron ore / steel inputs; Copper; Tin; Rare earth elements; Bauxite / aluminium</x:v>
      </x:c>
      <x:c r="AN40" s="2" t="str">
        <x:v>Australia; Brazil; China; Chile; Democratic Republic of the Congo; Peru; Indonesia; Myanmar; United States; Guinea</x:v>
      </x:c>
      <x:c r="AO40" s="2" t="str">
        <x:v>China; India; Japan; Chile; Democratic Republic of the Congo; Indonesia; Malaysia; Estonia; Russia</x:v>
      </x:c>
      <x:c r="AP40" s="2" t="str">
        <x:v>Liquefied Petroleum Gas in transport: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 s="2" t="str">
        <x:v>2024–2025</x:v>
      </x:c>
      <x:c r="AR40" s="2" t="str">
        <x:v>https://pubs.usgs.gov/periodicals/mcs2026/mcs2026.pdf; https://www.iea.org/reports/global-critical-minerals-outlook-2025</x:v>
      </x:c>
    </x:row>
    <x:row r="41" ht="240" customHeight="1">
      <x:c r="A41" s="2" t="str">
        <x:v>MIT-0034</x:v>
      </x:c>
      <x:c r="B41" s="2" t="str">
        <x:v>Mitigation</x:v>
      </x:c>
      <x:c r="C41" s="2" t="str">
        <x:v>Transport</x:v>
      </x:c>
      <x:c r="D41" s="2" t="str">
        <x:v>Vehicle and fuel technologies</x:v>
      </x:c>
      <x:c r="E41" s="2" t="str">
        <x:v>Fuel cells for mobile applications</x:v>
      </x:c>
      <x:c r="F41" s="2" t="str">
        <x:v>Fuel cells for mobile applications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Fuel cells for mobile applications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41" s="2" t="str">
        <x:v>Mixed: adaptable design, site-specific implementation</x:v>
      </x:c>
      <x:c r="H41" s="2" t="str">
        <x:v>Fuel cells for mobile applications is adaptable in capacity and configuration but site-specific in final engineering. Its principle remains the same, but resource quality, climate, scale, interfaces and safety constraints must be recalculated for each deployment.</x:v>
      </x:c>
      <x:c r="I41" s="2" t="str">
        <x:v>Primarily hard, with a soft component</x:v>
      </x:c>
      <x:c r="J41" s="2" t="str">
        <x:v>Fuel cells for mobile applications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41" s="2" t="str">
        <x:v>Equipment and operation</x:v>
      </x:c>
      <x:c r="L41" s="2" t="str">
        <x:v>Fuel cells for mobile applications is embodied mainly as an equipment-and-operation system. The deliverable is accepted only when measurable service, quality, safety and climate-performance criteria are met under real conditions.</x:v>
      </x:c>
      <x:c r="M41" s="2" t="str">
        <x:v>Yes, subject to life-cycle safeguards</x:v>
      </x:c>
      <x:c r="N41" s="2" t="str">
        <x:v>Fuel cells for mobile applications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41" s="2" t="str">
        <x:v>Fuel cells for mobile applications: powertrain, motor or engine, inverter, transmission, energy storage or fuel tanks, thermal management, braking, on-board control and refuelling or charging interface.</x:v>
      </x:c>
      <x:c r="P41" s="2" t="str">
        <x:v>Fuel cells for mobile applications: powertrain calibration, battery or fuel management, route-energy modelling, diagnostics, eco-driving logic, charging strategy and safety control.</x:v>
      </x:c>
      <x:c r="Q41" s="2" t="str">
        <x:v>Fuel cells for mobile applications: vehicle and fuel standards, homologation, charging or refuelling codes, maintenance competence, energy pricing, warranty and end-of-life responsibility.</x:v>
      </x:c>
      <x:c r="R41" s="2" t="str">
        <x:v>Fuel cells for mobile applications: vehicle production and maintenance facilities, depots, charging or refuelling stations, grid or fuel supply, rescue equipment and parts logistics.</x:v>
      </x:c>
      <x:c r="S41" s="2" t="str">
        <x:v>Fuel cells for mobile applications: electricity, liquid or gaseous fuel and auxiliary thermal loads; well-to-wheel carbon intensity and real operating efficiency determine the climate result.</x:v>
      </x:c>
      <x:c r="T41" s="2" t="str">
        <x:v>Fuel cells for mobile applications: steel, aluminium, copper, polymers, power electronics, magnets, catalysts and—where electrochemical storage is used—battery-active materials.</x:v>
      </x:c>
      <x:c r="U41" s="2" t="str">
        <x:v>Fuel cells for mobile applications: filters, fluids, seals, bearings, brake components, sensors, control modules, cables, connectors and battery or fuel-system service parts.</x:v>
      </x:c>
      <x:c r="V41" s="2" t="str">
        <x:v>https://www.ctc-n.org/sites/default/files/resources/ctcn_taxonomy_0.pdf</x:v>
      </x:c>
      <x:c r="W41" s="2" t="str">
        <x:v>https://institutoagricoladepueblobello.edu.co/colegiapp/archivostemas/GUIA%209.%5B25%5D.pdf</x:v>
      </x:c>
      <x:c r="X41" s="2" t="str">
        <x:v>https://iiasa.ac.at/what-is-technology</x:v>
      </x:c>
      <x:c r="Y41" s="2" t="str">
        <x:v>https://www.ipcc.ch/report/ar6/wg3/chapter/chapter-10/; https://www.iea.org/data-and-statistics/data-tools/etp-clean-energy-technology-guide; https://bogota.gov.co/en/international/new-era-transmilenio-transmiapp-and-largest-electric-fleet</x:v>
      </x:c>
      <x:c r="Z41" s="2" t="str">
        <x:v>Technology-specific analytical synthesis. The CTCN hierarchy is retained; classifications and component dependencies require validation against the selected design, site and supplier documentation before investment or policy use.</x:v>
      </x:c>
      <x:c r="AA41" s="2" t="str">
        <x:v>Physical deployment of Fuel cells for mobile applications requires vehicle production and maintenance facilities, depots, charging or refuelling stations, grid or fuel supply, rescue equipment and parts logistics; interfaces, foundations, access and environmental protection are sized to the specific resource and design load.</x:v>
      </x:c>
      <x:c r="AB41" s="2" t="str">
        <x:v>For Fuel cells for mobile applications,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41" s="2" t="str">
        <x:v>Construction and operation use steel, aluminium, copper, polymers, power electronics, magnets, catalysts and—where electrochemical storage is used—battery-active materials. For Fuel cells for mobile applications, specifications must include durability, compatibility, recycled content and recoverability.</x:v>
      </x:c>
      <x:c r="AD41" s="2" t="str">
        <x:v>Maintenance of Fuel cells for mobile applications depends on filters, fluids, seals, bearings, brake components, sensors, control modules, cables, connectors and battery or fuel-system service parts; critical spares are selected from failure-mode, lead-time and safety analysis for its installed configuration.</x:v>
      </x:c>
      <x:c r="AE41" s="2" t="str">
        <x:v>The software stack for Fuel cells for mobile applications requires databases, secure communications, version-controlled models, computing, backup and interfaces with field or operational systems.</x:v>
      </x:c>
      <x:c r="AF41" s="2" t="str">
        <x:v>For Fuel cells for mobile applications, software-related energy is electricity for sensing, computing, storage, communication and cooling; it is normally secondary but must be included for data-intensive or continuous services.</x:v>
      </x:c>
      <x:c r="AG41" s="2" t="str">
        <x:v>The non-physical inputs are calibrated data, metadata, algorithms, boundary conditions, emission or hazard factors, manuals and validation records specific to Fuel cells for mobile applications.</x:v>
      </x:c>
      <x:c r="AH41" s="2" t="str">
        <x:v>Software continuity for Fuel cells for mobile applications requires licences where applicable, updates, cybersecurity patches, backups, calibration files, model validation and technical support.</x:v>
      </x:c>
      <x:c r="AI41" s="2" t="str">
        <x:v>Orgware depends on the institutions, laboratories, training providers, regulators, operators and community interfaces needed to govern Fuel cells for mobile applications.</x:v>
      </x:c>
      <x:c r="AJ41" s="2" t="str">
        <x:v>The orgware supporting Fuel cells for mobile applications has mainly indirect energy use from offices, meetings, training and information systems; travel and field supervision may be material at dispersed sites.</x:v>
      </x:c>
      <x:c r="AK41" s="2" t="str">
        <x:v>Its organisational inputs are permits, budgets, trained staff, competence records, contracts, procedures, safeguards, monitoring evidence and stakeholder agreements tailored to Fuel cells for mobile applications.</x:v>
      </x:c>
      <x:c r="AL41" s="2" t="str">
        <x:v>Sustained implementation of Fuel cells for mobile applications requires procurement and service contracts, audit protocols, training material, reporting templates, insurance or guarantees and periodic independent review.</x:v>
      </x:c>
      <x:c r="AM41" s="2" t="str">
        <x:v>Iron ore / steel inputs; Copper; Tin; Rare earth elements; Platinum-group metals; Bauxite / aluminium</x:v>
      </x:c>
      <x:c r="AN41" s="2" t="str">
        <x:v>Australia; Brazil; China; Chile; Democratic Republic of the Congo; Peru; Indonesia; Myanmar; United States; South Africa; Russia; Zimbabwe; Guinea</x:v>
      </x:c>
      <x:c r="AO41" s="2" t="str">
        <x:v>China; India; Japan; Chile; Democratic Republic of the Congo; Indonesia; Malaysia; Estonia; South Africa; Russia; Germany</x:v>
      </x:c>
      <x:c r="AP41" s="2" t="str">
        <x:v>Fuel cells for mobile applications: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 s="2" t="str">
        <x:v>2024–2025</x:v>
      </x:c>
      <x:c r="AR41" s="2" t="str">
        <x:v>https://pubs.usgs.gov/periodicals/mcs2026/mcs2026.pdf; https://www.iea.org/reports/global-critical-minerals-outlook-2025</x:v>
      </x:c>
    </x:row>
    <x:row r="42" ht="240" customHeight="1">
      <x:c r="A42" s="2" t="str">
        <x:v>MIT-0035</x:v>
      </x:c>
      <x:c r="B42" s="2" t="str">
        <x:v>Mitigation</x:v>
      </x:c>
      <x:c r="C42" s="2" t="str">
        <x:v>Transport</x:v>
      </x:c>
      <x:c r="D42" s="2" t="str">
        <x:v>Vehicle and fuel technologies</x:v>
      </x:c>
      <x:c r="E42" s="2" t="str">
        <x:v>Hybrid electric vehicles</x:v>
      </x:c>
      <x:c r="F42" s="2" t="str">
        <x:v>Hybrid electric vehicles is a mitigation technology in the Transport sector and the Vehicle and fuel technologies technology group. It is defined as a combined hardware–software–orgware system that improves the conversion of fuel or electricity into tractive work, recovers braking energy, reduces vehicle losses, or substitutes a lower-carbon energy carrier. An electric motor converts battery electricity into traction with high drivetrain efficiency; charging strategy, battery thermal management and grid carbon intensity govern real climate performance.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42" s="2" t="str">
        <x:v>Mixed: adaptable design, site-specific implementation</x:v>
      </x:c>
      <x:c r="H42" s="2" t="str">
        <x:v>Hybrid electric vehicles is adaptable in capacity and configuration but site-specific in final engineering. Its principle remains the same, but resource quality, climate, scale, interfaces and safety constraints must be recalculated for each deployment.</x:v>
      </x:c>
      <x:c r="I42" s="2" t="str">
        <x:v>Primarily hard, with a soft component</x:v>
      </x:c>
      <x:c r="J42" s="2" t="str">
        <x:v>Hybrid electric vehicles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42" s="2" t="str">
        <x:v>Equipment and operation</x:v>
      </x:c>
      <x:c r="L42" s="2" t="str">
        <x:v>Hybrid electric vehicles is embodied mainly as an equipment-and-operation system. The deliverable is accepted only when measurable service, quality, safety and climate-performance criteria are met under real conditions.</x:v>
      </x:c>
      <x:c r="M42" s="2" t="str">
        <x:v>Yes, subject to life-cycle safeguards</x:v>
      </x:c>
      <x:c r="N42" s="2" t="str">
        <x:v>Hybrid electric vehicles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42" s="2" t="str">
        <x:v>Hybrid electric vehicles: powertrain, motor or engine, inverter, transmission, energy storage or fuel tanks, thermal management, braking, on-board control and refuelling or charging interface.</x:v>
      </x:c>
      <x:c r="P42" s="2" t="str">
        <x:v>Hybrid electric vehicles: powertrain calibration, battery or fuel management, route-energy modelling, diagnostics, eco-driving logic, charging strategy and safety control.</x:v>
      </x:c>
      <x:c r="Q42" s="2" t="str">
        <x:v>Hybrid electric vehicles: vehicle and fuel standards, homologation, charging or refuelling codes, maintenance competence, energy pricing, warranty and end-of-life responsibility.</x:v>
      </x:c>
      <x:c r="R42" s="2" t="str">
        <x:v>Hybrid electric vehicles: vehicle production and maintenance facilities, depots, charging or refuelling stations, grid or fuel supply, rescue equipment and parts logistics.</x:v>
      </x:c>
      <x:c r="S42" s="2" t="str">
        <x:v>Hybrid electric vehicles: electricity, liquid or gaseous fuel and auxiliary thermal loads; well-to-wheel carbon intensity and real operating efficiency determine the climate result.</x:v>
      </x:c>
      <x:c r="T42" s="2" t="str">
        <x:v>Hybrid electric vehicles: steel, aluminium, copper, polymers, power electronics, magnets, catalysts and—where electrochemical storage is used—battery-active materials.</x:v>
      </x:c>
      <x:c r="U42" s="2" t="str">
        <x:v>Hybrid electric vehicles: filters, fluids, seals, bearings, brake components, sensors, control modules, cables, connectors and battery or fuel-system service parts.</x:v>
      </x:c>
      <x:c r="V42" s="2" t="str">
        <x:v>https://www.ctc-n.org/sites/default/files/resources/ctcn_taxonomy_0.pdf</x:v>
      </x:c>
      <x:c r="W42" s="2" t="str">
        <x:v>https://institutoagricoladepueblobello.edu.co/colegiapp/archivostemas/GUIA%209.%5B25%5D.pdf</x:v>
      </x:c>
      <x:c r="X42" s="2" t="str">
        <x:v>https://iiasa.ac.at/what-is-technology</x:v>
      </x:c>
      <x:c r="Y42" s="2" t="str">
        <x:v>https://www.ipcc.ch/report/ar6/wg3/chapter/chapter-10/; https://www.iea.org/data-and-statistics/data-tools/etp-clean-energy-technology-guide; https://bogota.gov.co/en/international/new-era-transmilenio-transmiapp-and-largest-electric-fleet</x:v>
      </x:c>
      <x:c r="Z42" s="2" t="str">
        <x:v>Technology-specific analytical synthesis. The CTCN hierarchy is retained; classifications and component dependencies require validation against the selected design, site and supplier documentation before investment or policy use.</x:v>
      </x:c>
      <x:c r="AA42" s="2" t="str">
        <x:v>Physical deployment of Hybrid electric vehicles requires vehicle production and maintenance facilities, depots, charging or refuelling stations, grid or fuel supply, rescue equipment and parts logistics; interfaces, foundations, access and environmental protection are sized to the specific resource and design load.</x:v>
      </x:c>
      <x:c r="AB42" s="2" t="str">
        <x:v>For Hybrid electric vehicles,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42" s="2" t="str">
        <x:v>Construction and operation use steel, aluminium, copper, polymers, power electronics, magnets, catalysts and—where electrochemical storage is used—battery-active materials. For Hybrid electric vehicles, specifications must include durability, compatibility, recycled content and recoverability.</x:v>
      </x:c>
      <x:c r="AD42" s="2" t="str">
        <x:v>Maintenance of Hybrid electric vehicles depends on filters, fluids, seals, bearings, brake components, sensors, control modules, cables, connectors and battery or fuel-system service parts; critical spares are selected from failure-mode, lead-time and safety analysis for its installed configuration.</x:v>
      </x:c>
      <x:c r="AE42" s="2" t="str">
        <x:v>The software stack for Hybrid electric vehicles requires databases, secure communications, version-controlled models, computing, backup and interfaces with field or operational systems.</x:v>
      </x:c>
      <x:c r="AF42" s="2" t="str">
        <x:v>For Hybrid electric vehicles, software-related energy is electricity for sensing, computing, storage, communication and cooling; it is normally secondary but must be included for data-intensive or continuous services.</x:v>
      </x:c>
      <x:c r="AG42" s="2" t="str">
        <x:v>The non-physical inputs are calibrated data, metadata, algorithms, boundary conditions, emission or hazard factors, manuals and validation records specific to Hybrid electric vehicles.</x:v>
      </x:c>
      <x:c r="AH42" s="2" t="str">
        <x:v>Software continuity for Hybrid electric vehicles requires licences where applicable, updates, cybersecurity patches, backups, calibration files, model validation and technical support.</x:v>
      </x:c>
      <x:c r="AI42" s="2" t="str">
        <x:v>Orgware depends on the institutions, laboratories, training providers, regulators, operators and community interfaces needed to govern Hybrid electric vehicles.</x:v>
      </x:c>
      <x:c r="AJ42" s="2" t="str">
        <x:v>The orgware supporting Hybrid electric vehicles has mainly indirect energy use from offices, meetings, training and information systems; travel and field supervision may be material at dispersed sites.</x:v>
      </x:c>
      <x:c r="AK42" s="2" t="str">
        <x:v>Its organisational inputs are permits, budgets, trained staff, competence records, contracts, procedures, safeguards, monitoring evidence and stakeholder agreements tailored to Hybrid electric vehicles.</x:v>
      </x:c>
      <x:c r="AL42" s="2" t="str">
        <x:v>Sustained implementation of Hybrid electric vehicles requires procurement and service contracts, audit protocols, training material, reporting templates, insurance or guarantees and periodic independent review.</x:v>
      </x:c>
      <x:c r="AM42" s="2" t="str">
        <x:v>Iron ore / steel inputs; Copper; Tin; Lithium; Nickel; Cobalt; Natural graphite; Manganese; Rare earth elements; Bauxite / aluminium</x:v>
      </x:c>
      <x:c r="AN42" s="2" t="str">
        <x:v>Australia; Brazil; China; Chile; Democratic Republic of the Congo; Peru; Indonesia; Myanmar; Philippines; Russia; Madagascar; Mozambique; South Africa; Gabon; Ghana; United States; Guinea</x:v>
      </x:c>
      <x:c r="AO42" s="2" t="str">
        <x:v>China; India; Japan; Chile; Democratic Republic of the Congo; Indonesia; Malaysia; Argentina; Finland; Canada; South Korea; South Africa; Australia; Estonia; Russia</x:v>
      </x:c>
      <x:c r="AP42" s="2" t="str">
        <x:v>Hybrid electric vehicles: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 s="2" t="str">
        <x:v>2024–2025</x:v>
      </x:c>
      <x:c r="AR42" s="2" t="str">
        <x:v>https://pubs.usgs.gov/periodicals/mcs2026/mcs2026.pdf; https://www.iea.org/reports/global-critical-minerals-outlook-2025</x:v>
      </x:c>
    </x:row>
    <x:row r="43" ht="240" customHeight="1">
      <x:c r="A43" s="2" t="str">
        <x:v>MIT-0036</x:v>
      </x:c>
      <x:c r="B43" s="2" t="str">
        <x:v>Mitigation</x:v>
      </x:c>
      <x:c r="C43" s="2" t="str">
        <x:v>Transport</x:v>
      </x:c>
      <x:c r="D43" s="2" t="str">
        <x:v>Aviation</x:v>
      </x:c>
      <x:c r="E43" s="2" t="str">
        <x:v>Aviation support systems</x:v>
      </x:c>
      <x:c r="F43" s="2" t="str">
        <x:v>Aviation support systems is a mitigation technology in the Transport sector and the Aviation technology group. It is defined as a combined hardware–software–orgware system that changes vehicle kilometres, modal share, occupancy, speed profiles, routing or logistics so that the same mobility service is delivered with less final energy and fewer tailpipe emissions. Aviation support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43" s="2" t="str">
        <x:v>Mixed: adaptable design, site-specific implementation</x:v>
      </x:c>
      <x:c r="H43" s="2" t="str">
        <x:v>Aviation support systems is adaptable in capacity and configuration but site-specific in final engineering. Its principle remains the same, but resource quality, climate, scale, interfaces and safety constraints must be recalculated for each deployment.</x:v>
      </x:c>
      <x:c r="I43" s="2" t="str">
        <x:v>Primarily hard, with a soft component</x:v>
      </x:c>
      <x:c r="J43" s="2" t="str">
        <x:v>Aviation support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43" s="2" t="str">
        <x:v>Equipment and operation</x:v>
      </x:c>
      <x:c r="L43" s="2" t="str">
        <x:v>Aviation support systems is embodied mainly as an equipment-and-operation system. The deliverable is accepted only when measurable service, quality, safety and climate-performance criteria are met under real conditions.</x:v>
      </x:c>
      <x:c r="M43" s="2" t="str">
        <x:v>Yes, subject to life-cycle safeguards</x:v>
      </x:c>
      <x:c r="N43" s="2" t="str">
        <x:v>Aviation support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43" s="2" t="str">
        <x:v>Aviation support systems: corridor and station infrastructure, signalling, ticketing, communications, fleet equipment, traffic sensors and user interfaces as applicable.</x:v>
      </x:c>
      <x:c r="P43" s="2" t="str">
        <x:v>Aviation support systems: network and timetable design, demand models, traffic control, fleet dispatch, logistics optimisation, safety analysis and service-performance analytics.</x:v>
      </x:c>
      <x:c r="Q43" s="2" t="str">
        <x:v>Aviation support systems: transport authority mandates, operating contracts, tariffs, enforcement, street-space allocation, accessibility rules and coordination with land-use planning.</x:v>
      </x:c>
      <x:c r="R43" s="2" t="str">
        <x:v>Aviation support systems: rights-of-way, stops or terminals, depots, interchanges, control centres, communications and safe pedestrian or cycling access.</x:v>
      </x:c>
      <x:c r="S43" s="2" t="str">
        <x:v>Aviation support systems: electricity for control and stations plus the energy used by the affected vehicle fleet; the net result is governed by modal shift and occupancy.</x:v>
      </x:c>
      <x:c r="T43" s="2" t="str">
        <x:v>Aviation support systems: concrete, steel, asphalt, copper, signalling electronics, pavement materials and vehicle-related materials where new infrastructure is built.</x:v>
      </x:c>
      <x:c r="U43" s="2" t="str">
        <x:v>Aviation support systems: signal modules, communications equipment, validators, sensors, pavement components, station equipment and fleet consumables.</x:v>
      </x:c>
      <x:c r="V43" s="2" t="str">
        <x:v>https://www.ctc-n.org/sites/default/files/resources/ctcn_taxonomy_0.pdf</x:v>
      </x:c>
      <x:c r="W43" s="2" t="str">
        <x:v>https://institutoagricoladepueblobello.edu.co/colegiapp/archivostemas/GUIA%209.%5B25%5D.pdf</x:v>
      </x:c>
      <x:c r="X43" s="2" t="str">
        <x:v>https://iiasa.ac.at/what-is-technology</x:v>
      </x:c>
      <x:c r="Y43" s="2" t="str">
        <x:v>https://www.ipcc.ch/report/ar6/wg3/chapter/chapter-10/; https://ppp.worldbank.org/print/pdf/node/7300</x:v>
      </x:c>
      <x:c r="Z43" s="2" t="str">
        <x:v>Technology-specific analytical synthesis. The CTCN hierarchy is retained; classifications and component dependencies require validation against the selected design, site and supplier documentation before investment or policy use.</x:v>
      </x:c>
      <x:c r="AA43" s="2" t="str">
        <x:v>Physical deployment of Aviation support systems requires rights-of-way, stops or terminals, depots, interchanges, control centres, communications and safe pedestrian or cycling access; interfaces, foundations, access and environmental protection are sized to the specific resource and design load.</x:v>
      </x:c>
      <x:c r="AB43" s="2" t="str">
        <x:v>For Aviation support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43" s="2" t="str">
        <x:v>Construction and operation use concrete, steel, asphalt, copper, signalling electronics, pavement materials and vehicle-related materials where new infrastructure is built. For Aviation support systems, specifications must include durability, compatibility, recycled content and recoverability.</x:v>
      </x:c>
      <x:c r="AD43" s="2" t="str">
        <x:v>Maintenance of Aviation support systems depends on signal modules, communications equipment, validators, sensors, pavement components, station equipment and fleet consumables; critical spares are selected from failure-mode, lead-time and safety analysis for its installed configuration.</x:v>
      </x:c>
      <x:c r="AE43" s="2" t="str">
        <x:v>The software stack for Aviation support systems requires databases, secure communications, version-controlled models, computing, backup and interfaces with field or operational systems.</x:v>
      </x:c>
      <x:c r="AF43" s="2" t="str">
        <x:v>For Aviation support systems, software-related energy is electricity for sensing, computing, storage, communication and cooling; it is normally secondary but must be included for data-intensive or continuous services.</x:v>
      </x:c>
      <x:c r="AG43" s="2" t="str">
        <x:v>The non-physical inputs are calibrated data, metadata, algorithms, boundary conditions, emission or hazard factors, manuals and validation records specific to Aviation support systems.</x:v>
      </x:c>
      <x:c r="AH43" s="2" t="str">
        <x:v>Software continuity for Aviation support systems requires licences where applicable, updates, cybersecurity patches, backups, calibration files, model validation and technical support.</x:v>
      </x:c>
      <x:c r="AI43" s="2" t="str">
        <x:v>Orgware depends on the institutions, laboratories, training providers, regulators, operators and community interfaces needed to govern Aviation support systems.</x:v>
      </x:c>
      <x:c r="AJ43" s="2" t="str">
        <x:v>The orgware supporting Aviation support systems has mainly indirect energy use from offices, meetings, training and information systems; travel and field supervision may be material at dispersed sites.</x:v>
      </x:c>
      <x:c r="AK43" s="2" t="str">
        <x:v>Its organisational inputs are permits, budgets, trained staff, competence records, contracts, procedures, safeguards, monitoring evidence and stakeholder agreements tailored to Aviation support systems.</x:v>
      </x:c>
      <x:c r="AL43" s="2" t="str">
        <x:v>Sustained implementation of Aviation support systems requires procurement and service contracts, audit protocols, training material, reporting templates, insurance or guarantees and periodic independent review.</x:v>
      </x:c>
      <x:c r="AM43" s="2" t="str">
        <x:v>Iron ore / steel inputs; Bauxite / aluminium</x:v>
      </x:c>
      <x:c r="AN43" s="2" t="str">
        <x:v>Australia; Brazil; China; Guinea</x:v>
      </x:c>
      <x:c r="AO43" s="2" t="str">
        <x:v>China; India; Japan; Russia</x:v>
      </x:c>
      <x:c r="AP43" s="2" t="str">
        <x:v>Aviation support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 s="2" t="str">
        <x:v>2024–2025</x:v>
      </x:c>
      <x:c r="AR43" s="2" t="str">
        <x:v>https://pubs.usgs.gov/periodicals/mcs2026/mcs2026.pdf</x:v>
      </x:c>
    </x:row>
    <x:row r="44" ht="240" customHeight="1">
      <x:c r="A44" s="2" t="str">
        <x:v>MIT-0037</x:v>
      </x:c>
      <x:c r="B44" s="2" t="str">
        <x:v>Mitigation</x:v>
      </x:c>
      <x:c r="C44" s="2" t="str">
        <x:v>Transport</x:v>
      </x:c>
      <x:c r="D44" s="2" t="str">
        <x:v>Aviation</x:v>
      </x:c>
      <x:c r="E44" s="2" t="str">
        <x:v>Air cargo</x:v>
      </x:c>
      <x:c r="F44" s="2" t="str">
        <x:v>Air cargo is a mitigation technology in the Transport sector and the Aviation technology group. It is defined as a combined hardware–software–orgware system that changes vehicle kilometres, modal share, occupancy, speed profiles, routing or logistics so that the same mobility service is delivered with less final energy and fewer tailpipe emissions. Air cargo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44" s="2" t="str">
        <x:v>Mixed: adaptable design, site-specific implementation</x:v>
      </x:c>
      <x:c r="H44" s="2" t="str">
        <x:v>Air cargo is adaptable in capacity and configuration but site-specific in final engineering. Its principle remains the same, but resource quality, climate, scale, interfaces and safety constraints must be recalculated for each deployment.</x:v>
      </x:c>
      <x:c r="I44" s="2" t="str">
        <x:v>Primarily hard, with a soft component</x:v>
      </x:c>
      <x:c r="J44" s="2" t="str">
        <x:v>Air cargo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44" s="2" t="str">
        <x:v>Equipment and operation</x:v>
      </x:c>
      <x:c r="L44" s="2" t="str">
        <x:v>Air cargo is embodied mainly as an equipment-and-operation system. The deliverable is accepted only when measurable service, quality, safety and climate-performance criteria are met under real conditions.</x:v>
      </x:c>
      <x:c r="M44" s="2" t="str">
        <x:v>Yes, subject to life-cycle safeguards</x:v>
      </x:c>
      <x:c r="N44" s="2" t="str">
        <x:v>Air cargo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44" s="2" t="str">
        <x:v>Air cargo: corridor and station infrastructure, signalling, ticketing, communications, fleet equipment, traffic sensors and user interfaces as applicable.</x:v>
      </x:c>
      <x:c r="P44" s="2" t="str">
        <x:v>Air cargo: network and timetable design, demand models, traffic control, fleet dispatch, logistics optimisation, safety analysis and service-performance analytics.</x:v>
      </x:c>
      <x:c r="Q44" s="2" t="str">
        <x:v>Air cargo: transport authority mandates, operating contracts, tariffs, enforcement, street-space allocation, accessibility rules and coordination with land-use planning.</x:v>
      </x:c>
      <x:c r="R44" s="2" t="str">
        <x:v>Air cargo: rights-of-way, stops or terminals, depots, interchanges, control centres, communications and safe pedestrian or cycling access.</x:v>
      </x:c>
      <x:c r="S44" s="2" t="str">
        <x:v>Air cargo: electricity for control and stations plus the energy used by the affected vehicle fleet; the net result is governed by modal shift and occupancy.</x:v>
      </x:c>
      <x:c r="T44" s="2" t="str">
        <x:v>Air cargo: concrete, steel, asphalt, copper, signalling electronics, pavement materials and vehicle-related materials where new infrastructure is built.</x:v>
      </x:c>
      <x:c r="U44" s="2" t="str">
        <x:v>Air cargo: signal modules, communications equipment, validators, sensors, pavement components, station equipment and fleet consumables.</x:v>
      </x:c>
      <x:c r="V44" s="2" t="str">
        <x:v>https://www.ctc-n.org/sites/default/files/resources/ctcn_taxonomy_0.pdf</x:v>
      </x:c>
      <x:c r="W44" s="2" t="str">
        <x:v>https://institutoagricoladepueblobello.edu.co/colegiapp/archivostemas/GUIA%209.%5B25%5D.pdf</x:v>
      </x:c>
      <x:c r="X44" s="2" t="str">
        <x:v>https://iiasa.ac.at/what-is-technology</x:v>
      </x:c>
      <x:c r="Y44" s="2" t="str">
        <x:v>https://www.ipcc.ch/report/ar6/wg3/chapter/chapter-10/; https://ppp.worldbank.org/print/pdf/node/7300</x:v>
      </x:c>
      <x:c r="Z44" s="2" t="str">
        <x:v>Technology-specific analytical synthesis. The CTCN hierarchy is retained; classifications and component dependencies require validation against the selected design, site and supplier documentation before investment or policy use.</x:v>
      </x:c>
      <x:c r="AA44" s="2" t="str">
        <x:v>Physical deployment of Air cargo requires rights-of-way, stops or terminals, depots, interchanges, control centres, communications and safe pedestrian or cycling access; interfaces, foundations, access and environmental protection are sized to the specific resource and design load.</x:v>
      </x:c>
      <x:c r="AB44" s="2" t="str">
        <x:v>For Air cargo,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44" s="2" t="str">
        <x:v>Construction and operation use concrete, steel, asphalt, copper, signalling electronics, pavement materials and vehicle-related materials where new infrastructure is built. For Air cargo, specifications must include durability, compatibility, recycled content and recoverability.</x:v>
      </x:c>
      <x:c r="AD44" s="2" t="str">
        <x:v>Maintenance of Air cargo depends on signal modules, communications equipment, validators, sensors, pavement components, station equipment and fleet consumables; critical spares are selected from failure-mode, lead-time and safety analysis for its installed configuration.</x:v>
      </x:c>
      <x:c r="AE44" s="2" t="str">
        <x:v>The software stack for Air cargo requires databases, secure communications, version-controlled models, computing, backup and interfaces with field or operational systems.</x:v>
      </x:c>
      <x:c r="AF44" s="2" t="str">
        <x:v>For Air cargo, software-related energy is electricity for sensing, computing, storage, communication and cooling; it is normally secondary but must be included for data-intensive or continuous services.</x:v>
      </x:c>
      <x:c r="AG44" s="2" t="str">
        <x:v>The non-physical inputs are calibrated data, metadata, algorithms, boundary conditions, emission or hazard factors, manuals and validation records specific to Air cargo.</x:v>
      </x:c>
      <x:c r="AH44" s="2" t="str">
        <x:v>Software continuity for Air cargo requires licences where applicable, updates, cybersecurity patches, backups, calibration files, model validation and technical support.</x:v>
      </x:c>
      <x:c r="AI44" s="2" t="str">
        <x:v>Orgware depends on the institutions, laboratories, training providers, regulators, operators and community interfaces needed to govern Air cargo.</x:v>
      </x:c>
      <x:c r="AJ44" s="2" t="str">
        <x:v>The orgware supporting Air cargo has mainly indirect energy use from offices, meetings, training and information systems; travel and field supervision may be material at dispersed sites.</x:v>
      </x:c>
      <x:c r="AK44" s="2" t="str">
        <x:v>Its organisational inputs are permits, budgets, trained staff, competence records, contracts, procedures, safeguards, monitoring evidence and stakeholder agreements tailored to Air cargo.</x:v>
      </x:c>
      <x:c r="AL44" s="2" t="str">
        <x:v>Sustained implementation of Air cargo requires procurement and service contracts, audit protocols, training material, reporting templates, insurance or guarantees and periodic independent review.</x:v>
      </x:c>
      <x:c r="AM44" s="2" t="str">
        <x:v>Iron ore / steel inputs; Bauxite / aluminium</x:v>
      </x:c>
      <x:c r="AN44" s="2" t="str">
        <x:v>Australia; Brazil; China; Guinea</x:v>
      </x:c>
      <x:c r="AO44" s="2" t="str">
        <x:v>China; India; Japan; Russia</x:v>
      </x:c>
      <x:c r="AP44" s="2" t="str">
        <x:v>Air cargo: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 s="2" t="str">
        <x:v>2024–2025</x:v>
      </x:c>
      <x:c r="AR44" s="2" t="str">
        <x:v>https://pubs.usgs.gov/periodicals/mcs2026/mcs2026.pdf</x:v>
      </x:c>
    </x:row>
    <x:row r="45" ht="240" customHeight="1">
      <x:c r="A45" s="2" t="str">
        <x:v>MIT-0038</x:v>
      </x:c>
      <x:c r="B45" s="2" t="str">
        <x:v>Mitigation</x:v>
      </x:c>
      <x:c r="C45" s="2" t="str">
        <x:v>Energy efficiency</x:v>
      </x:c>
      <x:c r="D45" s="2" t="str">
        <x:v>Energy distribution</x:v>
      </x:c>
      <x:c r="E45" s="2" t="str">
        <x:v>Hydrogen infrastructure</x:v>
      </x:c>
      <x:c r="F45" s="2" t="str">
        <x:v>Hydrogen infrastructure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Hydrogen infrastructure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5" s="2" t="str">
        <x:v>Mixed: adaptable design, site-specific implementation</x:v>
      </x:c>
      <x:c r="H45" s="2" t="str">
        <x:v>Hydrogen infrastructure is adaptable in capacity and configuration but site-specific in final engineering. Its principle remains the same, but resource quality, climate, scale, interfaces and safety constraints must be recalculated for each deployment.</x:v>
      </x:c>
      <x:c r="I45" s="2" t="str">
        <x:v>Primarily hard, with a soft component</x:v>
      </x:c>
      <x:c r="J45" s="2" t="str">
        <x:v>Hydrogen infrastructure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5" s="2" t="str">
        <x:v>Equipment and operation</x:v>
      </x:c>
      <x:c r="L45" s="2" t="str">
        <x:v>Hydrogen infrastructure is embodied mainly as an equipment-and-operation system. The deliverable is accepted only when measurable service, quality, safety and climate-performance criteria are met under real conditions.</x:v>
      </x:c>
      <x:c r="M45" s="2" t="str">
        <x:v>Yes, subject to life-cycle safeguards</x:v>
      </x:c>
      <x:c r="N45" s="2" t="str">
        <x:v>Hydrogen infrastructure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5" s="2" t="str">
        <x:v>Hydrogen infrastructure: substations, conductors, transformers, switchgear, meters, protection relays, converters, storage interfaces, communications and control-centre equipment.</x:v>
      </x:c>
      <x:c r="P45" s="2" t="str">
        <x:v>Hydrogen infrastructure: load flow, state estimation, forecasting, optimal dispatch, protection coordination, demand response, cybersecurity and asset-health analytics.</x:v>
      </x:c>
      <x:c r="Q45" s="2" t="str">
        <x:v>Hydrogen infrastructure: grid codes, connection agreements, market rules, interoperability, data governance, system-operator procedures and cyber-incident response.</x:v>
      </x:c>
      <x:c r="R45" s="2" t="str">
        <x:v>Hydrogen infrastructure: generation and load connection points, distribution or transmission network, communications backbone, control centre, maintenance access and backup power.</x:v>
      </x:c>
      <x:c r="S45" s="2" t="str">
        <x:v>Hydrogen infrastructure: electricity for network operation, conversion, cooling and communications; losses and storage round-trip efficiency are explicit performance variables.</x:v>
      </x:c>
      <x:c r="T45" s="2" t="str">
        <x:v>Hydrogen infrastructure: copper or aluminium conductors, electrical steel, structural steel, concrete, polymers, semiconductors, insulation and battery materials where storage is included.</x:v>
      </x:c>
      <x:c r="U45" s="2" t="str">
        <x:v>Hydrogen infrastructure: breakers, fuses, relays, meters, sensors, communication modules, inverter parts, cooling equipment and transformer consumables.</x:v>
      </x:c>
      <x:c r="V45" s="2" t="str">
        <x:v>https://www.ctc-n.org/sites/default/files/resources/ctcn_taxonomy_0.pdf</x:v>
      </x:c>
      <x:c r="W45" s="2" t="str">
        <x:v>https://institutoagricoladepueblobello.edu.co/colegiapp/archivostemas/GUIA%209.%5B25%5D.pdf</x:v>
      </x:c>
      <x:c r="X45" s="2" t="str">
        <x:v>https://iiasa.ac.at/what-is-technology</x:v>
      </x:c>
      <x:c r="Y45" s="2" t="str">
        <x:v>https://www.ipcc.ch/report/ar6/wg3/chapter/chapter-9/; https://www.iea.org/data-and-statistics/data-tools/etp-clean-energy-technology-guide; https://docs.nrel.gov/docs/fy19osti/72586.pdf</x:v>
      </x:c>
      <x:c r="Z45" s="2" t="str">
        <x:v>Technology-specific analytical synthesis. The CTCN hierarchy is retained; classifications and component dependencies require validation against the selected design, site and supplier documentation before investment or policy use.</x:v>
      </x:c>
      <x:c r="AA45" s="2" t="str">
        <x:v>Physical deployment of Hydrogen infrastructure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5" s="2" t="str">
        <x:v>For Hydrogen infrastructure,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5" s="2" t="str">
        <x:v>Construction and operation use copper or aluminium conductors, electrical steel, structural steel, concrete, polymers, semiconductors, insulation and battery materials where storage is included. For Hydrogen infrastructure, specifications must include durability, compatibility, recycled content and recoverability.</x:v>
      </x:c>
      <x:c r="AD45" s="2" t="str">
        <x:v>Maintenance of Hydrogen infrastructure depends on breakers, fuses, relays, meters, sensors, communication modules, inverter parts, cooling equipment and transformer consumables; critical spares are selected from failure-mode, lead-time and safety analysis for its installed configuration.</x:v>
      </x:c>
      <x:c r="AE45" s="2" t="str">
        <x:v>The software stack for Hydrogen infrastructure requires databases, secure communications, version-controlled models, computing, backup and interfaces with field or operational systems.</x:v>
      </x:c>
      <x:c r="AF45" s="2" t="str">
        <x:v>For Hydrogen infrastructure, software-related energy is electricity for sensing, computing, storage, communication and cooling; it is normally secondary but must be included for data-intensive or continuous services.</x:v>
      </x:c>
      <x:c r="AG45" s="2" t="str">
        <x:v>The non-physical inputs are calibrated data, metadata, algorithms, boundary conditions, emission or hazard factors, manuals and validation records specific to Hydrogen infrastructure.</x:v>
      </x:c>
      <x:c r="AH45" s="2" t="str">
        <x:v>Software continuity for Hydrogen infrastructure requires licences where applicable, updates, cybersecurity patches, backups, calibration files, model validation and technical support.</x:v>
      </x:c>
      <x:c r="AI45" s="2" t="str">
        <x:v>Orgware depends on the institutions, laboratories, training providers, regulators, operators and community interfaces needed to govern Hydrogen infrastructure.</x:v>
      </x:c>
      <x:c r="AJ45" s="2" t="str">
        <x:v>The orgware supporting Hydrogen infrastructure has mainly indirect energy use from offices, meetings, training and information systems; travel and field supervision may be material at dispersed sites.</x:v>
      </x:c>
      <x:c r="AK45" s="2" t="str">
        <x:v>Its organisational inputs are permits, budgets, trained staff, competence records, contracts, procedures, safeguards, monitoring evidence and stakeholder agreements tailored to Hydrogen infrastructure.</x:v>
      </x:c>
      <x:c r="AL45" s="2" t="str">
        <x:v>Sustained implementation of Hydrogen infrastructure requires procurement and service contracts, audit protocols, training material, reporting templates, insurance or guarantees and periodic independent review.</x:v>
      </x:c>
      <x:c r="AM45" s="2" t="str">
        <x:v>Iron ore / steel inputs; Copper; Tin; Limestone / cement raw materials</x:v>
      </x:c>
      <x:c r="AN45" s="2" t="str">
        <x:v>Australia; Brazil; China; Chile; Democratic Republic of the Congo; Peru; Indonesia; Myanmar; India; Vietnam</x:v>
      </x:c>
      <x:c r="AO45" s="2" t="str">
        <x:v>China; India; Japan; Chile; Democratic Republic of the Congo; Indonesia; Malaysia; Vietnam</x:v>
      </x:c>
      <x:c r="AP45" s="2" t="str">
        <x:v>Hydrogen infrastructure: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 s="2" t="str">
        <x:v>2024–2025</x:v>
      </x:c>
      <x:c r="AR45" s="2" t="str">
        <x:v>https://pubs.usgs.gov/periodicals/mcs2026/mcs2026.pdf</x:v>
      </x:c>
    </x:row>
    <x:row r="46" ht="240" customHeight="1">
      <x:c r="A46" s="2" t="str">
        <x:v>MIT-0039</x:v>
      </x:c>
      <x:c r="B46" s="2" t="str">
        <x:v>Mitigation</x:v>
      </x:c>
      <x:c r="C46" s="2" t="str">
        <x:v>Energy efficiency</x:v>
      </x:c>
      <x:c r="D46" s="2" t="str">
        <x:v>Energy distribution</x:v>
      </x:c>
      <x:c r="E46" s="2" t="str">
        <x:v>District heating and cooling</x:v>
      </x:c>
      <x:c r="F46" s="2" t="str">
        <x:v>District heating and cooling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District heating and cooling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6" s="2" t="str">
        <x:v>Primarily fixed</x:v>
      </x:c>
      <x:c r="H46" s="2" t="str">
        <x:v>District heating and cooling is tied to long-lived, site-specific assets and design loads. Its principle remains the same, but resource quality, climate, scale, interfaces and safety constraints must be recalculated for each deployment.</x:v>
      </x:c>
      <x:c r="I46" s="2" t="str">
        <x:v>Primarily hard, with a soft component</x:v>
      </x:c>
      <x:c r="J46" s="2" t="str">
        <x:v>District heating and cooling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6" s="2" t="str">
        <x:v>Equipment and operation</x:v>
      </x:c>
      <x:c r="L46" s="2" t="str">
        <x:v>District heating and cooling is embodied mainly as an equipment-and-operation system. The deliverable is accepted only when measurable service, quality, safety and climate-performance criteria are met under real conditions.</x:v>
      </x:c>
      <x:c r="M46" s="2" t="str">
        <x:v>Yes, subject to life-cycle safeguards</x:v>
      </x:c>
      <x:c r="N46" s="2" t="str">
        <x:v>District heating and cooling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6" s="2" t="str">
        <x:v>District heating and cooling: substations, conductors, transformers, switchgear, meters, protection relays, converters, storage interfaces, communications and control-centre equipment.</x:v>
      </x:c>
      <x:c r="P46" s="2" t="str">
        <x:v>District heating and cooling: load flow, state estimation, forecasting, optimal dispatch, protection coordination, demand response, cybersecurity and asset-health analytics.</x:v>
      </x:c>
      <x:c r="Q46" s="2" t="str">
        <x:v>District heating and cooling: grid codes, connection agreements, market rules, interoperability, data governance, system-operator procedures and cyber-incident response.</x:v>
      </x:c>
      <x:c r="R46" s="2" t="str">
        <x:v>District heating and cooling: generation and load connection points, distribution or transmission network, communications backbone, control centre, maintenance access and backup power.</x:v>
      </x:c>
      <x:c r="S46" s="2" t="str">
        <x:v>District heating and cooling: electricity for network operation, conversion, cooling and communications; losses and storage round-trip efficiency are explicit performance variables.</x:v>
      </x:c>
      <x:c r="T46" s="2" t="str">
        <x:v>District heating and cooling: copper or aluminium conductors, electrical steel, structural steel, concrete, polymers, semiconductors, insulation and battery materials where storage is included.</x:v>
      </x:c>
      <x:c r="U46" s="2" t="str">
        <x:v>District heating and cooling: breakers, fuses, relays, meters, sensors, communication modules, inverter parts, cooling equipment and transformer consumables.</x:v>
      </x:c>
      <x:c r="V46" s="2" t="str">
        <x:v>https://www.ctc-n.org/sites/default/files/resources/ctcn_taxonomy_0.pdf</x:v>
      </x:c>
      <x:c r="W46" s="2" t="str">
        <x:v>https://institutoagricoladepueblobello.edu.co/colegiapp/archivostemas/GUIA%209.%5B25%5D.pdf</x:v>
      </x:c>
      <x:c r="X46" s="2" t="str">
        <x:v>https://iiasa.ac.at/what-is-technology</x:v>
      </x:c>
      <x:c r="Y46" s="2" t="str">
        <x:v>https://www.ipcc.ch/report/ar6/wg3/chapter/chapter-9/; https://www.iea.org/data-and-statistics/data-tools/etp-clean-energy-technology-guide; https://docs.nrel.gov/docs/fy19osti/72586.pdf</x:v>
      </x:c>
      <x:c r="Z46" s="2" t="str">
        <x:v>Technology-specific analytical synthesis. The CTCN hierarchy is retained; classifications and component dependencies require validation against the selected design, site and supplier documentation before investment or policy use.</x:v>
      </x:c>
      <x:c r="AA46" s="2" t="str">
        <x:v>Physical deployment of District heating and cooling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6" s="2" t="str">
        <x:v>For District heating and cooling,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6" s="2" t="str">
        <x:v>Construction and operation use copper or aluminium conductors, electrical steel, structural steel, concrete, polymers, semiconductors, insulation and battery materials where storage is included. For District heating and cooling, specifications must include durability, compatibility, recycled content and recoverability.</x:v>
      </x:c>
      <x:c r="AD46" s="2" t="str">
        <x:v>Maintenance of District heating and cooling depends on breakers, fuses, relays, meters, sensors, communication modules, inverter parts, cooling equipment and transformer consumables; critical spares are selected from failure-mode, lead-time and safety analysis for its installed configuration.</x:v>
      </x:c>
      <x:c r="AE46" s="2" t="str">
        <x:v>The software stack for District heating and cooling requires databases, secure communications, version-controlled models, computing, backup and interfaces with field or operational systems.</x:v>
      </x:c>
      <x:c r="AF46" s="2" t="str">
        <x:v>For District heating and cooling, software-related energy is electricity for sensing, computing, storage, communication and cooling; it is normally secondary but must be included for data-intensive or continuous services.</x:v>
      </x:c>
      <x:c r="AG46" s="2" t="str">
        <x:v>The non-physical inputs are calibrated data, metadata, algorithms, boundary conditions, emission or hazard factors, manuals and validation records specific to District heating and cooling.</x:v>
      </x:c>
      <x:c r="AH46" s="2" t="str">
        <x:v>Software continuity for District heating and cooling requires licences where applicable, updates, cybersecurity patches, backups, calibration files, model validation and technical support.</x:v>
      </x:c>
      <x:c r="AI46" s="2" t="str">
        <x:v>Orgware depends on the institutions, laboratories, training providers, regulators, operators and community interfaces needed to govern District heating and cooling.</x:v>
      </x:c>
      <x:c r="AJ46" s="2" t="str">
        <x:v>The orgware supporting District heating and cooling has mainly indirect energy use from offices, meetings, training and information systems; travel and field supervision may be material at dispersed sites.</x:v>
      </x:c>
      <x:c r="AK46" s="2" t="str">
        <x:v>Its organisational inputs are permits, budgets, trained staff, competence records, contracts, procedures, safeguards, monitoring evidence and stakeholder agreements tailored to District heating and cooling.</x:v>
      </x:c>
      <x:c r="AL46" s="2" t="str">
        <x:v>Sustained implementation of District heating and cooling requires procurement and service contracts, audit protocols, training material, reporting templates, insurance or guarantees and periodic independent review.</x:v>
      </x:c>
      <x:c r="AM46" s="2" t="str">
        <x:v>Iron ore / steel inputs</x:v>
      </x:c>
      <x:c r="AN46" s="2" t="str">
        <x:v>Australia; Brazil; China</x:v>
      </x:c>
      <x:c r="AO46" s="2" t="str">
        <x:v>China; India; Japan</x:v>
      </x:c>
      <x:c r="AP46" s="2" t="str">
        <x:v>District heating and cooling: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 s="2" t="str">
        <x:v>2024–2025</x:v>
      </x:c>
      <x:c r="AR46" s="2" t="str">
        <x:v>https://pubs.usgs.gov/periodicals/mcs2026/mcs2026.pdf</x:v>
      </x:c>
    </x:row>
    <x:row r="47" ht="240" customHeight="1">
      <x:c r="A47" s="2" t="str">
        <x:v>MIT-0040</x:v>
      </x:c>
      <x:c r="B47" s="2" t="str">
        <x:v>Mitigation</x:v>
      </x:c>
      <x:c r="C47" s="2" t="str">
        <x:v>Energy efficiency</x:v>
      </x:c>
      <x:c r="D47" s="2" t="str">
        <x:v>Energy distribution</x:v>
      </x:c>
      <x:c r="E47" s="2" t="str">
        <x:v>Micro-grid</x:v>
      </x:c>
      <x:c r="F47" s="2" t="str">
        <x:v>Micro-grid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Micro-grid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7" s="2" t="str">
        <x:v>Mixed: adaptable design, site-specific implementation</x:v>
      </x:c>
      <x:c r="H47" s="2" t="str">
        <x:v>Micro-grid is adaptable in capacity and configuration but site-specific in final engineering. Its principle remains the same, but resource quality, climate, scale, interfaces and safety constraints must be recalculated for each deployment.</x:v>
      </x:c>
      <x:c r="I47" s="2" t="str">
        <x:v>Primarily hard, with a soft component</x:v>
      </x:c>
      <x:c r="J47" s="2" t="str">
        <x:v>Micro-grid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7" s="2" t="str">
        <x:v>Equipment and operation</x:v>
      </x:c>
      <x:c r="L47" s="2" t="str">
        <x:v>Micro-grid is embodied mainly as an equipment-and-operation system. The deliverable is accepted only when measurable service, quality, safety and climate-performance criteria are met under real conditions.</x:v>
      </x:c>
      <x:c r="M47" s="2" t="str">
        <x:v>Yes, subject to life-cycle safeguards</x:v>
      </x:c>
      <x:c r="N47" s="2" t="str">
        <x:v>Micro-grid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7" s="2" t="str">
        <x:v>Micro-grid: substations, conductors, transformers, switchgear, meters, protection relays, converters, storage interfaces, communications and control-centre equipment.</x:v>
      </x:c>
      <x:c r="P47" s="2" t="str">
        <x:v>Micro-grid: load flow, state estimation, forecasting, optimal dispatch, protection coordination, demand response, cybersecurity and asset-health analytics.</x:v>
      </x:c>
      <x:c r="Q47" s="2" t="str">
        <x:v>Micro-grid: grid codes, connection agreements, market rules, interoperability, data governance, system-operator procedures and cyber-incident response.</x:v>
      </x:c>
      <x:c r="R47" s="2" t="str">
        <x:v>Micro-grid: generation and load connection points, distribution or transmission network, communications backbone, control centre, maintenance access and backup power.</x:v>
      </x:c>
      <x:c r="S47" s="2" t="str">
        <x:v>Micro-grid: electricity for network operation, conversion, cooling and communications; losses and storage round-trip efficiency are explicit performance variables.</x:v>
      </x:c>
      <x:c r="T47" s="2" t="str">
        <x:v>Micro-grid: copper or aluminium conductors, electrical steel, structural steel, concrete, polymers, semiconductors, insulation and battery materials where storage is included.</x:v>
      </x:c>
      <x:c r="U47" s="2" t="str">
        <x:v>Micro-grid: breakers, fuses, relays, meters, sensors, communication modules, inverter parts, cooling equipment and transformer consumables.</x:v>
      </x:c>
      <x:c r="V47" s="2" t="str">
        <x:v>https://www.ctc-n.org/sites/default/files/resources/ctcn_taxonomy_0.pdf</x:v>
      </x:c>
      <x:c r="W47" s="2" t="str">
        <x:v>https://institutoagricoladepueblobello.edu.co/colegiapp/archivostemas/GUIA%209.%5B25%5D.pdf</x:v>
      </x:c>
      <x:c r="X47" s="2" t="str">
        <x:v>https://iiasa.ac.at/what-is-technology</x:v>
      </x:c>
      <x:c r="Y47" s="2" t="str">
        <x:v>https://www.ipcc.ch/report/ar6/wg3/chapter/chapter-9/; https://www.iea.org/data-and-statistics/data-tools/etp-clean-energy-technology-guide; https://docs.nrel.gov/docs/fy19osti/72586.pdf</x:v>
      </x:c>
      <x:c r="Z47" s="2" t="str">
        <x:v>Technology-specific analytical synthesis. The CTCN hierarchy is retained; classifications and component dependencies require validation against the selected design, site and supplier documentation before investment or policy use.</x:v>
      </x:c>
      <x:c r="AA47" s="2" t="str">
        <x:v>Physical deployment of Micro-grid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7" s="2" t="str">
        <x:v>For Micro-grid,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7" s="2" t="str">
        <x:v>Construction and operation use copper or aluminium conductors, electrical steel, structural steel, concrete, polymers, semiconductors, insulation and battery materials where storage is included. For Micro-grid, specifications must include durability, compatibility, recycled content and recoverability.</x:v>
      </x:c>
      <x:c r="AD47" s="2" t="str">
        <x:v>Maintenance of Micro-grid depends on breakers, fuses, relays, meters, sensors, communication modules, inverter parts, cooling equipment and transformer consumables; critical spares are selected from failure-mode, lead-time and safety analysis for its installed configuration.</x:v>
      </x:c>
      <x:c r="AE47" s="2" t="str">
        <x:v>The software stack for Micro-grid requires databases, secure communications, version-controlled models, computing, backup and interfaces with field or operational systems.</x:v>
      </x:c>
      <x:c r="AF47" s="2" t="str">
        <x:v>For Micro-grid, software-related energy is electricity for sensing, computing, storage, communication and cooling; it is normally secondary but must be included for data-intensive or continuous services.</x:v>
      </x:c>
      <x:c r="AG47" s="2" t="str">
        <x:v>The non-physical inputs are calibrated data, metadata, algorithms, boundary conditions, emission or hazard factors, manuals and validation records specific to Micro-grid.</x:v>
      </x:c>
      <x:c r="AH47" s="2" t="str">
        <x:v>Software continuity for Micro-grid requires licences where applicable, updates, cybersecurity patches, backups, calibration files, model validation and technical support.</x:v>
      </x:c>
      <x:c r="AI47" s="2" t="str">
        <x:v>Orgware depends on the institutions, laboratories, training providers, regulators, operators and community interfaces needed to govern Micro-grid.</x:v>
      </x:c>
      <x:c r="AJ47" s="2" t="str">
        <x:v>The orgware supporting Micro-grid has mainly indirect energy use from offices, meetings, training and information systems; travel and field supervision may be material at dispersed sites.</x:v>
      </x:c>
      <x:c r="AK47" s="2" t="str">
        <x:v>Its organisational inputs are permits, budgets, trained staff, competence records, contracts, procedures, safeguards, monitoring evidence and stakeholder agreements tailored to Micro-grid.</x:v>
      </x:c>
      <x:c r="AL47" s="2" t="str">
        <x:v>Sustained implementation of Micro-grid requires procurement and service contracts, audit protocols, training material, reporting templates, insurance or guarantees and periodic independent review.</x:v>
      </x:c>
      <x:c r="AM47" s="2" t="str">
        <x:v>Iron ore / steel inputs; Copper; Tin</x:v>
      </x:c>
      <x:c r="AN47" s="2" t="str">
        <x:v>Australia; Brazil; China; Chile; Democratic Republic of the Congo; Peru; Indonesia; Myanmar</x:v>
      </x:c>
      <x:c r="AO47" s="2" t="str">
        <x:v>China; India; Japan; Chile; Democratic Republic of the Congo; Indonesia; Malaysia</x:v>
      </x:c>
      <x:c r="AP47" s="2" t="str">
        <x:v>Micro-grid: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7" s="2" t="str">
        <x:v>2024–2025</x:v>
      </x:c>
      <x:c r="AR47" s="2" t="str">
        <x:v>https://pubs.usgs.gov/periodicals/mcs2026/mcs2026.pdf</x:v>
      </x:c>
    </x:row>
    <x:row r="48" ht="240" customHeight="1">
      <x:c r="A48" s="2" t="str">
        <x:v>MIT-0041</x:v>
      </x:c>
      <x:c r="B48" s="2" t="str">
        <x:v>Mitigation</x:v>
      </x:c>
      <x:c r="C48" s="2" t="str">
        <x:v>Energy efficiency</x:v>
      </x:c>
      <x:c r="D48" s="2" t="str">
        <x:v>Energy distribution</x:v>
      </x:c>
      <x:c r="E48" s="2" t="str">
        <x:v>Smart grid</x:v>
      </x:c>
      <x:c r="F48" s="2" t="str">
        <x:v>Smart grid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Smart grid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8" s="2" t="str">
        <x:v>Mixed: adaptable design, site-specific implementation</x:v>
      </x:c>
      <x:c r="H48" s="2" t="str">
        <x:v>Smart grid is adaptable in capacity and configuration but site-specific in final engineering. Its principle remains the same, but resource quality, climate, scale, interfaces and safety constraints must be recalculated for each deployment.</x:v>
      </x:c>
      <x:c r="I48" s="2" t="str">
        <x:v>Primarily hard, with a soft component</x:v>
      </x:c>
      <x:c r="J48" s="2" t="str">
        <x:v>Smart grid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8" s="2" t="str">
        <x:v>Equipment and operation</x:v>
      </x:c>
      <x:c r="L48" s="2" t="str">
        <x:v>Smart grid is embodied mainly as an equipment-and-operation system. The deliverable is accepted only when measurable service, quality, safety and climate-performance criteria are met under real conditions.</x:v>
      </x:c>
      <x:c r="M48" s="2" t="str">
        <x:v>Yes, subject to life-cycle safeguards</x:v>
      </x:c>
      <x:c r="N48" s="2" t="str">
        <x:v>Smart grid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8" s="2" t="str">
        <x:v>Smart grid: substations, conductors, transformers, switchgear, meters, protection relays, converters, storage interfaces, communications and control-centre equipment.</x:v>
      </x:c>
      <x:c r="P48" s="2" t="str">
        <x:v>Smart grid: load flow, state estimation, forecasting, optimal dispatch, protection coordination, demand response, cybersecurity and asset-health analytics.</x:v>
      </x:c>
      <x:c r="Q48" s="2" t="str">
        <x:v>Smart grid: grid codes, connection agreements, market rules, interoperability, data governance, system-operator procedures and cyber-incident response.</x:v>
      </x:c>
      <x:c r="R48" s="2" t="str">
        <x:v>Smart grid: generation and load connection points, distribution or transmission network, communications backbone, control centre, maintenance access and backup power.</x:v>
      </x:c>
      <x:c r="S48" s="2" t="str">
        <x:v>Smart grid: electricity for network operation, conversion, cooling and communications; losses and storage round-trip efficiency are explicit performance variables.</x:v>
      </x:c>
      <x:c r="T48" s="2" t="str">
        <x:v>Smart grid: copper or aluminium conductors, electrical steel, structural steel, concrete, polymers, semiconductors, insulation and battery materials where storage is included.</x:v>
      </x:c>
      <x:c r="U48" s="2" t="str">
        <x:v>Smart grid: breakers, fuses, relays, meters, sensors, communication modules, inverter parts, cooling equipment and transformer consumables.</x:v>
      </x:c>
      <x:c r="V48" s="2" t="str">
        <x:v>https://www.ctc-n.org/sites/default/files/resources/ctcn_taxonomy_0.pdf</x:v>
      </x:c>
      <x:c r="W48" s="2" t="str">
        <x:v>https://institutoagricoladepueblobello.edu.co/colegiapp/archivostemas/GUIA%209.%5B25%5D.pdf</x:v>
      </x:c>
      <x:c r="X48" s="2" t="str">
        <x:v>https://iiasa.ac.at/what-is-technology</x:v>
      </x:c>
      <x:c r="Y48" s="2" t="str">
        <x:v>https://www.ipcc.ch/report/ar6/wg3/chapter/chapter-9/; https://www.iea.org/data-and-statistics/data-tools/etp-clean-energy-technology-guide; https://docs.nrel.gov/docs/fy19osti/72586.pdf</x:v>
      </x:c>
      <x:c r="Z48" s="2" t="str">
        <x:v>Technology-specific analytical synthesis. The CTCN hierarchy is retained; classifications and component dependencies require validation against the selected design, site and supplier documentation before investment or policy use.</x:v>
      </x:c>
      <x:c r="AA48" s="2" t="str">
        <x:v>Physical deployment of Smart grid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8" s="2" t="str">
        <x:v>For Smart grid,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8" s="2" t="str">
        <x:v>Construction and operation use copper or aluminium conductors, electrical steel, structural steel, concrete, polymers, semiconductors, insulation and battery materials where storage is included. For Smart grid, specifications must include durability, compatibility, recycled content and recoverability.</x:v>
      </x:c>
      <x:c r="AD48" s="2" t="str">
        <x:v>Maintenance of Smart grid depends on breakers, fuses, relays, meters, sensors, communication modules, inverter parts, cooling equipment and transformer consumables; critical spares are selected from failure-mode, lead-time and safety analysis for its installed configuration.</x:v>
      </x:c>
      <x:c r="AE48" s="2" t="str">
        <x:v>The software stack for Smart grid requires databases, secure communications, version-controlled models, computing, backup and interfaces with field or operational systems.</x:v>
      </x:c>
      <x:c r="AF48" s="2" t="str">
        <x:v>For Smart grid, software-related energy is electricity for sensing, computing, storage, communication and cooling; it is normally secondary but must be included for data-intensive or continuous services.</x:v>
      </x:c>
      <x:c r="AG48" s="2" t="str">
        <x:v>The non-physical inputs are calibrated data, metadata, algorithms, boundary conditions, emission or hazard factors, manuals and validation records specific to Smart grid.</x:v>
      </x:c>
      <x:c r="AH48" s="2" t="str">
        <x:v>Software continuity for Smart grid requires licences where applicable, updates, cybersecurity patches, backups, calibration files, model validation and technical support.</x:v>
      </x:c>
      <x:c r="AI48" s="2" t="str">
        <x:v>Orgware depends on the institutions, laboratories, training providers, regulators, operators and community interfaces needed to govern Smart grid.</x:v>
      </x:c>
      <x:c r="AJ48" s="2" t="str">
        <x:v>The orgware supporting Smart grid has mainly indirect energy use from offices, meetings, training and information systems; travel and field supervision may be material at dispersed sites.</x:v>
      </x:c>
      <x:c r="AK48" s="2" t="str">
        <x:v>Its organisational inputs are permits, budgets, trained staff, competence records, contracts, procedures, safeguards, monitoring evidence and stakeholder agreements tailored to Smart grid.</x:v>
      </x:c>
      <x:c r="AL48" s="2" t="str">
        <x:v>Sustained implementation of Smart grid requires procurement and service contracts, audit protocols, training material, reporting templates, insurance or guarantees and periodic independent review.</x:v>
      </x:c>
      <x:c r="AM48" s="2" t="str">
        <x:v>Iron ore / steel inputs; Copper; Tin; Tantalum</x:v>
      </x:c>
      <x:c r="AN48" s="2" t="str">
        <x:v>Australia; Brazil; China; Chile; Democratic Republic of the Congo; Peru; Indonesia; Myanmar; Rwanda; Nigeria</x:v>
      </x:c>
      <x:c r="AO48" s="2" t="str">
        <x:v>China; India; Japan; Chile; Democratic Republic of the Congo; Indonesia; Malaysia; Germany; United States</x:v>
      </x:c>
      <x:c r="AP48" s="2" t="str">
        <x:v>Smart grid: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8" s="2" t="str">
        <x:v>2024–2025</x:v>
      </x:c>
      <x:c r="AR48" s="2" t="str">
        <x:v>https://pubs.usgs.gov/periodicals/mcs2026/mcs2026.pdf</x:v>
      </x:c>
    </x:row>
    <x:row r="49" ht="240" customHeight="1">
      <x:c r="A49" s="2" t="str">
        <x:v>MIT-0042</x:v>
      </x:c>
      <x:c r="B49" s="2" t="str">
        <x:v>Mitigation</x:v>
      </x:c>
      <x:c r="C49" s="2" t="str">
        <x:v>Energy efficiency</x:v>
      </x:c>
      <x:c r="D49" s="2" t="str">
        <x:v>Energy distribution</x:v>
      </x:c>
      <x:c r="E49" s="2" t="str">
        <x:v>Connection of isolated grid</x:v>
      </x:c>
      <x:c r="F49" s="2" t="str">
        <x:v>Connection of isolated grid is a mitigation technology in the Energy efficiency sector and the Energy distribution technology group. It is defined as a combined hardware–software–orgware system that coordinates generation, storage, networks and demand in time and space to reduce losses, integrate variable renewables, manage peaks and preserve reliability. Connection of isolated grid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49" s="2" t="str">
        <x:v>Mixed: adaptable design, site-specific implementation</x:v>
      </x:c>
      <x:c r="H49" s="2" t="str">
        <x:v>Connection of isolated grid is adaptable in capacity and configuration but site-specific in final engineering. Its principle remains the same, but resource quality, climate, scale, interfaces and safety constraints must be recalculated for each deployment.</x:v>
      </x:c>
      <x:c r="I49" s="2" t="str">
        <x:v>Primarily hard, with a soft component</x:v>
      </x:c>
      <x:c r="J49" s="2" t="str">
        <x:v>Connection of isolated grid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49" s="2" t="str">
        <x:v>Equipment and operation</x:v>
      </x:c>
      <x:c r="L49" s="2" t="str">
        <x:v>Connection of isolated grid is embodied mainly as an equipment-and-operation system. The deliverable is accepted only when measurable service, quality, safety and climate-performance criteria are met under real conditions.</x:v>
      </x:c>
      <x:c r="M49" s="2" t="str">
        <x:v>Yes, subject to life-cycle safeguards</x:v>
      </x:c>
      <x:c r="N49" s="2" t="str">
        <x:v>Connection of isolated grid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49" s="2" t="str">
        <x:v>Connection of isolated grid: substations, conductors, transformers, switchgear, meters, protection relays, converters, storage interfaces, communications and control-centre equipment.</x:v>
      </x:c>
      <x:c r="P49" s="2" t="str">
        <x:v>Connection of isolated grid: load flow, state estimation, forecasting, optimal dispatch, protection coordination, demand response, cybersecurity and asset-health analytics.</x:v>
      </x:c>
      <x:c r="Q49" s="2" t="str">
        <x:v>Connection of isolated grid: grid codes, connection agreements, market rules, interoperability, data governance, system-operator procedures and cyber-incident response.</x:v>
      </x:c>
      <x:c r="R49" s="2" t="str">
        <x:v>Connection of isolated grid: generation and load connection points, distribution or transmission network, communications backbone, control centre, maintenance access and backup power.</x:v>
      </x:c>
      <x:c r="S49" s="2" t="str">
        <x:v>Connection of isolated grid: electricity for network operation, conversion, cooling and communications; losses and storage round-trip efficiency are explicit performance variables.</x:v>
      </x:c>
      <x:c r="T49" s="2" t="str">
        <x:v>Connection of isolated grid: copper or aluminium conductors, electrical steel, structural steel, concrete, polymers, semiconductors, insulation and battery materials where storage is included.</x:v>
      </x:c>
      <x:c r="U49" s="2" t="str">
        <x:v>Connection of isolated grid: breakers, fuses, relays, meters, sensors, communication modules, inverter parts, cooling equipment and transformer consumables.</x:v>
      </x:c>
      <x:c r="V49" s="2" t="str">
        <x:v>https://www.ctc-n.org/sites/default/files/resources/ctcn_taxonomy_0.pdf</x:v>
      </x:c>
      <x:c r="W49" s="2" t="str">
        <x:v>https://institutoagricoladepueblobello.edu.co/colegiapp/archivostemas/GUIA%209.%5B25%5D.pdf</x:v>
      </x:c>
      <x:c r="X49" s="2" t="str">
        <x:v>https://iiasa.ac.at/what-is-technology</x:v>
      </x:c>
      <x:c r="Y49" s="2" t="str">
        <x:v>https://www.ipcc.ch/report/ar6/wg3/chapter/chapter-9/; https://www.iea.org/data-and-statistics/data-tools/etp-clean-energy-technology-guide; https://docs.nrel.gov/docs/fy19osti/72586.pdf</x:v>
      </x:c>
      <x:c r="Z49" s="2" t="str">
        <x:v>Technology-specific analytical synthesis. The CTCN hierarchy is retained; classifications and component dependencies require validation against the selected design, site and supplier documentation before investment or policy use.</x:v>
      </x:c>
      <x:c r="AA49" s="2" t="str">
        <x:v>Physical deployment of Connection of isolated grid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49" s="2" t="str">
        <x:v>For Connection of isolated grid,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49" s="2" t="str">
        <x:v>Construction and operation use copper or aluminium conductors, electrical steel, structural steel, concrete, polymers, semiconductors, insulation and battery materials where storage is included. For Connection of isolated grid, specifications must include durability, compatibility, recycled content and recoverability.</x:v>
      </x:c>
      <x:c r="AD49" s="2" t="str">
        <x:v>Maintenance of Connection of isolated grid depends on breakers, fuses, relays, meters, sensors, communication modules, inverter parts, cooling equipment and transformer consumables; critical spares are selected from failure-mode, lead-time and safety analysis for its installed configuration.</x:v>
      </x:c>
      <x:c r="AE49" s="2" t="str">
        <x:v>The software stack for Connection of isolated grid requires databases, secure communications, version-controlled models, computing, backup and interfaces with field or operational systems.</x:v>
      </x:c>
      <x:c r="AF49" s="2" t="str">
        <x:v>For Connection of isolated grid, software-related energy is electricity for sensing, computing, storage, communication and cooling; it is normally secondary but must be included for data-intensive or continuous services.</x:v>
      </x:c>
      <x:c r="AG49" s="2" t="str">
        <x:v>The non-physical inputs are calibrated data, metadata, algorithms, boundary conditions, emission or hazard factors, manuals and validation records specific to Connection of isolated grid.</x:v>
      </x:c>
      <x:c r="AH49" s="2" t="str">
        <x:v>Software continuity for Connection of isolated grid requires licences where applicable, updates, cybersecurity patches, backups, calibration files, model validation and technical support.</x:v>
      </x:c>
      <x:c r="AI49" s="2" t="str">
        <x:v>Orgware depends on the institutions, laboratories, training providers, regulators, operators and community interfaces needed to govern Connection of isolated grid.</x:v>
      </x:c>
      <x:c r="AJ49" s="2" t="str">
        <x:v>The orgware supporting Connection of isolated grid has mainly indirect energy use from offices, meetings, training and information systems; travel and field supervision may be material at dispersed sites.</x:v>
      </x:c>
      <x:c r="AK49" s="2" t="str">
        <x:v>Its organisational inputs are permits, budgets, trained staff, competence records, contracts, procedures, safeguards, monitoring evidence and stakeholder agreements tailored to Connection of isolated grid.</x:v>
      </x:c>
      <x:c r="AL49" s="2" t="str">
        <x:v>Sustained implementation of Connection of isolated grid requires procurement and service contracts, audit protocols, training material, reporting templates, insurance or guarantees and periodic independent review.</x:v>
      </x:c>
      <x:c r="AM49" s="2" t="str">
        <x:v>Iron ore / steel inputs; Copper; Tin</x:v>
      </x:c>
      <x:c r="AN49" s="2" t="str">
        <x:v>Australia; Brazil; China; Chile; Democratic Republic of the Congo; Peru; Indonesia; Myanmar</x:v>
      </x:c>
      <x:c r="AO49" s="2" t="str">
        <x:v>China; India; Japan; Chile; Democratic Republic of the Congo; Indonesia; Malaysia</x:v>
      </x:c>
      <x:c r="AP49" s="2" t="str">
        <x:v>Connection of isolated grid: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9" s="2" t="str">
        <x:v>2024–2025</x:v>
      </x:c>
      <x:c r="AR49" s="2" t="str">
        <x:v>https://pubs.usgs.gov/periodicals/mcs2026/mcs2026.pdf</x:v>
      </x:c>
    </x:row>
    <x:row r="50" ht="240" customHeight="1">
      <x:c r="A50" s="2" t="str">
        <x:v>MIT-0043</x:v>
      </x:c>
      <x:c r="B50" s="2" t="str">
        <x:v>Mitigation</x:v>
      </x:c>
      <x:c r="C50" s="2" t="str">
        <x:v>Energy efficiency</x:v>
      </x:c>
      <x:c r="D50" s="2" t="str">
        <x:v>Appliances and equipment</x:v>
      </x:c>
      <x:c r="E50" s="2" t="str">
        <x:v>Water efficiency</x:v>
      </x:c>
      <x:c r="F50" s="2" t="str">
        <x:v>Water efficiency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Water efficiency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0" s="2" t="str">
        <x:v>Mixed: adaptable design, site-specific implementation</x:v>
      </x:c>
      <x:c r="H50" s="2" t="str">
        <x:v>Water efficiency is adaptable in capacity and configuration but site-specific in final engineering. Its principle remains the same, but resource quality, climate, scale, interfaces and safety constraints must be recalculated for each deployment.</x:v>
      </x:c>
      <x:c r="I50" s="2" t="str">
        <x:v>Primarily hard, with a soft component</x:v>
      </x:c>
      <x:c r="J50" s="2" t="str">
        <x:v>Water efficiency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0" s="2" t="str">
        <x:v>Equipment and operation</x:v>
      </x:c>
      <x:c r="L50" s="2" t="str">
        <x:v>Water efficiency is embodied mainly as an equipment-and-operation system. The deliverable is accepted only when measurable service, quality, safety and climate-performance criteria are met under real conditions.</x:v>
      </x:c>
      <x:c r="M50" s="2" t="str">
        <x:v>Yes, subject to life-cycle safeguards</x:v>
      </x:c>
      <x:c r="N50" s="2" t="str">
        <x:v>Water efficiency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0" s="2" t="str">
        <x:v>Water efficiency: envelope assemblies, efficient equipment, sensors, actuators, meters and distribution systems.</x:v>
      </x:c>
      <x:c r="P50" s="2" t="str">
        <x:v>Water efficiency: energy simulation, load calculation, control sequences, commissioning data and building management.</x:v>
      </x:c>
      <x:c r="Q50" s="2" t="str">
        <x:v>Water efficiency: building codes, performance standards, procurement, commissioning, maintenance plans and occupant guidance.</x:v>
      </x:c>
      <x:c r="R50" s="2" t="str">
        <x:v>Water efficiency: building fabric, plant rooms, electrical and water networks, access for maintenance and metering.</x:v>
      </x:c>
      <x:c r="S50" s="2" t="str">
        <x:v>Water efficiency: electricity and thermal energy; peak demand, part-load efficiency and controls determine actual savings.</x:v>
      </x:c>
      <x:c r="T50" s="2" t="str">
        <x:v>Water efficiency: insulation, glass, concrete, steel, timber, aluminium, copper, refrigerants and electronic components as applicable.</x:v>
      </x:c>
      <x:c r="U50" s="2" t="str">
        <x:v>Water efficiency: filters, belts, seals, lamps or drivers, sensors, actuators, valves, control modules and envelope repair materials.</x:v>
      </x:c>
      <x:c r="V50" s="2" t="str">
        <x:v>https://www.ctc-n.org/sites/default/files/resources/ctcn_taxonomy_0.pdf</x:v>
      </x:c>
      <x:c r="W50" s="2" t="str">
        <x:v>https://institutoagricoladepueblobello.edu.co/colegiapp/archivostemas/GUIA%209.%5B25%5D.pdf</x:v>
      </x:c>
      <x:c r="X50" s="2" t="str">
        <x:v>https://iiasa.ac.at/what-is-technology</x:v>
      </x:c>
      <x:c r="Y50" s="2" t="str">
        <x:v>https://www.ipcc.ch/report/ar6/wg3/chapter/chapter-9/</x:v>
      </x:c>
      <x:c r="Z50" s="2" t="str">
        <x:v>Technology-specific analytical synthesis. The CTCN hierarchy is retained; classifications and component dependencies require validation against the selected design, site and supplier documentation before investment or policy use.</x:v>
      </x:c>
      <x:c r="AA50" s="2" t="str">
        <x:v>Physical deployment of Water efficiency requires building fabric, plant rooms, electrical and water networks, access for maintenance and metering; interfaces, foundations, access and environmental protection are sized to the specific resource and design load.</x:v>
      </x:c>
      <x:c r="AB50" s="2" t="str">
        <x:v>For Water efficiency, the hardware energy balance comprises electricity and thermal energy; peak demand, part-load efficiency and controls determine actual savings; metering must separate useful output, conversion losses and auxiliaries for the selected design.</x:v>
      </x:c>
      <x:c r="AC50" s="2" t="str">
        <x:v>Construction and operation use insulation, glass, concrete, steel, timber, aluminium, copper, refrigerants and electronic components as applicable. For Water efficiency, specifications must include durability, compatibility, recycled content and recoverability.</x:v>
      </x:c>
      <x:c r="AD50" s="2" t="str">
        <x:v>Maintenance of Water efficiency depends on filters, belts, seals, lamps or drivers, sensors, actuators, valves, control modules and envelope repair materials; critical spares are selected from failure-mode, lead-time and safety analysis for its installed configuration.</x:v>
      </x:c>
      <x:c r="AE50" s="2" t="str">
        <x:v>The software stack for Water efficiency requires databases, secure communications, version-controlled models, computing, backup and interfaces with field or operational systems.</x:v>
      </x:c>
      <x:c r="AF50" s="2" t="str">
        <x:v>For Water efficiency, software-related energy is electricity for sensing, computing, storage, communication and cooling; it is normally secondary but must be included for data-intensive or continuous services.</x:v>
      </x:c>
      <x:c r="AG50" s="2" t="str">
        <x:v>The non-physical inputs are calibrated data, metadata, algorithms, boundary conditions, emission or hazard factors, manuals and validation records specific to Water efficiency.</x:v>
      </x:c>
      <x:c r="AH50" s="2" t="str">
        <x:v>Software continuity for Water efficiency requires licences where applicable, updates, cybersecurity patches, backups, calibration files, model validation and technical support.</x:v>
      </x:c>
      <x:c r="AI50" s="2" t="str">
        <x:v>Orgware depends on the institutions, laboratories, training providers, regulators, operators and community interfaces needed to govern Water efficiency.</x:v>
      </x:c>
      <x:c r="AJ50" s="2" t="str">
        <x:v>The orgware supporting Water efficiency has mainly indirect energy use from offices, meetings, training and information systems; travel and field supervision may be material at dispersed sites.</x:v>
      </x:c>
      <x:c r="AK50" s="2" t="str">
        <x:v>Its organisational inputs are permits, budgets, trained staff, competence records, contracts, procedures, safeguards, monitoring evidence and stakeholder agreements tailored to Water efficiency.</x:v>
      </x:c>
      <x:c r="AL50" s="2" t="str">
        <x:v>Sustained implementation of Water efficiency requires procurement and service contracts, audit protocols, training material, reporting templates, insurance or guarantees and periodic independent review.</x:v>
      </x:c>
      <x:c r="AM50" s="2" t="str">
        <x:v>Iron ore / steel inputs</x:v>
      </x:c>
      <x:c r="AN50" s="2" t="str">
        <x:v>Australia; Brazil; China</x:v>
      </x:c>
      <x:c r="AO50" s="2" t="str">
        <x:v>China; India; Japan</x:v>
      </x:c>
      <x:c r="AP50" s="2" t="str">
        <x:v>Water efficiency: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0" s="2" t="str">
        <x:v>2024–2025</x:v>
      </x:c>
      <x:c r="AR50" s="2" t="str">
        <x:v>https://pubs.usgs.gov/periodicals/mcs2026/mcs2026.pdf</x:v>
      </x:c>
    </x:row>
    <x:row r="51" ht="240" customHeight="1">
      <x:c r="A51" s="2" t="str">
        <x:v>MIT-0044</x:v>
      </x:c>
      <x:c r="B51" s="2" t="str">
        <x:v>Mitigation</x:v>
      </x:c>
      <x:c r="C51" s="2" t="str">
        <x:v>Energy efficiency</x:v>
      </x:c>
      <x:c r="D51" s="2" t="str">
        <x:v>Appliances and equipment</x:v>
      </x:c>
      <x:c r="E51" s="2" t="str">
        <x:v>Residential water heaters</x:v>
      </x:c>
      <x:c r="F51" s="2" t="str">
        <x:v>Residential water heaters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Residential water heaters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1" s="2" t="str">
        <x:v>Mixed: adaptable design, site-specific implementation</x:v>
      </x:c>
      <x:c r="H51" s="2" t="str">
        <x:v>Residential water heaters is adaptable in capacity and configuration but site-specific in final engineering. Its principle remains the same, but resource quality, climate, scale, interfaces and safety constraints must be recalculated for each deployment.</x:v>
      </x:c>
      <x:c r="I51" s="2" t="str">
        <x:v>Primarily hard, with a soft component</x:v>
      </x:c>
      <x:c r="J51" s="2" t="str">
        <x:v>Residential water heaters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1" s="2" t="str">
        <x:v>Equipment and operation</x:v>
      </x:c>
      <x:c r="L51" s="2" t="str">
        <x:v>Residential water heaters is embodied mainly as an equipment-and-operation system. The deliverable is accepted only when measurable service, quality, safety and climate-performance criteria are met under real conditions.</x:v>
      </x:c>
      <x:c r="M51" s="2" t="str">
        <x:v>Yes, subject to life-cycle safeguards</x:v>
      </x:c>
      <x:c r="N51" s="2" t="str">
        <x:v>Residential water heaters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1" s="2" t="str">
        <x:v>Residential water heaters: envelope assemblies, efficient equipment, sensors, actuators, meters and distribution systems.</x:v>
      </x:c>
      <x:c r="P51" s="2" t="str">
        <x:v>Residential water heaters: energy simulation, load calculation, control sequences, commissioning data and building management.</x:v>
      </x:c>
      <x:c r="Q51" s="2" t="str">
        <x:v>Residential water heaters: building codes, performance standards, procurement, commissioning, maintenance plans and occupant guidance.</x:v>
      </x:c>
      <x:c r="R51" s="2" t="str">
        <x:v>Residential water heaters: building fabric, plant rooms, electrical and water networks, access for maintenance and metering.</x:v>
      </x:c>
      <x:c r="S51" s="2" t="str">
        <x:v>Residential water heaters: electricity and thermal energy; peak demand, part-load efficiency and controls determine actual savings.</x:v>
      </x:c>
      <x:c r="T51" s="2" t="str">
        <x:v>Residential water heaters: insulation, glass, concrete, steel, timber, aluminium, copper, refrigerants and electronic components as applicable.</x:v>
      </x:c>
      <x:c r="U51" s="2" t="str">
        <x:v>Residential water heaters: filters, belts, seals, lamps or drivers, sensors, actuators, valves, control modules and envelope repair materials.</x:v>
      </x:c>
      <x:c r="V51" s="2" t="str">
        <x:v>https://www.ctc-n.org/sites/default/files/resources/ctcn_taxonomy_0.pdf</x:v>
      </x:c>
      <x:c r="W51" s="2" t="str">
        <x:v>https://institutoagricoladepueblobello.edu.co/colegiapp/archivostemas/GUIA%209.%5B25%5D.pdf</x:v>
      </x:c>
      <x:c r="X51" s="2" t="str">
        <x:v>https://iiasa.ac.at/what-is-technology</x:v>
      </x:c>
      <x:c r="Y51" s="2" t="str">
        <x:v>https://www.ipcc.ch/report/ar6/wg3/chapter/chapter-9/</x:v>
      </x:c>
      <x:c r="Z51" s="2" t="str">
        <x:v>Technology-specific analytical synthesis. The CTCN hierarchy is retained; classifications and component dependencies require validation against the selected design, site and supplier documentation before investment or policy use.</x:v>
      </x:c>
      <x:c r="AA51" s="2" t="str">
        <x:v>Physical deployment of Residential water heaters requires building fabric, plant rooms, electrical and water networks, access for maintenance and metering; interfaces, foundations, access and environmental protection are sized to the specific resource and design load.</x:v>
      </x:c>
      <x:c r="AB51" s="2" t="str">
        <x:v>For Residential water heaters, the hardware energy balance comprises electricity and thermal energy; peak demand, part-load efficiency and controls determine actual savings; metering must separate useful output, conversion losses and auxiliaries for the selected design.</x:v>
      </x:c>
      <x:c r="AC51" s="2" t="str">
        <x:v>Construction and operation use insulation, glass, concrete, steel, timber, aluminium, copper, refrigerants and electronic components as applicable. For Residential water heaters, specifications must include durability, compatibility, recycled content and recoverability.</x:v>
      </x:c>
      <x:c r="AD51" s="2" t="str">
        <x:v>Maintenance of Residential water heaters depends on filters, belts, seals, lamps or drivers, sensors, actuators, valves, control modules and envelope repair materials; critical spares are selected from failure-mode, lead-time and safety analysis for its installed configuration.</x:v>
      </x:c>
      <x:c r="AE51" s="2" t="str">
        <x:v>The software stack for Residential water heaters requires databases, secure communications, version-controlled models, computing, backup and interfaces with field or operational systems.</x:v>
      </x:c>
      <x:c r="AF51" s="2" t="str">
        <x:v>For Residential water heaters, software-related energy is electricity for sensing, computing, storage, communication and cooling; it is normally secondary but must be included for data-intensive or continuous services.</x:v>
      </x:c>
      <x:c r="AG51" s="2" t="str">
        <x:v>The non-physical inputs are calibrated data, metadata, algorithms, boundary conditions, emission or hazard factors, manuals and validation records specific to Residential water heaters.</x:v>
      </x:c>
      <x:c r="AH51" s="2" t="str">
        <x:v>Software continuity for Residential water heaters requires licences where applicable, updates, cybersecurity patches, backups, calibration files, model validation and technical support.</x:v>
      </x:c>
      <x:c r="AI51" s="2" t="str">
        <x:v>Orgware depends on the institutions, laboratories, training providers, regulators, operators and community interfaces needed to govern Residential water heaters.</x:v>
      </x:c>
      <x:c r="AJ51" s="2" t="str">
        <x:v>The orgware supporting Residential water heaters has mainly indirect energy use from offices, meetings, training and information systems; travel and field supervision may be material at dispersed sites.</x:v>
      </x:c>
      <x:c r="AK51" s="2" t="str">
        <x:v>Its organisational inputs are permits, budgets, trained staff, competence records, contracts, procedures, safeguards, monitoring evidence and stakeholder agreements tailored to Residential water heaters.</x:v>
      </x:c>
      <x:c r="AL51" s="2" t="str">
        <x:v>Sustained implementation of Residential water heaters requires procurement and service contracts, audit protocols, training material, reporting templates, insurance or guarantees and periodic independent review.</x:v>
      </x:c>
      <x:c r="AM51" s="2" t="str">
        <x:v>Iron ore / steel inputs</x:v>
      </x:c>
      <x:c r="AN51" s="2" t="str">
        <x:v>Australia; Brazil; China</x:v>
      </x:c>
      <x:c r="AO51" s="2" t="str">
        <x:v>China; India; Japan</x:v>
      </x:c>
      <x:c r="AP51" s="2" t="str">
        <x:v>Residential water heaters: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1" s="2" t="str">
        <x:v>2024–2025</x:v>
      </x:c>
      <x:c r="AR51" s="2" t="str">
        <x:v>https://pubs.usgs.gov/periodicals/mcs2026/mcs2026.pdf</x:v>
      </x:c>
    </x:row>
    <x:row r="52" ht="240" customHeight="1">
      <x:c r="A52" s="2" t="str">
        <x:v>MIT-0045</x:v>
      </x:c>
      <x:c r="B52" s="2" t="str">
        <x:v>Mitigation</x:v>
      </x:c>
      <x:c r="C52" s="2" t="str">
        <x:v>Energy efficiency</x:v>
      </x:c>
      <x:c r="D52" s="2" t="str">
        <x:v>Appliances and equipment</x:v>
      </x:c>
      <x:c r="E52" s="2" t="str">
        <x:v>LPG and LNG for household and commercial cooking</x:v>
      </x:c>
      <x:c r="F52" s="2" t="str">
        <x:v>LPG and LNG for household and commercial cooking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LPG and LNG for household and commercial cooking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2" s="2" t="str">
        <x:v>Mixed: adaptable design, site-specific implementation</x:v>
      </x:c>
      <x:c r="H52" s="2" t="str">
        <x:v>LPG and LNG for household and commercial cooking is adaptable in capacity and configuration but site-specific in final engineering. Its principle remains the same, but resource quality, climate, scale, interfaces and safety constraints must be recalculated for each deployment.</x:v>
      </x:c>
      <x:c r="I52" s="2" t="str">
        <x:v>Primarily hard, with a soft component</x:v>
      </x:c>
      <x:c r="J52" s="2" t="str">
        <x:v>LPG and LNG for household and commercial cooking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2" s="2" t="str">
        <x:v>Equipment and operation</x:v>
      </x:c>
      <x:c r="L52" s="2" t="str">
        <x:v>LPG and LNG for household and commercial cooking is embodied mainly as an equipment-and-operation system. The deliverable is accepted only when measurable service, quality, safety and climate-performance criteria are met under real conditions.</x:v>
      </x:c>
      <x:c r="M52" s="2" t="str">
        <x:v>Conditional on performance and life cycle</x:v>
      </x:c>
      <x:c r="N52" s="2" t="str">
        <x:v>LPG and LNG for household and commercial cooking is classified as conditional.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2" s="2" t="str">
        <x:v>LPG and LNG for household and commercial cooking: envelope assemblies, efficient equipment, sensors, actuators, meters and distribution systems.</x:v>
      </x:c>
      <x:c r="P52" s="2" t="str">
        <x:v>LPG and LNG for household and commercial cooking: energy simulation, load calculation, control sequences, commissioning data and building management.</x:v>
      </x:c>
      <x:c r="Q52" s="2" t="str">
        <x:v>LPG and LNG for household and commercial cooking: building codes, performance standards, procurement, commissioning, maintenance plans and occupant guidance.</x:v>
      </x:c>
      <x:c r="R52" s="2" t="str">
        <x:v>LPG and LNG for household and commercial cooking: building fabric, plant rooms, electrical and water networks, access for maintenance and metering.</x:v>
      </x:c>
      <x:c r="S52" s="2" t="str">
        <x:v>LPG and LNG for household and commercial cooking: electricity and thermal energy; peak demand, part-load efficiency and controls determine actual savings.</x:v>
      </x:c>
      <x:c r="T52" s="2" t="str">
        <x:v>LPG and LNG for household and commercial cooking: insulation, glass, concrete, steel, timber, aluminium, copper, refrigerants and electronic components as applicable.</x:v>
      </x:c>
      <x:c r="U52" s="2" t="str">
        <x:v>LPG and LNG for household and commercial cooking: filters, belts, seals, lamps or drivers, sensors, actuators, valves, control modules and envelope repair materials.</x:v>
      </x:c>
      <x:c r="V52" s="2" t="str">
        <x:v>https://www.ctc-n.org/sites/default/files/resources/ctcn_taxonomy_0.pdf</x:v>
      </x:c>
      <x:c r="W52" s="2" t="str">
        <x:v>https://institutoagricoladepueblobello.edu.co/colegiapp/archivostemas/GUIA%209.%5B25%5D.pdf</x:v>
      </x:c>
      <x:c r="X52" s="2" t="str">
        <x:v>https://iiasa.ac.at/what-is-technology</x:v>
      </x:c>
      <x:c r="Y52" s="2" t="str">
        <x:v>https://www.ipcc.ch/report/ar6/wg3/chapter/chapter-9/</x:v>
      </x:c>
      <x:c r="Z52" s="2" t="str">
        <x:v>Technology-specific analytical synthesis. The CTCN hierarchy is retained; classifications and component dependencies require validation against the selected design, site and supplier documentation before investment or policy use.</x:v>
      </x:c>
      <x:c r="AA52" s="2" t="str">
        <x:v>Physical deployment of LPG and LNG for household and commercial cooking requires building fabric, plant rooms, electrical and water networks, access for maintenance and metering; interfaces, foundations, access and environmental protection are sized to the specific resource and design load.</x:v>
      </x:c>
      <x:c r="AB52" s="2" t="str">
        <x:v>For LPG and LNG for household and commercial cooking, the hardware energy balance comprises electricity and thermal energy; peak demand, part-load efficiency and controls determine actual savings; metering must separate useful output, conversion losses and auxiliaries for the selected design.</x:v>
      </x:c>
      <x:c r="AC52" s="2" t="str">
        <x:v>Construction and operation use insulation, glass, concrete, steel, timber, aluminium, copper, refrigerants and electronic components as applicable. For LPG and LNG for household and commercial cooking, specifications must include durability, compatibility, recycled content and recoverability.</x:v>
      </x:c>
      <x:c r="AD52" s="2" t="str">
        <x:v>Maintenance of LPG and LNG for household and commercial cooking depends on filters, belts, seals, lamps or drivers, sensors, actuators, valves, control modules and envelope repair materials; critical spares are selected from failure-mode, lead-time and safety analysis for its installed configuration.</x:v>
      </x:c>
      <x:c r="AE52" s="2" t="str">
        <x:v>The software stack for LPG and LNG for household and commercial cooking requires databases, secure communications, version-controlled models, computing, backup and interfaces with field or operational systems.</x:v>
      </x:c>
      <x:c r="AF52" s="2" t="str">
        <x:v>For LPG and LNG for household and commercial cooking, software-related energy is electricity for sensing, computing, storage, communication and cooling; it is normally secondary but must be included for data-intensive or continuous services.</x:v>
      </x:c>
      <x:c r="AG52" s="2" t="str">
        <x:v>The non-physical inputs are calibrated data, metadata, algorithms, boundary conditions, emission or hazard factors, manuals and validation records specific to LPG and LNG for household and commercial cooking.</x:v>
      </x:c>
      <x:c r="AH52" s="2" t="str">
        <x:v>Software continuity for LPG and LNG for household and commercial cooking requires licences where applicable, updates, cybersecurity patches, backups, calibration files, model validation and technical support.</x:v>
      </x:c>
      <x:c r="AI52" s="2" t="str">
        <x:v>Orgware depends on the institutions, laboratories, training providers, regulators, operators and community interfaces needed to govern LPG and LNG for household and commercial cooking.</x:v>
      </x:c>
      <x:c r="AJ52" s="2" t="str">
        <x:v>The orgware supporting LPG and LNG for household and commercial cooking has mainly indirect energy use from offices, meetings, training and information systems; travel and field supervision may be material at dispersed sites.</x:v>
      </x:c>
      <x:c r="AK52" s="2" t="str">
        <x:v>Its organisational inputs are permits, budgets, trained staff, competence records, contracts, procedures, safeguards, monitoring evidence and stakeholder agreements tailored to LPG and LNG for household and commercial cooking.</x:v>
      </x:c>
      <x:c r="AL52" s="2" t="str">
        <x:v>Sustained implementation of LPG and LNG for household and commercial cooking requires procurement and service contracts, audit protocols, training material, reporting templates, insurance or guarantees and periodic independent review.</x:v>
      </x:c>
      <x:c r="AM52" s="2" t="str">
        <x:v>Iron ore / steel inputs</x:v>
      </x:c>
      <x:c r="AN52" s="2" t="str">
        <x:v>Australia; Brazil; China</x:v>
      </x:c>
      <x:c r="AO52" s="2" t="str">
        <x:v>China; India; Japan</x:v>
      </x:c>
      <x:c r="AP52" s="2" t="str">
        <x:v>LPG and LNG for household and commercial cooking: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2" s="2" t="str">
        <x:v>2024–2025</x:v>
      </x:c>
      <x:c r="AR52" s="2" t="str">
        <x:v>https://pubs.usgs.gov/periodicals/mcs2026/mcs2026.pdf</x:v>
      </x:c>
    </x:row>
    <x:row r="53" ht="240" customHeight="1">
      <x:c r="A53" s="2" t="str">
        <x:v>MIT-0046</x:v>
      </x:c>
      <x:c r="B53" s="2" t="str">
        <x:v>Mitigation</x:v>
      </x:c>
      <x:c r="C53" s="2" t="str">
        <x:v>Energy efficiency</x:v>
      </x:c>
      <x:c r="D53" s="2" t="str">
        <x:v>Appliances and equipment</x:v>
      </x:c>
      <x:c r="E53" s="2" t="str">
        <x:v>Lighting</x:v>
      </x:c>
      <x:c r="F53" s="2" t="str">
        <x:v>Lighting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Lighting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3" s="2" t="str">
        <x:v>Mixed: adaptable design, site-specific implementation</x:v>
      </x:c>
      <x:c r="H53" s="2" t="str">
        <x:v>Lighting is adaptable in capacity and configuration but site-specific in final engineering. Its principle remains the same, but resource quality, climate, scale, interfaces and safety constraints must be recalculated for each deployment.</x:v>
      </x:c>
      <x:c r="I53" s="2" t="str">
        <x:v>Primarily hard, with a soft component</x:v>
      </x:c>
      <x:c r="J53" s="2" t="str">
        <x:v>Lighting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3" s="2" t="str">
        <x:v>Equipment and operation</x:v>
      </x:c>
      <x:c r="L53" s="2" t="str">
        <x:v>Lighting is embodied mainly as an equipment-and-operation system. The deliverable is accepted only when measurable service, quality, safety and climate-performance criteria are met under real conditions.</x:v>
      </x:c>
      <x:c r="M53" s="2" t="str">
        <x:v>Yes, subject to life-cycle safeguards</x:v>
      </x:c>
      <x:c r="N53" s="2" t="str">
        <x:v>Lighting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3" s="2" t="str">
        <x:v>Lighting: envelope assemblies, efficient equipment, sensors, actuators, meters and distribution systems.</x:v>
      </x:c>
      <x:c r="P53" s="2" t="str">
        <x:v>Lighting: energy simulation, load calculation, control sequences, commissioning data and building management.</x:v>
      </x:c>
      <x:c r="Q53" s="2" t="str">
        <x:v>Lighting: building codes, performance standards, procurement, commissioning, maintenance plans and occupant guidance.</x:v>
      </x:c>
      <x:c r="R53" s="2" t="str">
        <x:v>Lighting: building fabric, plant rooms, electrical and water networks, access for maintenance and metering.</x:v>
      </x:c>
      <x:c r="S53" s="2" t="str">
        <x:v>Lighting: electricity and thermal energy; peak demand, part-load efficiency and controls determine actual savings.</x:v>
      </x:c>
      <x:c r="T53" s="2" t="str">
        <x:v>Lighting: insulation, glass, concrete, steel, timber, aluminium, copper, refrigerants and electronic components as applicable.</x:v>
      </x:c>
      <x:c r="U53" s="2" t="str">
        <x:v>Lighting: filters, belts, seals, lamps or drivers, sensors, actuators, valves, control modules and envelope repair materials.</x:v>
      </x:c>
      <x:c r="V53" s="2" t="str">
        <x:v>https://www.ctc-n.org/sites/default/files/resources/ctcn_taxonomy_0.pdf</x:v>
      </x:c>
      <x:c r="W53" s="2" t="str">
        <x:v>https://institutoagricoladepueblobello.edu.co/colegiapp/archivostemas/GUIA%209.%5B25%5D.pdf</x:v>
      </x:c>
      <x:c r="X53" s="2" t="str">
        <x:v>https://iiasa.ac.at/what-is-technology</x:v>
      </x:c>
      <x:c r="Y53" s="2" t="str">
        <x:v>https://www.ipcc.ch/report/ar6/wg3/chapter/chapter-9/</x:v>
      </x:c>
      <x:c r="Z53" s="2" t="str">
        <x:v>Technology-specific analytical synthesis. The CTCN hierarchy is retained; classifications and component dependencies require validation against the selected design, site and supplier documentation before investment or policy use.</x:v>
      </x:c>
      <x:c r="AA53" s="2" t="str">
        <x:v>Physical deployment of Lighting requires building fabric, plant rooms, electrical and water networks, access for maintenance and metering; interfaces, foundations, access and environmental protection are sized to the specific resource and design load.</x:v>
      </x:c>
      <x:c r="AB53" s="2" t="str">
        <x:v>For Lighting, the hardware energy balance comprises electricity and thermal energy; peak demand, part-load efficiency and controls determine actual savings; metering must separate useful output, conversion losses and auxiliaries for the selected design.</x:v>
      </x:c>
      <x:c r="AC53" s="2" t="str">
        <x:v>Construction and operation use insulation, glass, concrete, steel, timber, aluminium, copper, refrigerants and electronic components as applicable. For Lighting, specifications must include durability, compatibility, recycled content and recoverability.</x:v>
      </x:c>
      <x:c r="AD53" s="2" t="str">
        <x:v>Maintenance of Lighting depends on filters, belts, seals, lamps or drivers, sensors, actuators, valves, control modules and envelope repair materials; critical spares are selected from failure-mode, lead-time and safety analysis for its installed configuration.</x:v>
      </x:c>
      <x:c r="AE53" s="2" t="str">
        <x:v>The software stack for Lighting requires databases, secure communications, version-controlled models, computing, backup and interfaces with field or operational systems.</x:v>
      </x:c>
      <x:c r="AF53" s="2" t="str">
        <x:v>For Lighting, software-related energy is electricity for sensing, computing, storage, communication and cooling; it is normally secondary but must be included for data-intensive or continuous services.</x:v>
      </x:c>
      <x:c r="AG53" s="2" t="str">
        <x:v>The non-physical inputs are calibrated data, metadata, algorithms, boundary conditions, emission or hazard factors, manuals and validation records specific to Lighting.</x:v>
      </x:c>
      <x:c r="AH53" s="2" t="str">
        <x:v>Software continuity for Lighting requires licences where applicable, updates, cybersecurity patches, backups, calibration files, model validation and technical support.</x:v>
      </x:c>
      <x:c r="AI53" s="2" t="str">
        <x:v>Orgware depends on the institutions, laboratories, training providers, regulators, operators and community interfaces needed to govern Lighting.</x:v>
      </x:c>
      <x:c r="AJ53" s="2" t="str">
        <x:v>The orgware supporting Lighting has mainly indirect energy use from offices, meetings, training and information systems; travel and field supervision may be material at dispersed sites.</x:v>
      </x:c>
      <x:c r="AK53" s="2" t="str">
        <x:v>Its organisational inputs are permits, budgets, trained staff, competence records, contracts, procedures, safeguards, monitoring evidence and stakeholder agreements tailored to Lighting.</x:v>
      </x:c>
      <x:c r="AL53" s="2" t="str">
        <x:v>Sustained implementation of Lighting requires procurement and service contracts, audit protocols, training material, reporting templates, insurance or guarantees and periodic independent review.</x:v>
      </x:c>
      <x:c r="AM53" s="2" t="str">
        <x:v>Iron ore / steel inputs; Copper; Tin</x:v>
      </x:c>
      <x:c r="AN53" s="2" t="str">
        <x:v>Australia; Brazil; China; Chile; Democratic Republic of the Congo; Peru; Indonesia; Myanmar</x:v>
      </x:c>
      <x:c r="AO53" s="2" t="str">
        <x:v>China; India; Japan; Chile; Democratic Republic of the Congo; Indonesia; Malaysia</x:v>
      </x:c>
      <x:c r="AP53" s="2" t="str">
        <x:v>Lighting: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3" s="2" t="str">
        <x:v>2024–2025</x:v>
      </x:c>
      <x:c r="AR53" s="2" t="str">
        <x:v>https://pubs.usgs.gov/periodicals/mcs2026/mcs2026.pdf</x:v>
      </x:c>
    </x:row>
    <x:row r="54" ht="240" customHeight="1">
      <x:c r="A54" s="2" t="str">
        <x:v>MIT-0047</x:v>
      </x:c>
      <x:c r="B54" s="2" t="str">
        <x:v>Mitigation</x:v>
      </x:c>
      <x:c r="C54" s="2" t="str">
        <x:v>Energy efficiency</x:v>
      </x:c>
      <x:c r="D54" s="2" t="str">
        <x:v>Appliances and equipment</x:v>
      </x:c>
      <x:c r="E54" s="2" t="str">
        <x:v>Community-based energy services</x:v>
      </x:c>
      <x:c r="F54" s="2" t="str">
        <x:v>Community-based energy services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Community-based energy services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4" s="2" t="str">
        <x:v>Mixed: adaptable design, site-specific implementation</x:v>
      </x:c>
      <x:c r="H54" s="2" t="str">
        <x:v>Community-based energy services is adaptable in capacity and configuration but site-specific in final engineering. Its principle remains the same, but resource quality, climate, scale, interfaces and safety constraints must be recalculated for each deployment.</x:v>
      </x:c>
      <x:c r="I54" s="2" t="str">
        <x:v>Primarily hard, with a soft component</x:v>
      </x:c>
      <x:c r="J54" s="2" t="str">
        <x:v>Community-based energy services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4" s="2" t="str">
        <x:v>Equipment and operation</x:v>
      </x:c>
      <x:c r="L54" s="2" t="str">
        <x:v>Community-based energy services is embodied mainly as an equipment-and-operation system. The deliverable is accepted only when measurable service, quality, safety and climate-performance criteria are met under real conditions.</x:v>
      </x:c>
      <x:c r="M54" s="2" t="str">
        <x:v>Yes, subject to life-cycle safeguards</x:v>
      </x:c>
      <x:c r="N54" s="2" t="str">
        <x:v>Community-based energy services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4" s="2" t="str">
        <x:v>Community-based energy services: envelope assemblies, efficient equipment, sensors, actuators, meters and distribution systems.</x:v>
      </x:c>
      <x:c r="P54" s="2" t="str">
        <x:v>Community-based energy services: energy simulation, load calculation, control sequences, commissioning data and building management.</x:v>
      </x:c>
      <x:c r="Q54" s="2" t="str">
        <x:v>Community-based energy services: building codes, performance standards, procurement, commissioning, maintenance plans and occupant guidance.</x:v>
      </x:c>
      <x:c r="R54" s="2" t="str">
        <x:v>Community-based energy services: building fabric, plant rooms, electrical and water networks, access for maintenance and metering.</x:v>
      </x:c>
      <x:c r="S54" s="2" t="str">
        <x:v>Community-based energy services: electricity and thermal energy; peak demand, part-load efficiency and controls determine actual savings.</x:v>
      </x:c>
      <x:c r="T54" s="2" t="str">
        <x:v>Community-based energy services: insulation, glass, concrete, steel, timber, aluminium, copper, refrigerants and electronic components as applicable.</x:v>
      </x:c>
      <x:c r="U54" s="2" t="str">
        <x:v>Community-based energy services: filters, belts, seals, lamps or drivers, sensors, actuators, valves, control modules and envelope repair materials.</x:v>
      </x:c>
      <x:c r="V54" s="2" t="str">
        <x:v>https://www.ctc-n.org/sites/default/files/resources/ctcn_taxonomy_0.pdf</x:v>
      </x:c>
      <x:c r="W54" s="2" t="str">
        <x:v>https://institutoagricoladepueblobello.edu.co/colegiapp/archivostemas/GUIA%209.%5B25%5D.pdf</x:v>
      </x:c>
      <x:c r="X54" s="2" t="str">
        <x:v>https://iiasa.ac.at/what-is-technology</x:v>
      </x:c>
      <x:c r="Y54" s="2" t="str">
        <x:v>https://www.ipcc.ch/report/ar6/wg3/chapter/chapter-9/</x:v>
      </x:c>
      <x:c r="Z54" s="2" t="str">
        <x:v>Technology-specific analytical synthesis. The CTCN hierarchy is retained; classifications and component dependencies require validation against the selected design, site and supplier documentation before investment or policy use.</x:v>
      </x:c>
      <x:c r="AA54" s="2" t="str">
        <x:v>Physical deployment of Community-based energy services requires building fabric, plant rooms, electrical and water networks, access for maintenance and metering; interfaces, foundations, access and environmental protection are sized to the specific resource and design load.</x:v>
      </x:c>
      <x:c r="AB54" s="2" t="str">
        <x:v>For Community-based energy services, the hardware energy balance comprises electricity and thermal energy; peak demand, part-load efficiency and controls determine actual savings; metering must separate useful output, conversion losses and auxiliaries for the selected design.</x:v>
      </x:c>
      <x:c r="AC54" s="2" t="str">
        <x:v>Construction and operation use insulation, glass, concrete, steel, timber, aluminium, copper, refrigerants and electronic components as applicable. For Community-based energy services, specifications must include durability, compatibility, recycled content and recoverability.</x:v>
      </x:c>
      <x:c r="AD54" s="2" t="str">
        <x:v>Maintenance of Community-based energy services depends on filters, belts, seals, lamps or drivers, sensors, actuators, valves, control modules and envelope repair materials; critical spares are selected from failure-mode, lead-time and safety analysis for its installed configuration.</x:v>
      </x:c>
      <x:c r="AE54" s="2" t="str">
        <x:v>The software stack for Community-based energy services requires databases, secure communications, version-controlled models, computing, backup and interfaces with field or operational systems.</x:v>
      </x:c>
      <x:c r="AF54" s="2" t="str">
        <x:v>For Community-based energy services, software-related energy is electricity for sensing, computing, storage, communication and cooling; it is normally secondary but must be included for data-intensive or continuous services.</x:v>
      </x:c>
      <x:c r="AG54" s="2" t="str">
        <x:v>The non-physical inputs are calibrated data, metadata, algorithms, boundary conditions, emission or hazard factors, manuals and validation records specific to Community-based energy services.</x:v>
      </x:c>
      <x:c r="AH54" s="2" t="str">
        <x:v>Software continuity for Community-based energy services requires licences where applicable, updates, cybersecurity patches, backups, calibration files, model validation and technical support.</x:v>
      </x:c>
      <x:c r="AI54" s="2" t="str">
        <x:v>Orgware depends on the institutions, laboratories, training providers, regulators, operators and community interfaces needed to govern Community-based energy services.</x:v>
      </x:c>
      <x:c r="AJ54" s="2" t="str">
        <x:v>The orgware supporting Community-based energy services has mainly indirect energy use from offices, meetings, training and information systems; travel and field supervision may be material at dispersed sites.</x:v>
      </x:c>
      <x:c r="AK54" s="2" t="str">
        <x:v>Its organisational inputs are permits, budgets, trained staff, competence records, contracts, procedures, safeguards, monitoring evidence and stakeholder agreements tailored to Community-based energy services.</x:v>
      </x:c>
      <x:c r="AL54" s="2" t="str">
        <x:v>Sustained implementation of Community-based energy services requires procurement and service contracts, audit protocols, training material, reporting templates, insurance or guarantees and periodic independent review.</x:v>
      </x:c>
      <x:c r="AM54" s="2" t="str">
        <x:v>Iron ore / steel inputs</x:v>
      </x:c>
      <x:c r="AN54" s="2" t="str">
        <x:v>Australia; Brazil; China</x:v>
      </x:c>
      <x:c r="AO54" s="2" t="str">
        <x:v>China; India; Japan</x:v>
      </x:c>
      <x:c r="AP54" s="2" t="str">
        <x:v>Community-based energy services: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4" s="2" t="str">
        <x:v>2024–2025</x:v>
      </x:c>
      <x:c r="AR54" s="2" t="str">
        <x:v>https://pubs.usgs.gov/periodicals/mcs2026/mcs2026.pdf</x:v>
      </x:c>
    </x:row>
    <x:row r="55" ht="240" customHeight="1">
      <x:c r="A55" s="2" t="str">
        <x:v>MIT-0048</x:v>
      </x:c>
      <x:c r="B55" s="2" t="str">
        <x:v>Mitigation</x:v>
      </x:c>
      <x:c r="C55" s="2" t="str">
        <x:v>Energy efficiency</x:v>
      </x:c>
      <x:c r="D55" s="2" t="str">
        <x:v>Appliances and equipment</x:v>
      </x:c>
      <x:c r="E55" s="2" t="str">
        <x:v>Appliance standards</x:v>
      </x:c>
      <x:c r="F55" s="2" t="str">
        <x:v>Appliance standards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Appliance standards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5" s="2" t="str">
        <x:v>Flexible</x:v>
      </x:c>
      <x:c r="H55" s="2" t="str">
        <x:v>Appliance standards is transferable through configurable methods, rules and operating parameters. Its principle remains the same, but resource quality, climate, scale, interfaces and safety constraints must be recalculated for each deployment.</x:v>
      </x:c>
      <x:c r="I55" s="2" t="str">
        <x:v>Primarily soft, with physical support</x:v>
      </x:c>
      <x:c r="J55" s="2" t="str">
        <x:v>Appliance standards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5" s="2" t="str">
        <x:v>Operation</x:v>
      </x:c>
      <x:c r="L55" s="2" t="str">
        <x:v>Appliance standards is embodied mainly as an operating practice. The deliverable is accepted only when measurable service, quality, safety and climate-performance criteria are met under real conditions.</x:v>
      </x:c>
      <x:c r="M55" s="2" t="str">
        <x:v>Yes, subject to life-cycle safeguards</x:v>
      </x:c>
      <x:c r="N55" s="2" t="str">
        <x:v>Appliance standards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5" s="2" t="str">
        <x:v>Appliance standards: envelope assemblies, efficient equipment, sensors, actuators, meters and distribution systems.</x:v>
      </x:c>
      <x:c r="P55" s="2" t="str">
        <x:v>Appliance standards: energy simulation, load calculation, control sequences, commissioning data and building management.</x:v>
      </x:c>
      <x:c r="Q55" s="2" t="str">
        <x:v>Appliance standards: building codes, performance standards, procurement, commissioning, maintenance plans and occupant guidance.</x:v>
      </x:c>
      <x:c r="R55" s="2" t="str">
        <x:v>Appliance standards: building fabric, plant rooms, electrical and water networks, access for maintenance and metering.</x:v>
      </x:c>
      <x:c r="S55" s="2" t="str">
        <x:v>Appliance standards: electricity and thermal energy; peak demand, part-load efficiency and controls determine actual savings.</x:v>
      </x:c>
      <x:c r="T55" s="2" t="str">
        <x:v>Appliance standards: insulation, glass, concrete, steel, timber, aluminium, copper, refrigerants and electronic components as applicable.</x:v>
      </x:c>
      <x:c r="U55" s="2" t="str">
        <x:v>Appliance standards: filters, belts, seals, lamps or drivers, sensors, actuators, valves, control modules and envelope repair materials.</x:v>
      </x:c>
      <x:c r="V55" s="2" t="str">
        <x:v>https://www.ctc-n.org/sites/default/files/resources/ctcn_taxonomy_0.pdf</x:v>
      </x:c>
      <x:c r="W55" s="2" t="str">
        <x:v>https://institutoagricoladepueblobello.edu.co/colegiapp/archivostemas/GUIA%209.%5B25%5D.pdf</x:v>
      </x:c>
      <x:c r="X55" s="2" t="str">
        <x:v>https://iiasa.ac.at/what-is-technology</x:v>
      </x:c>
      <x:c r="Y55" s="2" t="str">
        <x:v>https://www.ipcc.ch/report/ar6/wg3/chapter/chapter-9/</x:v>
      </x:c>
      <x:c r="Z55" s="2" t="str">
        <x:v>Technology-specific analytical synthesis. The CTCN hierarchy is retained; classifications and component dependencies require validation against the selected design, site and supplier documentation before investment or policy use.</x:v>
      </x:c>
      <x:c r="AA55" s="2" t="str">
        <x:v>Physical deployment of Appliance standards requires building fabric, plant rooms, electrical and water networks, access for maintenance and metering; interfaces, foundations, access and environmental protection are sized to the specific resource and design load.</x:v>
      </x:c>
      <x:c r="AB55" s="2" t="str">
        <x:v>For Appliance standards, the hardware energy balance comprises electricity and thermal energy; peak demand, part-load efficiency and controls determine actual savings; metering must separate useful output, conversion losses and auxiliaries for the selected design.</x:v>
      </x:c>
      <x:c r="AC55" s="2" t="str">
        <x:v>Construction and operation use insulation, glass, concrete, steel, timber, aluminium, copper, refrigerants and electronic components as applicable. For Appliance standards, specifications must include durability, compatibility, recycled content and recoverability.</x:v>
      </x:c>
      <x:c r="AD55" s="2" t="str">
        <x:v>Maintenance of Appliance standards depends on filters, belts, seals, lamps or drivers, sensors, actuators, valves, control modules and envelope repair materials; critical spares are selected from failure-mode, lead-time and safety analysis for its installed configuration.</x:v>
      </x:c>
      <x:c r="AE55" s="2" t="str">
        <x:v>The software stack for Appliance standards requires databases, secure communications, version-controlled models, computing, backup and interfaces with field or operational systems.</x:v>
      </x:c>
      <x:c r="AF55" s="2" t="str">
        <x:v>For Appliance standards, software-related energy is electricity for sensing, computing, storage, communication and cooling; it is normally secondary but must be included for data-intensive or continuous services.</x:v>
      </x:c>
      <x:c r="AG55" s="2" t="str">
        <x:v>The non-physical inputs are calibrated data, metadata, algorithms, boundary conditions, emission or hazard factors, manuals and validation records specific to Appliance standards.</x:v>
      </x:c>
      <x:c r="AH55" s="2" t="str">
        <x:v>Software continuity for Appliance standards requires licences where applicable, updates, cybersecurity patches, backups, calibration files, model validation and technical support.</x:v>
      </x:c>
      <x:c r="AI55" s="2" t="str">
        <x:v>Orgware depends on the institutions, laboratories, training providers, regulators, operators and community interfaces needed to govern Appliance standards.</x:v>
      </x:c>
      <x:c r="AJ55" s="2" t="str">
        <x:v>The orgware supporting Appliance standards has mainly indirect energy use from offices, meetings, training and information systems; travel and field supervision may be material at dispersed sites.</x:v>
      </x:c>
      <x:c r="AK55" s="2" t="str">
        <x:v>Its organisational inputs are permits, budgets, trained staff, competence records, contracts, procedures, safeguards, monitoring evidence and stakeholder agreements tailored to Appliance standards.</x:v>
      </x:c>
      <x:c r="AL55" s="2" t="str">
        <x:v>Sustained implementation of Appliance standards requires procurement and service contracts, audit protocols, training material, reporting templates, insurance or guarantees and periodic independent review.</x:v>
      </x:c>
      <x:c r="AM55" s="2" t="str">
        <x:v>Iron ore / steel inputs</x:v>
      </x:c>
      <x:c r="AN55" s="2" t="str">
        <x:v>Australia; Brazil; China</x:v>
      </x:c>
      <x:c r="AO55" s="2" t="str">
        <x:v>China; India; Japan</x:v>
      </x:c>
      <x:c r="AP55" s="2" t="str">
        <x:v>Appliance standards: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5" s="2" t="str">
        <x:v>2024–2025</x:v>
      </x:c>
      <x:c r="AR55" s="2" t="str">
        <x:v>https://pubs.usgs.gov/periodicals/mcs2026/mcs2026.pdf</x:v>
      </x:c>
    </x:row>
    <x:row r="56" ht="240" customHeight="1">
      <x:c r="A56" s="2" t="str">
        <x:v>MIT-0049</x:v>
      </x:c>
      <x:c r="B56" s="2" t="str">
        <x:v>Mitigation</x:v>
      </x:c>
      <x:c r="C56" s="2" t="str">
        <x:v>Energy efficiency</x:v>
      </x:c>
      <x:c r="D56" s="2" t="str">
        <x:v>Appliances and equipment</x:v>
      </x:c>
      <x:c r="E56" s="2" t="str">
        <x:v>Efficient server and network technology</x:v>
      </x:c>
      <x:c r="F56" s="2" t="str">
        <x:v>Efficient server and network technology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Efficient server and network technology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6" s="2" t="str">
        <x:v>Mixed: adaptable design, site-specific implementation</x:v>
      </x:c>
      <x:c r="H56" s="2" t="str">
        <x:v>Efficient server and network technology is adaptable in capacity and configuration but site-specific in final engineering. Its principle remains the same, but resource quality, climate, scale, interfaces and safety constraints must be recalculated for each deployment.</x:v>
      </x:c>
      <x:c r="I56" s="2" t="str">
        <x:v>Primarily hard, with a soft component</x:v>
      </x:c>
      <x:c r="J56" s="2" t="str">
        <x:v>Efficient server and network technology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6" s="2" t="str">
        <x:v>Equipment and operation</x:v>
      </x:c>
      <x:c r="L56" s="2" t="str">
        <x:v>Efficient server and network technology is embodied mainly as an equipment-and-operation system. The deliverable is accepted only when measurable service, quality, safety and climate-performance criteria are met under real conditions.</x:v>
      </x:c>
      <x:c r="M56" s="2" t="str">
        <x:v>Yes, subject to life-cycle safeguards</x:v>
      </x:c>
      <x:c r="N56" s="2" t="str">
        <x:v>Efficient server and network technology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6" s="2" t="str">
        <x:v>Efficient server and network technology: envelope assemblies, efficient equipment, sensors, actuators, meters and distribution systems.</x:v>
      </x:c>
      <x:c r="P56" s="2" t="str">
        <x:v>Efficient server and network technology: energy simulation, load calculation, control sequences, commissioning data and building management.</x:v>
      </x:c>
      <x:c r="Q56" s="2" t="str">
        <x:v>Efficient server and network technology: building codes, performance standards, procurement, commissioning, maintenance plans and occupant guidance.</x:v>
      </x:c>
      <x:c r="R56" s="2" t="str">
        <x:v>Efficient server and network technology: building fabric, plant rooms, electrical and water networks, access for maintenance and metering.</x:v>
      </x:c>
      <x:c r="S56" s="2" t="str">
        <x:v>Efficient server and network technology: electricity and thermal energy; peak demand, part-load efficiency and controls determine actual savings.</x:v>
      </x:c>
      <x:c r="T56" s="2" t="str">
        <x:v>Efficient server and network technology: insulation, glass, concrete, steel, timber, aluminium, copper, refrigerants and electronic components as applicable.</x:v>
      </x:c>
      <x:c r="U56" s="2" t="str">
        <x:v>Efficient server and network technology: filters, belts, seals, lamps or drivers, sensors, actuators, valves, control modules and envelope repair materials.</x:v>
      </x:c>
      <x:c r="V56" s="2" t="str">
        <x:v>https://www.ctc-n.org/sites/default/files/resources/ctcn_taxonomy_0.pdf</x:v>
      </x:c>
      <x:c r="W56" s="2" t="str">
        <x:v>https://institutoagricoladepueblobello.edu.co/colegiapp/archivostemas/GUIA%209.%5B25%5D.pdf</x:v>
      </x:c>
      <x:c r="X56" s="2" t="str">
        <x:v>https://iiasa.ac.at/what-is-technology</x:v>
      </x:c>
      <x:c r="Y56" s="2" t="str">
        <x:v>https://www.ipcc.ch/report/ar6/wg3/chapter/chapter-9/</x:v>
      </x:c>
      <x:c r="Z56" s="2" t="str">
        <x:v>Technology-specific analytical synthesis. The CTCN hierarchy is retained; classifications and component dependencies require validation against the selected design, site and supplier documentation before investment or policy use.</x:v>
      </x:c>
      <x:c r="AA56" s="2" t="str">
        <x:v>Physical deployment of Efficient server and network technology requires building fabric, plant rooms, electrical and water networks, access for maintenance and metering; interfaces, foundations, access and environmental protection are sized to the specific resource and design load.</x:v>
      </x:c>
      <x:c r="AB56" s="2" t="str">
        <x:v>For Efficient server and network technology, the hardware energy balance comprises electricity and thermal energy; peak demand, part-load efficiency and controls determine actual savings; metering must separate useful output, conversion losses and auxiliaries for the selected design.</x:v>
      </x:c>
      <x:c r="AC56" s="2" t="str">
        <x:v>Construction and operation use insulation, glass, concrete, steel, timber, aluminium, copper, refrigerants and electronic components as applicable. For Efficient server and network technology, specifications must include durability, compatibility, recycled content and recoverability.</x:v>
      </x:c>
      <x:c r="AD56" s="2" t="str">
        <x:v>Maintenance of Efficient server and network technology depends on filters, belts, seals, lamps or drivers, sensors, actuators, valves, control modules and envelope repair materials; critical spares are selected from failure-mode, lead-time and safety analysis for its installed configuration.</x:v>
      </x:c>
      <x:c r="AE56" s="2" t="str">
        <x:v>The software stack for Efficient server and network technology requires databases, secure communications, version-controlled models, computing, backup and interfaces with field or operational systems.</x:v>
      </x:c>
      <x:c r="AF56" s="2" t="str">
        <x:v>For Efficient server and network technology, software-related energy is electricity for sensing, computing, storage, communication and cooling; it is normally secondary but must be included for data-intensive or continuous services.</x:v>
      </x:c>
      <x:c r="AG56" s="2" t="str">
        <x:v>The non-physical inputs are calibrated data, metadata, algorithms, boundary conditions, emission or hazard factors, manuals and validation records specific to Efficient server and network technology.</x:v>
      </x:c>
      <x:c r="AH56" s="2" t="str">
        <x:v>Software continuity for Efficient server and network technology requires licences where applicable, updates, cybersecurity patches, backups, calibration files, model validation and technical support.</x:v>
      </x:c>
      <x:c r="AI56" s="2" t="str">
        <x:v>Orgware depends on the institutions, laboratories, training providers, regulators, operators and community interfaces needed to govern Efficient server and network technology.</x:v>
      </x:c>
      <x:c r="AJ56" s="2" t="str">
        <x:v>The orgware supporting Efficient server and network technology has mainly indirect energy use from offices, meetings, training and information systems; travel and field supervision may be material at dispersed sites.</x:v>
      </x:c>
      <x:c r="AK56" s="2" t="str">
        <x:v>Its organisational inputs are permits, budgets, trained staff, competence records, contracts, procedures, safeguards, monitoring evidence and stakeholder agreements tailored to Efficient server and network technology.</x:v>
      </x:c>
      <x:c r="AL56" s="2" t="str">
        <x:v>Sustained implementation of Efficient server and network technology requires procurement and service contracts, audit protocols, training material, reporting templates, insurance or guarantees and periodic independent review.</x:v>
      </x:c>
      <x:c r="AM56" s="2" t="str">
        <x:v>Iron ore / steel inputs; Copper; Tin; Tantalum</x:v>
      </x:c>
      <x:c r="AN56" s="2" t="str">
        <x:v>Australia; Brazil; China; Chile; Democratic Republic of the Congo; Peru; Indonesia; Myanmar; Rwanda; Nigeria</x:v>
      </x:c>
      <x:c r="AO56" s="2" t="str">
        <x:v>China; India; Japan; Chile; Democratic Republic of the Congo; Indonesia; Malaysia; Germany; United States</x:v>
      </x:c>
      <x:c r="AP56" s="2" t="str">
        <x:v>Efficient server and network technology: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6" s="2" t="str">
        <x:v>2024–2025</x:v>
      </x:c>
      <x:c r="AR56" s="2" t="str">
        <x:v>https://pubs.usgs.gov/periodicals/mcs2026/mcs2026.pdf</x:v>
      </x:c>
    </x:row>
    <x:row r="57" ht="240" customHeight="1">
      <x:c r="A57" s="2" t="str">
        <x:v>MIT-0050</x:v>
      </x:c>
      <x:c r="B57" s="2" t="str">
        <x:v>Mitigation</x:v>
      </x:c>
      <x:c r="C57" s="2" t="str">
        <x:v>Energy efficiency</x:v>
      </x:c>
      <x:c r="D57" s="2" t="str">
        <x:v>Appliances and equipment</x:v>
      </x:c>
      <x:c r="E57" s="2" t="str">
        <x:v>Improved cook stoves</x:v>
      </x:c>
      <x:c r="F57" s="2" t="str">
        <x:v>Improved cook stoves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Improved cook stoves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7" s="2" t="str">
        <x:v>Mixed: adaptable design, site-specific implementation</x:v>
      </x:c>
      <x:c r="H57" s="2" t="str">
        <x:v>Improved cook stoves is adaptable in capacity and configuration but site-specific in final engineering. Its principle remains the same, but resource quality, climate, scale, interfaces and safety constraints must be recalculated for each deployment.</x:v>
      </x:c>
      <x:c r="I57" s="2" t="str">
        <x:v>Primarily hard, with a soft component</x:v>
      </x:c>
      <x:c r="J57" s="2" t="str">
        <x:v>Improved cook stoves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7" s="2" t="str">
        <x:v>Equipment and operation</x:v>
      </x:c>
      <x:c r="L57" s="2" t="str">
        <x:v>Improved cook stoves is embodied mainly as an equipment-and-operation system. The deliverable is accepted only when measurable service, quality, safety and climate-performance criteria are met under real conditions.</x:v>
      </x:c>
      <x:c r="M57" s="2" t="str">
        <x:v>Yes, subject to life-cycle safeguards</x:v>
      </x:c>
      <x:c r="N57" s="2" t="str">
        <x:v>Improved cook stoves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7" s="2" t="str">
        <x:v>Improved cook stoves: envelope assemblies, efficient equipment, sensors, actuators, meters and distribution systems.</x:v>
      </x:c>
      <x:c r="P57" s="2" t="str">
        <x:v>Improved cook stoves: energy simulation, load calculation, control sequences, commissioning data and building management.</x:v>
      </x:c>
      <x:c r="Q57" s="2" t="str">
        <x:v>Improved cook stoves: building codes, performance standards, procurement, commissioning, maintenance plans and occupant guidance.</x:v>
      </x:c>
      <x:c r="R57" s="2" t="str">
        <x:v>Improved cook stoves: building fabric, plant rooms, electrical and water networks, access for maintenance and metering.</x:v>
      </x:c>
      <x:c r="S57" s="2" t="str">
        <x:v>Improved cook stoves: electricity and thermal energy; peak demand, part-load efficiency and controls determine actual savings.</x:v>
      </x:c>
      <x:c r="T57" s="2" t="str">
        <x:v>Improved cook stoves: insulation, glass, concrete, steel, timber, aluminium, copper, refrigerants and electronic components as applicable.</x:v>
      </x:c>
      <x:c r="U57" s="2" t="str">
        <x:v>Improved cook stoves: filters, belts, seals, lamps or drivers, sensors, actuators, valves, control modules and envelope repair materials.</x:v>
      </x:c>
      <x:c r="V57" s="2" t="str">
        <x:v>https://www.ctc-n.org/sites/default/files/resources/ctcn_taxonomy_0.pdf</x:v>
      </x:c>
      <x:c r="W57" s="2" t="str">
        <x:v>https://institutoagricoladepueblobello.edu.co/colegiapp/archivostemas/GUIA%209.%5B25%5D.pdf</x:v>
      </x:c>
      <x:c r="X57" s="2" t="str">
        <x:v>https://iiasa.ac.at/what-is-technology</x:v>
      </x:c>
      <x:c r="Y57" s="2" t="str">
        <x:v>https://www.ipcc.ch/report/ar6/wg3/chapter/chapter-9/</x:v>
      </x:c>
      <x:c r="Z57" s="2" t="str">
        <x:v>Technology-specific analytical synthesis. The CTCN hierarchy is retained; classifications and component dependencies require validation against the selected design, site and supplier documentation before investment or policy use.</x:v>
      </x:c>
      <x:c r="AA57" s="2" t="str">
        <x:v>Physical deployment of Improved cook stoves requires building fabric, plant rooms, electrical and water networks, access for maintenance and metering; interfaces, foundations, access and environmental protection are sized to the specific resource and design load.</x:v>
      </x:c>
      <x:c r="AB57" s="2" t="str">
        <x:v>For Improved cook stoves, the hardware energy balance comprises electricity and thermal energy; peak demand, part-load efficiency and controls determine actual savings; metering must separate useful output, conversion losses and auxiliaries for the selected design.</x:v>
      </x:c>
      <x:c r="AC57" s="2" t="str">
        <x:v>Construction and operation use insulation, glass, concrete, steel, timber, aluminium, copper, refrigerants and electronic components as applicable. For Improved cook stoves, specifications must include durability, compatibility, recycled content and recoverability.</x:v>
      </x:c>
      <x:c r="AD57" s="2" t="str">
        <x:v>Maintenance of Improved cook stoves depends on filters, belts, seals, lamps or drivers, sensors, actuators, valves, control modules and envelope repair materials; critical spares are selected from failure-mode, lead-time and safety analysis for its installed configuration.</x:v>
      </x:c>
      <x:c r="AE57" s="2" t="str">
        <x:v>The software stack for Improved cook stoves requires databases, secure communications, version-controlled models, computing, backup and interfaces with field or operational systems.</x:v>
      </x:c>
      <x:c r="AF57" s="2" t="str">
        <x:v>For Improved cook stoves, software-related energy is electricity for sensing, computing, storage, communication and cooling; it is normally secondary but must be included for data-intensive or continuous services.</x:v>
      </x:c>
      <x:c r="AG57" s="2" t="str">
        <x:v>The non-physical inputs are calibrated data, metadata, algorithms, boundary conditions, emission or hazard factors, manuals and validation records specific to Improved cook stoves.</x:v>
      </x:c>
      <x:c r="AH57" s="2" t="str">
        <x:v>Software continuity for Improved cook stoves requires licences where applicable, updates, cybersecurity patches, backups, calibration files, model validation and technical support.</x:v>
      </x:c>
      <x:c r="AI57" s="2" t="str">
        <x:v>Orgware depends on the institutions, laboratories, training providers, regulators, operators and community interfaces needed to govern Improved cook stoves.</x:v>
      </x:c>
      <x:c r="AJ57" s="2" t="str">
        <x:v>The orgware supporting Improved cook stoves has mainly indirect energy use from offices, meetings, training and information systems; travel and field supervision may be material at dispersed sites.</x:v>
      </x:c>
      <x:c r="AK57" s="2" t="str">
        <x:v>Its organisational inputs are permits, budgets, trained staff, competence records, contracts, procedures, safeguards, monitoring evidence and stakeholder agreements tailored to Improved cook stoves.</x:v>
      </x:c>
      <x:c r="AL57" s="2" t="str">
        <x:v>Sustained implementation of Improved cook stoves requires procurement and service contracts, audit protocols, training material, reporting templates, insurance or guarantees and periodic independent review.</x:v>
      </x:c>
      <x:c r="AM57" s="2" t="str">
        <x:v>Iron ore / steel inputs</x:v>
      </x:c>
      <x:c r="AN57" s="2" t="str">
        <x:v>Australia; Brazil; China</x:v>
      </x:c>
      <x:c r="AO57" s="2" t="str">
        <x:v>China; India; Japan</x:v>
      </x:c>
      <x:c r="AP57" s="2" t="str">
        <x:v>Improved cook stoves: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7" s="2" t="str">
        <x:v>2024–2025</x:v>
      </x:c>
      <x:c r="AR57" s="2" t="str">
        <x:v>https://pubs.usgs.gov/periodicals/mcs2026/mcs2026.pdf</x:v>
      </x:c>
    </x:row>
    <x:row r="58" ht="240" customHeight="1">
      <x:c r="A58" s="2" t="str">
        <x:v>MIT-0051</x:v>
      </x:c>
      <x:c r="B58" s="2" t="str">
        <x:v>Mitigation</x:v>
      </x:c>
      <x:c r="C58" s="2" t="str">
        <x:v>Energy efficiency</x:v>
      </x:c>
      <x:c r="D58" s="2" t="str">
        <x:v>Appliances and equipment</x:v>
      </x:c>
      <x:c r="E58" s="2" t="str">
        <x:v>Fuel cell technologies</x:v>
      </x:c>
      <x:c r="F58" s="2" t="str">
        <x:v>Fuel cell technologies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Fuel cell technologies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8" s="2" t="str">
        <x:v>Mixed: adaptable design, site-specific implementation</x:v>
      </x:c>
      <x:c r="H58" s="2" t="str">
        <x:v>Fuel cell technologies is adaptable in capacity and configuration but site-specific in final engineering. Its principle remains the same, but resource quality, climate, scale, interfaces and safety constraints must be recalculated for each deployment.</x:v>
      </x:c>
      <x:c r="I58" s="2" t="str">
        <x:v>Primarily hard, with a soft component</x:v>
      </x:c>
      <x:c r="J58" s="2" t="str">
        <x:v>Fuel cell technologies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8" s="2" t="str">
        <x:v>Equipment and operation</x:v>
      </x:c>
      <x:c r="L58" s="2" t="str">
        <x:v>Fuel cell technologies is embodied mainly as an equipment-and-operation system. The deliverable is accepted only when measurable service, quality, safety and climate-performance criteria are met under real conditions.</x:v>
      </x:c>
      <x:c r="M58" s="2" t="str">
        <x:v>Yes, subject to life-cycle safeguards</x:v>
      </x:c>
      <x:c r="N58" s="2" t="str">
        <x:v>Fuel cell technologies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8" s="2" t="str">
        <x:v>Fuel cell technologies: envelope assemblies, efficient equipment, sensors, actuators, meters and distribution systems.</x:v>
      </x:c>
      <x:c r="P58" s="2" t="str">
        <x:v>Fuel cell technologies: energy simulation, load calculation, control sequences, commissioning data and building management.</x:v>
      </x:c>
      <x:c r="Q58" s="2" t="str">
        <x:v>Fuel cell technologies: building codes, performance standards, procurement, commissioning, maintenance plans and occupant guidance.</x:v>
      </x:c>
      <x:c r="R58" s="2" t="str">
        <x:v>Fuel cell technologies: building fabric, plant rooms, electrical and water networks, access for maintenance and metering.</x:v>
      </x:c>
      <x:c r="S58" s="2" t="str">
        <x:v>Fuel cell technologies: electricity and thermal energy; peak demand, part-load efficiency and controls determine actual savings.</x:v>
      </x:c>
      <x:c r="T58" s="2" t="str">
        <x:v>Fuel cell technologies: insulation, glass, concrete, steel, timber, aluminium, copper, refrigerants and electronic components as applicable.</x:v>
      </x:c>
      <x:c r="U58" s="2" t="str">
        <x:v>Fuel cell technologies: filters, belts, seals, lamps or drivers, sensors, actuators, valves, control modules and envelope repair materials.</x:v>
      </x:c>
      <x:c r="V58" s="2" t="str">
        <x:v>https://www.ctc-n.org/sites/default/files/resources/ctcn_taxonomy_0.pdf</x:v>
      </x:c>
      <x:c r="W58" s="2" t="str">
        <x:v>https://institutoagricoladepueblobello.edu.co/colegiapp/archivostemas/GUIA%209.%5B25%5D.pdf</x:v>
      </x:c>
      <x:c r="X58" s="2" t="str">
        <x:v>https://iiasa.ac.at/what-is-technology</x:v>
      </x:c>
      <x:c r="Y58" s="2" t="str">
        <x:v>https://www.ipcc.ch/report/ar6/wg3/chapter/chapter-9/</x:v>
      </x:c>
      <x:c r="Z58" s="2" t="str">
        <x:v>Technology-specific analytical synthesis. The CTCN hierarchy is retained; classifications and component dependencies require validation against the selected design, site and supplier documentation before investment or policy use.</x:v>
      </x:c>
      <x:c r="AA58" s="2" t="str">
        <x:v>Physical deployment of Fuel cell technologies requires building fabric, plant rooms, electrical and water networks, access for maintenance and metering; interfaces, foundations, access and environmental protection are sized to the specific resource and design load.</x:v>
      </x:c>
      <x:c r="AB58" s="2" t="str">
        <x:v>For Fuel cell technologies, the hardware energy balance comprises electricity and thermal energy; peak demand, part-load efficiency and controls determine actual savings; metering must separate useful output, conversion losses and auxiliaries for the selected design.</x:v>
      </x:c>
      <x:c r="AC58" s="2" t="str">
        <x:v>Construction and operation use insulation, glass, concrete, steel, timber, aluminium, copper, refrigerants and electronic components as applicable. For Fuel cell technologies, specifications must include durability, compatibility, recycled content and recoverability.</x:v>
      </x:c>
      <x:c r="AD58" s="2" t="str">
        <x:v>Maintenance of Fuel cell technologies depends on filters, belts, seals, lamps or drivers, sensors, actuators, valves, control modules and envelope repair materials; critical spares are selected from failure-mode, lead-time and safety analysis for its installed configuration.</x:v>
      </x:c>
      <x:c r="AE58" s="2" t="str">
        <x:v>The software stack for Fuel cell technologies requires databases, secure communications, version-controlled models, computing, backup and interfaces with field or operational systems.</x:v>
      </x:c>
      <x:c r="AF58" s="2" t="str">
        <x:v>For Fuel cell technologies, software-related energy is electricity for sensing, computing, storage, communication and cooling; it is normally secondary but must be included for data-intensive or continuous services.</x:v>
      </x:c>
      <x:c r="AG58" s="2" t="str">
        <x:v>The non-physical inputs are calibrated data, metadata, algorithms, boundary conditions, emission or hazard factors, manuals and validation records specific to Fuel cell technologies.</x:v>
      </x:c>
      <x:c r="AH58" s="2" t="str">
        <x:v>Software continuity for Fuel cell technologies requires licences where applicable, updates, cybersecurity patches, backups, calibration files, model validation and technical support.</x:v>
      </x:c>
      <x:c r="AI58" s="2" t="str">
        <x:v>Orgware depends on the institutions, laboratories, training providers, regulators, operators and community interfaces needed to govern Fuel cell technologies.</x:v>
      </x:c>
      <x:c r="AJ58" s="2" t="str">
        <x:v>The orgware supporting Fuel cell technologies has mainly indirect energy use from offices, meetings, training and information systems; travel and field supervision may be material at dispersed sites.</x:v>
      </x:c>
      <x:c r="AK58" s="2" t="str">
        <x:v>Its organisational inputs are permits, budgets, trained staff, competence records, contracts, procedures, safeguards, monitoring evidence and stakeholder agreements tailored to Fuel cell technologies.</x:v>
      </x:c>
      <x:c r="AL58" s="2" t="str">
        <x:v>Sustained implementation of Fuel cell technologies requires procurement and service contracts, audit protocols, training material, reporting templates, insurance or guarantees and periodic independent review.</x:v>
      </x:c>
      <x:c r="AM58" s="2" t="str">
        <x:v>Iron ore / steel inputs; Copper; Tin; Platinum-group metals</x:v>
      </x:c>
      <x:c r="AN58" s="2" t="str">
        <x:v>Australia; Brazil; China; Chile; Democratic Republic of the Congo; Peru; Indonesia; Myanmar; South Africa; Russia; Zimbabwe</x:v>
      </x:c>
      <x:c r="AO58" s="2" t="str">
        <x:v>China; India; Japan; Chile; Democratic Republic of the Congo; Indonesia; Malaysia; South Africa; Russia; Germany</x:v>
      </x:c>
      <x:c r="AP58" s="2" t="str">
        <x:v>Fuel cell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8" s="2" t="str">
        <x:v>2024–2025</x:v>
      </x:c>
      <x:c r="AR58" s="2" t="str">
        <x:v>https://pubs.usgs.gov/periodicals/mcs2026/mcs2026.pdf</x:v>
      </x:c>
    </x:row>
    <x:row r="59" ht="240" customHeight="1">
      <x:c r="A59" s="2" t="str">
        <x:v>MIT-0052</x:v>
      </x:c>
      <x:c r="B59" s="2" t="str">
        <x:v>Mitigation</x:v>
      </x:c>
      <x:c r="C59" s="2" t="str">
        <x:v>Energy efficiency</x:v>
      </x:c>
      <x:c r="D59" s="2" t="str">
        <x:v>Appliances and equipment</x:v>
      </x:c>
      <x:c r="E59" s="2" t="str">
        <x:v>Appliances</x:v>
      </x:c>
      <x:c r="F59" s="2" t="str">
        <x:v>Appliances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Appliances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59" s="2" t="str">
        <x:v>Mixed: adaptable design, site-specific implementation</x:v>
      </x:c>
      <x:c r="H59" s="2" t="str">
        <x:v>Appliances is adaptable in capacity and configuration but site-specific in final engineering. Its principle remains the same, but resource quality, climate, scale, interfaces and safety constraints must be recalculated for each deployment.</x:v>
      </x:c>
      <x:c r="I59" s="2" t="str">
        <x:v>Primarily hard, with a soft component</x:v>
      </x:c>
      <x:c r="J59" s="2" t="str">
        <x:v>Appliances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59" s="2" t="str">
        <x:v>Equipment and operation</x:v>
      </x:c>
      <x:c r="L59" s="2" t="str">
        <x:v>Appliances is embodied mainly as an equipment-and-operation system. The deliverable is accepted only when measurable service, quality, safety and climate-performance criteria are met under real conditions.</x:v>
      </x:c>
      <x:c r="M59" s="2" t="str">
        <x:v>Yes, subject to life-cycle safeguards</x:v>
      </x:c>
      <x:c r="N59" s="2" t="str">
        <x:v>Appliances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59" s="2" t="str">
        <x:v>Appliances: envelope assemblies, efficient equipment, sensors, actuators, meters and distribution systems.</x:v>
      </x:c>
      <x:c r="P59" s="2" t="str">
        <x:v>Appliances: energy simulation, load calculation, control sequences, commissioning data and building management.</x:v>
      </x:c>
      <x:c r="Q59" s="2" t="str">
        <x:v>Appliances: building codes, performance standards, procurement, commissioning, maintenance plans and occupant guidance.</x:v>
      </x:c>
      <x:c r="R59" s="2" t="str">
        <x:v>Appliances: building fabric, plant rooms, electrical and water networks, access for maintenance and metering.</x:v>
      </x:c>
      <x:c r="S59" s="2" t="str">
        <x:v>Appliances: electricity and thermal energy; peak demand, part-load efficiency and controls determine actual savings.</x:v>
      </x:c>
      <x:c r="T59" s="2" t="str">
        <x:v>Appliances: insulation, glass, concrete, steel, timber, aluminium, copper, refrigerants and electronic components as applicable.</x:v>
      </x:c>
      <x:c r="U59" s="2" t="str">
        <x:v>Appliances: filters, belts, seals, lamps or drivers, sensors, actuators, valves, control modules and envelope repair materials.</x:v>
      </x:c>
      <x:c r="V59" s="2" t="str">
        <x:v>https://www.ctc-n.org/sites/default/files/resources/ctcn_taxonomy_0.pdf</x:v>
      </x:c>
      <x:c r="W59" s="2" t="str">
        <x:v>https://institutoagricoladepueblobello.edu.co/colegiapp/archivostemas/GUIA%209.%5B25%5D.pdf</x:v>
      </x:c>
      <x:c r="X59" s="2" t="str">
        <x:v>https://iiasa.ac.at/what-is-technology</x:v>
      </x:c>
      <x:c r="Y59" s="2" t="str">
        <x:v>https://www.ipcc.ch/report/ar6/wg3/chapter/chapter-9/</x:v>
      </x:c>
      <x:c r="Z59" s="2" t="str">
        <x:v>Technology-specific analytical synthesis. The CTCN hierarchy is retained; classifications and component dependencies require validation against the selected design, site and supplier documentation before investment or policy use.</x:v>
      </x:c>
      <x:c r="AA59" s="2" t="str">
        <x:v>Physical deployment of Appliances requires building fabric, plant rooms, electrical and water networks, access for maintenance and metering; interfaces, foundations, access and environmental protection are sized to the specific resource and design load.</x:v>
      </x:c>
      <x:c r="AB59" s="2" t="str">
        <x:v>For Appliances, the hardware energy balance comprises electricity and thermal energy; peak demand, part-load efficiency and controls determine actual savings; metering must separate useful output, conversion losses and auxiliaries for the selected design.</x:v>
      </x:c>
      <x:c r="AC59" s="2" t="str">
        <x:v>Construction and operation use insulation, glass, concrete, steel, timber, aluminium, copper, refrigerants and electronic components as applicable. For Appliances, specifications must include durability, compatibility, recycled content and recoverability.</x:v>
      </x:c>
      <x:c r="AD59" s="2" t="str">
        <x:v>Maintenance of Appliances depends on filters, belts, seals, lamps or drivers, sensors, actuators, valves, control modules and envelope repair materials; critical spares are selected from failure-mode, lead-time and safety analysis for its installed configuration.</x:v>
      </x:c>
      <x:c r="AE59" s="2" t="str">
        <x:v>The software stack for Appliances requires databases, secure communications, version-controlled models, computing, backup and interfaces with field or operational systems.</x:v>
      </x:c>
      <x:c r="AF59" s="2" t="str">
        <x:v>For Appliances, software-related energy is electricity for sensing, computing, storage, communication and cooling; it is normally secondary but must be included for data-intensive or continuous services.</x:v>
      </x:c>
      <x:c r="AG59" s="2" t="str">
        <x:v>The non-physical inputs are calibrated data, metadata, algorithms, boundary conditions, emission or hazard factors, manuals and validation records specific to Appliances.</x:v>
      </x:c>
      <x:c r="AH59" s="2" t="str">
        <x:v>Software continuity for Appliances requires licences where applicable, updates, cybersecurity patches, backups, calibration files, model validation and technical support.</x:v>
      </x:c>
      <x:c r="AI59" s="2" t="str">
        <x:v>Orgware depends on the institutions, laboratories, training providers, regulators, operators and community interfaces needed to govern Appliances.</x:v>
      </x:c>
      <x:c r="AJ59" s="2" t="str">
        <x:v>The orgware supporting Appliances has mainly indirect energy use from offices, meetings, training and information systems; travel and field supervision may be material at dispersed sites.</x:v>
      </x:c>
      <x:c r="AK59" s="2" t="str">
        <x:v>Its organisational inputs are permits, budgets, trained staff, competence records, contracts, procedures, safeguards, monitoring evidence and stakeholder agreements tailored to Appliances.</x:v>
      </x:c>
      <x:c r="AL59" s="2" t="str">
        <x:v>Sustained implementation of Appliances requires procurement and service contracts, audit protocols, training material, reporting templates, insurance or guarantees and periodic independent review.</x:v>
      </x:c>
      <x:c r="AM59" s="2" t="str">
        <x:v>Iron ore / steel inputs</x:v>
      </x:c>
      <x:c r="AN59" s="2" t="str">
        <x:v>Australia; Brazil; China</x:v>
      </x:c>
      <x:c r="AO59" s="2" t="str">
        <x:v>China; India; Japan</x:v>
      </x:c>
      <x:c r="AP59" s="2" t="str">
        <x:v>Appliances: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9" s="2" t="str">
        <x:v>2024–2025</x:v>
      </x:c>
      <x:c r="AR59" s="2" t="str">
        <x:v>https://pubs.usgs.gov/periodicals/mcs2026/mcs2026.pdf</x:v>
      </x:c>
    </x:row>
    <x:row r="60" ht="240" customHeight="1">
      <x:c r="A60" s="2" t="str">
        <x:v>MIT-0053</x:v>
      </x:c>
      <x:c r="B60" s="2" t="str">
        <x:v>Mitigation</x:v>
      </x:c>
      <x:c r="C60" s="2" t="str">
        <x:v>Energy efficiency</x:v>
      </x:c>
      <x:c r="D60" s="2" t="str">
        <x:v>Appliances and equipment</x:v>
      </x:c>
      <x:c r="E60" s="2" t="str">
        <x:v>Water purification</x:v>
      </x:c>
      <x:c r="F60" s="2" t="str">
        <x:v>Water purification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Water purification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0" s="2" t="str">
        <x:v>Mixed: adaptable design, site-specific implementation</x:v>
      </x:c>
      <x:c r="H60" s="2" t="str">
        <x:v>Water purification is adaptable in capacity and configuration but site-specific in final engineering. Its principle remains the same, but resource quality, climate, scale, interfaces and safety constraints must be recalculated for each deployment.</x:v>
      </x:c>
      <x:c r="I60" s="2" t="str">
        <x:v>Primarily hard, with a soft component</x:v>
      </x:c>
      <x:c r="J60" s="2" t="str">
        <x:v>Water purification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0" s="2" t="str">
        <x:v>Equipment and operation</x:v>
      </x:c>
      <x:c r="L60" s="2" t="str">
        <x:v>Water purification is embodied mainly as an equipment-and-operation system. The deliverable is accepted only when measurable service, quality, safety and climate-performance criteria are met under real conditions.</x:v>
      </x:c>
      <x:c r="M60" s="2" t="str">
        <x:v>Yes, subject to life-cycle safeguards</x:v>
      </x:c>
      <x:c r="N60" s="2" t="str">
        <x:v>Water purification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0" s="2" t="str">
        <x:v>Water purification: envelope assemblies, efficient equipment, sensors, actuators, meters and distribution systems.</x:v>
      </x:c>
      <x:c r="P60" s="2" t="str">
        <x:v>Water purification: energy simulation, load calculation, control sequences, commissioning data and building management.</x:v>
      </x:c>
      <x:c r="Q60" s="2" t="str">
        <x:v>Water purification: building codes, performance standards, procurement, commissioning, maintenance plans and occupant guidance.</x:v>
      </x:c>
      <x:c r="R60" s="2" t="str">
        <x:v>Water purification: building fabric, plant rooms, electrical and water networks, access for maintenance and metering.</x:v>
      </x:c>
      <x:c r="S60" s="2" t="str">
        <x:v>Water purification: electricity and thermal energy; peak demand, part-load efficiency and controls determine actual savings.</x:v>
      </x:c>
      <x:c r="T60" s="2" t="str">
        <x:v>Water purification: insulation, glass, concrete, steel, timber, aluminium, copper, refrigerants and electronic components as applicable.</x:v>
      </x:c>
      <x:c r="U60" s="2" t="str">
        <x:v>Water purification: filters, belts, seals, lamps or drivers, sensors, actuators, valves, control modules and envelope repair materials.</x:v>
      </x:c>
      <x:c r="V60" s="2" t="str">
        <x:v>https://www.ctc-n.org/sites/default/files/resources/ctcn_taxonomy_0.pdf</x:v>
      </x:c>
      <x:c r="W60" s="2" t="str">
        <x:v>https://institutoagricoladepueblobello.edu.co/colegiapp/archivostemas/GUIA%209.%5B25%5D.pdf</x:v>
      </x:c>
      <x:c r="X60" s="2" t="str">
        <x:v>https://iiasa.ac.at/what-is-technology</x:v>
      </x:c>
      <x:c r="Y60" s="2" t="str">
        <x:v>https://www.ipcc.ch/report/ar6/wg3/chapter/chapter-9/</x:v>
      </x:c>
      <x:c r="Z60" s="2" t="str">
        <x:v>Technology-specific analytical synthesis. The CTCN hierarchy is retained; classifications and component dependencies require validation against the selected design, site and supplier documentation before investment or policy use.</x:v>
      </x:c>
      <x:c r="AA60" s="2" t="str">
        <x:v>Physical deployment of Water purification requires building fabric, plant rooms, electrical and water networks, access for maintenance and metering; interfaces, foundations, access and environmental protection are sized to the specific resource and design load.</x:v>
      </x:c>
      <x:c r="AB60" s="2" t="str">
        <x:v>For Water purification, the hardware energy balance comprises electricity and thermal energy; peak demand, part-load efficiency and controls determine actual savings; metering must separate useful output, conversion losses and auxiliaries for the selected design.</x:v>
      </x:c>
      <x:c r="AC60" s="2" t="str">
        <x:v>Construction and operation use insulation, glass, concrete, steel, timber, aluminium, copper, refrigerants and electronic components as applicable. For Water purification, specifications must include durability, compatibility, recycled content and recoverability.</x:v>
      </x:c>
      <x:c r="AD60" s="2" t="str">
        <x:v>Maintenance of Water purification depends on filters, belts, seals, lamps or drivers, sensors, actuators, valves, control modules and envelope repair materials; critical spares are selected from failure-mode, lead-time and safety analysis for its installed configuration.</x:v>
      </x:c>
      <x:c r="AE60" s="2" t="str">
        <x:v>The software stack for Water purification requires databases, secure communications, version-controlled models, computing, backup and interfaces with field or operational systems.</x:v>
      </x:c>
      <x:c r="AF60" s="2" t="str">
        <x:v>For Water purification, software-related energy is electricity for sensing, computing, storage, communication and cooling; it is normally secondary but must be included for data-intensive or continuous services.</x:v>
      </x:c>
      <x:c r="AG60" s="2" t="str">
        <x:v>The non-physical inputs are calibrated data, metadata, algorithms, boundary conditions, emission or hazard factors, manuals and validation records specific to Water purification.</x:v>
      </x:c>
      <x:c r="AH60" s="2" t="str">
        <x:v>Software continuity for Water purification requires licences where applicable, updates, cybersecurity patches, backups, calibration files, model validation and technical support.</x:v>
      </x:c>
      <x:c r="AI60" s="2" t="str">
        <x:v>Orgware depends on the institutions, laboratories, training providers, regulators, operators and community interfaces needed to govern Water purification.</x:v>
      </x:c>
      <x:c r="AJ60" s="2" t="str">
        <x:v>The orgware supporting Water purification has mainly indirect energy use from offices, meetings, training and information systems; travel and field supervision may be material at dispersed sites.</x:v>
      </x:c>
      <x:c r="AK60" s="2" t="str">
        <x:v>Its organisational inputs are permits, budgets, trained staff, competence records, contracts, procedures, safeguards, monitoring evidence and stakeholder agreements tailored to Water purification.</x:v>
      </x:c>
      <x:c r="AL60" s="2" t="str">
        <x:v>Sustained implementation of Water purification requires procurement and service contracts, audit protocols, training material, reporting templates, insurance or guarantees and periodic independent review.</x:v>
      </x:c>
      <x:c r="AM60" s="2" t="str">
        <x:v>Iron ore / steel inputs</x:v>
      </x:c>
      <x:c r="AN60" s="2" t="str">
        <x:v>Australia; Brazil; China</x:v>
      </x:c>
      <x:c r="AO60" s="2" t="str">
        <x:v>China; India; Japan</x:v>
      </x:c>
      <x:c r="AP60" s="2" t="str">
        <x:v>Water purification: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0" s="2" t="str">
        <x:v>2024–2025</x:v>
      </x:c>
      <x:c r="AR60" s="2" t="str">
        <x:v>https://pubs.usgs.gov/periodicals/mcs2026/mcs2026.pdf</x:v>
      </x:c>
    </x:row>
    <x:row r="61" ht="240" customHeight="1">
      <x:c r="A61" s="2" t="str">
        <x:v>MIT-0054</x:v>
      </x:c>
      <x:c r="B61" s="2" t="str">
        <x:v>Mitigation</x:v>
      </x:c>
      <x:c r="C61" s="2" t="str">
        <x:v>Energy efficiency</x:v>
      </x:c>
      <x:c r="D61" s="2" t="str">
        <x:v>Appliances and equipment</x:v>
      </x:c>
      <x:c r="E61" s="2" t="str">
        <x:v>Energy labelling</x:v>
      </x:c>
      <x:c r="F61" s="2" t="str">
        <x:v>Energy labelling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Energy labelling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1" s="2" t="str">
        <x:v>Mixed: adaptable design, site-specific implementation</x:v>
      </x:c>
      <x:c r="H61" s="2" t="str">
        <x:v>Energy labelling is adaptable in capacity and configuration but site-specific in final engineering. Its principle remains the same, but resource quality, climate, scale, interfaces and safety constraints must be recalculated for each deployment.</x:v>
      </x:c>
      <x:c r="I61" s="2" t="str">
        <x:v>Primarily hard, with a soft component</x:v>
      </x:c>
      <x:c r="J61" s="2" t="str">
        <x:v>Energy labelling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1" s="2" t="str">
        <x:v>Equipment and operation</x:v>
      </x:c>
      <x:c r="L61" s="2" t="str">
        <x:v>Energy labelling is embodied mainly as an equipment-and-operation system. The deliverable is accepted only when measurable service, quality, safety and climate-performance criteria are met under real conditions.</x:v>
      </x:c>
      <x:c r="M61" s="2" t="str">
        <x:v>Yes, subject to life-cycle safeguards</x:v>
      </x:c>
      <x:c r="N61" s="2" t="str">
        <x:v>Energy labelling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1" s="2" t="str">
        <x:v>Energy labelling: envelope assemblies, efficient equipment, sensors, actuators, meters and distribution systems.</x:v>
      </x:c>
      <x:c r="P61" s="2" t="str">
        <x:v>Energy labelling: energy simulation, load calculation, control sequences, commissioning data and building management.</x:v>
      </x:c>
      <x:c r="Q61" s="2" t="str">
        <x:v>Energy labelling: building codes, performance standards, procurement, commissioning, maintenance plans and occupant guidance.</x:v>
      </x:c>
      <x:c r="R61" s="2" t="str">
        <x:v>Energy labelling: building fabric, plant rooms, electrical and water networks, access for maintenance and metering.</x:v>
      </x:c>
      <x:c r="S61" s="2" t="str">
        <x:v>Energy labelling: electricity and thermal energy; peak demand, part-load efficiency and controls determine actual savings.</x:v>
      </x:c>
      <x:c r="T61" s="2" t="str">
        <x:v>Energy labelling: insulation, glass, concrete, steel, timber, aluminium, copper, refrigerants and electronic components as applicable.</x:v>
      </x:c>
      <x:c r="U61" s="2" t="str">
        <x:v>Energy labelling: filters, belts, seals, lamps or drivers, sensors, actuators, valves, control modules and envelope repair materials.</x:v>
      </x:c>
      <x:c r="V61" s="2" t="str">
        <x:v>https://www.ctc-n.org/sites/default/files/resources/ctcn_taxonomy_0.pdf</x:v>
      </x:c>
      <x:c r="W61" s="2" t="str">
        <x:v>https://institutoagricoladepueblobello.edu.co/colegiapp/archivostemas/GUIA%209.%5B25%5D.pdf</x:v>
      </x:c>
      <x:c r="X61" s="2" t="str">
        <x:v>https://iiasa.ac.at/what-is-technology</x:v>
      </x:c>
      <x:c r="Y61" s="2" t="str">
        <x:v>https://www.ipcc.ch/report/ar6/wg3/chapter/chapter-9/</x:v>
      </x:c>
      <x:c r="Z61" s="2" t="str">
        <x:v>Technology-specific analytical synthesis. The CTCN hierarchy is retained; classifications and component dependencies require validation against the selected design, site and supplier documentation before investment or policy use.</x:v>
      </x:c>
      <x:c r="AA61" s="2" t="str">
        <x:v>Physical deployment of Energy labelling requires building fabric, plant rooms, electrical and water networks, access for maintenance and metering; interfaces, foundations, access and environmental protection are sized to the specific resource and design load.</x:v>
      </x:c>
      <x:c r="AB61" s="2" t="str">
        <x:v>For Energy labelling, the hardware energy balance comprises electricity and thermal energy; peak demand, part-load efficiency and controls determine actual savings; metering must separate useful output, conversion losses and auxiliaries for the selected design.</x:v>
      </x:c>
      <x:c r="AC61" s="2" t="str">
        <x:v>Construction and operation use insulation, glass, concrete, steel, timber, aluminium, copper, refrigerants and electronic components as applicable. For Energy labelling, specifications must include durability, compatibility, recycled content and recoverability.</x:v>
      </x:c>
      <x:c r="AD61" s="2" t="str">
        <x:v>Maintenance of Energy labelling depends on filters, belts, seals, lamps or drivers, sensors, actuators, valves, control modules and envelope repair materials; critical spares are selected from failure-mode, lead-time and safety analysis for its installed configuration.</x:v>
      </x:c>
      <x:c r="AE61" s="2" t="str">
        <x:v>The software stack for Energy labelling requires databases, secure communications, version-controlled models, computing, backup and interfaces with field or operational systems.</x:v>
      </x:c>
      <x:c r="AF61" s="2" t="str">
        <x:v>For Energy labelling, software-related energy is electricity for sensing, computing, storage, communication and cooling; it is normally secondary but must be included for data-intensive or continuous services.</x:v>
      </x:c>
      <x:c r="AG61" s="2" t="str">
        <x:v>The non-physical inputs are calibrated data, metadata, algorithms, boundary conditions, emission or hazard factors, manuals and validation records specific to Energy labelling.</x:v>
      </x:c>
      <x:c r="AH61" s="2" t="str">
        <x:v>Software continuity for Energy labelling requires licences where applicable, updates, cybersecurity patches, backups, calibration files, model validation and technical support.</x:v>
      </x:c>
      <x:c r="AI61" s="2" t="str">
        <x:v>Orgware depends on the institutions, laboratories, training providers, regulators, operators and community interfaces needed to govern Energy labelling.</x:v>
      </x:c>
      <x:c r="AJ61" s="2" t="str">
        <x:v>The orgware supporting Energy labelling has mainly indirect energy use from offices, meetings, training and information systems; travel and field supervision may be material at dispersed sites.</x:v>
      </x:c>
      <x:c r="AK61" s="2" t="str">
        <x:v>Its organisational inputs are permits, budgets, trained staff, competence records, contracts, procedures, safeguards, monitoring evidence and stakeholder agreements tailored to Energy labelling.</x:v>
      </x:c>
      <x:c r="AL61" s="2" t="str">
        <x:v>Sustained implementation of Energy labelling requires procurement and service contracts, audit protocols, training material, reporting templates, insurance or guarantees and periodic independent review.</x:v>
      </x:c>
      <x:c r="AM61" s="2" t="str">
        <x:v>Iron ore / steel inputs</x:v>
      </x:c>
      <x:c r="AN61" s="2" t="str">
        <x:v>Australia; Brazil; China</x:v>
      </x:c>
      <x:c r="AO61" s="2" t="str">
        <x:v>China; India; Japan</x:v>
      </x:c>
      <x:c r="AP61" s="2" t="str">
        <x:v>Energy labelling: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1" s="2" t="str">
        <x:v>2024–2025</x:v>
      </x:c>
      <x:c r="AR61" s="2" t="str">
        <x:v>https://pubs.usgs.gov/periodicals/mcs2026/mcs2026.pdf</x:v>
      </x:c>
    </x:row>
    <x:row r="62" ht="240" customHeight="1">
      <x:c r="A62" s="2" t="str">
        <x:v>MIT-0055</x:v>
      </x:c>
      <x:c r="B62" s="2" t="str">
        <x:v>Mitigation</x:v>
      </x:c>
      <x:c r="C62" s="2" t="str">
        <x:v>Energy efficiency</x:v>
      </x:c>
      <x:c r="D62" s="2" t="str">
        <x:v>Appliances and equipment</x:v>
      </x:c>
      <x:c r="E62" s="2" t="str">
        <x:v>Water pumping</x:v>
      </x:c>
      <x:c r="F62" s="2" t="str">
        <x:v>Water pumping is a mitigation technology in the Energy efficiency sector and the Appliances and equipment technology group. It is defined as a combined hardware–software–orgware system that reduces thermal, electrical or water demand through passive design, efficient equipment, controls and low-impact materials. Water pumping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2" s="2" t="str">
        <x:v>Mixed: adaptable design, site-specific implementation</x:v>
      </x:c>
      <x:c r="H62" s="2" t="str">
        <x:v>Water pumping is adaptable in capacity and configuration but site-specific in final engineering. Its principle remains the same, but resource quality, climate, scale, interfaces and safety constraints must be recalculated for each deployment.</x:v>
      </x:c>
      <x:c r="I62" s="2" t="str">
        <x:v>Primarily hard, with a soft component</x:v>
      </x:c>
      <x:c r="J62" s="2" t="str">
        <x:v>Water pumping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2" s="2" t="str">
        <x:v>Equipment and operation</x:v>
      </x:c>
      <x:c r="L62" s="2" t="str">
        <x:v>Water pumping is embodied mainly as an equipment-and-operation system. The deliverable is accepted only when measurable service, quality, safety and climate-performance criteria are met under real conditions.</x:v>
      </x:c>
      <x:c r="M62" s="2" t="str">
        <x:v>Yes, subject to life-cycle safeguards</x:v>
      </x:c>
      <x:c r="N62" s="2" t="str">
        <x:v>Water pumping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2" s="2" t="str">
        <x:v>Water pumping: envelope assemblies, efficient equipment, sensors, actuators, meters and distribution systems.</x:v>
      </x:c>
      <x:c r="P62" s="2" t="str">
        <x:v>Water pumping: energy simulation, load calculation, control sequences, commissioning data and building management.</x:v>
      </x:c>
      <x:c r="Q62" s="2" t="str">
        <x:v>Water pumping: building codes, performance standards, procurement, commissioning, maintenance plans and occupant guidance.</x:v>
      </x:c>
      <x:c r="R62" s="2" t="str">
        <x:v>Water pumping: building fabric, plant rooms, electrical and water networks, access for maintenance and metering.</x:v>
      </x:c>
      <x:c r="S62" s="2" t="str">
        <x:v>Water pumping: electricity and thermal energy; peak demand, part-load efficiency and controls determine actual savings.</x:v>
      </x:c>
      <x:c r="T62" s="2" t="str">
        <x:v>Water pumping: insulation, glass, concrete, steel, timber, aluminium, copper, refrigerants and electronic components as applicable.</x:v>
      </x:c>
      <x:c r="U62" s="2" t="str">
        <x:v>Water pumping: filters, belts, seals, lamps or drivers, sensors, actuators, valves, control modules and envelope repair materials.</x:v>
      </x:c>
      <x:c r="V62" s="2" t="str">
        <x:v>https://www.ctc-n.org/sites/default/files/resources/ctcn_taxonomy_0.pdf</x:v>
      </x:c>
      <x:c r="W62" s="2" t="str">
        <x:v>https://institutoagricoladepueblobello.edu.co/colegiapp/archivostemas/GUIA%209.%5B25%5D.pdf</x:v>
      </x:c>
      <x:c r="X62" s="2" t="str">
        <x:v>https://iiasa.ac.at/what-is-technology</x:v>
      </x:c>
      <x:c r="Y62" s="2" t="str">
        <x:v>https://www.ipcc.ch/report/ar6/wg3/chapter/chapter-9/</x:v>
      </x:c>
      <x:c r="Z62" s="2" t="str">
        <x:v>Technology-specific analytical synthesis. The CTCN hierarchy is retained; classifications and component dependencies require validation against the selected design, site and supplier documentation before investment or policy use.</x:v>
      </x:c>
      <x:c r="AA62" s="2" t="str">
        <x:v>Physical deployment of Water pumping requires building fabric, plant rooms, electrical and water networks, access for maintenance and metering; interfaces, foundations, access and environmental protection are sized to the specific resource and design load.</x:v>
      </x:c>
      <x:c r="AB62" s="2" t="str">
        <x:v>For Water pumping, the hardware energy balance comprises electricity and thermal energy; peak demand, part-load efficiency and controls determine actual savings; metering must separate useful output, conversion losses and auxiliaries for the selected design.</x:v>
      </x:c>
      <x:c r="AC62" s="2" t="str">
        <x:v>Construction and operation use insulation, glass, concrete, steel, timber, aluminium, copper, refrigerants and electronic components as applicable. For Water pumping, specifications must include durability, compatibility, recycled content and recoverability.</x:v>
      </x:c>
      <x:c r="AD62" s="2" t="str">
        <x:v>Maintenance of Water pumping depends on filters, belts, seals, lamps or drivers, sensors, actuators, valves, control modules and envelope repair materials; critical spares are selected from failure-mode, lead-time and safety analysis for its installed configuration.</x:v>
      </x:c>
      <x:c r="AE62" s="2" t="str">
        <x:v>The software stack for Water pumping requires databases, secure communications, version-controlled models, computing, backup and interfaces with field or operational systems.</x:v>
      </x:c>
      <x:c r="AF62" s="2" t="str">
        <x:v>For Water pumping, software-related energy is electricity for sensing, computing, storage, communication and cooling; it is normally secondary but must be included for data-intensive or continuous services.</x:v>
      </x:c>
      <x:c r="AG62" s="2" t="str">
        <x:v>The non-physical inputs are calibrated data, metadata, algorithms, boundary conditions, emission or hazard factors, manuals and validation records specific to Water pumping.</x:v>
      </x:c>
      <x:c r="AH62" s="2" t="str">
        <x:v>Software continuity for Water pumping requires licences where applicable, updates, cybersecurity patches, backups, calibration files, model validation and technical support.</x:v>
      </x:c>
      <x:c r="AI62" s="2" t="str">
        <x:v>Orgware depends on the institutions, laboratories, training providers, regulators, operators and community interfaces needed to govern Water pumping.</x:v>
      </x:c>
      <x:c r="AJ62" s="2" t="str">
        <x:v>The orgware supporting Water pumping has mainly indirect energy use from offices, meetings, training and information systems; travel and field supervision may be material at dispersed sites.</x:v>
      </x:c>
      <x:c r="AK62" s="2" t="str">
        <x:v>Its organisational inputs are permits, budgets, trained staff, competence records, contracts, procedures, safeguards, monitoring evidence and stakeholder agreements tailored to Water pumping.</x:v>
      </x:c>
      <x:c r="AL62" s="2" t="str">
        <x:v>Sustained implementation of Water pumping requires procurement and service contracts, audit protocols, training material, reporting templates, insurance or guarantees and periodic independent review.</x:v>
      </x:c>
      <x:c r="AM62" s="2" t="str">
        <x:v>Iron ore / steel inputs; Copper; Tin</x:v>
      </x:c>
      <x:c r="AN62" s="2" t="str">
        <x:v>Australia; Brazil; China; Chile; Democratic Republic of the Congo; Peru; Indonesia; Myanmar</x:v>
      </x:c>
      <x:c r="AO62" s="2" t="str">
        <x:v>China; India; Japan; Chile; Democratic Republic of the Congo; Indonesia; Malaysia</x:v>
      </x:c>
      <x:c r="AP62" s="2" t="str">
        <x:v>Water pumping: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2" s="2" t="str">
        <x:v>2024–2025</x:v>
      </x:c>
      <x:c r="AR62" s="2" t="str">
        <x:v>https://pubs.usgs.gov/periodicals/mcs2026/mcs2026.pdf</x:v>
      </x:c>
    </x:row>
    <x:row r="63" ht="240" customHeight="1">
      <x:c r="A63" s="2" t="str">
        <x:v>MIT-0056</x:v>
      </x:c>
      <x:c r="B63" s="2" t="str">
        <x:v>Mitigation</x:v>
      </x:c>
      <x:c r="C63" s="2" t="str">
        <x:v>Energy efficiency</x:v>
      </x:c>
      <x:c r="D63" s="2" t="str">
        <x:v>Buildings</x:v>
      </x:c>
      <x:c r="E63" s="2" t="str">
        <x:v>Sustainable design</x:v>
      </x:c>
      <x:c r="F63" s="2" t="str">
        <x:v>Sustainable design is a mitigation technology in the Energy efficiency sector and the Buildings technology group. It is defined as a combined hardware–software–orgware system that reduces thermal, electrical or water demand through passive design, efficient equipment, controls and low-impact materials. Sustainable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3" s="2" t="str">
        <x:v>Mixed: adaptable design, site-specific implementation</x:v>
      </x:c>
      <x:c r="H63" s="2" t="str">
        <x:v>Sustainable design is adaptable in capacity and configuration but site-specific in final engineering. Its principle remains the same, but resource quality, climate, scale, interfaces and safety constraints must be recalculated for each deployment.</x:v>
      </x:c>
      <x:c r="I63" s="2" t="str">
        <x:v>Primarily hard, with a soft component</x:v>
      </x:c>
      <x:c r="J63" s="2" t="str">
        <x:v>Sustainable design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3" s="2" t="str">
        <x:v>Equipment and operation</x:v>
      </x:c>
      <x:c r="L63" s="2" t="str">
        <x:v>Sustainable design is embodied mainly as an equipment-and-operation system. The deliverable is accepted only when measurable service, quality, safety and climate-performance criteria are met under real conditions.</x:v>
      </x:c>
      <x:c r="M63" s="2" t="str">
        <x:v>Yes, subject to life-cycle safeguards</x:v>
      </x:c>
      <x:c r="N63" s="2" t="str">
        <x:v>Sustainable design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3" s="2" t="str">
        <x:v>Sustainable design: envelope assemblies, efficient equipment, sensors, actuators, meters and distribution systems.</x:v>
      </x:c>
      <x:c r="P63" s="2" t="str">
        <x:v>Sustainable design: energy simulation, load calculation, control sequences, commissioning data and building management.</x:v>
      </x:c>
      <x:c r="Q63" s="2" t="str">
        <x:v>Sustainable design: building codes, performance standards, procurement, commissioning, maintenance plans and occupant guidance.</x:v>
      </x:c>
      <x:c r="R63" s="2" t="str">
        <x:v>Sustainable design: building fabric, plant rooms, electrical and water networks, access for maintenance and metering.</x:v>
      </x:c>
      <x:c r="S63" s="2" t="str">
        <x:v>Sustainable design: electricity and thermal energy; peak demand, part-load efficiency and controls determine actual savings.</x:v>
      </x:c>
      <x:c r="T63" s="2" t="str">
        <x:v>Sustainable design: insulation, glass, concrete, steel, timber, aluminium, copper, refrigerants and electronic components as applicable.</x:v>
      </x:c>
      <x:c r="U63" s="2" t="str">
        <x:v>Sustainable design: filters, belts, seals, lamps or drivers, sensors, actuators, valves, control modules and envelope repair materials.</x:v>
      </x:c>
      <x:c r="V63" s="2" t="str">
        <x:v>https://www.ctc-n.org/sites/default/files/resources/ctcn_taxonomy_0.pdf</x:v>
      </x:c>
      <x:c r="W63" s="2" t="str">
        <x:v>https://institutoagricoladepueblobello.edu.co/colegiapp/archivostemas/GUIA%209.%5B25%5D.pdf</x:v>
      </x:c>
      <x:c r="X63" s="2" t="str">
        <x:v>https://iiasa.ac.at/what-is-technology</x:v>
      </x:c>
      <x:c r="Y63" s="2" t="str">
        <x:v>https://www.ipcc.ch/report/ar6/wg3/chapter/chapter-9/</x:v>
      </x:c>
      <x:c r="Z63" s="2" t="str">
        <x:v>Technology-specific analytical synthesis. The CTCN hierarchy is retained; classifications and component dependencies require validation against the selected design, site and supplier documentation before investment or policy use.</x:v>
      </x:c>
      <x:c r="AA63" s="2" t="str">
        <x:v>Physical deployment of Sustainable design requires building fabric, plant rooms, electrical and water networks, access for maintenance and metering; interfaces, foundations, access and environmental protection are sized to the specific resource and design load.</x:v>
      </x:c>
      <x:c r="AB63" s="2" t="str">
        <x:v>For Sustainable design, the hardware energy balance comprises electricity and thermal energy; peak demand, part-load efficiency and controls determine actual savings; metering must separate useful output, conversion losses and auxiliaries for the selected design.</x:v>
      </x:c>
      <x:c r="AC63" s="2" t="str">
        <x:v>Construction and operation use insulation, glass, concrete, steel, timber, aluminium, copper, refrigerants and electronic components as applicable. For Sustainable design, specifications must include durability, compatibility, recycled content and recoverability.</x:v>
      </x:c>
      <x:c r="AD63" s="2" t="str">
        <x:v>Maintenance of Sustainable design depends on filters, belts, seals, lamps or drivers, sensors, actuators, valves, control modules and envelope repair materials; critical spares are selected from failure-mode, lead-time and safety analysis for its installed configuration.</x:v>
      </x:c>
      <x:c r="AE63" s="2" t="str">
        <x:v>The software stack for Sustainable design requires databases, secure communications, version-controlled models, computing, backup and interfaces with field or operational systems.</x:v>
      </x:c>
      <x:c r="AF63" s="2" t="str">
        <x:v>For Sustainable design, software-related energy is electricity for sensing, computing, storage, communication and cooling; it is normally secondary but must be included for data-intensive or continuous services.</x:v>
      </x:c>
      <x:c r="AG63" s="2" t="str">
        <x:v>The non-physical inputs are calibrated data, metadata, algorithms, boundary conditions, emission or hazard factors, manuals and validation records specific to Sustainable design.</x:v>
      </x:c>
      <x:c r="AH63" s="2" t="str">
        <x:v>Software continuity for Sustainable design requires licences where applicable, updates, cybersecurity patches, backups, calibration files, model validation and technical support.</x:v>
      </x:c>
      <x:c r="AI63" s="2" t="str">
        <x:v>Orgware depends on the institutions, laboratories, training providers, regulators, operators and community interfaces needed to govern Sustainable design.</x:v>
      </x:c>
      <x:c r="AJ63" s="2" t="str">
        <x:v>The orgware supporting Sustainable design has mainly indirect energy use from offices, meetings, training and information systems; travel and field supervision may be material at dispersed sites.</x:v>
      </x:c>
      <x:c r="AK63" s="2" t="str">
        <x:v>Its organisational inputs are permits, budgets, trained staff, competence records, contracts, procedures, safeguards, monitoring evidence and stakeholder agreements tailored to Sustainable design.</x:v>
      </x:c>
      <x:c r="AL63" s="2" t="str">
        <x:v>Sustained implementation of Sustainable design requires procurement and service contracts, audit protocols, training material, reporting templates, insurance or guarantees and periodic independent review.</x:v>
      </x:c>
      <x:c r="AM63" s="2" t="str">
        <x:v>Iron ore / steel inputs; Limestone / cement raw materials</x:v>
      </x:c>
      <x:c r="AN63" s="2" t="str">
        <x:v>Australia; Brazil; China; India; Vietnam</x:v>
      </x:c>
      <x:c r="AO63" s="2" t="str">
        <x:v>China; India; Japan; Vietnam</x:v>
      </x:c>
      <x:c r="AP63" s="2" t="str">
        <x:v>Sustainable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3" s="2" t="str">
        <x:v>2024–2025</x:v>
      </x:c>
      <x:c r="AR63" s="2" t="str">
        <x:v>https://pubs.usgs.gov/periodicals/mcs2026/mcs2026.pdf</x:v>
      </x:c>
    </x:row>
    <x:row r="64" ht="240" customHeight="1">
      <x:c r="A64" s="2" t="str">
        <x:v>MIT-0057</x:v>
      </x:c>
      <x:c r="B64" s="2" t="str">
        <x:v>Mitigation</x:v>
      </x:c>
      <x:c r="C64" s="2" t="str">
        <x:v>Energy efficiency</x:v>
      </x:c>
      <x:c r="D64" s="2" t="str">
        <x:v>Buildings</x:v>
      </x:c>
      <x:c r="E64" s="2" t="str">
        <x:v>Daylight harnessing</x:v>
      </x:c>
      <x:c r="F64" s="2" t="str">
        <x:v>Daylight harnessing is a mitigation technology in the Energy efficiency sector and the Buildings technology group. It is defined as a combined hardware–software–orgware system that reduces thermal, electrical or water demand through passive design, efficient equipment, controls and low-impact materials. Daylight harnessing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4" s="2" t="str">
        <x:v>Mixed: adaptable design, site-specific implementation</x:v>
      </x:c>
      <x:c r="H64" s="2" t="str">
        <x:v>Daylight harnessing is adaptable in capacity and configuration but site-specific in final engineering. Its principle remains the same, but resource quality, climate, scale, interfaces and safety constraints must be recalculated for each deployment.</x:v>
      </x:c>
      <x:c r="I64" s="2" t="str">
        <x:v>Primarily hard, with a soft component</x:v>
      </x:c>
      <x:c r="J64" s="2" t="str">
        <x:v>Daylight harnessing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4" s="2" t="str">
        <x:v>Equipment and operation</x:v>
      </x:c>
      <x:c r="L64" s="2" t="str">
        <x:v>Daylight harnessing is embodied mainly as an equipment-and-operation system. The deliverable is accepted only when measurable service, quality, safety and climate-performance criteria are met under real conditions.</x:v>
      </x:c>
      <x:c r="M64" s="2" t="str">
        <x:v>Yes, subject to life-cycle safeguards</x:v>
      </x:c>
      <x:c r="N64" s="2" t="str">
        <x:v>Daylight harnessing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4" s="2" t="str">
        <x:v>Daylight harnessing: envelope assemblies, efficient equipment, sensors, actuators, meters and distribution systems.</x:v>
      </x:c>
      <x:c r="P64" s="2" t="str">
        <x:v>Daylight harnessing: energy simulation, load calculation, control sequences, commissioning data and building management.</x:v>
      </x:c>
      <x:c r="Q64" s="2" t="str">
        <x:v>Daylight harnessing: building codes, performance standards, procurement, commissioning, maintenance plans and occupant guidance.</x:v>
      </x:c>
      <x:c r="R64" s="2" t="str">
        <x:v>Daylight harnessing: building fabric, plant rooms, electrical and water networks, access for maintenance and metering.</x:v>
      </x:c>
      <x:c r="S64" s="2" t="str">
        <x:v>Daylight harnessing: electricity and thermal energy; peak demand, part-load efficiency and controls determine actual savings.</x:v>
      </x:c>
      <x:c r="T64" s="2" t="str">
        <x:v>Daylight harnessing: insulation, glass, concrete, steel, timber, aluminium, copper, refrigerants and electronic components as applicable.</x:v>
      </x:c>
      <x:c r="U64" s="2" t="str">
        <x:v>Daylight harnessing: filters, belts, seals, lamps or drivers, sensors, actuators, valves, control modules and envelope repair materials.</x:v>
      </x:c>
      <x:c r="V64" s="2" t="str">
        <x:v>https://www.ctc-n.org/sites/default/files/resources/ctcn_taxonomy_0.pdf</x:v>
      </x:c>
      <x:c r="W64" s="2" t="str">
        <x:v>https://institutoagricoladepueblobello.edu.co/colegiapp/archivostemas/GUIA%209.%5B25%5D.pdf</x:v>
      </x:c>
      <x:c r="X64" s="2" t="str">
        <x:v>https://iiasa.ac.at/what-is-technology</x:v>
      </x:c>
      <x:c r="Y64" s="2" t="str">
        <x:v>https://www.ipcc.ch/report/ar6/wg3/chapter/chapter-9/</x:v>
      </x:c>
      <x:c r="Z64" s="2" t="str">
        <x:v>Technology-specific analytical synthesis. The CTCN hierarchy is retained; classifications and component dependencies require validation against the selected design, site and supplier documentation before investment or policy use.</x:v>
      </x:c>
      <x:c r="AA64" s="2" t="str">
        <x:v>Physical deployment of Daylight harnessing requires building fabric, plant rooms, electrical and water networks, access for maintenance and metering; interfaces, foundations, access and environmental protection are sized to the specific resource and design load.</x:v>
      </x:c>
      <x:c r="AB64" s="2" t="str">
        <x:v>For Daylight harnessing, the hardware energy balance comprises electricity and thermal energy; peak demand, part-load efficiency and controls determine actual savings; metering must separate useful output, conversion losses and auxiliaries for the selected design.</x:v>
      </x:c>
      <x:c r="AC64" s="2" t="str">
        <x:v>Construction and operation use insulation, glass, concrete, steel, timber, aluminium, copper, refrigerants and electronic components as applicable. For Daylight harnessing, specifications must include durability, compatibility, recycled content and recoverability.</x:v>
      </x:c>
      <x:c r="AD64" s="2" t="str">
        <x:v>Maintenance of Daylight harnessing depends on filters, belts, seals, lamps or drivers, sensors, actuators, valves, control modules and envelope repair materials; critical spares are selected from failure-mode, lead-time and safety analysis for its installed configuration.</x:v>
      </x:c>
      <x:c r="AE64" s="2" t="str">
        <x:v>The software stack for Daylight harnessing requires databases, secure communications, version-controlled models, computing, backup and interfaces with field or operational systems.</x:v>
      </x:c>
      <x:c r="AF64" s="2" t="str">
        <x:v>For Daylight harnessing, software-related energy is electricity for sensing, computing, storage, communication and cooling; it is normally secondary but must be included for data-intensive or continuous services.</x:v>
      </x:c>
      <x:c r="AG64" s="2" t="str">
        <x:v>The non-physical inputs are calibrated data, metadata, algorithms, boundary conditions, emission or hazard factors, manuals and validation records specific to Daylight harnessing.</x:v>
      </x:c>
      <x:c r="AH64" s="2" t="str">
        <x:v>Software continuity for Daylight harnessing requires licences where applicable, updates, cybersecurity patches, backups, calibration files, model validation and technical support.</x:v>
      </x:c>
      <x:c r="AI64" s="2" t="str">
        <x:v>Orgware depends on the institutions, laboratories, training providers, regulators, operators and community interfaces needed to govern Daylight harnessing.</x:v>
      </x:c>
      <x:c r="AJ64" s="2" t="str">
        <x:v>The orgware supporting Daylight harnessing has mainly indirect energy use from offices, meetings, training and information systems; travel and field supervision may be material at dispersed sites.</x:v>
      </x:c>
      <x:c r="AK64" s="2" t="str">
        <x:v>Its organisational inputs are permits, budgets, trained staff, competence records, contracts, procedures, safeguards, monitoring evidence and stakeholder agreements tailored to Daylight harnessing.</x:v>
      </x:c>
      <x:c r="AL64" s="2" t="str">
        <x:v>Sustained implementation of Daylight harnessing requires procurement and service contracts, audit protocols, training material, reporting templates, insurance or guarantees and periodic independent review.</x:v>
      </x:c>
      <x:c r="AM64" s="2" t="str">
        <x:v>Iron ore / steel inputs; Limestone / cement raw materials</x:v>
      </x:c>
      <x:c r="AN64" s="2" t="str">
        <x:v>Australia; Brazil; China; India; Vietnam</x:v>
      </x:c>
      <x:c r="AO64" s="2" t="str">
        <x:v>China; India; Japan; Vietnam</x:v>
      </x:c>
      <x:c r="AP64" s="2" t="str">
        <x:v>Daylight harnessing: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4" s="2" t="str">
        <x:v>2024–2025</x:v>
      </x:c>
      <x:c r="AR64" s="2" t="str">
        <x:v>https://pubs.usgs.gov/periodicals/mcs2026/mcs2026.pdf</x:v>
      </x:c>
    </x:row>
    <x:row r="65" ht="240" customHeight="1">
      <x:c r="A65" s="2" t="str">
        <x:v>MIT-0058</x:v>
      </x:c>
      <x:c r="B65" s="2" t="str">
        <x:v>Mitigation</x:v>
      </x:c>
      <x:c r="C65" s="2" t="str">
        <x:v>Energy efficiency</x:v>
      </x:c>
      <x:c r="D65" s="2" t="str">
        <x:v>Buildings</x:v>
      </x:c>
      <x:c r="E65" s="2" t="str">
        <x:v>New building design</x:v>
      </x:c>
      <x:c r="F65" s="2" t="str">
        <x:v>New building design is a mitigation technology in the Energy efficiency sector and the Buildings technology group. It is defined as a combined hardware–software–orgware system that reduces thermal, electrical or water demand through passive design, efficient equipment, controls and low-impact materials. New building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5" s="2" t="str">
        <x:v>Mixed: adaptable design, site-specific implementation</x:v>
      </x:c>
      <x:c r="H65" s="2" t="str">
        <x:v>New building design is adaptable in capacity and configuration but site-specific in final engineering. Its principle remains the same, but resource quality, climate, scale, interfaces and safety constraints must be recalculated for each deployment.</x:v>
      </x:c>
      <x:c r="I65" s="2" t="str">
        <x:v>Primarily hard, with a soft component</x:v>
      </x:c>
      <x:c r="J65" s="2" t="str">
        <x:v>New building design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5" s="2" t="str">
        <x:v>Equipment and operation</x:v>
      </x:c>
      <x:c r="L65" s="2" t="str">
        <x:v>New building design is embodied mainly as an equipment-and-operation system. The deliverable is accepted only when measurable service, quality, safety and climate-performance criteria are met under real conditions.</x:v>
      </x:c>
      <x:c r="M65" s="2" t="str">
        <x:v>Yes, subject to life-cycle safeguards</x:v>
      </x:c>
      <x:c r="N65" s="2" t="str">
        <x:v>New building design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5" s="2" t="str">
        <x:v>New building design: envelope assemblies, efficient equipment, sensors, actuators, meters and distribution systems.</x:v>
      </x:c>
      <x:c r="P65" s="2" t="str">
        <x:v>New building design: energy simulation, load calculation, control sequences, commissioning data and building management.</x:v>
      </x:c>
      <x:c r="Q65" s="2" t="str">
        <x:v>New building design: building codes, performance standards, procurement, commissioning, maintenance plans and occupant guidance.</x:v>
      </x:c>
      <x:c r="R65" s="2" t="str">
        <x:v>New building design: building fabric, plant rooms, electrical and water networks, access for maintenance and metering.</x:v>
      </x:c>
      <x:c r="S65" s="2" t="str">
        <x:v>New building design: electricity and thermal energy; peak demand, part-load efficiency and controls determine actual savings.</x:v>
      </x:c>
      <x:c r="T65" s="2" t="str">
        <x:v>New building design: insulation, glass, concrete, steel, timber, aluminium, copper, refrigerants and electronic components as applicable.</x:v>
      </x:c>
      <x:c r="U65" s="2" t="str">
        <x:v>New building design: filters, belts, seals, lamps or drivers, sensors, actuators, valves, control modules and envelope repair materials.</x:v>
      </x:c>
      <x:c r="V65" s="2" t="str">
        <x:v>https://www.ctc-n.org/sites/default/files/resources/ctcn_taxonomy_0.pdf</x:v>
      </x:c>
      <x:c r="W65" s="2" t="str">
        <x:v>https://institutoagricoladepueblobello.edu.co/colegiapp/archivostemas/GUIA%209.%5B25%5D.pdf</x:v>
      </x:c>
      <x:c r="X65" s="2" t="str">
        <x:v>https://iiasa.ac.at/what-is-technology</x:v>
      </x:c>
      <x:c r="Y65" s="2" t="str">
        <x:v>https://www.ipcc.ch/report/ar6/wg3/chapter/chapter-9/</x:v>
      </x:c>
      <x:c r="Z65" s="2" t="str">
        <x:v>Technology-specific analytical synthesis. The CTCN hierarchy is retained; classifications and component dependencies require validation against the selected design, site and supplier documentation before investment or policy use.</x:v>
      </x:c>
      <x:c r="AA65" s="2" t="str">
        <x:v>Physical deployment of New building design requires building fabric, plant rooms, electrical and water networks, access for maintenance and metering; interfaces, foundations, access and environmental protection are sized to the specific resource and design load.</x:v>
      </x:c>
      <x:c r="AB65" s="2" t="str">
        <x:v>For New building design, the hardware energy balance comprises electricity and thermal energy; peak demand, part-load efficiency and controls determine actual savings; metering must separate useful output, conversion losses and auxiliaries for the selected design.</x:v>
      </x:c>
      <x:c r="AC65" s="2" t="str">
        <x:v>Construction and operation use insulation, glass, concrete, steel, timber, aluminium, copper, refrigerants and electronic components as applicable. For New building design, specifications must include durability, compatibility, recycled content and recoverability.</x:v>
      </x:c>
      <x:c r="AD65" s="2" t="str">
        <x:v>Maintenance of New building design depends on filters, belts, seals, lamps or drivers, sensors, actuators, valves, control modules and envelope repair materials; critical spares are selected from failure-mode, lead-time and safety analysis for its installed configuration.</x:v>
      </x:c>
      <x:c r="AE65" s="2" t="str">
        <x:v>The software stack for New building design requires databases, secure communications, version-controlled models, computing, backup and interfaces with field or operational systems.</x:v>
      </x:c>
      <x:c r="AF65" s="2" t="str">
        <x:v>For New building design, software-related energy is electricity for sensing, computing, storage, communication and cooling; it is normally secondary but must be included for data-intensive or continuous services.</x:v>
      </x:c>
      <x:c r="AG65" s="2" t="str">
        <x:v>The non-physical inputs are calibrated data, metadata, algorithms, boundary conditions, emission or hazard factors, manuals and validation records specific to New building design.</x:v>
      </x:c>
      <x:c r="AH65" s="2" t="str">
        <x:v>Software continuity for New building design requires licences where applicable, updates, cybersecurity patches, backups, calibration files, model validation and technical support.</x:v>
      </x:c>
      <x:c r="AI65" s="2" t="str">
        <x:v>Orgware depends on the institutions, laboratories, training providers, regulators, operators and community interfaces needed to govern New building design.</x:v>
      </x:c>
      <x:c r="AJ65" s="2" t="str">
        <x:v>The orgware supporting New building design has mainly indirect energy use from offices, meetings, training and information systems; travel and field supervision may be material at dispersed sites.</x:v>
      </x:c>
      <x:c r="AK65" s="2" t="str">
        <x:v>Its organisational inputs are permits, budgets, trained staff, competence records, contracts, procedures, safeguards, monitoring evidence and stakeholder agreements tailored to New building design.</x:v>
      </x:c>
      <x:c r="AL65" s="2" t="str">
        <x:v>Sustained implementation of New building design requires procurement and service contracts, audit protocols, training material, reporting templates, insurance or guarantees and periodic independent review.</x:v>
      </x:c>
      <x:c r="AM65" s="2" t="str">
        <x:v>Iron ore / steel inputs; Limestone / cement raw materials</x:v>
      </x:c>
      <x:c r="AN65" s="2" t="str">
        <x:v>Australia; Brazil; China; India; Vietnam</x:v>
      </x:c>
      <x:c r="AO65" s="2" t="str">
        <x:v>China; India; Japan; Vietnam</x:v>
      </x:c>
      <x:c r="AP65" s="2" t="str">
        <x:v>New building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5" s="2" t="str">
        <x:v>2024–2025</x:v>
      </x:c>
      <x:c r="AR65" s="2" t="str">
        <x:v>https://pubs.usgs.gov/periodicals/mcs2026/mcs2026.pdf</x:v>
      </x:c>
    </x:row>
    <x:row r="66" ht="240" customHeight="1">
      <x:c r="A66" s="2" t="str">
        <x:v>MIT-0059</x:v>
      </x:c>
      <x:c r="B66" s="2" t="str">
        <x:v>Mitigation</x:v>
      </x:c>
      <x:c r="C66" s="2" t="str">
        <x:v>Energy efficiency</x:v>
      </x:c>
      <x:c r="D66" s="2" t="str">
        <x:v>Buildings</x:v>
      </x:c>
      <x:c r="E66" s="2" t="str">
        <x:v>Insulation in buildings</x:v>
      </x:c>
      <x:c r="F66" s="2" t="str">
        <x:v>Insulation in buildings is a mitigation technology in the Energy efficiency sector and the Buildings technology group. It is defined as a combined hardware–software–orgware system that reduces thermal, electrical or water demand through passive design, efficient equipment, controls and low-impact materials. Insulation in buildings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6" s="2" t="str">
        <x:v>Mixed: adaptable design, site-specific implementation</x:v>
      </x:c>
      <x:c r="H66" s="2" t="str">
        <x:v>Insulation in buildings is adaptable in capacity and configuration but site-specific in final engineering. Its principle remains the same, but resource quality, climate, scale, interfaces and safety constraints must be recalculated for each deployment.</x:v>
      </x:c>
      <x:c r="I66" s="2" t="str">
        <x:v>Primarily hard, with a soft component</x:v>
      </x:c>
      <x:c r="J66" s="2" t="str">
        <x:v>Insulation in buildings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6" s="2" t="str">
        <x:v>Equipment and operation</x:v>
      </x:c>
      <x:c r="L66" s="2" t="str">
        <x:v>Insulation in buildings is embodied mainly as an equipment-and-operation system. The deliverable is accepted only when measurable service, quality, safety and climate-performance criteria are met under real conditions.</x:v>
      </x:c>
      <x:c r="M66" s="2" t="str">
        <x:v>Yes, subject to life-cycle safeguards</x:v>
      </x:c>
      <x:c r="N66" s="2" t="str">
        <x:v>Insulation in buildings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6" s="2" t="str">
        <x:v>Insulation in buildings: envelope assemblies, efficient equipment, sensors, actuators, meters and distribution systems.</x:v>
      </x:c>
      <x:c r="P66" s="2" t="str">
        <x:v>Insulation in buildings: energy simulation, load calculation, control sequences, commissioning data and building management.</x:v>
      </x:c>
      <x:c r="Q66" s="2" t="str">
        <x:v>Insulation in buildings: building codes, performance standards, procurement, commissioning, maintenance plans and occupant guidance.</x:v>
      </x:c>
      <x:c r="R66" s="2" t="str">
        <x:v>Insulation in buildings: building fabric, plant rooms, electrical and water networks, access for maintenance and metering.</x:v>
      </x:c>
      <x:c r="S66" s="2" t="str">
        <x:v>Insulation in buildings: electricity and thermal energy; peak demand, part-load efficiency and controls determine actual savings.</x:v>
      </x:c>
      <x:c r="T66" s="2" t="str">
        <x:v>Insulation in buildings: insulation, glass, concrete, steel, timber, aluminium, copper, refrigerants and electronic components as applicable.</x:v>
      </x:c>
      <x:c r="U66" s="2" t="str">
        <x:v>Insulation in buildings: filters, belts, seals, lamps or drivers, sensors, actuators, valves, control modules and envelope repair materials.</x:v>
      </x:c>
      <x:c r="V66" s="2" t="str">
        <x:v>https://www.ctc-n.org/sites/default/files/resources/ctcn_taxonomy_0.pdf</x:v>
      </x:c>
      <x:c r="W66" s="2" t="str">
        <x:v>https://institutoagricoladepueblobello.edu.co/colegiapp/archivostemas/GUIA%209.%5B25%5D.pdf</x:v>
      </x:c>
      <x:c r="X66" s="2" t="str">
        <x:v>https://iiasa.ac.at/what-is-technology</x:v>
      </x:c>
      <x:c r="Y66" s="2" t="str">
        <x:v>https://www.ipcc.ch/report/ar6/wg3/chapter/chapter-9/</x:v>
      </x:c>
      <x:c r="Z66" s="2" t="str">
        <x:v>Technology-specific analytical synthesis. The CTCN hierarchy is retained; classifications and component dependencies require validation against the selected design, site and supplier documentation before investment or policy use.</x:v>
      </x:c>
      <x:c r="AA66" s="2" t="str">
        <x:v>Physical deployment of Insulation in buildings requires building fabric, plant rooms, electrical and water networks, access for maintenance and metering; interfaces, foundations, access and environmental protection are sized to the specific resource and design load.</x:v>
      </x:c>
      <x:c r="AB66" s="2" t="str">
        <x:v>For Insulation in buildings, the hardware energy balance comprises electricity and thermal energy; peak demand, part-load efficiency and controls determine actual savings; metering must separate useful output, conversion losses and auxiliaries for the selected design.</x:v>
      </x:c>
      <x:c r="AC66" s="2" t="str">
        <x:v>Construction and operation use insulation, glass, concrete, steel, timber, aluminium, copper, refrigerants and electronic components as applicable. For Insulation in buildings, specifications must include durability, compatibility, recycled content and recoverability.</x:v>
      </x:c>
      <x:c r="AD66" s="2" t="str">
        <x:v>Maintenance of Insulation in buildings depends on filters, belts, seals, lamps or drivers, sensors, actuators, valves, control modules and envelope repair materials; critical spares are selected from failure-mode, lead-time and safety analysis for its installed configuration.</x:v>
      </x:c>
      <x:c r="AE66" s="2" t="str">
        <x:v>The software stack for Insulation in buildings requires databases, secure communications, version-controlled models, computing, backup and interfaces with field or operational systems.</x:v>
      </x:c>
      <x:c r="AF66" s="2" t="str">
        <x:v>For Insulation in buildings, software-related energy is electricity for sensing, computing, storage, communication and cooling; it is normally secondary but must be included for data-intensive or continuous services.</x:v>
      </x:c>
      <x:c r="AG66" s="2" t="str">
        <x:v>The non-physical inputs are calibrated data, metadata, algorithms, boundary conditions, emission or hazard factors, manuals and validation records specific to Insulation in buildings.</x:v>
      </x:c>
      <x:c r="AH66" s="2" t="str">
        <x:v>Software continuity for Insulation in buildings requires licences where applicable, updates, cybersecurity patches, backups, calibration files, model validation and technical support.</x:v>
      </x:c>
      <x:c r="AI66" s="2" t="str">
        <x:v>Orgware depends on the institutions, laboratories, training providers, regulators, operators and community interfaces needed to govern Insulation in buildings.</x:v>
      </x:c>
      <x:c r="AJ66" s="2" t="str">
        <x:v>The orgware supporting Insulation in buildings has mainly indirect energy use from offices, meetings, training and information systems; travel and field supervision may be material at dispersed sites.</x:v>
      </x:c>
      <x:c r="AK66" s="2" t="str">
        <x:v>Its organisational inputs are permits, budgets, trained staff, competence records, contracts, procedures, safeguards, monitoring evidence and stakeholder agreements tailored to Insulation in buildings.</x:v>
      </x:c>
      <x:c r="AL66" s="2" t="str">
        <x:v>Sustained implementation of Insulation in buildings requires procurement and service contracts, audit protocols, training material, reporting templates, insurance or guarantees and periodic independent review.</x:v>
      </x:c>
      <x:c r="AM66" s="2" t="str">
        <x:v>Iron ore / steel inputs; Limestone / cement raw materials</x:v>
      </x:c>
      <x:c r="AN66" s="2" t="str">
        <x:v>Australia; Brazil; China; India; Vietnam</x:v>
      </x:c>
      <x:c r="AO66" s="2" t="str">
        <x:v>China; India; Japan; Vietnam</x:v>
      </x:c>
      <x:c r="AP66" s="2" t="str">
        <x:v>Insulation in buildings: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6" s="2" t="str">
        <x:v>2024–2025</x:v>
      </x:c>
      <x:c r="AR66" s="2" t="str">
        <x:v>https://pubs.usgs.gov/periodicals/mcs2026/mcs2026.pdf</x:v>
      </x:c>
    </x:row>
    <x:row r="67" ht="240" customHeight="1">
      <x:c r="A67" s="2" t="str">
        <x:v>MIT-0060</x:v>
      </x:c>
      <x:c r="B67" s="2" t="str">
        <x:v>Mitigation</x:v>
      </x:c>
      <x:c r="C67" s="2" t="str">
        <x:v>Energy efficiency</x:v>
      </x:c>
      <x:c r="D67" s="2" t="str">
        <x:v>Buildings</x:v>
      </x:c>
      <x:c r="E67" s="2" t="str">
        <x:v>Building envelope thermal insulation</x:v>
      </x:c>
      <x:c r="F67" s="2" t="str">
        <x:v>Building envelope thermal insulation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envelope thermal insulation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7" s="2" t="str">
        <x:v>Mixed: adaptable design, site-specific implementation</x:v>
      </x:c>
      <x:c r="H67" s="2" t="str">
        <x:v>Building envelope thermal insulation is adaptable in capacity and configuration but site-specific in final engineering. Its principle remains the same, but resource quality, climate, scale, interfaces and safety constraints must be recalculated for each deployment.</x:v>
      </x:c>
      <x:c r="I67" s="2" t="str">
        <x:v>Primarily hard, with a soft component</x:v>
      </x:c>
      <x:c r="J67" s="2" t="str">
        <x:v>Building envelope thermal insulation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7" s="2" t="str">
        <x:v>Equipment and operation</x:v>
      </x:c>
      <x:c r="L67" s="2" t="str">
        <x:v>Building envelope thermal insulation is embodied mainly as an equipment-and-operation system. The deliverable is accepted only when measurable service, quality, safety and climate-performance criteria are met under real conditions.</x:v>
      </x:c>
      <x:c r="M67" s="2" t="str">
        <x:v>Yes, subject to life-cycle safeguards</x:v>
      </x:c>
      <x:c r="N67" s="2" t="str">
        <x:v>Building envelope thermal insulation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7" s="2" t="str">
        <x:v>Building envelope thermal insulation: envelope assemblies, efficient equipment, sensors, actuators, meters and distribution systems.</x:v>
      </x:c>
      <x:c r="P67" s="2" t="str">
        <x:v>Building envelope thermal insulation: energy simulation, load calculation, control sequences, commissioning data and building management.</x:v>
      </x:c>
      <x:c r="Q67" s="2" t="str">
        <x:v>Building envelope thermal insulation: building codes, performance standards, procurement, commissioning, maintenance plans and occupant guidance.</x:v>
      </x:c>
      <x:c r="R67" s="2" t="str">
        <x:v>Building envelope thermal insulation: building fabric, plant rooms, electrical and water networks, access for maintenance and metering.</x:v>
      </x:c>
      <x:c r="S67" s="2" t="str">
        <x:v>Building envelope thermal insulation: electricity and thermal energy; peak demand, part-load efficiency and controls determine actual savings.</x:v>
      </x:c>
      <x:c r="T67" s="2" t="str">
        <x:v>Building envelope thermal insulation: insulation, glass, concrete, steel, timber, aluminium, copper, refrigerants and electronic components as applicable.</x:v>
      </x:c>
      <x:c r="U67" s="2" t="str">
        <x:v>Building envelope thermal insulation: filters, belts, seals, lamps or drivers, sensors, actuators, valves, control modules and envelope repair materials.</x:v>
      </x:c>
      <x:c r="V67" s="2" t="str">
        <x:v>https://www.ctc-n.org/sites/default/files/resources/ctcn_taxonomy_0.pdf</x:v>
      </x:c>
      <x:c r="W67" s="2" t="str">
        <x:v>https://institutoagricoladepueblobello.edu.co/colegiapp/archivostemas/GUIA%209.%5B25%5D.pdf</x:v>
      </x:c>
      <x:c r="X67" s="2" t="str">
        <x:v>https://iiasa.ac.at/what-is-technology</x:v>
      </x:c>
      <x:c r="Y67" s="2" t="str">
        <x:v>https://www.ipcc.ch/report/ar6/wg3/chapter/chapter-9/</x:v>
      </x:c>
      <x:c r="Z67" s="2" t="str">
        <x:v>Technology-specific analytical synthesis. The CTCN hierarchy is retained; classifications and component dependencies require validation against the selected design, site and supplier documentation before investment or policy use.</x:v>
      </x:c>
      <x:c r="AA67" s="2" t="str">
        <x:v>Physical deployment of Building envelope thermal insulation requires building fabric, plant rooms, electrical and water networks, access for maintenance and metering; interfaces, foundations, access and environmental protection are sized to the specific resource and design load.</x:v>
      </x:c>
      <x:c r="AB67" s="2" t="str">
        <x:v>For Building envelope thermal insulation, the hardware energy balance comprises electricity and thermal energy; peak demand, part-load efficiency and controls determine actual savings; metering must separate useful output, conversion losses and auxiliaries for the selected design.</x:v>
      </x:c>
      <x:c r="AC67" s="2" t="str">
        <x:v>Construction and operation use insulation, glass, concrete, steel, timber, aluminium, copper, refrigerants and electronic components as applicable. For Building envelope thermal insulation, specifications must include durability, compatibility, recycled content and recoverability.</x:v>
      </x:c>
      <x:c r="AD67" s="2" t="str">
        <x:v>Maintenance of Building envelope thermal insulation depends on filters, belts, seals, lamps or drivers, sensors, actuators, valves, control modules and envelope repair materials; critical spares are selected from failure-mode, lead-time and safety analysis for its installed configuration.</x:v>
      </x:c>
      <x:c r="AE67" s="2" t="str">
        <x:v>The software stack for Building envelope thermal insulation requires databases, secure communications, version-controlled models, computing, backup and interfaces with field or operational systems.</x:v>
      </x:c>
      <x:c r="AF67" s="2" t="str">
        <x:v>For Building envelope thermal insulation, software-related energy is electricity for sensing, computing, storage, communication and cooling; it is normally secondary but must be included for data-intensive or continuous services.</x:v>
      </x:c>
      <x:c r="AG67" s="2" t="str">
        <x:v>The non-physical inputs are calibrated data, metadata, algorithms, boundary conditions, emission or hazard factors, manuals and validation records specific to Building envelope thermal insulation.</x:v>
      </x:c>
      <x:c r="AH67" s="2" t="str">
        <x:v>Software continuity for Building envelope thermal insulation requires licences where applicable, updates, cybersecurity patches, backups, calibration files, model validation and technical support.</x:v>
      </x:c>
      <x:c r="AI67" s="2" t="str">
        <x:v>Orgware depends on the institutions, laboratories, training providers, regulators, operators and community interfaces needed to govern Building envelope thermal insulation.</x:v>
      </x:c>
      <x:c r="AJ67" s="2" t="str">
        <x:v>The orgware supporting Building envelope thermal insulation has mainly indirect energy use from offices, meetings, training and information systems; travel and field supervision may be material at dispersed sites.</x:v>
      </x:c>
      <x:c r="AK67" s="2" t="str">
        <x:v>Its organisational inputs are permits, budgets, trained staff, competence records, contracts, procedures, safeguards, monitoring evidence and stakeholder agreements tailored to Building envelope thermal insulation.</x:v>
      </x:c>
      <x:c r="AL67" s="2" t="str">
        <x:v>Sustained implementation of Building envelope thermal insulation requires procurement and service contracts, audit protocols, training material, reporting templates, insurance or guarantees and periodic independent review.</x:v>
      </x:c>
      <x:c r="AM67" s="2" t="str">
        <x:v>Iron ore / steel inputs; Limestone / cement raw materials</x:v>
      </x:c>
      <x:c r="AN67" s="2" t="str">
        <x:v>Australia; Brazil; China; India; Vietnam</x:v>
      </x:c>
      <x:c r="AO67" s="2" t="str">
        <x:v>China; India; Japan; Vietnam</x:v>
      </x:c>
      <x:c r="AP67" s="2" t="str">
        <x:v>Building envelope thermal insulation: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7" s="2" t="str">
        <x:v>2024–2025</x:v>
      </x:c>
      <x:c r="AR67" s="2" t="str">
        <x:v>https://pubs.usgs.gov/periodicals/mcs2026/mcs2026.pdf</x:v>
      </x:c>
    </x:row>
    <x:row r="68" ht="240" customHeight="1">
      <x:c r="A68" s="2" t="str">
        <x:v>MIT-0061</x:v>
      </x:c>
      <x:c r="B68" s="2" t="str">
        <x:v>Mitigation</x:v>
      </x:c>
      <x:c r="C68" s="2" t="str">
        <x:v>Energy efficiency</x:v>
      </x:c>
      <x:c r="D68" s="2" t="str">
        <x:v>Buildings</x:v>
      </x:c>
      <x:c r="E68" s="2" t="str">
        <x:v>Building materials</x:v>
      </x:c>
      <x:c r="F68" s="2" t="str">
        <x:v>Building materials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materials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8" s="2" t="str">
        <x:v>Mixed: adaptable design, site-specific implementation</x:v>
      </x:c>
      <x:c r="H68" s="2" t="str">
        <x:v>Building materials is adaptable in capacity and configuration but site-specific in final engineering. Its principle remains the same, but resource quality, climate, scale, interfaces and safety constraints must be recalculated for each deployment.</x:v>
      </x:c>
      <x:c r="I68" s="2" t="str">
        <x:v>Primarily hard, with a soft component</x:v>
      </x:c>
      <x:c r="J68" s="2" t="str">
        <x:v>Building materials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8" s="2" t="str">
        <x:v>Product and equipment; complementary operation</x:v>
      </x:c>
      <x:c r="L68" s="2" t="str">
        <x:v>Building materials is embodied mainly as a product/equipment package. The deliverable is accepted only when measurable service, quality, safety and climate-performance criteria are met under real conditions.</x:v>
      </x:c>
      <x:c r="M68" s="2" t="str">
        <x:v>Yes, subject to life-cycle safeguards</x:v>
      </x:c>
      <x:c r="N68" s="2" t="str">
        <x:v>Building materials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8" s="2" t="str">
        <x:v>Building materials: envelope assemblies, efficient equipment, sensors, actuators, meters and distribution systems.</x:v>
      </x:c>
      <x:c r="P68" s="2" t="str">
        <x:v>Building materials: energy simulation, load calculation, control sequences, commissioning data and building management.</x:v>
      </x:c>
      <x:c r="Q68" s="2" t="str">
        <x:v>Building materials: building codes, performance standards, procurement, commissioning, maintenance plans and occupant guidance.</x:v>
      </x:c>
      <x:c r="R68" s="2" t="str">
        <x:v>Building materials: building fabric, plant rooms, electrical and water networks, access for maintenance and metering.</x:v>
      </x:c>
      <x:c r="S68" s="2" t="str">
        <x:v>Building materials: electricity and thermal energy; peak demand, part-load efficiency and controls determine actual savings.</x:v>
      </x:c>
      <x:c r="T68" s="2" t="str">
        <x:v>Building materials: insulation, glass, concrete, steel, timber, aluminium, copper, refrigerants and electronic components as applicable.</x:v>
      </x:c>
      <x:c r="U68" s="2" t="str">
        <x:v>Building materials: filters, belts, seals, lamps or drivers, sensors, actuators, valves, control modules and envelope repair materials.</x:v>
      </x:c>
      <x:c r="V68" s="2" t="str">
        <x:v>https://www.ctc-n.org/sites/default/files/resources/ctcn_taxonomy_0.pdf</x:v>
      </x:c>
      <x:c r="W68" s="2" t="str">
        <x:v>https://institutoagricoladepueblobello.edu.co/colegiapp/archivostemas/GUIA%209.%5B25%5D.pdf</x:v>
      </x:c>
      <x:c r="X68" s="2" t="str">
        <x:v>https://iiasa.ac.at/what-is-technology</x:v>
      </x:c>
      <x:c r="Y68" s="2" t="str">
        <x:v>https://www.ipcc.ch/report/ar6/wg3/chapter/chapter-9/</x:v>
      </x:c>
      <x:c r="Z68" s="2" t="str">
        <x:v>Technology-specific analytical synthesis. The CTCN hierarchy is retained; classifications and component dependencies require validation against the selected design, site and supplier documentation before investment or policy use.</x:v>
      </x:c>
      <x:c r="AA68" s="2" t="str">
        <x:v>Physical deployment of Building materials requires building fabric, plant rooms, electrical and water networks, access for maintenance and metering; interfaces, foundations, access and environmental protection are sized to the specific resource and design load.</x:v>
      </x:c>
      <x:c r="AB68" s="2" t="str">
        <x:v>For Building materials, the hardware energy balance comprises electricity and thermal energy; peak demand, part-load efficiency and controls determine actual savings; metering must separate useful output, conversion losses and auxiliaries for the selected design.</x:v>
      </x:c>
      <x:c r="AC68" s="2" t="str">
        <x:v>Construction and operation use insulation, glass, concrete, steel, timber, aluminium, copper, refrigerants and electronic components as applicable. For Building materials, specifications must include durability, compatibility, recycled content and recoverability.</x:v>
      </x:c>
      <x:c r="AD68" s="2" t="str">
        <x:v>Maintenance of Building materials depends on filters, belts, seals, lamps or drivers, sensors, actuators, valves, control modules and envelope repair materials; critical spares are selected from failure-mode, lead-time and safety analysis for its installed configuration.</x:v>
      </x:c>
      <x:c r="AE68" s="2" t="str">
        <x:v>The software stack for Building materials requires databases, secure communications, version-controlled models, computing, backup and interfaces with field or operational systems.</x:v>
      </x:c>
      <x:c r="AF68" s="2" t="str">
        <x:v>For Building materials, software-related energy is electricity for sensing, computing, storage, communication and cooling; it is normally secondary but must be included for data-intensive or continuous services.</x:v>
      </x:c>
      <x:c r="AG68" s="2" t="str">
        <x:v>The non-physical inputs are calibrated data, metadata, algorithms, boundary conditions, emission or hazard factors, manuals and validation records specific to Building materials.</x:v>
      </x:c>
      <x:c r="AH68" s="2" t="str">
        <x:v>Software continuity for Building materials requires licences where applicable, updates, cybersecurity patches, backups, calibration files, model validation and technical support.</x:v>
      </x:c>
      <x:c r="AI68" s="2" t="str">
        <x:v>Orgware depends on the institutions, laboratories, training providers, regulators, operators and community interfaces needed to govern Building materials.</x:v>
      </x:c>
      <x:c r="AJ68" s="2" t="str">
        <x:v>The orgware supporting Building materials has mainly indirect energy use from offices, meetings, training and information systems; travel and field supervision may be material at dispersed sites.</x:v>
      </x:c>
      <x:c r="AK68" s="2" t="str">
        <x:v>Its organisational inputs are permits, budgets, trained staff, competence records, contracts, procedures, safeguards, monitoring evidence and stakeholder agreements tailored to Building materials.</x:v>
      </x:c>
      <x:c r="AL68" s="2" t="str">
        <x:v>Sustained implementation of Building materials requires procurement and service contracts, audit protocols, training material, reporting templates, insurance or guarantees and periodic independent review.</x:v>
      </x:c>
      <x:c r="AM68" s="2" t="str">
        <x:v>Iron ore / steel inputs; Limestone / cement raw materials</x:v>
      </x:c>
      <x:c r="AN68" s="2" t="str">
        <x:v>Australia; Brazil; China; India; Vietnam</x:v>
      </x:c>
      <x:c r="AO68" s="2" t="str">
        <x:v>China; India; Japan; Vietnam</x:v>
      </x:c>
      <x:c r="AP68" s="2" t="str">
        <x:v>Building materials: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8" s="2" t="str">
        <x:v>2024–2025</x:v>
      </x:c>
      <x:c r="AR68" s="2" t="str">
        <x:v>https://pubs.usgs.gov/periodicals/mcs2026/mcs2026.pdf</x:v>
      </x:c>
    </x:row>
    <x:row r="69" ht="240" customHeight="1">
      <x:c r="A69" s="2" t="str">
        <x:v>MIT-0062</x:v>
      </x:c>
      <x:c r="B69" s="2" t="str">
        <x:v>Mitigation</x:v>
      </x:c>
      <x:c r="C69" s="2" t="str">
        <x:v>Energy efficiency</x:v>
      </x:c>
      <x:c r="D69" s="2" t="str">
        <x:v>Buildings</x:v>
      </x:c>
      <x:c r="E69" s="2" t="str">
        <x:v>Building life cycle and integrated design process</x:v>
      </x:c>
      <x:c r="F69" s="2" t="str">
        <x:v>Building life cycle and integrated design process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life cycle and integrated design process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69" s="2" t="str">
        <x:v>Mixed: adaptable design, site-specific implementation</x:v>
      </x:c>
      <x:c r="H69" s="2" t="str">
        <x:v>Building life cycle and integrated design process is adaptable in capacity and configuration but site-specific in final engineering. Its principle remains the same, but resource quality, climate, scale, interfaces and safety constraints must be recalculated for each deployment.</x:v>
      </x:c>
      <x:c r="I69" s="2" t="str">
        <x:v>Primarily hard, with a soft component</x:v>
      </x:c>
      <x:c r="J69" s="2" t="str">
        <x:v>Building life cycle and integrated design process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69" s="2" t="str">
        <x:v>Equipment and operation</x:v>
      </x:c>
      <x:c r="L69" s="2" t="str">
        <x:v>Building life cycle and integrated design process is embodied mainly as an equipment-and-operation system. The deliverable is accepted only when measurable service, quality, safety and climate-performance criteria are met under real conditions.</x:v>
      </x:c>
      <x:c r="M69" s="2" t="str">
        <x:v>Yes, subject to life-cycle safeguards</x:v>
      </x:c>
      <x:c r="N69" s="2" t="str">
        <x:v>Building life cycle and integrated design process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69" s="2" t="str">
        <x:v>Building life cycle and integrated design process: envelope assemblies, efficient equipment, sensors, actuators, meters and distribution systems.</x:v>
      </x:c>
      <x:c r="P69" s="2" t="str">
        <x:v>Building life cycle and integrated design process: energy simulation, load calculation, control sequences, commissioning data and building management.</x:v>
      </x:c>
      <x:c r="Q69" s="2" t="str">
        <x:v>Building life cycle and integrated design process: building codes, performance standards, procurement, commissioning, maintenance plans and occupant guidance.</x:v>
      </x:c>
      <x:c r="R69" s="2" t="str">
        <x:v>Building life cycle and integrated design process: building fabric, plant rooms, electrical and water networks, access for maintenance and metering.</x:v>
      </x:c>
      <x:c r="S69" s="2" t="str">
        <x:v>Building life cycle and integrated design process: electricity and thermal energy; peak demand, part-load efficiency and controls determine actual savings.</x:v>
      </x:c>
      <x:c r="T69" s="2" t="str">
        <x:v>Building life cycle and integrated design process: insulation, glass, concrete, steel, timber, aluminium, copper, refrigerants and electronic components as applicable.</x:v>
      </x:c>
      <x:c r="U69" s="2" t="str">
        <x:v>Building life cycle and integrated design process: filters, belts, seals, lamps or drivers, sensors, actuators, valves, control modules and envelope repair materials.</x:v>
      </x:c>
      <x:c r="V69" s="2" t="str">
        <x:v>https://www.ctc-n.org/sites/default/files/resources/ctcn_taxonomy_0.pdf</x:v>
      </x:c>
      <x:c r="W69" s="2" t="str">
        <x:v>https://institutoagricoladepueblobello.edu.co/colegiapp/archivostemas/GUIA%209.%5B25%5D.pdf</x:v>
      </x:c>
      <x:c r="X69" s="2" t="str">
        <x:v>https://iiasa.ac.at/what-is-technology</x:v>
      </x:c>
      <x:c r="Y69" s="2" t="str">
        <x:v>https://www.ipcc.ch/report/ar6/wg3/chapter/chapter-9/</x:v>
      </x:c>
      <x:c r="Z69" s="2" t="str">
        <x:v>Technology-specific analytical synthesis. The CTCN hierarchy is retained; classifications and component dependencies require validation against the selected design, site and supplier documentation before investment or policy use.</x:v>
      </x:c>
      <x:c r="AA69" s="2" t="str">
        <x:v>Physical deployment of Building life cycle and integrated design process requires building fabric, plant rooms, electrical and water networks, access for maintenance and metering; interfaces, foundations, access and environmental protection are sized to the specific resource and design load.</x:v>
      </x:c>
      <x:c r="AB69" s="2" t="str">
        <x:v>For Building life cycle and integrated design process, the hardware energy balance comprises electricity and thermal energy; peak demand, part-load efficiency and controls determine actual savings; metering must separate useful output, conversion losses and auxiliaries for the selected design.</x:v>
      </x:c>
      <x:c r="AC69" s="2" t="str">
        <x:v>Construction and operation use insulation, glass, concrete, steel, timber, aluminium, copper, refrigerants and electronic components as applicable. For Building life cycle and integrated design process, specifications must include durability, compatibility, recycled content and recoverability.</x:v>
      </x:c>
      <x:c r="AD69" s="2" t="str">
        <x:v>Maintenance of Building life cycle and integrated design process depends on filters, belts, seals, lamps or drivers, sensors, actuators, valves, control modules and envelope repair materials; critical spares are selected from failure-mode, lead-time and safety analysis for its installed configuration.</x:v>
      </x:c>
      <x:c r="AE69" s="2" t="str">
        <x:v>The software stack for Building life cycle and integrated design process requires databases, secure communications, version-controlled models, computing, backup and interfaces with field or operational systems.</x:v>
      </x:c>
      <x:c r="AF69" s="2" t="str">
        <x:v>For Building life cycle and integrated design process, software-related energy is electricity for sensing, computing, storage, communication and cooling; it is normally secondary but must be included for data-intensive or continuous services.</x:v>
      </x:c>
      <x:c r="AG69" s="2" t="str">
        <x:v>The non-physical inputs are calibrated data, metadata, algorithms, boundary conditions, emission or hazard factors, manuals and validation records specific to Building life cycle and integrated design process.</x:v>
      </x:c>
      <x:c r="AH69" s="2" t="str">
        <x:v>Software continuity for Building life cycle and integrated design process requires licences where applicable, updates, cybersecurity patches, backups, calibration files, model validation and technical support.</x:v>
      </x:c>
      <x:c r="AI69" s="2" t="str">
        <x:v>Orgware depends on the institutions, laboratories, training providers, regulators, operators and community interfaces needed to govern Building life cycle and integrated design process.</x:v>
      </x:c>
      <x:c r="AJ69" s="2" t="str">
        <x:v>The orgware supporting Building life cycle and integrated design process has mainly indirect energy use from offices, meetings, training and information systems; travel and field supervision may be material at dispersed sites.</x:v>
      </x:c>
      <x:c r="AK69" s="2" t="str">
        <x:v>Its organisational inputs are permits, budgets, trained staff, competence records, contracts, procedures, safeguards, monitoring evidence and stakeholder agreements tailored to Building life cycle and integrated design process.</x:v>
      </x:c>
      <x:c r="AL69" s="2" t="str">
        <x:v>Sustained implementation of Building life cycle and integrated design process requires procurement and service contracts, audit protocols, training material, reporting templates, insurance or guarantees and periodic independent review.</x:v>
      </x:c>
      <x:c r="AM69" s="2" t="str">
        <x:v>Iron ore / steel inputs; Limestone / cement raw materials</x:v>
      </x:c>
      <x:c r="AN69" s="2" t="str">
        <x:v>Australia; Brazil; China; India; Vietnam</x:v>
      </x:c>
      <x:c r="AO69" s="2" t="str">
        <x:v>China; India; Japan; Vietnam</x:v>
      </x:c>
      <x:c r="AP69" s="2" t="str">
        <x:v>Building life cycle and integrated design process: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9" s="2" t="str">
        <x:v>2024–2025</x:v>
      </x:c>
      <x:c r="AR69" s="2" t="str">
        <x:v>https://pubs.usgs.gov/periodicals/mcs2026/mcs2026.pdf</x:v>
      </x:c>
    </x:row>
    <x:row r="70" ht="240" customHeight="1">
      <x:c r="A70" s="2" t="str">
        <x:v>MIT-0063</x:v>
      </x:c>
      <x:c r="B70" s="2" t="str">
        <x:v>Mitigation</x:v>
      </x:c>
      <x:c r="C70" s="2" t="str">
        <x:v>Energy efficiency</x:v>
      </x:c>
      <x:c r="D70" s="2" t="str">
        <x:v>Buildings</x:v>
      </x:c>
      <x:c r="E70" s="2" t="str">
        <x:v>Building standards and codes</x:v>
      </x:c>
      <x:c r="F70" s="2" t="str">
        <x:v>Building standards and codes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standards and codes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0" s="2" t="str">
        <x:v>Flexible</x:v>
      </x:c>
      <x:c r="H70" s="2" t="str">
        <x:v>Building standards and codes is transferable through configurable methods, rules and operating parameters. Its principle remains the same, but resource quality, climate, scale, interfaces and safety constraints must be recalculated for each deployment.</x:v>
      </x:c>
      <x:c r="I70" s="2" t="str">
        <x:v>Primarily soft, with physical support</x:v>
      </x:c>
      <x:c r="J70" s="2" t="str">
        <x:v>Building standards and codes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0" s="2" t="str">
        <x:v>Operation</x:v>
      </x:c>
      <x:c r="L70" s="2" t="str">
        <x:v>Building standards and codes is embodied mainly as an operating practice. The deliverable is accepted only when measurable service, quality, safety and climate-performance criteria are met under real conditions.</x:v>
      </x:c>
      <x:c r="M70" s="2" t="str">
        <x:v>Yes, subject to life-cycle safeguards</x:v>
      </x:c>
      <x:c r="N70" s="2" t="str">
        <x:v>Building standards and codes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0" s="2" t="str">
        <x:v>Building standards and codes: envelope assemblies, efficient equipment, sensors, actuators, meters and distribution systems.</x:v>
      </x:c>
      <x:c r="P70" s="2" t="str">
        <x:v>Building standards and codes: energy simulation, load calculation, control sequences, commissioning data and building management.</x:v>
      </x:c>
      <x:c r="Q70" s="2" t="str">
        <x:v>Building standards and codes: building codes, performance standards, procurement, commissioning, maintenance plans and occupant guidance.</x:v>
      </x:c>
      <x:c r="R70" s="2" t="str">
        <x:v>Building standards and codes: building fabric, plant rooms, electrical and water networks, access for maintenance and metering.</x:v>
      </x:c>
      <x:c r="S70" s="2" t="str">
        <x:v>Building standards and codes: electricity and thermal energy; peak demand, part-load efficiency and controls determine actual savings.</x:v>
      </x:c>
      <x:c r="T70" s="2" t="str">
        <x:v>Building standards and codes: insulation, glass, concrete, steel, timber, aluminium, copper, refrigerants and electronic components as applicable.</x:v>
      </x:c>
      <x:c r="U70" s="2" t="str">
        <x:v>Building standards and codes: filters, belts, seals, lamps or drivers, sensors, actuators, valves, control modules and envelope repair materials.</x:v>
      </x:c>
      <x:c r="V70" s="2" t="str">
        <x:v>https://www.ctc-n.org/sites/default/files/resources/ctcn_taxonomy_0.pdf</x:v>
      </x:c>
      <x:c r="W70" s="2" t="str">
        <x:v>https://institutoagricoladepueblobello.edu.co/colegiapp/archivostemas/GUIA%209.%5B25%5D.pdf</x:v>
      </x:c>
      <x:c r="X70" s="2" t="str">
        <x:v>https://iiasa.ac.at/what-is-technology</x:v>
      </x:c>
      <x:c r="Y70" s="2" t="str">
        <x:v>https://www.ipcc.ch/report/ar6/wg3/chapter/chapter-9/</x:v>
      </x:c>
      <x:c r="Z70" s="2" t="str">
        <x:v>Technology-specific analytical synthesis. The CTCN hierarchy is retained; classifications and component dependencies require validation against the selected design, site and supplier documentation before investment or policy use.</x:v>
      </x:c>
      <x:c r="AA70" s="2" t="str">
        <x:v>Physical deployment of Building standards and codes requires building fabric, plant rooms, electrical and water networks, access for maintenance and metering; interfaces, foundations, access and environmental protection are sized to the specific resource and design load.</x:v>
      </x:c>
      <x:c r="AB70" s="2" t="str">
        <x:v>For Building standards and codes, the hardware energy balance comprises electricity and thermal energy; peak demand, part-load efficiency and controls determine actual savings; metering must separate useful output, conversion losses and auxiliaries for the selected design.</x:v>
      </x:c>
      <x:c r="AC70" s="2" t="str">
        <x:v>Construction and operation use insulation, glass, concrete, steel, timber, aluminium, copper, refrigerants and electronic components as applicable. For Building standards and codes, specifications must include durability, compatibility, recycled content and recoverability.</x:v>
      </x:c>
      <x:c r="AD70" s="2" t="str">
        <x:v>Maintenance of Building standards and codes depends on filters, belts, seals, lamps or drivers, sensors, actuators, valves, control modules and envelope repair materials; critical spares are selected from failure-mode, lead-time and safety analysis for its installed configuration.</x:v>
      </x:c>
      <x:c r="AE70" s="2" t="str">
        <x:v>The software stack for Building standards and codes requires databases, secure communications, version-controlled models, computing, backup and interfaces with field or operational systems.</x:v>
      </x:c>
      <x:c r="AF70" s="2" t="str">
        <x:v>For Building standards and codes, software-related energy is electricity for sensing, computing, storage, communication and cooling; it is normally secondary but must be included for data-intensive or continuous services.</x:v>
      </x:c>
      <x:c r="AG70" s="2" t="str">
        <x:v>The non-physical inputs are calibrated data, metadata, algorithms, boundary conditions, emission or hazard factors, manuals and validation records specific to Building standards and codes.</x:v>
      </x:c>
      <x:c r="AH70" s="2" t="str">
        <x:v>Software continuity for Building standards and codes requires licences where applicable, updates, cybersecurity patches, backups, calibration files, model validation and technical support.</x:v>
      </x:c>
      <x:c r="AI70" s="2" t="str">
        <x:v>Orgware depends on the institutions, laboratories, training providers, regulators, operators and community interfaces needed to govern Building standards and codes.</x:v>
      </x:c>
      <x:c r="AJ70" s="2" t="str">
        <x:v>The orgware supporting Building standards and codes has mainly indirect energy use from offices, meetings, training and information systems; travel and field supervision may be material at dispersed sites.</x:v>
      </x:c>
      <x:c r="AK70" s="2" t="str">
        <x:v>Its organisational inputs are permits, budgets, trained staff, competence records, contracts, procedures, safeguards, monitoring evidence and stakeholder agreements tailored to Building standards and codes.</x:v>
      </x:c>
      <x:c r="AL70" s="2" t="str">
        <x:v>Sustained implementation of Building standards and codes requires procurement and service contracts, audit protocols, training material, reporting templates, insurance or guarantees and periodic independent review.</x:v>
      </x:c>
      <x:c r="AM70" s="2" t="str">
        <x:v>Iron ore / steel inputs; Limestone / cement raw materials</x:v>
      </x:c>
      <x:c r="AN70" s="2" t="str">
        <x:v>Australia; Brazil; China; India; Vietnam</x:v>
      </x:c>
      <x:c r="AO70" s="2" t="str">
        <x:v>China; India; Japan; Vietnam</x:v>
      </x:c>
      <x:c r="AP70" s="2" t="str">
        <x:v>Building standards and codes: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0" s="2" t="str">
        <x:v>2024–2025</x:v>
      </x:c>
      <x:c r="AR70" s="2" t="str">
        <x:v>https://pubs.usgs.gov/periodicals/mcs2026/mcs2026.pdf</x:v>
      </x:c>
    </x:row>
    <x:row r="71" ht="240" customHeight="1">
      <x:c r="A71" s="2" t="str">
        <x:v>MIT-0064</x:v>
      </x:c>
      <x:c r="B71" s="2" t="str">
        <x:v>Mitigation</x:v>
      </x:c>
      <x:c r="C71" s="2" t="str">
        <x:v>Energy efficiency</x:v>
      </x:c>
      <x:c r="D71" s="2" t="str">
        <x:v>Buildings</x:v>
      </x:c>
      <x:c r="E71" s="2" t="str">
        <x:v>Greening the built environment</x:v>
      </x:c>
      <x:c r="F71" s="2" t="str">
        <x:v>Greening the built environment is a mitigation technology in the Energy efficiency sector and the Buildings technology group. It is defined as a combined hardware–software–orgware system that reduces thermal, electrical or water demand through passive design, efficient equipment, controls and low-impact materials. Greening the built environment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1" s="2" t="str">
        <x:v>Mixed: adaptable design, site-specific implementation</x:v>
      </x:c>
      <x:c r="H71" s="2" t="str">
        <x:v>Greening the built environment is adaptable in capacity and configuration but site-specific in final engineering. Its principle remains the same, but resource quality, climate, scale, interfaces and safety constraints must be recalculated for each deployment.</x:v>
      </x:c>
      <x:c r="I71" s="2" t="str">
        <x:v>Primarily hard, with a soft component</x:v>
      </x:c>
      <x:c r="J71" s="2" t="str">
        <x:v>Greening the built environment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1" s="2" t="str">
        <x:v>Equipment and operation</x:v>
      </x:c>
      <x:c r="L71" s="2" t="str">
        <x:v>Greening the built environment is embodied mainly as an equipment-and-operation system. The deliverable is accepted only when measurable service, quality, safety and climate-performance criteria are met under real conditions.</x:v>
      </x:c>
      <x:c r="M71" s="2" t="str">
        <x:v>Yes, subject to life-cycle safeguards</x:v>
      </x:c>
      <x:c r="N71" s="2" t="str">
        <x:v>Greening the built environment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1" s="2" t="str">
        <x:v>Greening the built environment: envelope assemblies, efficient equipment, sensors, actuators, meters and distribution systems.</x:v>
      </x:c>
      <x:c r="P71" s="2" t="str">
        <x:v>Greening the built environment: energy simulation, load calculation, control sequences, commissioning data and building management.</x:v>
      </x:c>
      <x:c r="Q71" s="2" t="str">
        <x:v>Greening the built environment: building codes, performance standards, procurement, commissioning, maintenance plans and occupant guidance.</x:v>
      </x:c>
      <x:c r="R71" s="2" t="str">
        <x:v>Greening the built environment: building fabric, plant rooms, electrical and water networks, access for maintenance and metering.</x:v>
      </x:c>
      <x:c r="S71" s="2" t="str">
        <x:v>Greening the built environment: electricity and thermal energy; peak demand, part-load efficiency and controls determine actual savings.</x:v>
      </x:c>
      <x:c r="T71" s="2" t="str">
        <x:v>Greening the built environment: insulation, glass, concrete, steel, timber, aluminium, copper, refrigerants and electronic components as applicable.</x:v>
      </x:c>
      <x:c r="U71" s="2" t="str">
        <x:v>Greening the built environment: filters, belts, seals, lamps or drivers, sensors, actuators, valves, control modules and envelope repair materials.</x:v>
      </x:c>
      <x:c r="V71" s="2" t="str">
        <x:v>https://www.ctc-n.org/sites/default/files/resources/ctcn_taxonomy_0.pdf</x:v>
      </x:c>
      <x:c r="W71" s="2" t="str">
        <x:v>https://institutoagricoladepueblobello.edu.co/colegiapp/archivostemas/GUIA%209.%5B25%5D.pdf</x:v>
      </x:c>
      <x:c r="X71" s="2" t="str">
        <x:v>https://iiasa.ac.at/what-is-technology</x:v>
      </x:c>
      <x:c r="Y71" s="2" t="str">
        <x:v>https://www.ipcc.ch/report/ar6/wg3/chapter/chapter-9/</x:v>
      </x:c>
      <x:c r="Z71" s="2" t="str">
        <x:v>Technology-specific analytical synthesis. The CTCN hierarchy is retained; classifications and component dependencies require validation against the selected design, site and supplier documentation before investment or policy use.</x:v>
      </x:c>
      <x:c r="AA71" s="2" t="str">
        <x:v>Physical deployment of Greening the built environment requires building fabric, plant rooms, electrical and water networks, access for maintenance and metering; interfaces, foundations, access and environmental protection are sized to the specific resource and design load.</x:v>
      </x:c>
      <x:c r="AB71" s="2" t="str">
        <x:v>For Greening the built environment, the hardware energy balance comprises electricity and thermal energy; peak demand, part-load efficiency and controls determine actual savings; metering must separate useful output, conversion losses and auxiliaries for the selected design.</x:v>
      </x:c>
      <x:c r="AC71" s="2" t="str">
        <x:v>Construction and operation use insulation, glass, concrete, steel, timber, aluminium, copper, refrigerants and electronic components as applicable. For Greening the built environment, specifications must include durability, compatibility, recycled content and recoverability.</x:v>
      </x:c>
      <x:c r="AD71" s="2" t="str">
        <x:v>Maintenance of Greening the built environment depends on filters, belts, seals, lamps or drivers, sensors, actuators, valves, control modules and envelope repair materials; critical spares are selected from failure-mode, lead-time and safety analysis for its installed configuration.</x:v>
      </x:c>
      <x:c r="AE71" s="2" t="str">
        <x:v>The software stack for Greening the built environment requires databases, secure communications, version-controlled models, computing, backup and interfaces with field or operational systems.</x:v>
      </x:c>
      <x:c r="AF71" s="2" t="str">
        <x:v>For Greening the built environment, software-related energy is electricity for sensing, computing, storage, communication and cooling; it is normally secondary but must be included for data-intensive or continuous services.</x:v>
      </x:c>
      <x:c r="AG71" s="2" t="str">
        <x:v>The non-physical inputs are calibrated data, metadata, algorithms, boundary conditions, emission or hazard factors, manuals and validation records specific to Greening the built environment.</x:v>
      </x:c>
      <x:c r="AH71" s="2" t="str">
        <x:v>Software continuity for Greening the built environment requires licences where applicable, updates, cybersecurity patches, backups, calibration files, model validation and technical support.</x:v>
      </x:c>
      <x:c r="AI71" s="2" t="str">
        <x:v>Orgware depends on the institutions, laboratories, training providers, regulators, operators and community interfaces needed to govern Greening the built environment.</x:v>
      </x:c>
      <x:c r="AJ71" s="2" t="str">
        <x:v>The orgware supporting Greening the built environment has mainly indirect energy use from offices, meetings, training and information systems; travel and field supervision may be material at dispersed sites.</x:v>
      </x:c>
      <x:c r="AK71" s="2" t="str">
        <x:v>Its organisational inputs are permits, budgets, trained staff, competence records, contracts, procedures, safeguards, monitoring evidence and stakeholder agreements tailored to Greening the built environment.</x:v>
      </x:c>
      <x:c r="AL71" s="2" t="str">
        <x:v>Sustained implementation of Greening the built environment requires procurement and service contracts, audit protocols, training material, reporting templates, insurance or guarantees and periodic independent review.</x:v>
      </x:c>
      <x:c r="AM71" s="2" t="str">
        <x:v>Iron ore / steel inputs; Limestone / cement raw materials</x:v>
      </x:c>
      <x:c r="AN71" s="2" t="str">
        <x:v>Australia; Brazil; China; India; Vietnam</x:v>
      </x:c>
      <x:c r="AO71" s="2" t="str">
        <x:v>China; India; Japan; Vietnam</x:v>
      </x:c>
      <x:c r="AP71" s="2" t="str">
        <x:v>Greening the built environment: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1" s="2" t="str">
        <x:v>2024–2025</x:v>
      </x:c>
      <x:c r="AR71" s="2" t="str">
        <x:v>https://pubs.usgs.gov/periodicals/mcs2026/mcs2026.pdf</x:v>
      </x:c>
    </x:row>
    <x:row r="72" ht="240" customHeight="1">
      <x:c r="A72" s="2" t="str">
        <x:v>MIT-0065</x:v>
      </x:c>
      <x:c r="B72" s="2" t="str">
        <x:v>Mitigation</x:v>
      </x:c>
      <x:c r="C72" s="2" t="str">
        <x:v>Energy efficiency</x:v>
      </x:c>
      <x:c r="D72" s="2" t="str">
        <x:v>Buildings</x:v>
      </x:c>
      <x:c r="E72" s="2" t="str">
        <x:v>Retrofitting of existing buildings</x:v>
      </x:c>
      <x:c r="F72" s="2" t="str">
        <x:v>Retrofitting of existing buildings is a mitigation technology in the Energy efficiency sector and the Buildings technology group. It is defined as a combined hardware–software–orgware system that reduces thermal, electrical or water demand through passive design, efficient equipment, controls and low-impact materials. Retrofitting of existing buildings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2" s="2" t="str">
        <x:v>Mixed: adaptable design, site-specific implementation</x:v>
      </x:c>
      <x:c r="H72" s="2" t="str">
        <x:v>Retrofitting of existing buildings is adaptable in capacity and configuration but site-specific in final engineering. Its principle remains the same, but resource quality, climate, scale, interfaces and safety constraints must be recalculated for each deployment.</x:v>
      </x:c>
      <x:c r="I72" s="2" t="str">
        <x:v>Primarily hard, with a soft component</x:v>
      </x:c>
      <x:c r="J72" s="2" t="str">
        <x:v>Retrofitting of existing buildings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2" s="2" t="str">
        <x:v>Equipment and operation</x:v>
      </x:c>
      <x:c r="L72" s="2" t="str">
        <x:v>Retrofitting of existing buildings is embodied mainly as an equipment-and-operation system. The deliverable is accepted only when measurable service, quality, safety and climate-performance criteria are met under real conditions.</x:v>
      </x:c>
      <x:c r="M72" s="2" t="str">
        <x:v>Yes, subject to life-cycle safeguards</x:v>
      </x:c>
      <x:c r="N72" s="2" t="str">
        <x:v>Retrofitting of existing buildings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2" s="2" t="str">
        <x:v>Retrofitting of existing buildings: envelope assemblies, efficient equipment, sensors, actuators, meters and distribution systems.</x:v>
      </x:c>
      <x:c r="P72" s="2" t="str">
        <x:v>Retrofitting of existing buildings: energy simulation, load calculation, control sequences, commissioning data and building management.</x:v>
      </x:c>
      <x:c r="Q72" s="2" t="str">
        <x:v>Retrofitting of existing buildings: building codes, performance standards, procurement, commissioning, maintenance plans and occupant guidance.</x:v>
      </x:c>
      <x:c r="R72" s="2" t="str">
        <x:v>Retrofitting of existing buildings: building fabric, plant rooms, electrical and water networks, access for maintenance and metering.</x:v>
      </x:c>
      <x:c r="S72" s="2" t="str">
        <x:v>Retrofitting of existing buildings: electricity and thermal energy; peak demand, part-load efficiency and controls determine actual savings.</x:v>
      </x:c>
      <x:c r="T72" s="2" t="str">
        <x:v>Retrofitting of existing buildings: insulation, glass, concrete, steel, timber, aluminium, copper, refrigerants and electronic components as applicable.</x:v>
      </x:c>
      <x:c r="U72" s="2" t="str">
        <x:v>Retrofitting of existing buildings: filters, belts, seals, lamps or drivers, sensors, actuators, valves, control modules and envelope repair materials.</x:v>
      </x:c>
      <x:c r="V72" s="2" t="str">
        <x:v>https://www.ctc-n.org/sites/default/files/resources/ctcn_taxonomy_0.pdf</x:v>
      </x:c>
      <x:c r="W72" s="2" t="str">
        <x:v>https://institutoagricoladepueblobello.edu.co/colegiapp/archivostemas/GUIA%209.%5B25%5D.pdf</x:v>
      </x:c>
      <x:c r="X72" s="2" t="str">
        <x:v>https://iiasa.ac.at/what-is-technology</x:v>
      </x:c>
      <x:c r="Y72" s="2" t="str">
        <x:v>https://www.ipcc.ch/report/ar6/wg3/chapter/chapter-9/</x:v>
      </x:c>
      <x:c r="Z72" s="2" t="str">
        <x:v>Technology-specific analytical synthesis. The CTCN hierarchy is retained; classifications and component dependencies require validation against the selected design, site and supplier documentation before investment or policy use.</x:v>
      </x:c>
      <x:c r="AA72" s="2" t="str">
        <x:v>Physical deployment of Retrofitting of existing buildings requires building fabric, plant rooms, electrical and water networks, access for maintenance and metering; interfaces, foundations, access and environmental protection are sized to the specific resource and design load.</x:v>
      </x:c>
      <x:c r="AB72" s="2" t="str">
        <x:v>For Retrofitting of existing buildings, the hardware energy balance comprises electricity and thermal energy; peak demand, part-load efficiency and controls determine actual savings; metering must separate useful output, conversion losses and auxiliaries for the selected design.</x:v>
      </x:c>
      <x:c r="AC72" s="2" t="str">
        <x:v>Construction and operation use insulation, glass, concrete, steel, timber, aluminium, copper, refrigerants and electronic components as applicable. For Retrofitting of existing buildings, specifications must include durability, compatibility, recycled content and recoverability.</x:v>
      </x:c>
      <x:c r="AD72" s="2" t="str">
        <x:v>Maintenance of Retrofitting of existing buildings depends on filters, belts, seals, lamps or drivers, sensors, actuators, valves, control modules and envelope repair materials; critical spares are selected from failure-mode, lead-time and safety analysis for its installed configuration.</x:v>
      </x:c>
      <x:c r="AE72" s="2" t="str">
        <x:v>The software stack for Retrofitting of existing buildings requires databases, secure communications, version-controlled models, computing, backup and interfaces with field or operational systems.</x:v>
      </x:c>
      <x:c r="AF72" s="2" t="str">
        <x:v>For Retrofitting of existing buildings, software-related energy is electricity for sensing, computing, storage, communication and cooling; it is normally secondary but must be included for data-intensive or continuous services.</x:v>
      </x:c>
      <x:c r="AG72" s="2" t="str">
        <x:v>The non-physical inputs are calibrated data, metadata, algorithms, boundary conditions, emission or hazard factors, manuals and validation records specific to Retrofitting of existing buildings.</x:v>
      </x:c>
      <x:c r="AH72" s="2" t="str">
        <x:v>Software continuity for Retrofitting of existing buildings requires licences where applicable, updates, cybersecurity patches, backups, calibration files, model validation and technical support.</x:v>
      </x:c>
      <x:c r="AI72" s="2" t="str">
        <x:v>Orgware depends on the institutions, laboratories, training providers, regulators, operators and community interfaces needed to govern Retrofitting of existing buildings.</x:v>
      </x:c>
      <x:c r="AJ72" s="2" t="str">
        <x:v>The orgware supporting Retrofitting of existing buildings has mainly indirect energy use from offices, meetings, training and information systems; travel and field supervision may be material at dispersed sites.</x:v>
      </x:c>
      <x:c r="AK72" s="2" t="str">
        <x:v>Its organisational inputs are permits, budgets, trained staff, competence records, contracts, procedures, safeguards, monitoring evidence and stakeholder agreements tailored to Retrofitting of existing buildings.</x:v>
      </x:c>
      <x:c r="AL72" s="2" t="str">
        <x:v>Sustained implementation of Retrofitting of existing buildings requires procurement and service contracts, audit protocols, training material, reporting templates, insurance or guarantees and periodic independent review.</x:v>
      </x:c>
      <x:c r="AM72" s="2" t="str">
        <x:v>Iron ore / steel inputs; Limestone / cement raw materials</x:v>
      </x:c>
      <x:c r="AN72" s="2" t="str">
        <x:v>Australia; Brazil; China; India; Vietnam</x:v>
      </x:c>
      <x:c r="AO72" s="2" t="str">
        <x:v>China; India; Japan; Vietnam</x:v>
      </x:c>
      <x:c r="AP72" s="2" t="str">
        <x:v>Retrofitting of existing buildings: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2" s="2" t="str">
        <x:v>2024–2025</x:v>
      </x:c>
      <x:c r="AR72" s="2" t="str">
        <x:v>https://pubs.usgs.gov/periodicals/mcs2026/mcs2026.pdf</x:v>
      </x:c>
    </x:row>
    <x:row r="73" ht="240" customHeight="1">
      <x:c r="A73" s="2" t="str">
        <x:v>MIT-0066</x:v>
      </x:c>
      <x:c r="B73" s="2" t="str">
        <x:v>Mitigation</x:v>
      </x:c>
      <x:c r="C73" s="2" t="str">
        <x:v>Energy efficiency</x:v>
      </x:c>
      <x:c r="D73" s="2" t="str">
        <x:v>Buildings</x:v>
      </x:c>
      <x:c r="E73" s="2" t="str">
        <x:v>Building automation</x:v>
      </x:c>
      <x:c r="F73" s="2" t="str">
        <x:v>Building automation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automation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3" s="2" t="str">
        <x:v>Mixed: adaptable design, site-specific implementation</x:v>
      </x:c>
      <x:c r="H73" s="2" t="str">
        <x:v>Building automation is adaptable in capacity and configuration but site-specific in final engineering. Its principle remains the same, but resource quality, climate, scale, interfaces and safety constraints must be recalculated for each deployment.</x:v>
      </x:c>
      <x:c r="I73" s="2" t="str">
        <x:v>Primarily hard, with a soft component</x:v>
      </x:c>
      <x:c r="J73" s="2" t="str">
        <x:v>Building automation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3" s="2" t="str">
        <x:v>Equipment and operation</x:v>
      </x:c>
      <x:c r="L73" s="2" t="str">
        <x:v>Building automation is embodied mainly as an equipment-and-operation system. The deliverable is accepted only when measurable service, quality, safety and climate-performance criteria are met under real conditions.</x:v>
      </x:c>
      <x:c r="M73" s="2" t="str">
        <x:v>Yes, subject to life-cycle safeguards</x:v>
      </x:c>
      <x:c r="N73" s="2" t="str">
        <x:v>Building automation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3" s="2" t="str">
        <x:v>Building automation: envelope assemblies, efficient equipment, sensors, actuators, meters and distribution systems.</x:v>
      </x:c>
      <x:c r="P73" s="2" t="str">
        <x:v>Building automation: energy simulation, load calculation, control sequences, commissioning data and building management.</x:v>
      </x:c>
      <x:c r="Q73" s="2" t="str">
        <x:v>Building automation: building codes, performance standards, procurement, commissioning, maintenance plans and occupant guidance.</x:v>
      </x:c>
      <x:c r="R73" s="2" t="str">
        <x:v>Building automation: building fabric, plant rooms, electrical and water networks, access for maintenance and metering.</x:v>
      </x:c>
      <x:c r="S73" s="2" t="str">
        <x:v>Building automation: electricity and thermal energy; peak demand, part-load efficiency and controls determine actual savings.</x:v>
      </x:c>
      <x:c r="T73" s="2" t="str">
        <x:v>Building automation: insulation, glass, concrete, steel, timber, aluminium, copper, refrigerants and electronic components as applicable.</x:v>
      </x:c>
      <x:c r="U73" s="2" t="str">
        <x:v>Building automation: filters, belts, seals, lamps or drivers, sensors, actuators, valves, control modules and envelope repair materials.</x:v>
      </x:c>
      <x:c r="V73" s="2" t="str">
        <x:v>https://www.ctc-n.org/sites/default/files/resources/ctcn_taxonomy_0.pdf</x:v>
      </x:c>
      <x:c r="W73" s="2" t="str">
        <x:v>https://institutoagricoladepueblobello.edu.co/colegiapp/archivostemas/GUIA%209.%5B25%5D.pdf</x:v>
      </x:c>
      <x:c r="X73" s="2" t="str">
        <x:v>https://iiasa.ac.at/what-is-technology</x:v>
      </x:c>
      <x:c r="Y73" s="2" t="str">
        <x:v>https://www.ipcc.ch/report/ar6/wg3/chapter/chapter-9/</x:v>
      </x:c>
      <x:c r="Z73" s="2" t="str">
        <x:v>Technology-specific analytical synthesis. The CTCN hierarchy is retained; classifications and component dependencies require validation against the selected design, site and supplier documentation before investment or policy use.</x:v>
      </x:c>
      <x:c r="AA73" s="2" t="str">
        <x:v>Physical deployment of Building automation requires building fabric, plant rooms, electrical and water networks, access for maintenance and metering; interfaces, foundations, access and environmental protection are sized to the specific resource and design load.</x:v>
      </x:c>
      <x:c r="AB73" s="2" t="str">
        <x:v>For Building automation, the hardware energy balance comprises electricity and thermal energy; peak demand, part-load efficiency and controls determine actual savings; metering must separate useful output, conversion losses and auxiliaries for the selected design.</x:v>
      </x:c>
      <x:c r="AC73" s="2" t="str">
        <x:v>Construction and operation use insulation, glass, concrete, steel, timber, aluminium, copper, refrigerants and electronic components as applicable. For Building automation, specifications must include durability, compatibility, recycled content and recoverability.</x:v>
      </x:c>
      <x:c r="AD73" s="2" t="str">
        <x:v>Maintenance of Building automation depends on filters, belts, seals, lamps or drivers, sensors, actuators, valves, control modules and envelope repair materials; critical spares are selected from failure-mode, lead-time and safety analysis for its installed configuration.</x:v>
      </x:c>
      <x:c r="AE73" s="2" t="str">
        <x:v>The software stack for Building automation requires databases, secure communications, version-controlled models, computing, backup and interfaces with field or operational systems.</x:v>
      </x:c>
      <x:c r="AF73" s="2" t="str">
        <x:v>For Building automation, software-related energy is electricity for sensing, computing, storage, communication and cooling; it is normally secondary but must be included for data-intensive or continuous services.</x:v>
      </x:c>
      <x:c r="AG73" s="2" t="str">
        <x:v>The non-physical inputs are calibrated data, metadata, algorithms, boundary conditions, emission or hazard factors, manuals and validation records specific to Building automation.</x:v>
      </x:c>
      <x:c r="AH73" s="2" t="str">
        <x:v>Software continuity for Building automation requires licences where applicable, updates, cybersecurity patches, backups, calibration files, model validation and technical support.</x:v>
      </x:c>
      <x:c r="AI73" s="2" t="str">
        <x:v>Orgware depends on the institutions, laboratories, training providers, regulators, operators and community interfaces needed to govern Building automation.</x:v>
      </x:c>
      <x:c r="AJ73" s="2" t="str">
        <x:v>The orgware supporting Building automation has mainly indirect energy use from offices, meetings, training and information systems; travel and field supervision may be material at dispersed sites.</x:v>
      </x:c>
      <x:c r="AK73" s="2" t="str">
        <x:v>Its organisational inputs are permits, budgets, trained staff, competence records, contracts, procedures, safeguards, monitoring evidence and stakeholder agreements tailored to Building automation.</x:v>
      </x:c>
      <x:c r="AL73" s="2" t="str">
        <x:v>Sustained implementation of Building automation requires procurement and service contracts, audit protocols, training material, reporting templates, insurance or guarantees and periodic independent review.</x:v>
      </x:c>
      <x:c r="AM73" s="2" t="str">
        <x:v>Iron ore / steel inputs; Limestone / cement raw materials</x:v>
      </x:c>
      <x:c r="AN73" s="2" t="str">
        <x:v>Australia; Brazil; China; India; Vietnam</x:v>
      </x:c>
      <x:c r="AO73" s="2" t="str">
        <x:v>China; India; Japan; Vietnam</x:v>
      </x:c>
      <x:c r="AP73" s="2" t="str">
        <x:v>Building automation: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3" s="2" t="str">
        <x:v>2024–2025</x:v>
      </x:c>
      <x:c r="AR73" s="2" t="str">
        <x:v>https://pubs.usgs.gov/periodicals/mcs2026/mcs2026.pdf</x:v>
      </x:c>
    </x:row>
    <x:row r="74" ht="240" customHeight="1">
      <x:c r="A74" s="2" t="str">
        <x:v>MIT-0067</x:v>
      </x:c>
      <x:c r="B74" s="2" t="str">
        <x:v>Mitigation</x:v>
      </x:c>
      <x:c r="C74" s="2" t="str">
        <x:v>Energy efficiency</x:v>
      </x:c>
      <x:c r="D74" s="2" t="str">
        <x:v>Buildings</x:v>
      </x:c>
      <x:c r="E74" s="2" t="str">
        <x:v>Building Energy Management Systems</x:v>
      </x:c>
      <x:c r="F74" s="2" t="str">
        <x:v>Building Energy Management Systems is a mitigation technology in the Energy efficiency sector and the Buildings technology group. It is defined as a combined hardware–software–orgware system that reduces thermal, electrical or water demand through passive design, efficient equipment, controls and low-impact materials. Building Energy Management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4" s="2" t="str">
        <x:v>Flexible</x:v>
      </x:c>
      <x:c r="H74" s="2" t="str">
        <x:v>Building Energy Management Systems is transferable through configurable methods, rules and operating parameters. Its principle remains the same, but resource quality, climate, scale, interfaces and safety constraints must be recalculated for each deployment.</x:v>
      </x:c>
      <x:c r="I74" s="2" t="str">
        <x:v>Primarily soft, with physical support</x:v>
      </x:c>
      <x:c r="J74" s="2" t="str">
        <x:v>Building Energy Management Systems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4" s="2" t="str">
        <x:v>Operation</x:v>
      </x:c>
      <x:c r="L74" s="2" t="str">
        <x:v>Building Energy Management Systems is embodied mainly as an operating practice. The deliverable is accepted only when measurable service, quality, safety and climate-performance criteria are met under real conditions.</x:v>
      </x:c>
      <x:c r="M74" s="2" t="str">
        <x:v>Yes, subject to life-cycle safeguards</x:v>
      </x:c>
      <x:c r="N74" s="2" t="str">
        <x:v>Building Energy Management Systems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4" s="2" t="str">
        <x:v>Building Energy Management Systems: envelope assemblies, efficient equipment, sensors, actuators, meters and distribution systems.</x:v>
      </x:c>
      <x:c r="P74" s="2" t="str">
        <x:v>Building Energy Management Systems: energy simulation, load calculation, control sequences, commissioning data and building management.</x:v>
      </x:c>
      <x:c r="Q74" s="2" t="str">
        <x:v>Building Energy Management Systems: building codes, performance standards, procurement, commissioning, maintenance plans and occupant guidance.</x:v>
      </x:c>
      <x:c r="R74" s="2" t="str">
        <x:v>Building Energy Management Systems: building fabric, plant rooms, electrical and water networks, access for maintenance and metering.</x:v>
      </x:c>
      <x:c r="S74" s="2" t="str">
        <x:v>Building Energy Management Systems: electricity and thermal energy; peak demand, part-load efficiency and controls determine actual savings.</x:v>
      </x:c>
      <x:c r="T74" s="2" t="str">
        <x:v>Building Energy Management Systems: insulation, glass, concrete, steel, timber, aluminium, copper, refrigerants and electronic components as applicable.</x:v>
      </x:c>
      <x:c r="U74" s="2" t="str">
        <x:v>Building Energy Management Systems: filters, belts, seals, lamps or drivers, sensors, actuators, valves, control modules and envelope repair materials.</x:v>
      </x:c>
      <x:c r="V74" s="2" t="str">
        <x:v>https://www.ctc-n.org/sites/default/files/resources/ctcn_taxonomy_0.pdf</x:v>
      </x:c>
      <x:c r="W74" s="2" t="str">
        <x:v>https://institutoagricoladepueblobello.edu.co/colegiapp/archivostemas/GUIA%209.%5B25%5D.pdf</x:v>
      </x:c>
      <x:c r="X74" s="2" t="str">
        <x:v>https://iiasa.ac.at/what-is-technology</x:v>
      </x:c>
      <x:c r="Y74" s="2" t="str">
        <x:v>https://www.ipcc.ch/report/ar6/wg3/chapter/chapter-9/</x:v>
      </x:c>
      <x:c r="Z74" s="2" t="str">
        <x:v>Technology-specific analytical synthesis. The CTCN hierarchy is retained; classifications and component dependencies require validation against the selected design, site and supplier documentation before investment or policy use.</x:v>
      </x:c>
      <x:c r="AA74" s="2" t="str">
        <x:v>Physical deployment of Building Energy Management Systems requires building fabric, plant rooms, electrical and water networks, access for maintenance and metering; interfaces, foundations, access and environmental protection are sized to the specific resource and design load.</x:v>
      </x:c>
      <x:c r="AB74" s="2" t="str">
        <x:v>For Building Energy Management Systems, the hardware energy balance comprises electricity and thermal energy; peak demand, part-load efficiency and controls determine actual savings; metering must separate useful output, conversion losses and auxiliaries for the selected design.</x:v>
      </x:c>
      <x:c r="AC74" s="2" t="str">
        <x:v>Construction and operation use insulation, glass, concrete, steel, timber, aluminium, copper, refrigerants and electronic components as applicable. For Building Energy Management Systems, specifications must include durability, compatibility, recycled content and recoverability.</x:v>
      </x:c>
      <x:c r="AD74" s="2" t="str">
        <x:v>Maintenance of Building Energy Management Systems depends on filters, belts, seals, lamps or drivers, sensors, actuators, valves, control modules and envelope repair materials; critical spares are selected from failure-mode, lead-time and safety analysis for its installed configuration.</x:v>
      </x:c>
      <x:c r="AE74" s="2" t="str">
        <x:v>The software stack for Building Energy Management Systems requires databases, secure communications, version-controlled models, computing, backup and interfaces with field or operational systems.</x:v>
      </x:c>
      <x:c r="AF74" s="2" t="str">
        <x:v>For Building Energy Management Systems, software-related energy is electricity for sensing, computing, storage, communication and cooling; it is normally secondary but must be included for data-intensive or continuous services.</x:v>
      </x:c>
      <x:c r="AG74" s="2" t="str">
        <x:v>The non-physical inputs are calibrated data, metadata, algorithms, boundary conditions, emission or hazard factors, manuals and validation records specific to Building Energy Management Systems.</x:v>
      </x:c>
      <x:c r="AH74" s="2" t="str">
        <x:v>Software continuity for Building Energy Management Systems requires licences where applicable, updates, cybersecurity patches, backups, calibration files, model validation and technical support.</x:v>
      </x:c>
      <x:c r="AI74" s="2" t="str">
        <x:v>Orgware depends on the institutions, laboratories, training providers, regulators, operators and community interfaces needed to govern Building Energy Management Systems.</x:v>
      </x:c>
      <x:c r="AJ74" s="2" t="str">
        <x:v>The orgware supporting Building Energy Management Systems has mainly indirect energy use from offices, meetings, training and information systems; travel and field supervision may be material at dispersed sites.</x:v>
      </x:c>
      <x:c r="AK74" s="2" t="str">
        <x:v>Its organisational inputs are permits, budgets, trained staff, competence records, contracts, procedures, safeguards, monitoring evidence and stakeholder agreements tailored to Building Energy Management Systems.</x:v>
      </x:c>
      <x:c r="AL74" s="2" t="str">
        <x:v>Sustained implementation of Building Energy Management Systems requires procurement and service contracts, audit protocols, training material, reporting templates, insurance or guarantees and periodic independent review.</x:v>
      </x:c>
      <x:c r="AM74" s="2" t="str">
        <x:v>Iron ore / steel inputs; Limestone / cement raw materials</x:v>
      </x:c>
      <x:c r="AN74" s="2" t="str">
        <x:v>Australia; Brazil; China; India; Vietnam</x:v>
      </x:c>
      <x:c r="AO74" s="2" t="str">
        <x:v>China; India; Japan; Vietnam</x:v>
      </x:c>
      <x:c r="AP74" s="2" t="str">
        <x:v>Building Energy Management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4" s="2" t="str">
        <x:v>2024–2025</x:v>
      </x:c>
      <x:c r="AR74" s="2" t="str">
        <x:v>https://pubs.usgs.gov/periodicals/mcs2026/mcs2026.pdf</x:v>
      </x:c>
    </x:row>
    <x:row r="75" ht="240" customHeight="1">
      <x:c r="A75" s="2" t="str">
        <x:v>MIT-0068</x:v>
      </x:c>
      <x:c r="B75" s="2" t="str">
        <x:v>Mitigation</x:v>
      </x:c>
      <x:c r="C75" s="2" t="str">
        <x:v>Energy efficiency</x:v>
      </x:c>
      <x:c r="D75" s="2" t="str">
        <x:v>Buildings</x:v>
      </x:c>
      <x:c r="E75" s="2" t="str">
        <x:v>Carbon sink and low-carbon building materials</x:v>
      </x:c>
      <x:c r="F75" s="2" t="str">
        <x:v>Carbon sink and low-carbon building materials is a mitigation technology in the Energy efficiency sector and the Buildings technology group. It is defined as a combined hardware–software–orgware system that reduces thermal, electrical or water demand through passive design, efficient equipment, controls and low-impact materials. Carbon sink and low-carbon building materials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5" s="2" t="str">
        <x:v>Mixed: adaptable design, site-specific implementation</x:v>
      </x:c>
      <x:c r="H75" s="2" t="str">
        <x:v>Carbon sink and low-carbon building materials is adaptable in capacity and configuration but site-specific in final engineering. Its principle remains the same, but resource quality, climate, scale, interfaces and safety constraints must be recalculated for each deployment.</x:v>
      </x:c>
      <x:c r="I75" s="2" t="str">
        <x:v>Primarily hard, with a soft component</x:v>
      </x:c>
      <x:c r="J75" s="2" t="str">
        <x:v>Carbon sink and low-carbon building materials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5" s="2" t="str">
        <x:v>Product and equipment; complementary operation</x:v>
      </x:c>
      <x:c r="L75" s="2" t="str">
        <x:v>Carbon sink and low-carbon building materials is embodied mainly as a product/equipment package. The deliverable is accepted only when measurable service, quality, safety and climate-performance criteria are met under real conditions.</x:v>
      </x:c>
      <x:c r="M75" s="2" t="str">
        <x:v>Yes, subject to life-cycle safeguards</x:v>
      </x:c>
      <x:c r="N75" s="2" t="str">
        <x:v>Carbon sink and low-carbon building materials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5" s="2" t="str">
        <x:v>Carbon sink and low-carbon building materials: envelope assemblies, efficient equipment, sensors, actuators, meters and distribution systems.</x:v>
      </x:c>
      <x:c r="P75" s="2" t="str">
        <x:v>Carbon sink and low-carbon building materials: energy simulation, load calculation, control sequences, commissioning data and building management.</x:v>
      </x:c>
      <x:c r="Q75" s="2" t="str">
        <x:v>Carbon sink and low-carbon building materials: building codes, performance standards, procurement, commissioning, maintenance plans and occupant guidance.</x:v>
      </x:c>
      <x:c r="R75" s="2" t="str">
        <x:v>Carbon sink and low-carbon building materials: building fabric, plant rooms, electrical and water networks, access for maintenance and metering.</x:v>
      </x:c>
      <x:c r="S75" s="2" t="str">
        <x:v>Carbon sink and low-carbon building materials: electricity and thermal energy; peak demand, part-load efficiency and controls determine actual savings.</x:v>
      </x:c>
      <x:c r="T75" s="2" t="str">
        <x:v>Carbon sink and low-carbon building materials: insulation, glass, concrete, steel, timber, aluminium, copper, refrigerants and electronic components as applicable.</x:v>
      </x:c>
      <x:c r="U75" s="2" t="str">
        <x:v>Carbon sink and low-carbon building materials: filters, belts, seals, lamps or drivers, sensors, actuators, valves, control modules and envelope repair materials.</x:v>
      </x:c>
      <x:c r="V75" s="2" t="str">
        <x:v>https://www.ctc-n.org/sites/default/files/resources/ctcn_taxonomy_0.pdf</x:v>
      </x:c>
      <x:c r="W75" s="2" t="str">
        <x:v>https://institutoagricoladepueblobello.edu.co/colegiapp/archivostemas/GUIA%209.%5B25%5D.pdf</x:v>
      </x:c>
      <x:c r="X75" s="2" t="str">
        <x:v>https://iiasa.ac.at/what-is-technology</x:v>
      </x:c>
      <x:c r="Y75" s="2" t="str">
        <x:v>https://www.ipcc.ch/report/ar6/wg3/chapter/chapter-9/</x:v>
      </x:c>
      <x:c r="Z75" s="2" t="str">
        <x:v>Technology-specific analytical synthesis. The CTCN hierarchy is retained; classifications and component dependencies require validation against the selected design, site and supplier documentation before investment or policy use.</x:v>
      </x:c>
      <x:c r="AA75" s="2" t="str">
        <x:v>Physical deployment of Carbon sink and low-carbon building materials requires building fabric, plant rooms, electrical and water networks, access for maintenance and metering; interfaces, foundations, access and environmental protection are sized to the specific resource and design load.</x:v>
      </x:c>
      <x:c r="AB75" s="2" t="str">
        <x:v>For Carbon sink and low-carbon building materials, the hardware energy balance comprises electricity and thermal energy; peak demand, part-load efficiency and controls determine actual savings; metering must separate useful output, conversion losses and auxiliaries for the selected design.</x:v>
      </x:c>
      <x:c r="AC75" s="2" t="str">
        <x:v>Construction and operation use insulation, glass, concrete, steel, timber, aluminium, copper, refrigerants and electronic components as applicable. For Carbon sink and low-carbon building materials, specifications must include durability, compatibility, recycled content and recoverability.</x:v>
      </x:c>
      <x:c r="AD75" s="2" t="str">
        <x:v>Maintenance of Carbon sink and low-carbon building materials depends on filters, belts, seals, lamps or drivers, sensors, actuators, valves, control modules and envelope repair materials; critical spares are selected from failure-mode, lead-time and safety analysis for its installed configuration.</x:v>
      </x:c>
      <x:c r="AE75" s="2" t="str">
        <x:v>The software stack for Carbon sink and low-carbon building materials requires databases, secure communications, version-controlled models, computing, backup and interfaces with field or operational systems.</x:v>
      </x:c>
      <x:c r="AF75" s="2" t="str">
        <x:v>For Carbon sink and low-carbon building materials, software-related energy is electricity for sensing, computing, storage, communication and cooling; it is normally secondary but must be included for data-intensive or continuous services.</x:v>
      </x:c>
      <x:c r="AG75" s="2" t="str">
        <x:v>The non-physical inputs are calibrated data, metadata, algorithms, boundary conditions, emission or hazard factors, manuals and validation records specific to Carbon sink and low-carbon building materials.</x:v>
      </x:c>
      <x:c r="AH75" s="2" t="str">
        <x:v>Software continuity for Carbon sink and low-carbon building materials requires licences where applicable, updates, cybersecurity patches, backups, calibration files, model validation and technical support.</x:v>
      </x:c>
      <x:c r="AI75" s="2" t="str">
        <x:v>Orgware depends on the institutions, laboratories, training providers, regulators, operators and community interfaces needed to govern Carbon sink and low-carbon building materials.</x:v>
      </x:c>
      <x:c r="AJ75" s="2" t="str">
        <x:v>The orgware supporting Carbon sink and low-carbon building materials has mainly indirect energy use from offices, meetings, training and information systems; travel and field supervision may be material at dispersed sites.</x:v>
      </x:c>
      <x:c r="AK75" s="2" t="str">
        <x:v>Its organisational inputs are permits, budgets, trained staff, competence records, contracts, procedures, safeguards, monitoring evidence and stakeholder agreements tailored to Carbon sink and low-carbon building materials.</x:v>
      </x:c>
      <x:c r="AL75" s="2" t="str">
        <x:v>Sustained implementation of Carbon sink and low-carbon building materials requires procurement and service contracts, audit protocols, training material, reporting templates, insurance or guarantees and periodic independent review.</x:v>
      </x:c>
      <x:c r="AM75" s="2" t="str">
        <x:v>Iron ore / steel inputs; Limestone / cement raw materials</x:v>
      </x:c>
      <x:c r="AN75" s="2" t="str">
        <x:v>Australia; Brazil; China; India; Vietnam</x:v>
      </x:c>
      <x:c r="AO75" s="2" t="str">
        <x:v>China; India; Japan; Vietnam</x:v>
      </x:c>
      <x:c r="AP75" s="2" t="str">
        <x:v>Carbon sink and low-carbon building materials: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5" s="2" t="str">
        <x:v>2024–2025</x:v>
      </x:c>
      <x:c r="AR75" s="2" t="str">
        <x:v>https://pubs.usgs.gov/periodicals/mcs2026/mcs2026.pdf</x:v>
      </x:c>
    </x:row>
    <x:row r="76" ht="240" customHeight="1">
      <x:c r="A76" s="2" t="str">
        <x:v>MIT-0069</x:v>
      </x:c>
      <x:c r="B76" s="2" t="str">
        <x:v>Mitigation</x:v>
      </x:c>
      <x:c r="C76" s="2" t="str">
        <x:v>Energy efficiency</x:v>
      </x:c>
      <x:c r="D76" s="2" t="str">
        <x:v>Buildings</x:v>
      </x:c>
      <x:c r="E76" s="2" t="str">
        <x:v>Heating - Ventilation and Air Conditioning</x:v>
      </x:c>
      <x:c r="F76" s="2" t="str">
        <x:v>Heating - Ventilation and Air Conditioning is a mitigation technology in the Energy efficiency sector and the Buildings technology group. It is defined as a combined hardware–software–orgware system that reduces thermal, electrical or water demand through passive design, efficient equipment, controls and low-impact materials. Heating - Ventilation and Air Conditioning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6" s="2" t="str">
        <x:v>Mixed: adaptable design, site-specific implementation</x:v>
      </x:c>
      <x:c r="H76" s="2" t="str">
        <x:v>Heating - Ventilation and Air Conditioning is adaptable in capacity and configuration but site-specific in final engineering. Its principle remains the same, but resource quality, climate, scale, interfaces and safety constraints must be recalculated for each deployment.</x:v>
      </x:c>
      <x:c r="I76" s="2" t="str">
        <x:v>Primarily hard, with a soft component</x:v>
      </x:c>
      <x:c r="J76" s="2" t="str">
        <x:v>Heating - Ventilation and Air Conditioning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6" s="2" t="str">
        <x:v>Equipment and operation</x:v>
      </x:c>
      <x:c r="L76" s="2" t="str">
        <x:v>Heating - Ventilation and Air Conditioning is embodied mainly as an equipment-and-operation system. The deliverable is accepted only when measurable service, quality, safety and climate-performance criteria are met under real conditions.</x:v>
      </x:c>
      <x:c r="M76" s="2" t="str">
        <x:v>Yes, subject to life-cycle safeguards</x:v>
      </x:c>
      <x:c r="N76" s="2" t="str">
        <x:v>Heating - Ventilation and Air Conditioning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6" s="2" t="str">
        <x:v>Heating - Ventilation and Air Conditioning: envelope assemblies, efficient equipment, sensors, actuators, meters and distribution systems.</x:v>
      </x:c>
      <x:c r="P76" s="2" t="str">
        <x:v>Heating - Ventilation and Air Conditioning: energy simulation, load calculation, control sequences, commissioning data and building management.</x:v>
      </x:c>
      <x:c r="Q76" s="2" t="str">
        <x:v>Heating - Ventilation and Air Conditioning: building codes, performance standards, procurement, commissioning, maintenance plans and occupant guidance.</x:v>
      </x:c>
      <x:c r="R76" s="2" t="str">
        <x:v>Heating - Ventilation and Air Conditioning: building fabric, plant rooms, electrical and water networks, access for maintenance and metering.</x:v>
      </x:c>
      <x:c r="S76" s="2" t="str">
        <x:v>Heating - Ventilation and Air Conditioning: electricity and thermal energy; peak demand, part-load efficiency and controls determine actual savings.</x:v>
      </x:c>
      <x:c r="T76" s="2" t="str">
        <x:v>Heating - Ventilation and Air Conditioning: insulation, glass, concrete, steel, timber, aluminium, copper, refrigerants and electronic components as applicable.</x:v>
      </x:c>
      <x:c r="U76" s="2" t="str">
        <x:v>Heating - Ventilation and Air Conditioning: filters, belts, seals, lamps or drivers, sensors, actuators, valves, control modules and envelope repair materials.</x:v>
      </x:c>
      <x:c r="V76" s="2" t="str">
        <x:v>https://www.ctc-n.org/sites/default/files/resources/ctcn_taxonomy_0.pdf</x:v>
      </x:c>
      <x:c r="W76" s="2" t="str">
        <x:v>https://institutoagricoladepueblobello.edu.co/colegiapp/archivostemas/GUIA%209.%5B25%5D.pdf</x:v>
      </x:c>
      <x:c r="X76" s="2" t="str">
        <x:v>https://iiasa.ac.at/what-is-technology</x:v>
      </x:c>
      <x:c r="Y76" s="2" t="str">
        <x:v>https://www.ipcc.ch/report/ar6/wg3/chapter/chapter-9/</x:v>
      </x:c>
      <x:c r="Z76" s="2" t="str">
        <x:v>Technology-specific analytical synthesis. The CTCN hierarchy is retained; classifications and component dependencies require validation against the selected design, site and supplier documentation before investment or policy use.</x:v>
      </x:c>
      <x:c r="AA76" s="2" t="str">
        <x:v>Physical deployment of Heating - Ventilation and Air Conditioning requires building fabric, plant rooms, electrical and water networks, access for maintenance and metering; interfaces, foundations, access and environmental protection are sized to the specific resource and design load.</x:v>
      </x:c>
      <x:c r="AB76" s="2" t="str">
        <x:v>For Heating - Ventilation and Air Conditioning, the hardware energy balance comprises electricity and thermal energy; peak demand, part-load efficiency and controls determine actual savings; metering must separate useful output, conversion losses and auxiliaries for the selected design.</x:v>
      </x:c>
      <x:c r="AC76" s="2" t="str">
        <x:v>Construction and operation use insulation, glass, concrete, steel, timber, aluminium, copper, refrigerants and electronic components as applicable. For Heating - Ventilation and Air Conditioning, specifications must include durability, compatibility, recycled content and recoverability.</x:v>
      </x:c>
      <x:c r="AD76" s="2" t="str">
        <x:v>Maintenance of Heating - Ventilation and Air Conditioning depends on filters, belts, seals, lamps or drivers, sensors, actuators, valves, control modules and envelope repair materials; critical spares are selected from failure-mode, lead-time and safety analysis for its installed configuration.</x:v>
      </x:c>
      <x:c r="AE76" s="2" t="str">
        <x:v>The software stack for Heating - Ventilation and Air Conditioning requires databases, secure communications, version-controlled models, computing, backup and interfaces with field or operational systems.</x:v>
      </x:c>
      <x:c r="AF76" s="2" t="str">
        <x:v>For Heating - Ventilation and Air Conditioning, software-related energy is electricity for sensing, computing, storage, communication and cooling; it is normally secondary but must be included for data-intensive or continuous services.</x:v>
      </x:c>
      <x:c r="AG76" s="2" t="str">
        <x:v>The non-physical inputs are calibrated data, metadata, algorithms, boundary conditions, emission or hazard factors, manuals and validation records specific to Heating - Ventilation and Air Conditioning.</x:v>
      </x:c>
      <x:c r="AH76" s="2" t="str">
        <x:v>Software continuity for Heating - Ventilation and Air Conditioning requires licences where applicable, updates, cybersecurity patches, backups, calibration files, model validation and technical support.</x:v>
      </x:c>
      <x:c r="AI76" s="2" t="str">
        <x:v>Orgware depends on the institutions, laboratories, training providers, regulators, operators and community interfaces needed to govern Heating - Ventilation and Air Conditioning.</x:v>
      </x:c>
      <x:c r="AJ76" s="2" t="str">
        <x:v>The orgware supporting Heating - Ventilation and Air Conditioning has mainly indirect energy use from offices, meetings, training and information systems; travel and field supervision may be material at dispersed sites.</x:v>
      </x:c>
      <x:c r="AK76" s="2" t="str">
        <x:v>Its organisational inputs are permits, budgets, trained staff, competence records, contracts, procedures, safeguards, monitoring evidence and stakeholder agreements tailored to Heating - Ventilation and Air Conditioning.</x:v>
      </x:c>
      <x:c r="AL76" s="2" t="str">
        <x:v>Sustained implementation of Heating - Ventilation and Air Conditioning requires procurement and service contracts, audit protocols, training material, reporting templates, insurance or guarantees and periodic independent review.</x:v>
      </x:c>
      <x:c r="AM76" s="2" t="str">
        <x:v>Iron ore / steel inputs; Copper; Tin; Limestone / cement raw materials</x:v>
      </x:c>
      <x:c r="AN76" s="2" t="str">
        <x:v>Australia; Brazil; China; Chile; Democratic Republic of the Congo; Peru; Indonesia; Myanmar; India; Vietnam</x:v>
      </x:c>
      <x:c r="AO76" s="2" t="str">
        <x:v>China; India; Japan; Chile; Democratic Republic of the Congo; Indonesia; Malaysia; Vietnam</x:v>
      </x:c>
      <x:c r="AP76" s="2" t="str">
        <x:v>Heating - Ventilation and Air Conditioning: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6" s="2" t="str">
        <x:v>2024–2025</x:v>
      </x:c>
      <x:c r="AR76" s="2" t="str">
        <x:v>https://pubs.usgs.gov/periodicals/mcs2026/mcs2026.pdf</x:v>
      </x:c>
    </x:row>
    <x:row r="77" ht="240" customHeight="1">
      <x:c r="A77" s="2" t="str">
        <x:v>MIT-0070</x:v>
      </x:c>
      <x:c r="B77" s="2" t="str">
        <x:v>Mitigation</x:v>
      </x:c>
      <x:c r="C77" s="2" t="str">
        <x:v>Energy efficiency</x:v>
      </x:c>
      <x:c r="D77" s="2" t="str">
        <x:v>Buildings</x:v>
      </x:c>
      <x:c r="E77" s="2" t="str">
        <x:v>Design for Deconstruction</x:v>
      </x:c>
      <x:c r="F77" s="2" t="str">
        <x:v>Design for Deconstruction is a mitigation technology in the Energy efficiency sector and the Buildings technology group. It is defined as a combined hardware–software–orgware system that reduces thermal, electrical or water demand through passive design, efficient equipment, controls and low-impact materials. Design for Deconstruction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7" s="2" t="str">
        <x:v>Mixed: adaptable design, site-specific implementation</x:v>
      </x:c>
      <x:c r="H77" s="2" t="str">
        <x:v>Design for Deconstruction is adaptable in capacity and configuration but site-specific in final engineering. Its principle remains the same, but resource quality, climate, scale, interfaces and safety constraints must be recalculated for each deployment.</x:v>
      </x:c>
      <x:c r="I77" s="2" t="str">
        <x:v>Primarily hard, with a soft component</x:v>
      </x:c>
      <x:c r="J77" s="2" t="str">
        <x:v>Design for Deconstruction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7" s="2" t="str">
        <x:v>Equipment and operation</x:v>
      </x:c>
      <x:c r="L77" s="2" t="str">
        <x:v>Design for Deconstruction is embodied mainly as an equipment-and-operation system. The deliverable is accepted only when measurable service, quality, safety and climate-performance criteria are met under real conditions.</x:v>
      </x:c>
      <x:c r="M77" s="2" t="str">
        <x:v>Yes, subject to life-cycle safeguards</x:v>
      </x:c>
      <x:c r="N77" s="2" t="str">
        <x:v>Design for Deconstruction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7" s="2" t="str">
        <x:v>Design for Deconstruction: envelope assemblies, efficient equipment, sensors, actuators, meters and distribution systems.</x:v>
      </x:c>
      <x:c r="P77" s="2" t="str">
        <x:v>Design for Deconstruction: energy simulation, load calculation, control sequences, commissioning data and building management.</x:v>
      </x:c>
      <x:c r="Q77" s="2" t="str">
        <x:v>Design for Deconstruction: building codes, performance standards, procurement, commissioning, maintenance plans and occupant guidance.</x:v>
      </x:c>
      <x:c r="R77" s="2" t="str">
        <x:v>Design for Deconstruction: building fabric, plant rooms, electrical and water networks, access for maintenance and metering.</x:v>
      </x:c>
      <x:c r="S77" s="2" t="str">
        <x:v>Design for Deconstruction: electricity and thermal energy; peak demand, part-load efficiency and controls determine actual savings.</x:v>
      </x:c>
      <x:c r="T77" s="2" t="str">
        <x:v>Design for Deconstruction: insulation, glass, concrete, steel, timber, aluminium, copper, refrigerants and electronic components as applicable.</x:v>
      </x:c>
      <x:c r="U77" s="2" t="str">
        <x:v>Design for Deconstruction: filters, belts, seals, lamps or drivers, sensors, actuators, valves, control modules and envelope repair materials.</x:v>
      </x:c>
      <x:c r="V77" s="2" t="str">
        <x:v>https://www.ctc-n.org/sites/default/files/resources/ctcn_taxonomy_0.pdf</x:v>
      </x:c>
      <x:c r="W77" s="2" t="str">
        <x:v>https://institutoagricoladepueblobello.edu.co/colegiapp/archivostemas/GUIA%209.%5B25%5D.pdf</x:v>
      </x:c>
      <x:c r="X77" s="2" t="str">
        <x:v>https://iiasa.ac.at/what-is-technology</x:v>
      </x:c>
      <x:c r="Y77" s="2" t="str">
        <x:v>https://www.ipcc.ch/report/ar6/wg3/chapter/chapter-9/</x:v>
      </x:c>
      <x:c r="Z77" s="2" t="str">
        <x:v>Technology-specific analytical synthesis. The CTCN hierarchy is retained; classifications and component dependencies require validation against the selected design, site and supplier documentation before investment or policy use.</x:v>
      </x:c>
      <x:c r="AA77" s="2" t="str">
        <x:v>Physical deployment of Design for Deconstruction requires building fabric, plant rooms, electrical and water networks, access for maintenance and metering; interfaces, foundations, access and environmental protection are sized to the specific resource and design load.</x:v>
      </x:c>
      <x:c r="AB77" s="2" t="str">
        <x:v>For Design for Deconstruction, the hardware energy balance comprises electricity and thermal energy; peak demand, part-load efficiency and controls determine actual savings; metering must separate useful output, conversion losses and auxiliaries for the selected design.</x:v>
      </x:c>
      <x:c r="AC77" s="2" t="str">
        <x:v>Construction and operation use insulation, glass, concrete, steel, timber, aluminium, copper, refrigerants and electronic components as applicable. For Design for Deconstruction, specifications must include durability, compatibility, recycled content and recoverability.</x:v>
      </x:c>
      <x:c r="AD77" s="2" t="str">
        <x:v>Maintenance of Design for Deconstruction depends on filters, belts, seals, lamps or drivers, sensors, actuators, valves, control modules and envelope repair materials; critical spares are selected from failure-mode, lead-time and safety analysis for its installed configuration.</x:v>
      </x:c>
      <x:c r="AE77" s="2" t="str">
        <x:v>The software stack for Design for Deconstruction requires databases, secure communications, version-controlled models, computing, backup and interfaces with field or operational systems.</x:v>
      </x:c>
      <x:c r="AF77" s="2" t="str">
        <x:v>For Design for Deconstruction, software-related energy is electricity for sensing, computing, storage, communication and cooling; it is normally secondary but must be included for data-intensive or continuous services.</x:v>
      </x:c>
      <x:c r="AG77" s="2" t="str">
        <x:v>The non-physical inputs are calibrated data, metadata, algorithms, boundary conditions, emission or hazard factors, manuals and validation records specific to Design for Deconstruction.</x:v>
      </x:c>
      <x:c r="AH77" s="2" t="str">
        <x:v>Software continuity for Design for Deconstruction requires licences where applicable, updates, cybersecurity patches, backups, calibration files, model validation and technical support.</x:v>
      </x:c>
      <x:c r="AI77" s="2" t="str">
        <x:v>Orgware depends on the institutions, laboratories, training providers, regulators, operators and community interfaces needed to govern Design for Deconstruction.</x:v>
      </x:c>
      <x:c r="AJ77" s="2" t="str">
        <x:v>The orgware supporting Design for Deconstruction has mainly indirect energy use from offices, meetings, training and information systems; travel and field supervision may be material at dispersed sites.</x:v>
      </x:c>
      <x:c r="AK77" s="2" t="str">
        <x:v>Its organisational inputs are permits, budgets, trained staff, competence records, contracts, procedures, safeguards, monitoring evidence and stakeholder agreements tailored to Design for Deconstruction.</x:v>
      </x:c>
      <x:c r="AL77" s="2" t="str">
        <x:v>Sustained implementation of Design for Deconstruction requires procurement and service contracts, audit protocols, training material, reporting templates, insurance or guarantees and periodic independent review.</x:v>
      </x:c>
      <x:c r="AM77" s="2" t="str">
        <x:v>Iron ore / steel inputs; Limestone / cement raw materials</x:v>
      </x:c>
      <x:c r="AN77" s="2" t="str">
        <x:v>Australia; Brazil; China; India; Vietnam</x:v>
      </x:c>
      <x:c r="AO77" s="2" t="str">
        <x:v>China; India; Japan; Vietnam</x:v>
      </x:c>
      <x:c r="AP77" s="2" t="str">
        <x:v>Design for Deconstruction: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7" s="2" t="str">
        <x:v>2024–2025</x:v>
      </x:c>
      <x:c r="AR77" s="2" t="str">
        <x:v>https://pubs.usgs.gov/periodicals/mcs2026/mcs2026.pdf</x:v>
      </x:c>
    </x:row>
    <x:row r="78" ht="240" customHeight="1">
      <x:c r="A78" s="2" t="str">
        <x:v>MIT-0071</x:v>
      </x:c>
      <x:c r="B78" s="2" t="str">
        <x:v>Mitigation</x:v>
      </x:c>
      <x:c r="C78" s="2" t="str">
        <x:v>Energy efficiency</x:v>
      </x:c>
      <x:c r="D78" s="2" t="str">
        <x:v>Buildings</x:v>
      </x:c>
      <x:c r="E78" s="2" t="str">
        <x:v>High performance building facades</x:v>
      </x:c>
      <x:c r="F78" s="2" t="str">
        <x:v>High performance building facades is a mitigation technology in the Energy efficiency sector and the Buildings technology group. It is defined as a combined hardware–software–orgware system that reduces thermal, electrical or water demand through passive design, efficient equipment, controls and low-impact materials. High performance building facades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8" s="2" t="str">
        <x:v>Mixed: adaptable design, site-specific implementation</x:v>
      </x:c>
      <x:c r="H78" s="2" t="str">
        <x:v>High performance building facades is adaptable in capacity and configuration but site-specific in final engineering. Its principle remains the same, but resource quality, climate, scale, interfaces and safety constraints must be recalculated for each deployment.</x:v>
      </x:c>
      <x:c r="I78" s="2" t="str">
        <x:v>Primarily hard, with a soft component</x:v>
      </x:c>
      <x:c r="J78" s="2" t="str">
        <x:v>High performance building facades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8" s="2" t="str">
        <x:v>Equipment and operation</x:v>
      </x:c>
      <x:c r="L78" s="2" t="str">
        <x:v>High performance building facades is embodied mainly as an equipment-and-operation system. The deliverable is accepted only when measurable service, quality, safety and climate-performance criteria are met under real conditions.</x:v>
      </x:c>
      <x:c r="M78" s="2" t="str">
        <x:v>Yes, subject to life-cycle safeguards</x:v>
      </x:c>
      <x:c r="N78" s="2" t="str">
        <x:v>High performance building facades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8" s="2" t="str">
        <x:v>High performance building facades: envelope assemblies, efficient equipment, sensors, actuators, meters and distribution systems.</x:v>
      </x:c>
      <x:c r="P78" s="2" t="str">
        <x:v>High performance building facades: energy simulation, load calculation, control sequences, commissioning data and building management.</x:v>
      </x:c>
      <x:c r="Q78" s="2" t="str">
        <x:v>High performance building facades: building codes, performance standards, procurement, commissioning, maintenance plans and occupant guidance.</x:v>
      </x:c>
      <x:c r="R78" s="2" t="str">
        <x:v>High performance building facades: building fabric, plant rooms, electrical and water networks, access for maintenance and metering.</x:v>
      </x:c>
      <x:c r="S78" s="2" t="str">
        <x:v>High performance building facades: electricity and thermal energy; peak demand, part-load efficiency and controls determine actual savings.</x:v>
      </x:c>
      <x:c r="T78" s="2" t="str">
        <x:v>High performance building facades: insulation, glass, concrete, steel, timber, aluminium, copper, refrigerants and electronic components as applicable.</x:v>
      </x:c>
      <x:c r="U78" s="2" t="str">
        <x:v>High performance building facades: filters, belts, seals, lamps or drivers, sensors, actuators, valves, control modules and envelope repair materials.</x:v>
      </x:c>
      <x:c r="V78" s="2" t="str">
        <x:v>https://www.ctc-n.org/sites/default/files/resources/ctcn_taxonomy_0.pdf</x:v>
      </x:c>
      <x:c r="W78" s="2" t="str">
        <x:v>https://institutoagricoladepueblobello.edu.co/colegiapp/archivostemas/GUIA%209.%5B25%5D.pdf</x:v>
      </x:c>
      <x:c r="X78" s="2" t="str">
        <x:v>https://iiasa.ac.at/what-is-technology</x:v>
      </x:c>
      <x:c r="Y78" s="2" t="str">
        <x:v>https://www.ipcc.ch/report/ar6/wg3/chapter/chapter-9/</x:v>
      </x:c>
      <x:c r="Z78" s="2" t="str">
        <x:v>Technology-specific analytical synthesis. The CTCN hierarchy is retained; classifications and component dependencies require validation against the selected design, site and supplier documentation before investment or policy use.</x:v>
      </x:c>
      <x:c r="AA78" s="2" t="str">
        <x:v>Physical deployment of High performance building facades requires building fabric, plant rooms, electrical and water networks, access for maintenance and metering; interfaces, foundations, access and environmental protection are sized to the specific resource and design load.</x:v>
      </x:c>
      <x:c r="AB78" s="2" t="str">
        <x:v>For High performance building facades, the hardware energy balance comprises electricity and thermal energy; peak demand, part-load efficiency and controls determine actual savings; metering must separate useful output, conversion losses and auxiliaries for the selected design.</x:v>
      </x:c>
      <x:c r="AC78" s="2" t="str">
        <x:v>Construction and operation use insulation, glass, concrete, steel, timber, aluminium, copper, refrigerants and electronic components as applicable. For High performance building facades, specifications must include durability, compatibility, recycled content and recoverability.</x:v>
      </x:c>
      <x:c r="AD78" s="2" t="str">
        <x:v>Maintenance of High performance building facades depends on filters, belts, seals, lamps or drivers, sensors, actuators, valves, control modules and envelope repair materials; critical spares are selected from failure-mode, lead-time and safety analysis for its installed configuration.</x:v>
      </x:c>
      <x:c r="AE78" s="2" t="str">
        <x:v>The software stack for High performance building facades requires databases, secure communications, version-controlled models, computing, backup and interfaces with field or operational systems.</x:v>
      </x:c>
      <x:c r="AF78" s="2" t="str">
        <x:v>For High performance building facades, software-related energy is electricity for sensing, computing, storage, communication and cooling; it is normally secondary but must be included for data-intensive or continuous services.</x:v>
      </x:c>
      <x:c r="AG78" s="2" t="str">
        <x:v>The non-physical inputs are calibrated data, metadata, algorithms, boundary conditions, emission or hazard factors, manuals and validation records specific to High performance building facades.</x:v>
      </x:c>
      <x:c r="AH78" s="2" t="str">
        <x:v>Software continuity for High performance building facades requires licences where applicable, updates, cybersecurity patches, backups, calibration files, model validation and technical support.</x:v>
      </x:c>
      <x:c r="AI78" s="2" t="str">
        <x:v>Orgware depends on the institutions, laboratories, training providers, regulators, operators and community interfaces needed to govern High performance building facades.</x:v>
      </x:c>
      <x:c r="AJ78" s="2" t="str">
        <x:v>The orgware supporting High performance building facades has mainly indirect energy use from offices, meetings, training and information systems; travel and field supervision may be material at dispersed sites.</x:v>
      </x:c>
      <x:c r="AK78" s="2" t="str">
        <x:v>Its organisational inputs are permits, budgets, trained staff, competence records, contracts, procedures, safeguards, monitoring evidence and stakeholder agreements tailored to High performance building facades.</x:v>
      </x:c>
      <x:c r="AL78" s="2" t="str">
        <x:v>Sustained implementation of High performance building facades requires procurement and service contracts, audit protocols, training material, reporting templates, insurance or guarantees and periodic independent review.</x:v>
      </x:c>
      <x:c r="AM78" s="2" t="str">
        <x:v>Iron ore / steel inputs; Limestone / cement raw materials; Bauxite / aluminium</x:v>
      </x:c>
      <x:c r="AN78" s="2" t="str">
        <x:v>Australia; Brazil; China; India; Vietnam; Guinea</x:v>
      </x:c>
      <x:c r="AO78" s="2" t="str">
        <x:v>China; India; Japan; Vietnam; Russia</x:v>
      </x:c>
      <x:c r="AP78" s="2" t="str">
        <x:v>High performance building facades: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8" s="2" t="str">
        <x:v>2024–2025</x:v>
      </x:c>
      <x:c r="AR78" s="2" t="str">
        <x:v>https://pubs.usgs.gov/periodicals/mcs2026/mcs2026.pdf</x:v>
      </x:c>
    </x:row>
    <x:row r="79" ht="240" customHeight="1">
      <x:c r="A79" s="2" t="str">
        <x:v>MIT-0072</x:v>
      </x:c>
      <x:c r="B79" s="2" t="str">
        <x:v>Mitigation</x:v>
      </x:c>
      <x:c r="C79" s="2" t="str">
        <x:v>Energy efficiency</x:v>
      </x:c>
      <x:c r="D79" s="2" t="str">
        <x:v>Buildings</x:v>
      </x:c>
      <x:c r="E79" s="2" t="str">
        <x:v>Passive house design</x:v>
      </x:c>
      <x:c r="F79" s="2" t="str">
        <x:v>Passive house design is a mitigation technology in the Energy efficiency sector and the Buildings technology group. It is defined as a combined hardware–software–orgware system that reduces thermal, electrical or water demand through passive design, efficient equipment, controls and low-impact materials. Passive house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9" s="2" t="str">
        <x:v>Mixed: adaptable design, site-specific implementation</x:v>
      </x:c>
      <x:c r="H79" s="2" t="str">
        <x:v>Passive house design is adaptable in capacity and configuration but site-specific in final engineering. Its principle remains the same, but resource quality, climate, scale, interfaces and safety constraints must be recalculated for each deployment.</x:v>
      </x:c>
      <x:c r="I79" s="2" t="str">
        <x:v>Primarily hard, with a soft component</x:v>
      </x:c>
      <x:c r="J79" s="2" t="str">
        <x:v>Passive house design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9" s="2" t="str">
        <x:v>Equipment and operation</x:v>
      </x:c>
      <x:c r="L79" s="2" t="str">
        <x:v>Passive house design is embodied mainly as an equipment-and-operation system. The deliverable is accepted only when measurable service, quality, safety and climate-performance criteria are met under real conditions.</x:v>
      </x:c>
      <x:c r="M79" s="2" t="str">
        <x:v>Yes, subject to life-cycle safeguards</x:v>
      </x:c>
      <x:c r="N79" s="2" t="str">
        <x:v>Passive house design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9" s="2" t="str">
        <x:v>Passive house design: envelope assemblies, efficient equipment, sensors, actuators, meters and distribution systems.</x:v>
      </x:c>
      <x:c r="P79" s="2" t="str">
        <x:v>Passive house design: energy simulation, load calculation, control sequences, commissioning data and building management.</x:v>
      </x:c>
      <x:c r="Q79" s="2" t="str">
        <x:v>Passive house design: building codes, performance standards, procurement, commissioning, maintenance plans and occupant guidance.</x:v>
      </x:c>
      <x:c r="R79" s="2" t="str">
        <x:v>Passive house design: building fabric, plant rooms, electrical and water networks, access for maintenance and metering.</x:v>
      </x:c>
      <x:c r="S79" s="2" t="str">
        <x:v>Passive house design: electricity and thermal energy; peak demand, part-load efficiency and controls determine actual savings.</x:v>
      </x:c>
      <x:c r="T79" s="2" t="str">
        <x:v>Passive house design: insulation, glass, concrete, steel, timber, aluminium, copper, refrigerants and electronic components as applicable.</x:v>
      </x:c>
      <x:c r="U79" s="2" t="str">
        <x:v>Passive house design: filters, belts, seals, lamps or drivers, sensors, actuators, valves, control modules and envelope repair materials.</x:v>
      </x:c>
      <x:c r="V79" s="2" t="str">
        <x:v>https://www.ctc-n.org/sites/default/files/resources/ctcn_taxonomy_0.pdf</x:v>
      </x:c>
      <x:c r="W79" s="2" t="str">
        <x:v>https://institutoagricoladepueblobello.edu.co/colegiapp/archivostemas/GUIA%209.%5B25%5D.pdf</x:v>
      </x:c>
      <x:c r="X79" s="2" t="str">
        <x:v>https://iiasa.ac.at/what-is-technology</x:v>
      </x:c>
      <x:c r="Y79" s="2" t="str">
        <x:v>https://www.ipcc.ch/report/ar6/wg3/chapter/chapter-9/</x:v>
      </x:c>
      <x:c r="Z79" s="2" t="str">
        <x:v>Technology-specific analytical synthesis. The CTCN hierarchy is retained; classifications and component dependencies require validation against the selected design, site and supplier documentation before investment or policy use.</x:v>
      </x:c>
      <x:c r="AA79" s="2" t="str">
        <x:v>Physical deployment of Passive house design requires building fabric, plant rooms, electrical and water networks, access for maintenance and metering; interfaces, foundations, access and environmental protection are sized to the specific resource and design load.</x:v>
      </x:c>
      <x:c r="AB79" s="2" t="str">
        <x:v>For Passive house design, the hardware energy balance comprises electricity and thermal energy; peak demand, part-load efficiency and controls determine actual savings; metering must separate useful output, conversion losses and auxiliaries for the selected design.</x:v>
      </x:c>
      <x:c r="AC79" s="2" t="str">
        <x:v>Construction and operation use insulation, glass, concrete, steel, timber, aluminium, copper, refrigerants and electronic components as applicable. For Passive house design, specifications must include durability, compatibility, recycled content and recoverability.</x:v>
      </x:c>
      <x:c r="AD79" s="2" t="str">
        <x:v>Maintenance of Passive house design depends on filters, belts, seals, lamps or drivers, sensors, actuators, valves, control modules and envelope repair materials; critical spares are selected from failure-mode, lead-time and safety analysis for its installed configuration.</x:v>
      </x:c>
      <x:c r="AE79" s="2" t="str">
        <x:v>The software stack for Passive house design requires databases, secure communications, version-controlled models, computing, backup and interfaces with field or operational systems.</x:v>
      </x:c>
      <x:c r="AF79" s="2" t="str">
        <x:v>For Passive house design, software-related energy is electricity for sensing, computing, storage, communication and cooling; it is normally secondary but must be included for data-intensive or continuous services.</x:v>
      </x:c>
      <x:c r="AG79" s="2" t="str">
        <x:v>The non-physical inputs are calibrated data, metadata, algorithms, boundary conditions, emission or hazard factors, manuals and validation records specific to Passive house design.</x:v>
      </x:c>
      <x:c r="AH79" s="2" t="str">
        <x:v>Software continuity for Passive house design requires licences where applicable, updates, cybersecurity patches, backups, calibration files, model validation and technical support.</x:v>
      </x:c>
      <x:c r="AI79" s="2" t="str">
        <x:v>Orgware depends on the institutions, laboratories, training providers, regulators, operators and community interfaces needed to govern Passive house design.</x:v>
      </x:c>
      <x:c r="AJ79" s="2" t="str">
        <x:v>The orgware supporting Passive house design has mainly indirect energy use from offices, meetings, training and information systems; travel and field supervision may be material at dispersed sites.</x:v>
      </x:c>
      <x:c r="AK79" s="2" t="str">
        <x:v>Its organisational inputs are permits, budgets, trained staff, competence records, contracts, procedures, safeguards, monitoring evidence and stakeholder agreements tailored to Passive house design.</x:v>
      </x:c>
      <x:c r="AL79" s="2" t="str">
        <x:v>Sustained implementation of Passive house design requires procurement and service contracts, audit protocols, training material, reporting templates, insurance or guarantees and periodic independent review.</x:v>
      </x:c>
      <x:c r="AM79" s="2" t="str">
        <x:v>Iron ore / steel inputs; Limestone / cement raw materials</x:v>
      </x:c>
      <x:c r="AN79" s="2" t="str">
        <x:v>Australia; Brazil; China; India; Vietnam</x:v>
      </x:c>
      <x:c r="AO79" s="2" t="str">
        <x:v>China; India; Japan; Vietnam</x:v>
      </x:c>
      <x:c r="AP79" s="2" t="str">
        <x:v>Passive house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9" s="2" t="str">
        <x:v>2024–2025</x:v>
      </x:c>
      <x:c r="AR79" s="2" t="str">
        <x:v>https://pubs.usgs.gov/periodicals/mcs2026/mcs2026.pdf</x:v>
      </x:c>
    </x:row>
    <x:row r="80" ht="240" customHeight="1">
      <x:c r="A80" s="2" t="str">
        <x:v>MIT-0073</x:v>
      </x:c>
      <x:c r="B80" s="2" t="str">
        <x:v>Mitigation</x:v>
      </x:c>
      <x:c r="C80" s="2" t="str">
        <x:v>Energy efficiency</x:v>
      </x:c>
      <x:c r="D80" s="2" t="str">
        <x:v>Buildings</x:v>
      </x:c>
      <x:c r="E80" s="2" t="str">
        <x:v>Traditional building materials and design</x:v>
      </x:c>
      <x:c r="F80" s="2" t="str">
        <x:v>Traditional building materials and design is a mitigation technology in the Energy efficiency sector and the Buildings technology group. It is defined as a combined hardware–software–orgware system that reduces thermal, electrical or water demand through passive design, efficient equipment, controls and low-impact materials. Traditional building materials and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0" s="2" t="str">
        <x:v>Mixed: adaptable design, site-specific implementation</x:v>
      </x:c>
      <x:c r="H80" s="2" t="str">
        <x:v>Traditional building materials and design is adaptable in capacity and configuration but site-specific in final engineering. Its principle remains the same, but resource quality, climate, scale, interfaces and safety constraints must be recalculated for each deployment.</x:v>
      </x:c>
      <x:c r="I80" s="2" t="str">
        <x:v>Primarily hard, with a soft component</x:v>
      </x:c>
      <x:c r="J80" s="2" t="str">
        <x:v>Traditional building materials and design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0" s="2" t="str">
        <x:v>Product and equipment; complementary operation</x:v>
      </x:c>
      <x:c r="L80" s="2" t="str">
        <x:v>Traditional building materials and design is embodied mainly as a product/equipment package. The deliverable is accepted only when measurable service, quality, safety and climate-performance criteria are met under real conditions.</x:v>
      </x:c>
      <x:c r="M80" s="2" t="str">
        <x:v>Yes, subject to life-cycle safeguards</x:v>
      </x:c>
      <x:c r="N80" s="2" t="str">
        <x:v>Traditional building materials and design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0" s="2" t="str">
        <x:v>Traditional building materials and design: envelope assemblies, efficient equipment, sensors, actuators, meters and distribution systems.</x:v>
      </x:c>
      <x:c r="P80" s="2" t="str">
        <x:v>Traditional building materials and design: energy simulation, load calculation, control sequences, commissioning data and building management.</x:v>
      </x:c>
      <x:c r="Q80" s="2" t="str">
        <x:v>Traditional building materials and design: building codes, performance standards, procurement, commissioning, maintenance plans and occupant guidance.</x:v>
      </x:c>
      <x:c r="R80" s="2" t="str">
        <x:v>Traditional building materials and design: building fabric, plant rooms, electrical and water networks, access for maintenance and metering.</x:v>
      </x:c>
      <x:c r="S80" s="2" t="str">
        <x:v>Traditional building materials and design: electricity and thermal energy; peak demand, part-load efficiency and controls determine actual savings.</x:v>
      </x:c>
      <x:c r="T80" s="2" t="str">
        <x:v>Traditional building materials and design: insulation, glass, concrete, steel, timber, aluminium, copper, refrigerants and electronic components as applicable.</x:v>
      </x:c>
      <x:c r="U80" s="2" t="str">
        <x:v>Traditional building materials and design: filters, belts, seals, lamps or drivers, sensors, actuators, valves, control modules and envelope repair materials.</x:v>
      </x:c>
      <x:c r="V80" s="2" t="str">
        <x:v>https://www.ctc-n.org/sites/default/files/resources/ctcn_taxonomy_0.pdf</x:v>
      </x:c>
      <x:c r="W80" s="2" t="str">
        <x:v>https://institutoagricoladepueblobello.edu.co/colegiapp/archivostemas/GUIA%209.%5B25%5D.pdf</x:v>
      </x:c>
      <x:c r="X80" s="2" t="str">
        <x:v>https://iiasa.ac.at/what-is-technology</x:v>
      </x:c>
      <x:c r="Y80" s="2" t="str">
        <x:v>https://www.ipcc.ch/report/ar6/wg3/chapter/chapter-9/</x:v>
      </x:c>
      <x:c r="Z80" s="2" t="str">
        <x:v>Technology-specific analytical synthesis. The CTCN hierarchy is retained; classifications and component dependencies require validation against the selected design, site and supplier documentation before investment or policy use.</x:v>
      </x:c>
      <x:c r="AA80" s="2" t="str">
        <x:v>Physical deployment of Traditional building materials and design requires building fabric, plant rooms, electrical and water networks, access for maintenance and metering; interfaces, foundations, access and environmental protection are sized to the specific resource and design load.</x:v>
      </x:c>
      <x:c r="AB80" s="2" t="str">
        <x:v>For Traditional building materials and design, the hardware energy balance comprises electricity and thermal energy; peak demand, part-load efficiency and controls determine actual savings; metering must separate useful output, conversion losses and auxiliaries for the selected design.</x:v>
      </x:c>
      <x:c r="AC80" s="2" t="str">
        <x:v>Construction and operation use insulation, glass, concrete, steel, timber, aluminium, copper, refrigerants and electronic components as applicable. For Traditional building materials and design, specifications must include durability, compatibility, recycled content and recoverability.</x:v>
      </x:c>
      <x:c r="AD80" s="2" t="str">
        <x:v>Maintenance of Traditional building materials and design depends on filters, belts, seals, lamps or drivers, sensors, actuators, valves, control modules and envelope repair materials; critical spares are selected from failure-mode, lead-time and safety analysis for its installed configuration.</x:v>
      </x:c>
      <x:c r="AE80" s="2" t="str">
        <x:v>The software stack for Traditional building materials and design requires databases, secure communications, version-controlled models, computing, backup and interfaces with field or operational systems.</x:v>
      </x:c>
      <x:c r="AF80" s="2" t="str">
        <x:v>For Traditional building materials and design, software-related energy is electricity for sensing, computing, storage, communication and cooling; it is normally secondary but must be included for data-intensive or continuous services.</x:v>
      </x:c>
      <x:c r="AG80" s="2" t="str">
        <x:v>The non-physical inputs are calibrated data, metadata, algorithms, boundary conditions, emission or hazard factors, manuals and validation records specific to Traditional building materials and design.</x:v>
      </x:c>
      <x:c r="AH80" s="2" t="str">
        <x:v>Software continuity for Traditional building materials and design requires licences where applicable, updates, cybersecurity patches, backups, calibration files, model validation and technical support.</x:v>
      </x:c>
      <x:c r="AI80" s="2" t="str">
        <x:v>Orgware depends on the institutions, laboratories, training providers, regulators, operators and community interfaces needed to govern Traditional building materials and design.</x:v>
      </x:c>
      <x:c r="AJ80" s="2" t="str">
        <x:v>The orgware supporting Traditional building materials and design has mainly indirect energy use from offices, meetings, training and information systems; travel and field supervision may be material at dispersed sites.</x:v>
      </x:c>
      <x:c r="AK80" s="2" t="str">
        <x:v>Its organisational inputs are permits, budgets, trained staff, competence records, contracts, procedures, safeguards, monitoring evidence and stakeholder agreements tailored to Traditional building materials and design.</x:v>
      </x:c>
      <x:c r="AL80" s="2" t="str">
        <x:v>Sustained implementation of Traditional building materials and design requires procurement and service contracts, audit protocols, training material, reporting templates, insurance or guarantees and periodic independent review.</x:v>
      </x:c>
      <x:c r="AM80" s="2" t="str">
        <x:v>Iron ore / steel inputs; Limestone / cement raw materials</x:v>
      </x:c>
      <x:c r="AN80" s="2" t="str">
        <x:v>Australia; Brazil; China; India; Vietnam</x:v>
      </x:c>
      <x:c r="AO80" s="2" t="str">
        <x:v>China; India; Japan; Vietnam</x:v>
      </x:c>
      <x:c r="AP80" s="2" t="str">
        <x:v>Traditional building materials and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0" s="2" t="str">
        <x:v>2024–2025</x:v>
      </x:c>
      <x:c r="AR80" s="2" t="str">
        <x:v>https://pubs.usgs.gov/periodicals/mcs2026/mcs2026.pdf</x:v>
      </x:c>
    </x:row>
    <x:row r="81" ht="240" customHeight="1">
      <x:c r="A81" s="2" t="str">
        <x:v>MIT-0074</x:v>
      </x:c>
      <x:c r="B81" s="2" t="str">
        <x:v>Mitigation</x:v>
      </x:c>
      <x:c r="C81" s="2" t="str">
        <x:v>Energy efficiency</x:v>
      </x:c>
      <x:c r="D81" s="2" t="str">
        <x:v>Buildings</x:v>
      </x:c>
      <x:c r="E81" s="2" t="str">
        <x:v>Sustainable spatial planning</x:v>
      </x:c>
      <x:c r="F81" s="2" t="str">
        <x:v>Sustainable spatial planning is a mitigation technology in the Energy efficiency sector and the Buildings technology group. It is defined as a combined hardware–software–orgware system that reduces thermal, electrical or water demand through passive design, efficient equipment, controls and low-impact materials. Sustainable spatial planning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1" s="2" t="str">
        <x:v>Flexible</x:v>
      </x:c>
      <x:c r="H81" s="2" t="str">
        <x:v>Sustainable spatial planning is transferable through configurable methods, rules and operating parameters. Its principle remains the same, but resource quality, climate, scale, interfaces and safety constraints must be recalculated for each deployment.</x:v>
      </x:c>
      <x:c r="I81" s="2" t="str">
        <x:v>Hard and soft</x:v>
      </x:c>
      <x:c r="J81" s="2" t="str">
        <x:v>Sustainable spatial planning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1" s="2" t="str">
        <x:v>Operation and information service</x:v>
      </x:c>
      <x:c r="L81" s="2" t="str">
        <x:v>Sustainable spatial planning is embodied mainly as an information and decision service. The deliverable is accepted only when measurable service, quality, safety and climate-performance criteria are met under real conditions.</x:v>
      </x:c>
      <x:c r="M81" s="2" t="str">
        <x:v>Yes, subject to life-cycle safeguards</x:v>
      </x:c>
      <x:c r="N81" s="2" t="str">
        <x:v>Sustainable spatial planning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1" s="2" t="str">
        <x:v>Sustainable spatial planning: envelope assemblies, efficient equipment, sensors, actuators, meters and distribution systems.</x:v>
      </x:c>
      <x:c r="P81" s="2" t="str">
        <x:v>Sustainable spatial planning: energy simulation, load calculation, control sequences, commissioning data and building management.</x:v>
      </x:c>
      <x:c r="Q81" s="2" t="str">
        <x:v>Sustainable spatial planning: building codes, performance standards, procurement, commissioning, maintenance plans and occupant guidance.</x:v>
      </x:c>
      <x:c r="R81" s="2" t="str">
        <x:v>Sustainable spatial planning: building fabric, plant rooms, electrical and water networks, access for maintenance and metering.</x:v>
      </x:c>
      <x:c r="S81" s="2" t="str">
        <x:v>Sustainable spatial planning: electricity and thermal energy; peak demand, part-load efficiency and controls determine actual savings.</x:v>
      </x:c>
      <x:c r="T81" s="2" t="str">
        <x:v>Sustainable spatial planning: insulation, glass, concrete, steel, timber, aluminium, copper, refrigerants and electronic components as applicable.</x:v>
      </x:c>
      <x:c r="U81" s="2" t="str">
        <x:v>Sustainable spatial planning: filters, belts, seals, lamps or drivers, sensors, actuators, valves, control modules and envelope repair materials.</x:v>
      </x:c>
      <x:c r="V81" s="2" t="str">
        <x:v>https://www.ctc-n.org/sites/default/files/resources/ctcn_taxonomy_0.pdf</x:v>
      </x:c>
      <x:c r="W81" s="2" t="str">
        <x:v>https://institutoagricoladepueblobello.edu.co/colegiapp/archivostemas/GUIA%209.%5B25%5D.pdf</x:v>
      </x:c>
      <x:c r="X81" s="2" t="str">
        <x:v>https://iiasa.ac.at/what-is-technology</x:v>
      </x:c>
      <x:c r="Y81" s="2" t="str">
        <x:v>https://www.ipcc.ch/report/ar6/wg3/chapter/chapter-9/</x:v>
      </x:c>
      <x:c r="Z81" s="2" t="str">
        <x:v>Technology-specific analytical synthesis. The CTCN hierarchy is retained; classifications and component dependencies require validation against the selected design, site and supplier documentation before investment or policy use.</x:v>
      </x:c>
      <x:c r="AA81" s="2" t="str">
        <x:v>Physical deployment of Sustainable spatial planning requires building fabric, plant rooms, electrical and water networks, access for maintenance and metering; interfaces, foundations, access and environmental protection are sized to the specific resource and design load.</x:v>
      </x:c>
      <x:c r="AB81" s="2" t="str">
        <x:v>For Sustainable spatial planning, the hardware energy balance comprises electricity and thermal energy; peak demand, part-load efficiency and controls determine actual savings; metering must separate useful output, conversion losses and auxiliaries for the selected design.</x:v>
      </x:c>
      <x:c r="AC81" s="2" t="str">
        <x:v>Construction and operation use insulation, glass, concrete, steel, timber, aluminium, copper, refrigerants and electronic components as applicable. For Sustainable spatial planning, specifications must include durability, compatibility, recycled content and recoverability.</x:v>
      </x:c>
      <x:c r="AD81" s="2" t="str">
        <x:v>Maintenance of Sustainable spatial planning depends on filters, belts, seals, lamps or drivers, sensors, actuators, valves, control modules and envelope repair materials; critical spares are selected from failure-mode, lead-time and safety analysis for its installed configuration.</x:v>
      </x:c>
      <x:c r="AE81" s="2" t="str">
        <x:v>The software stack for Sustainable spatial planning requires databases, secure communications, version-controlled models, computing, backup and interfaces with field or operational systems.</x:v>
      </x:c>
      <x:c r="AF81" s="2" t="str">
        <x:v>For Sustainable spatial planning, software-related energy is electricity for sensing, computing, storage, communication and cooling; it is normally secondary but must be included for data-intensive or continuous services.</x:v>
      </x:c>
      <x:c r="AG81" s="2" t="str">
        <x:v>The non-physical inputs are calibrated data, metadata, algorithms, boundary conditions, emission or hazard factors, manuals and validation records specific to Sustainable spatial planning.</x:v>
      </x:c>
      <x:c r="AH81" s="2" t="str">
        <x:v>Software continuity for Sustainable spatial planning requires licences where applicable, updates, cybersecurity patches, backups, calibration files, model validation and technical support.</x:v>
      </x:c>
      <x:c r="AI81" s="2" t="str">
        <x:v>Orgware depends on the institutions, laboratories, training providers, regulators, operators and community interfaces needed to govern Sustainable spatial planning.</x:v>
      </x:c>
      <x:c r="AJ81" s="2" t="str">
        <x:v>The orgware supporting Sustainable spatial planning has mainly indirect energy use from offices, meetings, training and information systems; travel and field supervision may be material at dispersed sites.</x:v>
      </x:c>
      <x:c r="AK81" s="2" t="str">
        <x:v>Its organisational inputs are permits, budgets, trained staff, competence records, contracts, procedures, safeguards, monitoring evidence and stakeholder agreements tailored to Sustainable spatial planning.</x:v>
      </x:c>
      <x:c r="AL81" s="2" t="str">
        <x:v>Sustained implementation of Sustainable spatial planning requires procurement and service contracts, audit protocols, training material, reporting templates, insurance or guarantees and periodic independent review.</x:v>
      </x:c>
      <x:c r="AM81" s="2" t="str">
        <x:v>Limestone / cement raw materials</x:v>
      </x:c>
      <x:c r="AN81" s="2" t="str">
        <x:v>China; India; Vietnam</x:v>
      </x:c>
      <x:c r="AO81" s="2" t="str">
        <x:v>China; India; Vietnam</x:v>
      </x:c>
      <x:c r="AP81" s="2" t="str">
        <x:v>Sustainable spatial planning: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1" s="2" t="str">
        <x:v>2024–2025</x:v>
      </x:c>
      <x:c r="AR81" s="2" t="str">
        <x:v>https://pubs.usgs.gov/periodicals/mcs2026/mcs2026.pdf</x:v>
      </x:c>
    </x:row>
    <x:row r="82" ht="240" customHeight="1">
      <x:c r="A82" s="2" t="str">
        <x:v>MIT-0075</x:v>
      </x:c>
      <x:c r="B82" s="2" t="str">
        <x:v>Mitigation</x:v>
      </x:c>
      <x:c r="C82" s="2" t="str">
        <x:v>Energy efficiency</x:v>
      </x:c>
      <x:c r="D82" s="2" t="str">
        <x:v>Buildings</x:v>
      </x:c>
      <x:c r="E82" s="2" t="str">
        <x:v>Cool roofs</x:v>
      </x:c>
      <x:c r="F82" s="2" t="str">
        <x:v>Cool roofs is a mitigation technology in the Energy efficiency sector and the Buildings technology group. It is defined as a combined hardware–software–orgware system that reduces thermal, electrical or water demand through passive design, efficient equipment, controls and low-impact materials. Cool roofs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2" s="2" t="str">
        <x:v>Mixed: adaptable design, site-specific implementation</x:v>
      </x:c>
      <x:c r="H82" s="2" t="str">
        <x:v>Cool roofs is adaptable in capacity and configuration but site-specific in final engineering. Its principle remains the same, but resource quality, climate, scale, interfaces and safety constraints must be recalculated for each deployment.</x:v>
      </x:c>
      <x:c r="I82" s="2" t="str">
        <x:v>Primarily hard, with a soft component</x:v>
      </x:c>
      <x:c r="J82" s="2" t="str">
        <x:v>Cool roofs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2" s="2" t="str">
        <x:v>Equipment and operation</x:v>
      </x:c>
      <x:c r="L82" s="2" t="str">
        <x:v>Cool roofs is embodied mainly as an equipment-and-operation system. The deliverable is accepted only when measurable service, quality, safety and climate-performance criteria are met under real conditions.</x:v>
      </x:c>
      <x:c r="M82" s="2" t="str">
        <x:v>Yes, subject to life-cycle safeguards</x:v>
      </x:c>
      <x:c r="N82" s="2" t="str">
        <x:v>Cool roofs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2" s="2" t="str">
        <x:v>Cool roofs: envelope assemblies, efficient equipment, sensors, actuators, meters and distribution systems.</x:v>
      </x:c>
      <x:c r="P82" s="2" t="str">
        <x:v>Cool roofs: energy simulation, load calculation, control sequences, commissioning data and building management.</x:v>
      </x:c>
      <x:c r="Q82" s="2" t="str">
        <x:v>Cool roofs: building codes, performance standards, procurement, commissioning, maintenance plans and occupant guidance.</x:v>
      </x:c>
      <x:c r="R82" s="2" t="str">
        <x:v>Cool roofs: building fabric, plant rooms, electrical and water networks, access for maintenance and metering.</x:v>
      </x:c>
      <x:c r="S82" s="2" t="str">
        <x:v>Cool roofs: electricity and thermal energy; peak demand, part-load efficiency and controls determine actual savings.</x:v>
      </x:c>
      <x:c r="T82" s="2" t="str">
        <x:v>Cool roofs: insulation, glass, concrete, steel, timber, aluminium, copper, refrigerants and electronic components as applicable.</x:v>
      </x:c>
      <x:c r="U82" s="2" t="str">
        <x:v>Cool roofs: filters, belts, seals, lamps or drivers, sensors, actuators, valves, control modules and envelope repair materials.</x:v>
      </x:c>
      <x:c r="V82" s="2" t="str">
        <x:v>https://www.ctc-n.org/sites/default/files/resources/ctcn_taxonomy_0.pdf</x:v>
      </x:c>
      <x:c r="W82" s="2" t="str">
        <x:v>https://institutoagricoladepueblobello.edu.co/colegiapp/archivostemas/GUIA%209.%5B25%5D.pdf</x:v>
      </x:c>
      <x:c r="X82" s="2" t="str">
        <x:v>https://iiasa.ac.at/what-is-technology</x:v>
      </x:c>
      <x:c r="Y82" s="2" t="str">
        <x:v>https://www.ipcc.ch/report/ar6/wg3/chapter/chapter-9/</x:v>
      </x:c>
      <x:c r="Z82" s="2" t="str">
        <x:v>Technology-specific analytical synthesis. The CTCN hierarchy is retained; classifications and component dependencies require validation against the selected design, site and supplier documentation before investment or policy use.</x:v>
      </x:c>
      <x:c r="AA82" s="2" t="str">
        <x:v>Physical deployment of Cool roofs requires building fabric, plant rooms, electrical and water networks, access for maintenance and metering; interfaces, foundations, access and environmental protection are sized to the specific resource and design load.</x:v>
      </x:c>
      <x:c r="AB82" s="2" t="str">
        <x:v>For Cool roofs, the hardware energy balance comprises electricity and thermal energy; peak demand, part-load efficiency and controls determine actual savings; metering must separate useful output, conversion losses and auxiliaries for the selected design.</x:v>
      </x:c>
      <x:c r="AC82" s="2" t="str">
        <x:v>Construction and operation use insulation, glass, concrete, steel, timber, aluminium, copper, refrigerants and electronic components as applicable. For Cool roofs, specifications must include durability, compatibility, recycled content and recoverability.</x:v>
      </x:c>
      <x:c r="AD82" s="2" t="str">
        <x:v>Maintenance of Cool roofs depends on filters, belts, seals, lamps or drivers, sensors, actuators, valves, control modules and envelope repair materials; critical spares are selected from failure-mode, lead-time and safety analysis for its installed configuration.</x:v>
      </x:c>
      <x:c r="AE82" s="2" t="str">
        <x:v>The software stack for Cool roofs requires databases, secure communications, version-controlled models, computing, backup and interfaces with field or operational systems.</x:v>
      </x:c>
      <x:c r="AF82" s="2" t="str">
        <x:v>For Cool roofs, software-related energy is electricity for sensing, computing, storage, communication and cooling; it is normally secondary but must be included for data-intensive or continuous services.</x:v>
      </x:c>
      <x:c r="AG82" s="2" t="str">
        <x:v>The non-physical inputs are calibrated data, metadata, algorithms, boundary conditions, emission or hazard factors, manuals and validation records specific to Cool roofs.</x:v>
      </x:c>
      <x:c r="AH82" s="2" t="str">
        <x:v>Software continuity for Cool roofs requires licences where applicable, updates, cybersecurity patches, backups, calibration files, model validation and technical support.</x:v>
      </x:c>
      <x:c r="AI82" s="2" t="str">
        <x:v>Orgware depends on the institutions, laboratories, training providers, regulators, operators and community interfaces needed to govern Cool roofs.</x:v>
      </x:c>
      <x:c r="AJ82" s="2" t="str">
        <x:v>The orgware supporting Cool roofs has mainly indirect energy use from offices, meetings, training and information systems; travel and field supervision may be material at dispersed sites.</x:v>
      </x:c>
      <x:c r="AK82" s="2" t="str">
        <x:v>Its organisational inputs are permits, budgets, trained staff, competence records, contracts, procedures, safeguards, monitoring evidence and stakeholder agreements tailored to Cool roofs.</x:v>
      </x:c>
      <x:c r="AL82" s="2" t="str">
        <x:v>Sustained implementation of Cool roofs requires procurement and service contracts, audit protocols, training material, reporting templates, insurance or guarantees and periodic independent review.</x:v>
      </x:c>
      <x:c r="AM82" s="2" t="str">
        <x:v>Iron ore / steel inputs; Limestone / cement raw materials</x:v>
      </x:c>
      <x:c r="AN82" s="2" t="str">
        <x:v>Australia; Brazil; China; India; Vietnam</x:v>
      </x:c>
      <x:c r="AO82" s="2" t="str">
        <x:v>China; India; Japan; Vietnam</x:v>
      </x:c>
      <x:c r="AP82" s="2" t="str">
        <x:v>Cool roofs: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2" s="2" t="str">
        <x:v>2024–2025</x:v>
      </x:c>
      <x:c r="AR82" s="2" t="str">
        <x:v>https://pubs.usgs.gov/periodicals/mcs2026/mcs2026.pdf</x:v>
      </x:c>
    </x:row>
    <x:row r="83" ht="240" customHeight="1">
      <x:c r="A83" s="2" t="str">
        <x:v>MIT-0076</x:v>
      </x:c>
      <x:c r="B83" s="2" t="str">
        <x:v>Mitigation</x:v>
      </x:c>
      <x:c r="C83" s="2" t="str">
        <x:v>Energy efficiency</x:v>
      </x:c>
      <x:c r="D83" s="2" t="str">
        <x:v>Buildings</x:v>
      </x:c>
      <x:c r="E83" s="2" t="str">
        <x:v>Efficient air conditioning systems</x:v>
      </x:c>
      <x:c r="F83" s="2" t="str">
        <x:v>Efficient air conditioning systems is a mitigation technology in the Energy efficiency sector and the Buildings technology group. It is defined as a combined hardware–software–orgware system that reduces thermal, electrical or water demand through passive design, efficient equipment, controls and low-impact materials. Efficient air conditioning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3" s="2" t="str">
        <x:v>Mixed: adaptable design, site-specific implementation</x:v>
      </x:c>
      <x:c r="H83" s="2" t="str">
        <x:v>Efficient air conditioning systems is adaptable in capacity and configuration but site-specific in final engineering. Its principle remains the same, but resource quality, climate, scale, interfaces and safety constraints must be recalculated for each deployment.</x:v>
      </x:c>
      <x:c r="I83" s="2" t="str">
        <x:v>Primarily hard, with a soft component</x:v>
      </x:c>
      <x:c r="J83" s="2" t="str">
        <x:v>Efficient air conditioning systems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3" s="2" t="str">
        <x:v>Equipment and operation</x:v>
      </x:c>
      <x:c r="L83" s="2" t="str">
        <x:v>Efficient air conditioning systems is embodied mainly as an equipment-and-operation system. The deliverable is accepted only when measurable service, quality, safety and climate-performance criteria are met under real conditions.</x:v>
      </x:c>
      <x:c r="M83" s="2" t="str">
        <x:v>Yes, subject to life-cycle safeguards</x:v>
      </x:c>
      <x:c r="N83" s="2" t="str">
        <x:v>Efficient air conditioning systems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3" s="2" t="str">
        <x:v>Efficient air conditioning systems: envelope assemblies, efficient equipment, sensors, actuators, meters and distribution systems.</x:v>
      </x:c>
      <x:c r="P83" s="2" t="str">
        <x:v>Efficient air conditioning systems: energy simulation, load calculation, control sequences, commissioning data and building management.</x:v>
      </x:c>
      <x:c r="Q83" s="2" t="str">
        <x:v>Efficient air conditioning systems: building codes, performance standards, procurement, commissioning, maintenance plans and occupant guidance.</x:v>
      </x:c>
      <x:c r="R83" s="2" t="str">
        <x:v>Efficient air conditioning systems: building fabric, plant rooms, electrical and water networks, access for maintenance and metering.</x:v>
      </x:c>
      <x:c r="S83" s="2" t="str">
        <x:v>Efficient air conditioning systems: electricity and thermal energy; peak demand, part-load efficiency and controls determine actual savings.</x:v>
      </x:c>
      <x:c r="T83" s="2" t="str">
        <x:v>Efficient air conditioning systems: insulation, glass, concrete, steel, timber, aluminium, copper, refrigerants and electronic components as applicable.</x:v>
      </x:c>
      <x:c r="U83" s="2" t="str">
        <x:v>Efficient air conditioning systems: filters, belts, seals, lamps or drivers, sensors, actuators, valves, control modules and envelope repair materials.</x:v>
      </x:c>
      <x:c r="V83" s="2" t="str">
        <x:v>https://www.ctc-n.org/sites/default/files/resources/ctcn_taxonomy_0.pdf</x:v>
      </x:c>
      <x:c r="W83" s="2" t="str">
        <x:v>https://institutoagricoladepueblobello.edu.co/colegiapp/archivostemas/GUIA%209.%5B25%5D.pdf</x:v>
      </x:c>
      <x:c r="X83" s="2" t="str">
        <x:v>https://iiasa.ac.at/what-is-technology</x:v>
      </x:c>
      <x:c r="Y83" s="2" t="str">
        <x:v>https://www.ipcc.ch/report/ar6/wg3/chapter/chapter-9/</x:v>
      </x:c>
      <x:c r="Z83" s="2" t="str">
        <x:v>Technology-specific analytical synthesis. The CTCN hierarchy is retained; classifications and component dependencies require validation against the selected design, site and supplier documentation before investment or policy use.</x:v>
      </x:c>
      <x:c r="AA83" s="2" t="str">
        <x:v>Physical deployment of Efficient air conditioning systems requires building fabric, plant rooms, electrical and water networks, access for maintenance and metering; interfaces, foundations, access and environmental protection are sized to the specific resource and design load.</x:v>
      </x:c>
      <x:c r="AB83" s="2" t="str">
        <x:v>For Efficient air conditioning systems, the hardware energy balance comprises electricity and thermal energy; peak demand, part-load efficiency and controls determine actual savings; metering must separate useful output, conversion losses and auxiliaries for the selected design.</x:v>
      </x:c>
      <x:c r="AC83" s="2" t="str">
        <x:v>Construction and operation use insulation, glass, concrete, steel, timber, aluminium, copper, refrigerants and electronic components as applicable. For Efficient air conditioning systems, specifications must include durability, compatibility, recycled content and recoverability.</x:v>
      </x:c>
      <x:c r="AD83" s="2" t="str">
        <x:v>Maintenance of Efficient air conditioning systems depends on filters, belts, seals, lamps or drivers, sensors, actuators, valves, control modules and envelope repair materials; critical spares are selected from failure-mode, lead-time and safety analysis for its installed configuration.</x:v>
      </x:c>
      <x:c r="AE83" s="2" t="str">
        <x:v>The software stack for Efficient air conditioning systems requires databases, secure communications, version-controlled models, computing, backup and interfaces with field or operational systems.</x:v>
      </x:c>
      <x:c r="AF83" s="2" t="str">
        <x:v>For Efficient air conditioning systems, software-related energy is electricity for sensing, computing, storage, communication and cooling; it is normally secondary but must be included for data-intensive or continuous services.</x:v>
      </x:c>
      <x:c r="AG83" s="2" t="str">
        <x:v>The non-physical inputs are calibrated data, metadata, algorithms, boundary conditions, emission or hazard factors, manuals and validation records specific to Efficient air conditioning systems.</x:v>
      </x:c>
      <x:c r="AH83" s="2" t="str">
        <x:v>Software continuity for Efficient air conditioning systems requires licences where applicable, updates, cybersecurity patches, backups, calibration files, model validation and technical support.</x:v>
      </x:c>
      <x:c r="AI83" s="2" t="str">
        <x:v>Orgware depends on the institutions, laboratories, training providers, regulators, operators and community interfaces needed to govern Efficient air conditioning systems.</x:v>
      </x:c>
      <x:c r="AJ83" s="2" t="str">
        <x:v>The orgware supporting Efficient air conditioning systems has mainly indirect energy use from offices, meetings, training and information systems; travel and field supervision may be material at dispersed sites.</x:v>
      </x:c>
      <x:c r="AK83" s="2" t="str">
        <x:v>Its organisational inputs are permits, budgets, trained staff, competence records, contracts, procedures, safeguards, monitoring evidence and stakeholder agreements tailored to Efficient air conditioning systems.</x:v>
      </x:c>
      <x:c r="AL83" s="2" t="str">
        <x:v>Sustained implementation of Efficient air conditioning systems requires procurement and service contracts, audit protocols, training material, reporting templates, insurance or guarantees and periodic independent review.</x:v>
      </x:c>
      <x:c r="AM83" s="2" t="str">
        <x:v>Iron ore / steel inputs; Copper; Tin; Limestone / cement raw materials</x:v>
      </x:c>
      <x:c r="AN83" s="2" t="str">
        <x:v>Australia; Brazil; China; Chile; Democratic Republic of the Congo; Peru; Indonesia; Myanmar; India; Vietnam</x:v>
      </x:c>
      <x:c r="AO83" s="2" t="str">
        <x:v>China; India; Japan; Chile; Democratic Republic of the Congo; Indonesia; Malaysia; Vietnam</x:v>
      </x:c>
      <x:c r="AP83" s="2" t="str">
        <x:v>Efficient air conditioning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3" s="2" t="str">
        <x:v>2024–2025</x:v>
      </x:c>
      <x:c r="AR83" s="2" t="str">
        <x:v>https://pubs.usgs.gov/periodicals/mcs2026/mcs2026.pdf</x:v>
      </x:c>
    </x:row>
    <x:row r="84" ht="240" customHeight="1">
      <x:c r="A84" s="2" t="str">
        <x:v>MIT-0077</x:v>
      </x:c>
      <x:c r="B84" s="2" t="str">
        <x:v>Mitigation</x:v>
      </x:c>
      <x:c r="C84" s="2" t="str">
        <x:v>Energy efficiency</x:v>
      </x:c>
      <x:c r="D84" s="2" t="str">
        <x:v>Buildings</x:v>
      </x:c>
      <x:c r="E84" s="2" t="str">
        <x:v>Indirect evaporative cooling</x:v>
      </x:c>
      <x:c r="F84" s="2" t="str">
        <x:v>Indirect evaporative cooling is a mitigation technology in the Energy efficiency sector and the Buildings technology group. It is defined as a combined hardware–software–orgware system that reduces thermal, electrical or water demand through passive design, efficient equipment, controls and low-impact materials. Indirect evaporative cooling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84" s="2" t="str">
        <x:v>Mixed: adaptable design, site-specific implementation</x:v>
      </x:c>
      <x:c r="H84" s="2" t="str">
        <x:v>Indirect evaporative cooling is adaptable in capacity and configuration but site-specific in final engineering. Its principle remains the same, but resource quality, climate, scale, interfaces and safety constraints must be recalculated for each deployment.</x:v>
      </x:c>
      <x:c r="I84" s="2" t="str">
        <x:v>Primarily hard, with a soft component</x:v>
      </x:c>
      <x:c r="J84" s="2" t="str">
        <x:v>Indirect evaporative cooling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84" s="2" t="str">
        <x:v>Equipment and operation</x:v>
      </x:c>
      <x:c r="L84" s="2" t="str">
        <x:v>Indirect evaporative cooling is embodied mainly as an equipment-and-operation system. The deliverable is accepted only when measurable service, quality, safety and climate-performance criteria are met under real conditions.</x:v>
      </x:c>
      <x:c r="M84" s="2" t="str">
        <x:v>Yes, subject to life-cycle safeguards</x:v>
      </x:c>
      <x:c r="N84" s="2" t="str">
        <x:v>Indirect evaporative cooling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84" s="2" t="str">
        <x:v>Indirect evaporative cooling: envelope assemblies, efficient equipment, sensors, actuators, meters and distribution systems.</x:v>
      </x:c>
      <x:c r="P84" s="2" t="str">
        <x:v>Indirect evaporative cooling: energy simulation, load calculation, control sequences, commissioning data and building management.</x:v>
      </x:c>
      <x:c r="Q84" s="2" t="str">
        <x:v>Indirect evaporative cooling: building codes, performance standards, procurement, commissioning, maintenance plans and occupant guidance.</x:v>
      </x:c>
      <x:c r="R84" s="2" t="str">
        <x:v>Indirect evaporative cooling: building fabric, plant rooms, electrical and water networks, access for maintenance and metering.</x:v>
      </x:c>
      <x:c r="S84" s="2" t="str">
        <x:v>Indirect evaporative cooling: electricity and thermal energy; peak demand, part-load efficiency and controls determine actual savings.</x:v>
      </x:c>
      <x:c r="T84" s="2" t="str">
        <x:v>Indirect evaporative cooling: insulation, glass, concrete, steel, timber, aluminium, copper, refrigerants and electronic components as applicable.</x:v>
      </x:c>
      <x:c r="U84" s="2" t="str">
        <x:v>Indirect evaporative cooling: filters, belts, seals, lamps or drivers, sensors, actuators, valves, control modules and envelope repair materials.</x:v>
      </x:c>
      <x:c r="V84" s="2" t="str">
        <x:v>https://www.ctc-n.org/sites/default/files/resources/ctcn_taxonomy_0.pdf</x:v>
      </x:c>
      <x:c r="W84" s="2" t="str">
        <x:v>https://institutoagricoladepueblobello.edu.co/colegiapp/archivostemas/GUIA%209.%5B25%5D.pdf</x:v>
      </x:c>
      <x:c r="X84" s="2" t="str">
        <x:v>https://iiasa.ac.at/what-is-technology</x:v>
      </x:c>
      <x:c r="Y84" s="2" t="str">
        <x:v>https://www.ipcc.ch/report/ar6/wg3/chapter/chapter-9/</x:v>
      </x:c>
      <x:c r="Z84" s="2" t="str">
        <x:v>Technology-specific analytical synthesis. The CTCN hierarchy is retained; classifications and component dependencies require validation against the selected design, site and supplier documentation before investment or policy use.</x:v>
      </x:c>
      <x:c r="AA84" s="2" t="str">
        <x:v>Physical deployment of Indirect evaporative cooling requires building fabric, plant rooms, electrical and water networks, access for maintenance and metering; interfaces, foundations, access and environmental protection are sized to the specific resource and design load.</x:v>
      </x:c>
      <x:c r="AB84" s="2" t="str">
        <x:v>For Indirect evaporative cooling, the hardware energy balance comprises electricity and thermal energy; peak demand, part-load efficiency and controls determine actual savings; metering must separate useful output, conversion losses and auxiliaries for the selected design.</x:v>
      </x:c>
      <x:c r="AC84" s="2" t="str">
        <x:v>Construction and operation use insulation, glass, concrete, steel, timber, aluminium, copper, refrigerants and electronic components as applicable. For Indirect evaporative cooling, specifications must include durability, compatibility, recycled content and recoverability.</x:v>
      </x:c>
      <x:c r="AD84" s="2" t="str">
        <x:v>Maintenance of Indirect evaporative cooling depends on filters, belts, seals, lamps or drivers, sensors, actuators, valves, control modules and envelope repair materials; critical spares are selected from failure-mode, lead-time and safety analysis for its installed configuration.</x:v>
      </x:c>
      <x:c r="AE84" s="2" t="str">
        <x:v>The software stack for Indirect evaporative cooling requires databases, secure communications, version-controlled models, computing, backup and interfaces with field or operational systems.</x:v>
      </x:c>
      <x:c r="AF84" s="2" t="str">
        <x:v>For Indirect evaporative cooling, software-related energy is electricity for sensing, computing, storage, communication and cooling; it is normally secondary but must be included for data-intensive or continuous services.</x:v>
      </x:c>
      <x:c r="AG84" s="2" t="str">
        <x:v>The non-physical inputs are calibrated data, metadata, algorithms, boundary conditions, emission or hazard factors, manuals and validation records specific to Indirect evaporative cooling.</x:v>
      </x:c>
      <x:c r="AH84" s="2" t="str">
        <x:v>Software continuity for Indirect evaporative cooling requires licences where applicable, updates, cybersecurity patches, backups, calibration files, model validation and technical support.</x:v>
      </x:c>
      <x:c r="AI84" s="2" t="str">
        <x:v>Orgware depends on the institutions, laboratories, training providers, regulators, operators and community interfaces needed to govern Indirect evaporative cooling.</x:v>
      </x:c>
      <x:c r="AJ84" s="2" t="str">
        <x:v>The orgware supporting Indirect evaporative cooling has mainly indirect energy use from offices, meetings, training and information systems; travel and field supervision may be material at dispersed sites.</x:v>
      </x:c>
      <x:c r="AK84" s="2" t="str">
        <x:v>Its organisational inputs are permits, budgets, trained staff, competence records, contracts, procedures, safeguards, monitoring evidence and stakeholder agreements tailored to Indirect evaporative cooling.</x:v>
      </x:c>
      <x:c r="AL84" s="2" t="str">
        <x:v>Sustained implementation of Indirect evaporative cooling requires procurement and service contracts, audit protocols, training material, reporting templates, insurance or guarantees and periodic independent review.</x:v>
      </x:c>
      <x:c r="AM84" s="2" t="str">
        <x:v>Iron ore / steel inputs; Limestone / cement raw materials</x:v>
      </x:c>
      <x:c r="AN84" s="2" t="str">
        <x:v>Australia; Brazil; China; India; Vietnam</x:v>
      </x:c>
      <x:c r="AO84" s="2" t="str">
        <x:v>China; India; Japan; Vietnam</x:v>
      </x:c>
      <x:c r="AP84" s="2" t="str">
        <x:v>Indirect evaporative cooling: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4" s="2" t="str">
        <x:v>2024–2025</x:v>
      </x:c>
      <x:c r="AR84" s="2" t="str">
        <x:v>https://pubs.usgs.gov/periodicals/mcs2026/mcs2026.pdf</x:v>
      </x:c>
    </x:row>
    <x:row r="85" ht="240" customHeight="1">
      <x:c r="A85" s="2" t="str">
        <x:v>MIT-0078</x:v>
      </x:c>
      <x:c r="B85" s="2" t="str">
        <x:v>Mitigation</x:v>
      </x:c>
      <x:c r="C85" s="2" t="str">
        <x:v>Energy efficiency</x:v>
      </x:c>
      <x:c r="D85" s="2" t="str">
        <x:v>Energy storage</x:v>
      </x:c>
      <x:c r="E85" s="2" t="str">
        <x:v>Compressed air energy storage</x:v>
      </x:c>
      <x:c r="F85" s="2" t="str">
        <x:v>Compressed air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Surplus electricity compresses air into a vessel or cavern; discharge releases and heats the air to drive an expander-generator, with efficiency strongly affected by thermal management.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5" s="2" t="str">
        <x:v>Mixed: adaptable design, site-specific implementation</x:v>
      </x:c>
      <x:c r="H85" s="2" t="str">
        <x:v>Compressed air energy storage is adaptable in capacity and configuration but site-specific in final engineering. Its principle remains the same, but resource quality, climate, scale, interfaces and safety constraints must be recalculated for each deployment.</x:v>
      </x:c>
      <x:c r="I85" s="2" t="str">
        <x:v>Primarily hard, with a soft component</x:v>
      </x:c>
      <x:c r="J85" s="2" t="str">
        <x:v>Compressed air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5" s="2" t="str">
        <x:v>Equipment and operation</x:v>
      </x:c>
      <x:c r="L85" s="2" t="str">
        <x:v>Compressed air energy storage is embodied mainly as an equipment-and-operation system. The deliverable is accepted only when measurable service, quality, safety and climate-performance criteria are met under real conditions.</x:v>
      </x:c>
      <x:c r="M85" s="2" t="str">
        <x:v>Yes, subject to life-cycle safeguards</x:v>
      </x:c>
      <x:c r="N85" s="2" t="str">
        <x:v>Compressed air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5" s="2" t="str">
        <x:v>Compressed air energy storage: storage medium, containment, power conversion, protection, thermal management, sensors and connection equipment.</x:v>
      </x:c>
      <x:c r="P85" s="2" t="str">
        <x:v>Compressed air energy storage: state estimation, charge–discharge control, degradation model, dispatch optimisation, safety logic and event logging.</x:v>
      </x:c>
      <x:c r="Q85" s="2" t="str">
        <x:v>Compressed air energy storage: interconnection rules, operating envelope, fire and pressure safety, market participation, warranty and end-of-life responsibility.</x:v>
      </x:c>
      <x:c r="R85" s="2" t="str">
        <x:v>Compressed air energy storage: foundations or caverns, electrical connection, ventilation or cooling, fire protection, drainage and secure maintenance access.</x:v>
      </x:c>
      <x:c r="S85" s="2" t="str">
        <x:v>Compressed air energy storage: charging electricity and auxiliary energy for pumps, compressors, vacuum, cryogenics or cooling; round-trip efficiency is technology-specific.</x:v>
      </x:c>
      <x:c r="T85" s="2" t="str">
        <x:v>Compressed air energy storage: steel, concrete, copper, power semiconductors and a technology-specific medium such as battery chemicals, water, air, phase-change material or superconductors.</x:v>
      </x:c>
      <x:c r="U85" s="2" t="str">
        <x:v>Compressed air energy storage: converter modules, seals, bearings, pumps, fans, sensors, cooling parts, fire-suppression agents and replaceable storage modules.</x:v>
      </x:c>
      <x:c r="V85" s="2" t="str">
        <x:v>https://www.ctc-n.org/sites/default/files/resources/ctcn_taxonomy_0.pdf</x:v>
      </x:c>
      <x:c r="W85" s="2" t="str">
        <x:v>https://institutoagricoladepueblobello.edu.co/colegiapp/archivostemas/GUIA%209.%5B25%5D.pdf</x:v>
      </x:c>
      <x:c r="X85" s="2" t="str">
        <x:v>https://iiasa.ac.at/what-is-technology</x:v>
      </x:c>
      <x:c r="Y85" s="2" t="str">
        <x:v>https://www.ipcc.ch/report/ar6/wg3/chapter/chapter-9/; https://www.energy.gov/oe/articles/grid-energy-storage-december-2013</x:v>
      </x:c>
      <x:c r="Z85" s="2" t="str">
        <x:v>Technology-specific analytical synthesis. The CTCN hierarchy is retained; classifications and component dependencies require validation against the selected design, site and supplier documentation before investment or policy use.</x:v>
      </x:c>
      <x:c r="AA85" s="2" t="str">
        <x:v>Physical deployment of Compressed air energy storage requires foundations or caverns, electrical connection, ventilation or cooling, fire protection, drainage and secure maintenance access; interfaces, foundations, access and environmental protection are sized to the specific resource and design load.</x:v>
      </x:c>
      <x:c r="AB85" s="2" t="str">
        <x:v>For Compressed air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5" s="2" t="str">
        <x:v>Construction and operation use steel, concrete, copper, power semiconductors and a technology-specific medium such as battery chemicals, water, air, phase-change material or superconductors. For Compressed air energy storage, specifications must include durability, compatibility, recycled content and recoverability.</x:v>
      </x:c>
      <x:c r="AD85" s="2" t="str">
        <x:v>Maintenance of Compressed air energy storage depends on converter modules, seals, bearings, pumps, fans, sensors, cooling parts, fire-suppression agents and replaceable storage modules; critical spares are selected from failure-mode, lead-time and safety analysis for its installed configuration.</x:v>
      </x:c>
      <x:c r="AE85" s="2" t="str">
        <x:v>The software stack for Compressed air energy storage requires databases, secure communications, version-controlled models, computing, backup and interfaces with field or operational systems.</x:v>
      </x:c>
      <x:c r="AF85" s="2" t="str">
        <x:v>For Compressed air energy storage, software-related energy is electricity for sensing, computing, storage, communication and cooling; it is normally secondary but must be included for data-intensive or continuous services.</x:v>
      </x:c>
      <x:c r="AG85" s="2" t="str">
        <x:v>The non-physical inputs are calibrated data, metadata, algorithms, boundary conditions, emission or hazard factors, manuals and validation records specific to Compressed air energy storage.</x:v>
      </x:c>
      <x:c r="AH85" s="2" t="str">
        <x:v>Software continuity for Compressed air energy storage requires licences where applicable, updates, cybersecurity patches, backups, calibration files, model validation and technical support.</x:v>
      </x:c>
      <x:c r="AI85" s="2" t="str">
        <x:v>Orgware depends on the institutions, laboratories, training providers, regulators, operators and community interfaces needed to govern Compressed air energy storage.</x:v>
      </x:c>
      <x:c r="AJ85" s="2" t="str">
        <x:v>The orgware supporting Compressed air energy storage has mainly indirect energy use from offices, meetings, training and information systems; travel and field supervision may be material at dispersed sites.</x:v>
      </x:c>
      <x:c r="AK85" s="2" t="str">
        <x:v>Its organisational inputs are permits, budgets, trained staff, competence records, contracts, procedures, safeguards, monitoring evidence and stakeholder agreements tailored to Compressed air energy storage.</x:v>
      </x:c>
      <x:c r="AL85" s="2" t="str">
        <x:v>Sustained implementation of Compressed air energy storage requires procurement and service contracts, audit protocols, training material, reporting templates, insurance or guarantees and periodic independent review.</x:v>
      </x:c>
      <x:c r="AM85" s="2" t="str">
        <x:v>Iron ore / steel inputs</x:v>
      </x:c>
      <x:c r="AN85" s="2" t="str">
        <x:v>Australia; Brazil; China</x:v>
      </x:c>
      <x:c r="AO85" s="2" t="str">
        <x:v>China; India; Japan</x:v>
      </x:c>
      <x:c r="AP85" s="2" t="str">
        <x:v>Compressed air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5" s="2" t="str">
        <x:v>2024–2025</x:v>
      </x:c>
      <x:c r="AR85" s="2" t="str">
        <x:v>https://pubs.usgs.gov/periodicals/mcs2026/mcs2026.pdf</x:v>
      </x:c>
    </x:row>
    <x:row r="86" ht="240" customHeight="1">
      <x:c r="A86" s="2" t="str">
        <x:v>MIT-0079</x:v>
      </x:c>
      <x:c r="B86" s="2" t="str">
        <x:v>Mitigation</x:v>
      </x:c>
      <x:c r="C86" s="2" t="str">
        <x:v>Energy efficiency</x:v>
      </x:c>
      <x:c r="D86" s="2" t="str">
        <x:v>Energy storage</x:v>
      </x:c>
      <x:c r="E86" s="2" t="str">
        <x:v>Phase change materials for thermal energy storage</x:v>
      </x:c>
      <x:c r="F86" s="2" t="str">
        <x:v>Phase change materials for thermal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The storage medium absorbs or releases latent heat during a controlled phase transition, providing high thermal capacity within a narrow temperature range.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6" s="2" t="str">
        <x:v>Mixed: adaptable design, site-specific implementation</x:v>
      </x:c>
      <x:c r="H86" s="2" t="str">
        <x:v>Phase change materials for thermal energy storage is adaptable in capacity and configuration but site-specific in final engineering. Its principle remains the same, but resource quality, climate, scale, interfaces and safety constraints must be recalculated for each deployment.</x:v>
      </x:c>
      <x:c r="I86" s="2" t="str">
        <x:v>Primarily hard, with a soft component</x:v>
      </x:c>
      <x:c r="J86" s="2" t="str">
        <x:v>Phase change materials for thermal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6" s="2" t="str">
        <x:v>Product and equipment; complementary operation</x:v>
      </x:c>
      <x:c r="L86" s="2" t="str">
        <x:v>Phase change materials for thermal energy storage is embodied mainly as a product/equipment package. The deliverable is accepted only when measurable service, quality, safety and climate-performance criteria are met under real conditions.</x:v>
      </x:c>
      <x:c r="M86" s="2" t="str">
        <x:v>Yes, subject to life-cycle safeguards</x:v>
      </x:c>
      <x:c r="N86" s="2" t="str">
        <x:v>Phase change materials for thermal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6" s="2" t="str">
        <x:v>Phase change materials for thermal energy storage: storage medium, containment, power conversion, protection, thermal management, sensors and connection equipment.</x:v>
      </x:c>
      <x:c r="P86" s="2" t="str">
        <x:v>Phase change materials for thermal energy storage: state estimation, charge–discharge control, degradation model, dispatch optimisation, safety logic and event logging.</x:v>
      </x:c>
      <x:c r="Q86" s="2" t="str">
        <x:v>Phase change materials for thermal energy storage: interconnection rules, operating envelope, fire and pressure safety, market participation, warranty and end-of-life responsibility.</x:v>
      </x:c>
      <x:c r="R86" s="2" t="str">
        <x:v>Phase change materials for thermal energy storage: foundations or caverns, electrical connection, ventilation or cooling, fire protection, drainage and secure maintenance access.</x:v>
      </x:c>
      <x:c r="S86" s="2" t="str">
        <x:v>Phase change materials for thermal energy storage: charging electricity and auxiliary energy for pumps, compressors, vacuum, cryogenics or cooling; round-trip efficiency is technology-specific.</x:v>
      </x:c>
      <x:c r="T86" s="2" t="str">
        <x:v>Phase change materials for thermal energy storage: steel, concrete, copper, power semiconductors and a technology-specific medium such as battery chemicals, water, air, phase-change material or superconductors.</x:v>
      </x:c>
      <x:c r="U86" s="2" t="str">
        <x:v>Phase change materials for thermal energy storage: converter modules, seals, bearings, pumps, fans, sensors, cooling parts, fire-suppression agents and replaceable storage modules.</x:v>
      </x:c>
      <x:c r="V86" s="2" t="str">
        <x:v>https://www.ctc-n.org/sites/default/files/resources/ctcn_taxonomy_0.pdf</x:v>
      </x:c>
      <x:c r="W86" s="2" t="str">
        <x:v>https://institutoagricoladepueblobello.edu.co/colegiapp/archivostemas/GUIA%209.%5B25%5D.pdf</x:v>
      </x:c>
      <x:c r="X86" s="2" t="str">
        <x:v>https://iiasa.ac.at/what-is-technology</x:v>
      </x:c>
      <x:c r="Y86" s="2" t="str">
        <x:v>https://www.ipcc.ch/report/ar6/wg3/chapter/chapter-9/; https://www.energy.gov/oe/articles/grid-energy-storage-december-2013</x:v>
      </x:c>
      <x:c r="Z86" s="2" t="str">
        <x:v>Technology-specific analytical synthesis. The CTCN hierarchy is retained; classifications and component dependencies require validation against the selected design, site and supplier documentation before investment or policy use.</x:v>
      </x:c>
      <x:c r="AA86" s="2" t="str">
        <x:v>Physical deployment of Phase change materials for thermal energy storage requires foundations or caverns, electrical connection, ventilation or cooling, fire protection, drainage and secure maintenance access; interfaces, foundations, access and environmental protection are sized to the specific resource and design load.</x:v>
      </x:c>
      <x:c r="AB86" s="2" t="str">
        <x:v>For Phase change materials for thermal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6" s="2" t="str">
        <x:v>Construction and operation use steel, concrete, copper, power semiconductors and a technology-specific medium such as battery chemicals, water, air, phase-change material or superconductors. For Phase change materials for thermal energy storage, specifications must include durability, compatibility, recycled content and recoverability.</x:v>
      </x:c>
      <x:c r="AD86" s="2" t="str">
        <x:v>Maintenance of Phase change materials for thermal energy storage depends on converter modules, seals, bearings, pumps, fans, sensors, cooling parts, fire-suppression agents and replaceable storage modules; critical spares are selected from failure-mode, lead-time and safety analysis for its installed configuration.</x:v>
      </x:c>
      <x:c r="AE86" s="2" t="str">
        <x:v>The software stack for Phase change materials for thermal energy storage requires databases, secure communications, version-controlled models, computing, backup and interfaces with field or operational systems.</x:v>
      </x:c>
      <x:c r="AF86" s="2" t="str">
        <x:v>For Phase change materials for thermal energy storage, software-related energy is electricity for sensing, computing, storage, communication and cooling; it is normally secondary but must be included for data-intensive or continuous services.</x:v>
      </x:c>
      <x:c r="AG86" s="2" t="str">
        <x:v>The non-physical inputs are calibrated data, metadata, algorithms, boundary conditions, emission or hazard factors, manuals and validation records specific to Phase change materials for thermal energy storage.</x:v>
      </x:c>
      <x:c r="AH86" s="2" t="str">
        <x:v>Software continuity for Phase change materials for thermal energy storage requires licences where applicable, updates, cybersecurity patches, backups, calibration files, model validation and technical support.</x:v>
      </x:c>
      <x:c r="AI86" s="2" t="str">
        <x:v>Orgware depends on the institutions, laboratories, training providers, regulators, operators and community interfaces needed to govern Phase change materials for thermal energy storage.</x:v>
      </x:c>
      <x:c r="AJ86" s="2" t="str">
        <x:v>The orgware supporting Phase change materials for thermal energy storage has mainly indirect energy use from offices, meetings, training and information systems; travel and field supervision may be material at dispersed sites.</x:v>
      </x:c>
      <x:c r="AK86" s="2" t="str">
        <x:v>Its organisational inputs are permits, budgets, trained staff, competence records, contracts, procedures, safeguards, monitoring evidence and stakeholder agreements tailored to Phase change materials for thermal energy storage.</x:v>
      </x:c>
      <x:c r="AL86" s="2" t="str">
        <x:v>Sustained implementation of Phase change materials for thermal energy storage requires procurement and service contracts, audit protocols, training material, reporting templates, insurance or guarantees and periodic independent review.</x:v>
      </x:c>
      <x:c r="AM86" s="2" t="str">
        <x:v>Iron ore / steel inputs</x:v>
      </x:c>
      <x:c r="AN86" s="2" t="str">
        <x:v>Australia; Brazil; China</x:v>
      </x:c>
      <x:c r="AO86" s="2" t="str">
        <x:v>China; India; Japan</x:v>
      </x:c>
      <x:c r="AP86" s="2" t="str">
        <x:v>Phase change materials for thermal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6" s="2" t="str">
        <x:v>2024–2025</x:v>
      </x:c>
      <x:c r="AR86" s="2" t="str">
        <x:v>https://pubs.usgs.gov/periodicals/mcs2026/mcs2026.pdf</x:v>
      </x:c>
    </x:row>
    <x:row r="87" ht="240" customHeight="1">
      <x:c r="A87" s="2" t="str">
        <x:v>MIT-0080</x:v>
      </x:c>
      <x:c r="B87" s="2" t="str">
        <x:v>Mitigation</x:v>
      </x:c>
      <x:c r="C87" s="2" t="str">
        <x:v>Energy efficiency</x:v>
      </x:c>
      <x:c r="D87" s="2" t="str">
        <x:v>Energy storage</x:v>
      </x:c>
      <x:c r="E87" s="2" t="str">
        <x:v>Capacitors</x:v>
      </x:c>
      <x:c r="F87" s="2" t="str">
        <x:v>Capacitors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Capacitors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7" s="2" t="str">
        <x:v>Mixed: adaptable design, site-specific implementation</x:v>
      </x:c>
      <x:c r="H87" s="2" t="str">
        <x:v>Capacitors is adaptable in capacity and configuration but site-specific in final engineering. Its principle remains the same, but resource quality, climate, scale, interfaces and safety constraints must be recalculated for each deployment.</x:v>
      </x:c>
      <x:c r="I87" s="2" t="str">
        <x:v>Primarily hard, with a soft component</x:v>
      </x:c>
      <x:c r="J87" s="2" t="str">
        <x:v>Capacitors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7" s="2" t="str">
        <x:v>Equipment and operation</x:v>
      </x:c>
      <x:c r="L87" s="2" t="str">
        <x:v>Capacitors is embodied mainly as an equipment-and-operation system. The deliverable is accepted only when measurable service, quality, safety and climate-performance criteria are met under real conditions.</x:v>
      </x:c>
      <x:c r="M87" s="2" t="str">
        <x:v>Yes, subject to life-cycle safeguards</x:v>
      </x:c>
      <x:c r="N87" s="2" t="str">
        <x:v>Capacitors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7" s="2" t="str">
        <x:v>Capacitors: storage medium, containment, power conversion, protection, thermal management, sensors and connection equipment.</x:v>
      </x:c>
      <x:c r="P87" s="2" t="str">
        <x:v>Capacitors: state estimation, charge–discharge control, degradation model, dispatch optimisation, safety logic and event logging.</x:v>
      </x:c>
      <x:c r="Q87" s="2" t="str">
        <x:v>Capacitors: interconnection rules, operating envelope, fire and pressure safety, market participation, warranty and end-of-life responsibility.</x:v>
      </x:c>
      <x:c r="R87" s="2" t="str">
        <x:v>Capacitors: foundations or caverns, electrical connection, ventilation or cooling, fire protection, drainage and secure maintenance access.</x:v>
      </x:c>
      <x:c r="S87" s="2" t="str">
        <x:v>Capacitors: charging electricity and auxiliary energy for pumps, compressors, vacuum, cryogenics or cooling; round-trip efficiency is technology-specific.</x:v>
      </x:c>
      <x:c r="T87" s="2" t="str">
        <x:v>Capacitors: steel, concrete, copper, power semiconductors and a technology-specific medium such as battery chemicals, water, air, phase-change material or superconductors.</x:v>
      </x:c>
      <x:c r="U87" s="2" t="str">
        <x:v>Capacitors: converter modules, seals, bearings, pumps, fans, sensors, cooling parts, fire-suppression agents and replaceable storage modules.</x:v>
      </x:c>
      <x:c r="V87" s="2" t="str">
        <x:v>https://www.ctc-n.org/sites/default/files/resources/ctcn_taxonomy_0.pdf</x:v>
      </x:c>
      <x:c r="W87" s="2" t="str">
        <x:v>https://institutoagricoladepueblobello.edu.co/colegiapp/archivostemas/GUIA%209.%5B25%5D.pdf</x:v>
      </x:c>
      <x:c r="X87" s="2" t="str">
        <x:v>https://iiasa.ac.at/what-is-technology</x:v>
      </x:c>
      <x:c r="Y87" s="2" t="str">
        <x:v>https://www.ipcc.ch/report/ar6/wg3/chapter/chapter-9/; https://www.energy.gov/oe/articles/grid-energy-storage-december-2013</x:v>
      </x:c>
      <x:c r="Z87" s="2" t="str">
        <x:v>Technology-specific analytical synthesis. The CTCN hierarchy is retained; classifications and component dependencies require validation against the selected design, site and supplier documentation before investment or policy use.</x:v>
      </x:c>
      <x:c r="AA87" s="2" t="str">
        <x:v>Physical deployment of Capacitors requires foundations or caverns, electrical connection, ventilation or cooling, fire protection, drainage and secure maintenance access; interfaces, foundations, access and environmental protection are sized to the specific resource and design load.</x:v>
      </x:c>
      <x:c r="AB87" s="2" t="str">
        <x:v>For Capacitors,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7" s="2" t="str">
        <x:v>Construction and operation use steel, concrete, copper, power semiconductors and a technology-specific medium such as battery chemicals, water, air, phase-change material or superconductors. For Capacitors, specifications must include durability, compatibility, recycled content and recoverability.</x:v>
      </x:c>
      <x:c r="AD87" s="2" t="str">
        <x:v>Maintenance of Capacitors depends on converter modules, seals, bearings, pumps, fans, sensors, cooling parts, fire-suppression agents and replaceable storage modules; critical spares are selected from failure-mode, lead-time and safety analysis for its installed configuration.</x:v>
      </x:c>
      <x:c r="AE87" s="2" t="str">
        <x:v>The software stack for Capacitors requires databases, secure communications, version-controlled models, computing, backup and interfaces with field or operational systems.</x:v>
      </x:c>
      <x:c r="AF87" s="2" t="str">
        <x:v>For Capacitors, software-related energy is electricity for sensing, computing, storage, communication and cooling; it is normally secondary but must be included for data-intensive or continuous services.</x:v>
      </x:c>
      <x:c r="AG87" s="2" t="str">
        <x:v>The non-physical inputs are calibrated data, metadata, algorithms, boundary conditions, emission or hazard factors, manuals and validation records specific to Capacitors.</x:v>
      </x:c>
      <x:c r="AH87" s="2" t="str">
        <x:v>Software continuity for Capacitors requires licences where applicable, updates, cybersecurity patches, backups, calibration files, model validation and technical support.</x:v>
      </x:c>
      <x:c r="AI87" s="2" t="str">
        <x:v>Orgware depends on the institutions, laboratories, training providers, regulators, operators and community interfaces needed to govern Capacitors.</x:v>
      </x:c>
      <x:c r="AJ87" s="2" t="str">
        <x:v>The orgware supporting Capacitors has mainly indirect energy use from offices, meetings, training and information systems; travel and field supervision may be material at dispersed sites.</x:v>
      </x:c>
      <x:c r="AK87" s="2" t="str">
        <x:v>Its organisational inputs are permits, budgets, trained staff, competence records, contracts, procedures, safeguards, monitoring evidence and stakeholder agreements tailored to Capacitors.</x:v>
      </x:c>
      <x:c r="AL87" s="2" t="str">
        <x:v>Sustained implementation of Capacitors requires procurement and service contracts, audit protocols, training material, reporting templates, insurance or guarantees and periodic independent review.</x:v>
      </x:c>
      <x:c r="AM87" s="2" t="str">
        <x:v>Iron ore / steel inputs; Tantalum</x:v>
      </x:c>
      <x:c r="AN87" s="2" t="str">
        <x:v>Australia; Brazil; China; Democratic Republic of the Congo; Rwanda; Nigeria</x:v>
      </x:c>
      <x:c r="AO87" s="2" t="str">
        <x:v>China; India; Japan; Germany; United States</x:v>
      </x:c>
      <x:c r="AP87" s="2" t="str">
        <x:v>Capacitors: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7" s="2" t="str">
        <x:v>2024–2025</x:v>
      </x:c>
      <x:c r="AR87" s="2" t="str">
        <x:v>https://pubs.usgs.gov/periodicals/mcs2026/mcs2026.pdf</x:v>
      </x:c>
    </x:row>
    <x:row r="88" ht="240" customHeight="1">
      <x:c r="A88" s="2" t="str">
        <x:v>MIT-0081</x:v>
      </x:c>
      <x:c r="B88" s="2" t="str">
        <x:v>Mitigation</x:v>
      </x:c>
      <x:c r="C88" s="2" t="str">
        <x:v>Energy efficiency</x:v>
      </x:c>
      <x:c r="D88" s="2" t="str">
        <x:v>Energy storage</x:v>
      </x:c>
      <x:c r="E88" s="2" t="str">
        <x:v>Batteries</x:v>
      </x:c>
      <x:c r="F88" s="2" t="str">
        <x:v>Batteries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Reversible electrochemical reactions transfer ions between electrodes through an electrolyte while electrons flow through the external circuit; a battery-management system enforces voltage, temperature and state-of-charge limits.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8" s="2" t="str">
        <x:v>Mixed: adaptable design, site-specific implementation</x:v>
      </x:c>
      <x:c r="H88" s="2" t="str">
        <x:v>Batteries is adaptable in capacity and configuration but site-specific in final engineering. Its principle remains the same, but resource quality, climate, scale, interfaces and safety constraints must be recalculated for each deployment.</x:v>
      </x:c>
      <x:c r="I88" s="2" t="str">
        <x:v>Primarily hard, with a soft component</x:v>
      </x:c>
      <x:c r="J88" s="2" t="str">
        <x:v>Batteries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8" s="2" t="str">
        <x:v>Equipment and operation</x:v>
      </x:c>
      <x:c r="L88" s="2" t="str">
        <x:v>Batteries is embodied mainly as an equipment-and-operation system. The deliverable is accepted only when measurable service, quality, safety and climate-performance criteria are met under real conditions.</x:v>
      </x:c>
      <x:c r="M88" s="2" t="str">
        <x:v>Yes, subject to life-cycle safeguards</x:v>
      </x:c>
      <x:c r="N88" s="2" t="str">
        <x:v>Batteries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8" s="2" t="str">
        <x:v>Batteries: storage medium, containment, power conversion, protection, thermal management, sensors and connection equipment.</x:v>
      </x:c>
      <x:c r="P88" s="2" t="str">
        <x:v>Batteries: state estimation, charge–discharge control, degradation model, dispatch optimisation, safety logic and event logging.</x:v>
      </x:c>
      <x:c r="Q88" s="2" t="str">
        <x:v>Batteries: interconnection rules, operating envelope, fire and pressure safety, market participation, warranty and end-of-life responsibility.</x:v>
      </x:c>
      <x:c r="R88" s="2" t="str">
        <x:v>Batteries: foundations or caverns, electrical connection, ventilation or cooling, fire protection, drainage and secure maintenance access.</x:v>
      </x:c>
      <x:c r="S88" s="2" t="str">
        <x:v>Batteries: charging electricity and auxiliary energy for pumps, compressors, vacuum, cryogenics or cooling; round-trip efficiency is technology-specific.</x:v>
      </x:c>
      <x:c r="T88" s="2" t="str">
        <x:v>Batteries: steel, concrete, copper, power semiconductors and a technology-specific medium such as battery chemicals, water, air, phase-change material or superconductors.</x:v>
      </x:c>
      <x:c r="U88" s="2" t="str">
        <x:v>Batteries: converter modules, seals, bearings, pumps, fans, sensors, cooling parts, fire-suppression agents and replaceable storage modules.</x:v>
      </x:c>
      <x:c r="V88" s="2" t="str">
        <x:v>https://www.ctc-n.org/sites/default/files/resources/ctcn_taxonomy_0.pdf</x:v>
      </x:c>
      <x:c r="W88" s="2" t="str">
        <x:v>https://institutoagricoladepueblobello.edu.co/colegiapp/archivostemas/GUIA%209.%5B25%5D.pdf</x:v>
      </x:c>
      <x:c r="X88" s="2" t="str">
        <x:v>https://iiasa.ac.at/what-is-technology</x:v>
      </x:c>
      <x:c r="Y88" s="2" t="str">
        <x:v>https://www.ipcc.ch/report/ar6/wg3/chapter/chapter-9/; https://www.energy.gov/oe/articles/grid-energy-storage-december-2013</x:v>
      </x:c>
      <x:c r="Z88" s="2" t="str">
        <x:v>Technology-specific analytical synthesis. The CTCN hierarchy is retained; classifications and component dependencies require validation against the selected design, site and supplier documentation before investment or policy use.</x:v>
      </x:c>
      <x:c r="AA88" s="2" t="str">
        <x:v>Physical deployment of Batteries requires foundations or caverns, electrical connection, ventilation or cooling, fire protection, drainage and secure maintenance access; interfaces, foundations, access and environmental protection are sized to the specific resource and design load.</x:v>
      </x:c>
      <x:c r="AB88" s="2" t="str">
        <x:v>For Batteries,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8" s="2" t="str">
        <x:v>Construction and operation use steel, concrete, copper, power semiconductors and a technology-specific medium such as battery chemicals, water, air, phase-change material or superconductors. For Batteries, specifications must include durability, compatibility, recycled content and recoverability.</x:v>
      </x:c>
      <x:c r="AD88" s="2" t="str">
        <x:v>Maintenance of Batteries depends on converter modules, seals, bearings, pumps, fans, sensors, cooling parts, fire-suppression agents and replaceable storage modules; critical spares are selected from failure-mode, lead-time and safety analysis for its installed configuration.</x:v>
      </x:c>
      <x:c r="AE88" s="2" t="str">
        <x:v>The software stack for Batteries requires databases, secure communications, version-controlled models, computing, backup and interfaces with field or operational systems.</x:v>
      </x:c>
      <x:c r="AF88" s="2" t="str">
        <x:v>For Batteries, software-related energy is electricity for sensing, computing, storage, communication and cooling; it is normally secondary but must be included for data-intensive or continuous services.</x:v>
      </x:c>
      <x:c r="AG88" s="2" t="str">
        <x:v>The non-physical inputs are calibrated data, metadata, algorithms, boundary conditions, emission or hazard factors, manuals and validation records specific to Batteries.</x:v>
      </x:c>
      <x:c r="AH88" s="2" t="str">
        <x:v>Software continuity for Batteries requires licences where applicable, updates, cybersecurity patches, backups, calibration files, model validation and technical support.</x:v>
      </x:c>
      <x:c r="AI88" s="2" t="str">
        <x:v>Orgware depends on the institutions, laboratories, training providers, regulators, operators and community interfaces needed to govern Batteries.</x:v>
      </x:c>
      <x:c r="AJ88" s="2" t="str">
        <x:v>The orgware supporting Batteries has mainly indirect energy use from offices, meetings, training and information systems; travel and field supervision may be material at dispersed sites.</x:v>
      </x:c>
      <x:c r="AK88" s="2" t="str">
        <x:v>Its organisational inputs are permits, budgets, trained staff, competence records, contracts, procedures, safeguards, monitoring evidence and stakeholder agreements tailored to Batteries.</x:v>
      </x:c>
      <x:c r="AL88" s="2" t="str">
        <x:v>Sustained implementation of Batteries requires procurement and service contracts, audit protocols, training material, reporting templates, insurance or guarantees and periodic independent review.</x:v>
      </x:c>
      <x:c r="AM88" s="2" t="str">
        <x:v>Iron ore / steel inputs</x:v>
      </x:c>
      <x:c r="AN88" s="2" t="str">
        <x:v>Australia; Brazil; China</x:v>
      </x:c>
      <x:c r="AO88" s="2" t="str">
        <x:v>China; India; Japan</x:v>
      </x:c>
      <x:c r="AP88" s="2" t="str">
        <x:v>Batteries: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8" s="2" t="str">
        <x:v>2024–2025</x:v>
      </x:c>
      <x:c r="AR88" s="2" t="str">
        <x:v>https://pubs.usgs.gov/periodicals/mcs2026/mcs2026.pdf</x:v>
      </x:c>
    </x:row>
    <x:row r="89" ht="240" customHeight="1">
      <x:c r="A89" s="2" t="str">
        <x:v>MIT-0082</x:v>
      </x:c>
      <x:c r="B89" s="2" t="str">
        <x:v>Mitigation</x:v>
      </x:c>
      <x:c r="C89" s="2" t="str">
        <x:v>Energy efficiency</x:v>
      </x:c>
      <x:c r="D89" s="2" t="str">
        <x:v>Energy storage</x:v>
      </x:c>
      <x:c r="E89" s="2" t="str">
        <x:v>Pumped hydroelectric energy storage</x:v>
      </x:c>
      <x:c r="F89" s="2" t="str">
        <x:v>Pumped hydroelectric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Electricity pumps water to an upper reservoir; later the hydraulic head drives reversible turbines or pump-turbines to regenerate electricity.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89" s="2" t="str">
        <x:v>Mixed: adaptable design, site-specific implementation</x:v>
      </x:c>
      <x:c r="H89" s="2" t="str">
        <x:v>Pumped hydroelectric energy storage is adaptable in capacity and configuration but site-specific in final engineering. Its principle remains the same, but resource quality, climate, scale, interfaces and safety constraints must be recalculated for each deployment.</x:v>
      </x:c>
      <x:c r="I89" s="2" t="str">
        <x:v>Primarily hard, with a soft component</x:v>
      </x:c>
      <x:c r="J89" s="2" t="str">
        <x:v>Pumped hydroelectric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89" s="2" t="str">
        <x:v>Equipment and operation</x:v>
      </x:c>
      <x:c r="L89" s="2" t="str">
        <x:v>Pumped hydroelectric energy storage is embodied mainly as an equipment-and-operation system. The deliverable is accepted only when measurable service, quality, safety and climate-performance criteria are met under real conditions.</x:v>
      </x:c>
      <x:c r="M89" s="2" t="str">
        <x:v>Yes, subject to life-cycle safeguards</x:v>
      </x:c>
      <x:c r="N89" s="2" t="str">
        <x:v>Pumped hydroelectric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89" s="2" t="str">
        <x:v>Pumped hydroelectric energy storage: storage medium, containment, power conversion, protection, thermal management, sensors and connection equipment.</x:v>
      </x:c>
      <x:c r="P89" s="2" t="str">
        <x:v>Pumped hydroelectric energy storage: state estimation, charge–discharge control, degradation model, dispatch optimisation, safety logic and event logging.</x:v>
      </x:c>
      <x:c r="Q89" s="2" t="str">
        <x:v>Pumped hydroelectric energy storage: interconnection rules, operating envelope, fire and pressure safety, market participation, warranty and end-of-life responsibility.</x:v>
      </x:c>
      <x:c r="R89" s="2" t="str">
        <x:v>Pumped hydroelectric energy storage: foundations or caverns, electrical connection, ventilation or cooling, fire protection, drainage and secure maintenance access.</x:v>
      </x:c>
      <x:c r="S89" s="2" t="str">
        <x:v>Pumped hydroelectric energy storage: charging electricity and auxiliary energy for pumps, compressors, vacuum, cryogenics or cooling; round-trip efficiency is technology-specific.</x:v>
      </x:c>
      <x:c r="T89" s="2" t="str">
        <x:v>Pumped hydroelectric energy storage: steel, concrete, copper, power semiconductors and a technology-specific medium such as battery chemicals, water, air, phase-change material or superconductors.</x:v>
      </x:c>
      <x:c r="U89" s="2" t="str">
        <x:v>Pumped hydroelectric energy storage: converter modules, seals, bearings, pumps, fans, sensors, cooling parts, fire-suppression agents and replaceable storage modules.</x:v>
      </x:c>
      <x:c r="V89" s="2" t="str">
        <x:v>https://www.ctc-n.org/sites/default/files/resources/ctcn_taxonomy_0.pdf</x:v>
      </x:c>
      <x:c r="W89" s="2" t="str">
        <x:v>https://institutoagricoladepueblobello.edu.co/colegiapp/archivostemas/GUIA%209.%5B25%5D.pdf</x:v>
      </x:c>
      <x:c r="X89" s="2" t="str">
        <x:v>https://iiasa.ac.at/what-is-technology</x:v>
      </x:c>
      <x:c r="Y89" s="2" t="str">
        <x:v>https://www.ipcc.ch/report/ar6/wg3/chapter/chapter-9/; https://www.energy.gov/oe/articles/grid-energy-storage-december-2013</x:v>
      </x:c>
      <x:c r="Z89" s="2" t="str">
        <x:v>Technology-specific analytical synthesis. The CTCN hierarchy is retained; classifications and component dependencies require validation against the selected design, site and supplier documentation before investment or policy use.</x:v>
      </x:c>
      <x:c r="AA89" s="2" t="str">
        <x:v>Physical deployment of Pumped hydroelectric energy storage requires foundations or caverns, electrical connection, ventilation or cooling, fire protection, drainage and secure maintenance access; interfaces, foundations, access and environmental protection are sized to the specific resource and design load.</x:v>
      </x:c>
      <x:c r="AB89" s="2" t="str">
        <x:v>For Pumped hydroelectric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89" s="2" t="str">
        <x:v>Construction and operation use steel, concrete, copper, power semiconductors and a technology-specific medium such as battery chemicals, water, air, phase-change material or superconductors. For Pumped hydroelectric energy storage, specifications must include durability, compatibility, recycled content and recoverability.</x:v>
      </x:c>
      <x:c r="AD89" s="2" t="str">
        <x:v>Maintenance of Pumped hydroelectric energy storage depends on converter modules, seals, bearings, pumps, fans, sensors, cooling parts, fire-suppression agents and replaceable storage modules; critical spares are selected from failure-mode, lead-time and safety analysis for its installed configuration.</x:v>
      </x:c>
      <x:c r="AE89" s="2" t="str">
        <x:v>The software stack for Pumped hydroelectric energy storage requires databases, secure communications, version-controlled models, computing, backup and interfaces with field or operational systems.</x:v>
      </x:c>
      <x:c r="AF89" s="2" t="str">
        <x:v>For Pumped hydroelectric energy storage, software-related energy is electricity for sensing, computing, storage, communication and cooling; it is normally secondary but must be included for data-intensive or continuous services.</x:v>
      </x:c>
      <x:c r="AG89" s="2" t="str">
        <x:v>The non-physical inputs are calibrated data, metadata, algorithms, boundary conditions, emission or hazard factors, manuals and validation records specific to Pumped hydroelectric energy storage.</x:v>
      </x:c>
      <x:c r="AH89" s="2" t="str">
        <x:v>Software continuity for Pumped hydroelectric energy storage requires licences where applicable, updates, cybersecurity patches, backups, calibration files, model validation and technical support.</x:v>
      </x:c>
      <x:c r="AI89" s="2" t="str">
        <x:v>Orgware depends on the institutions, laboratories, training providers, regulators, operators and community interfaces needed to govern Pumped hydroelectric energy storage.</x:v>
      </x:c>
      <x:c r="AJ89" s="2" t="str">
        <x:v>The orgware supporting Pumped hydroelectric energy storage has mainly indirect energy use from offices, meetings, training and information systems; travel and field supervision may be material at dispersed sites.</x:v>
      </x:c>
      <x:c r="AK89" s="2" t="str">
        <x:v>Its organisational inputs are permits, budgets, trained staff, competence records, contracts, procedures, safeguards, monitoring evidence and stakeholder agreements tailored to Pumped hydroelectric energy storage.</x:v>
      </x:c>
      <x:c r="AL89" s="2" t="str">
        <x:v>Sustained implementation of Pumped hydroelectric energy storage requires procurement and service contracts, audit protocols, training material, reporting templates, insurance or guarantees and periodic independent review.</x:v>
      </x:c>
      <x:c r="AM89" s="2" t="str">
        <x:v>Iron ore / steel inputs; Copper; Tin</x:v>
      </x:c>
      <x:c r="AN89" s="2" t="str">
        <x:v>Australia; Brazil; China; Chile; Democratic Republic of the Congo; Peru; Indonesia; Myanmar</x:v>
      </x:c>
      <x:c r="AO89" s="2" t="str">
        <x:v>China; India; Japan; Chile; Democratic Republic of the Congo; Indonesia; Malaysia</x:v>
      </x:c>
      <x:c r="AP89" s="2" t="str">
        <x:v>Pumped hydroelectric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9" s="2" t="str">
        <x:v>2024–2025</x:v>
      </x:c>
      <x:c r="AR89" s="2" t="str">
        <x:v>https://pubs.usgs.gov/periodicals/mcs2026/mcs2026.pdf</x:v>
      </x:c>
    </x:row>
    <x:row r="90" ht="240" customHeight="1">
      <x:c r="A90" s="2" t="str">
        <x:v>MIT-0083</x:v>
      </x:c>
      <x:c r="B90" s="2" t="str">
        <x:v>Mitigation</x:v>
      </x:c>
      <x:c r="C90" s="2" t="str">
        <x:v>Energy efficiency</x:v>
      </x:c>
      <x:c r="D90" s="2" t="str">
        <x:v>Energy storage</x:v>
      </x:c>
      <x:c r="E90" s="2" t="str">
        <x:v>Flywheels</x:v>
      </x:c>
      <x:c r="F90" s="2" t="str">
        <x:v>Flywheels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A motor accelerates a high-strength rotor in a low-loss enclosure; stored rotational kinetic energy is returned through the same electric machine, favouring high-power, short-duration services.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90" s="2" t="str">
        <x:v>Mixed: adaptable design, site-specific implementation</x:v>
      </x:c>
      <x:c r="H90" s="2" t="str">
        <x:v>Flywheels is adaptable in capacity and configuration but site-specific in final engineering. Its principle remains the same, but resource quality, climate, scale, interfaces and safety constraints must be recalculated for each deployment.</x:v>
      </x:c>
      <x:c r="I90" s="2" t="str">
        <x:v>Primarily hard, with a soft component</x:v>
      </x:c>
      <x:c r="J90" s="2" t="str">
        <x:v>Flywheels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90" s="2" t="str">
        <x:v>Equipment and operation</x:v>
      </x:c>
      <x:c r="L90" s="2" t="str">
        <x:v>Flywheels is embodied mainly as an equipment-and-operation system. The deliverable is accepted only when measurable service, quality, safety and climate-performance criteria are met under real conditions.</x:v>
      </x:c>
      <x:c r="M90" s="2" t="str">
        <x:v>Yes, subject to life-cycle safeguards</x:v>
      </x:c>
      <x:c r="N90" s="2" t="str">
        <x:v>Flywheels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90" s="2" t="str">
        <x:v>Flywheels: storage medium, containment, power conversion, protection, thermal management, sensors and connection equipment.</x:v>
      </x:c>
      <x:c r="P90" s="2" t="str">
        <x:v>Flywheels: state estimation, charge–discharge control, degradation model, dispatch optimisation, safety logic and event logging.</x:v>
      </x:c>
      <x:c r="Q90" s="2" t="str">
        <x:v>Flywheels: interconnection rules, operating envelope, fire and pressure safety, market participation, warranty and end-of-life responsibility.</x:v>
      </x:c>
      <x:c r="R90" s="2" t="str">
        <x:v>Flywheels: foundations or caverns, electrical connection, ventilation or cooling, fire protection, drainage and secure maintenance access.</x:v>
      </x:c>
      <x:c r="S90" s="2" t="str">
        <x:v>Flywheels: charging electricity and auxiliary energy for pumps, compressors, vacuum, cryogenics or cooling; round-trip efficiency is technology-specific.</x:v>
      </x:c>
      <x:c r="T90" s="2" t="str">
        <x:v>Flywheels: steel, concrete, copper, power semiconductors and a technology-specific medium such as battery chemicals, water, air, phase-change material or superconductors.</x:v>
      </x:c>
      <x:c r="U90" s="2" t="str">
        <x:v>Flywheels: converter modules, seals, bearings, pumps, fans, sensors, cooling parts, fire-suppression agents and replaceable storage modules.</x:v>
      </x:c>
      <x:c r="V90" s="2" t="str">
        <x:v>https://www.ctc-n.org/sites/default/files/resources/ctcn_taxonomy_0.pdf</x:v>
      </x:c>
      <x:c r="W90" s="2" t="str">
        <x:v>https://institutoagricoladepueblobello.edu.co/colegiapp/archivostemas/GUIA%209.%5B25%5D.pdf</x:v>
      </x:c>
      <x:c r="X90" s="2" t="str">
        <x:v>https://iiasa.ac.at/what-is-technology</x:v>
      </x:c>
      <x:c r="Y90" s="2" t="str">
        <x:v>https://www.ipcc.ch/report/ar6/wg3/chapter/chapter-9/; https://www.energy.gov/oe/articles/grid-energy-storage-december-2013</x:v>
      </x:c>
      <x:c r="Z90" s="2" t="str">
        <x:v>Technology-specific analytical synthesis. The CTCN hierarchy is retained; classifications and component dependencies require validation against the selected design, site and supplier documentation before investment or policy use.</x:v>
      </x:c>
      <x:c r="AA90" s="2" t="str">
        <x:v>Physical deployment of Flywheels requires foundations or caverns, electrical connection, ventilation or cooling, fire protection, drainage and secure maintenance access; interfaces, foundations, access and environmental protection are sized to the specific resource and design load.</x:v>
      </x:c>
      <x:c r="AB90" s="2" t="str">
        <x:v>For Flywheels,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90" s="2" t="str">
        <x:v>Construction and operation use steel, concrete, copper, power semiconductors and a technology-specific medium such as battery chemicals, water, air, phase-change material or superconductors. For Flywheels, specifications must include durability, compatibility, recycled content and recoverability.</x:v>
      </x:c>
      <x:c r="AD90" s="2" t="str">
        <x:v>Maintenance of Flywheels depends on converter modules, seals, bearings, pumps, fans, sensors, cooling parts, fire-suppression agents and replaceable storage modules; critical spares are selected from failure-mode, lead-time and safety analysis for its installed configuration.</x:v>
      </x:c>
      <x:c r="AE90" s="2" t="str">
        <x:v>The software stack for Flywheels requires databases, secure communications, version-controlled models, computing, backup and interfaces with field or operational systems.</x:v>
      </x:c>
      <x:c r="AF90" s="2" t="str">
        <x:v>For Flywheels, software-related energy is electricity for sensing, computing, storage, communication and cooling; it is normally secondary but must be included for data-intensive or continuous services.</x:v>
      </x:c>
      <x:c r="AG90" s="2" t="str">
        <x:v>The non-physical inputs are calibrated data, metadata, algorithms, boundary conditions, emission or hazard factors, manuals and validation records specific to Flywheels.</x:v>
      </x:c>
      <x:c r="AH90" s="2" t="str">
        <x:v>Software continuity for Flywheels requires licences where applicable, updates, cybersecurity patches, backups, calibration files, model validation and technical support.</x:v>
      </x:c>
      <x:c r="AI90" s="2" t="str">
        <x:v>Orgware depends on the institutions, laboratories, training providers, regulators, operators and community interfaces needed to govern Flywheels.</x:v>
      </x:c>
      <x:c r="AJ90" s="2" t="str">
        <x:v>The orgware supporting Flywheels has mainly indirect energy use from offices, meetings, training and information systems; travel and field supervision may be material at dispersed sites.</x:v>
      </x:c>
      <x:c r="AK90" s="2" t="str">
        <x:v>Its organisational inputs are permits, budgets, trained staff, competence records, contracts, procedures, safeguards, monitoring evidence and stakeholder agreements tailored to Flywheels.</x:v>
      </x:c>
      <x:c r="AL90" s="2" t="str">
        <x:v>Sustained implementation of Flywheels requires procurement and service contracts, audit protocols, training material, reporting templates, insurance or guarantees and periodic independent review.</x:v>
      </x:c>
      <x:c r="AM90" s="2" t="str">
        <x:v>Iron ore / steel inputs; Rare earth elements</x:v>
      </x:c>
      <x:c r="AN90" s="2" t="str">
        <x:v>Australia; Brazil; China; United States; Myanmar</x:v>
      </x:c>
      <x:c r="AO90" s="2" t="str">
        <x:v>China; India; Japan; Malaysia; Estonia</x:v>
      </x:c>
      <x:c r="AP90" s="2" t="str">
        <x:v>Flywheels: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0" s="2" t="str">
        <x:v>2024–2025</x:v>
      </x:c>
      <x:c r="AR90" s="2" t="str">
        <x:v>https://pubs.usgs.gov/periodicals/mcs2026/mcs2026.pdf; https://www.iea.org/reports/global-critical-minerals-outlook-2025</x:v>
      </x:c>
    </x:row>
    <x:row r="91" ht="240" customHeight="1">
      <x:c r="A91" s="2" t="str">
        <x:v>MIT-0084</x:v>
      </x:c>
      <x:c r="B91" s="2" t="str">
        <x:v>Mitigation</x:v>
      </x:c>
      <x:c r="C91" s="2" t="str">
        <x:v>Energy efficiency</x:v>
      </x:c>
      <x:c r="D91" s="2" t="str">
        <x:v>Energy storage</x:v>
      </x:c>
      <x:c r="E91" s="2" t="str">
        <x:v>Superconducting magnetic energy storage</x:v>
      </x:c>
      <x:c r="F91" s="2" t="str">
        <x:v>Superconducting magnetic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Superconducting magnetic energy storage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91" s="2" t="str">
        <x:v>Mixed: adaptable design, site-specific implementation</x:v>
      </x:c>
      <x:c r="H91" s="2" t="str">
        <x:v>Superconducting magnetic energy storage is adaptable in capacity and configuration but site-specific in final engineering. Its principle remains the same, but resource quality, climate, scale, interfaces and safety constraints must be recalculated for each deployment.</x:v>
      </x:c>
      <x:c r="I91" s="2" t="str">
        <x:v>Primarily hard, with a soft component</x:v>
      </x:c>
      <x:c r="J91" s="2" t="str">
        <x:v>Superconducting magnetic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91" s="2" t="str">
        <x:v>Equipment and operation</x:v>
      </x:c>
      <x:c r="L91" s="2" t="str">
        <x:v>Superconducting magnetic energy storage is embodied mainly as an equipment-and-operation system. The deliverable is accepted only when measurable service, quality, safety and climate-performance criteria are met under real conditions.</x:v>
      </x:c>
      <x:c r="M91" s="2" t="str">
        <x:v>Yes, subject to life-cycle safeguards</x:v>
      </x:c>
      <x:c r="N91" s="2" t="str">
        <x:v>Superconducting magnetic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91" s="2" t="str">
        <x:v>Superconducting magnetic energy storage: storage medium, containment, power conversion, protection, thermal management, sensors and connection equipment.</x:v>
      </x:c>
      <x:c r="P91" s="2" t="str">
        <x:v>Superconducting magnetic energy storage: state estimation, charge–discharge control, degradation model, dispatch optimisation, safety logic and event logging.</x:v>
      </x:c>
      <x:c r="Q91" s="2" t="str">
        <x:v>Superconducting magnetic energy storage: interconnection rules, operating envelope, fire and pressure safety, market participation, warranty and end-of-life responsibility.</x:v>
      </x:c>
      <x:c r="R91" s="2" t="str">
        <x:v>Superconducting magnetic energy storage: foundations or caverns, electrical connection, ventilation or cooling, fire protection, drainage and secure maintenance access.</x:v>
      </x:c>
      <x:c r="S91" s="2" t="str">
        <x:v>Superconducting magnetic energy storage: charging electricity and auxiliary energy for pumps, compressors, vacuum, cryogenics or cooling; round-trip efficiency is technology-specific.</x:v>
      </x:c>
      <x:c r="T91" s="2" t="str">
        <x:v>Superconducting magnetic energy storage: steel, concrete, copper, power semiconductors and a technology-specific medium such as battery chemicals, water, air, phase-change material or superconductors.</x:v>
      </x:c>
      <x:c r="U91" s="2" t="str">
        <x:v>Superconducting magnetic energy storage: converter modules, seals, bearings, pumps, fans, sensors, cooling parts, fire-suppression agents and replaceable storage modules.</x:v>
      </x:c>
      <x:c r="V91" s="2" t="str">
        <x:v>https://www.ctc-n.org/sites/default/files/resources/ctcn_taxonomy_0.pdf</x:v>
      </x:c>
      <x:c r="W91" s="2" t="str">
        <x:v>https://institutoagricoladepueblobello.edu.co/colegiapp/archivostemas/GUIA%209.%5B25%5D.pdf</x:v>
      </x:c>
      <x:c r="X91" s="2" t="str">
        <x:v>https://iiasa.ac.at/what-is-technology</x:v>
      </x:c>
      <x:c r="Y91" s="2" t="str">
        <x:v>https://www.ipcc.ch/report/ar6/wg3/chapter/chapter-9/; https://www.energy.gov/oe/articles/grid-energy-storage-december-2013</x:v>
      </x:c>
      <x:c r="Z91" s="2" t="str">
        <x:v>Technology-specific analytical synthesis. The CTCN hierarchy is retained; classifications and component dependencies require validation against the selected design, site and supplier documentation before investment or policy use.</x:v>
      </x:c>
      <x:c r="AA91" s="2" t="str">
        <x:v>Physical deployment of Superconducting magnetic energy storage requires foundations or caverns, electrical connection, ventilation or cooling, fire protection, drainage and secure maintenance access; interfaces, foundations, access and environmental protection are sized to the specific resource and design load.</x:v>
      </x:c>
      <x:c r="AB91" s="2" t="str">
        <x:v>For Superconducting magnetic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91" s="2" t="str">
        <x:v>Construction and operation use steel, concrete, copper, power semiconductors and a technology-specific medium such as battery chemicals, water, air, phase-change material or superconductors. For Superconducting magnetic energy storage, specifications must include durability, compatibility, recycled content and recoverability.</x:v>
      </x:c>
      <x:c r="AD91" s="2" t="str">
        <x:v>Maintenance of Superconducting magnetic energy storage depends on converter modules, seals, bearings, pumps, fans, sensors, cooling parts, fire-suppression agents and replaceable storage modules; critical spares are selected from failure-mode, lead-time and safety analysis for its installed configuration.</x:v>
      </x:c>
      <x:c r="AE91" s="2" t="str">
        <x:v>The software stack for Superconducting magnetic energy storage requires databases, secure communications, version-controlled models, computing, backup and interfaces with field or operational systems.</x:v>
      </x:c>
      <x:c r="AF91" s="2" t="str">
        <x:v>For Superconducting magnetic energy storage, software-related energy is electricity for sensing, computing, storage, communication and cooling; it is normally secondary but must be included for data-intensive or continuous services.</x:v>
      </x:c>
      <x:c r="AG91" s="2" t="str">
        <x:v>The non-physical inputs are calibrated data, metadata, algorithms, boundary conditions, emission or hazard factors, manuals and validation records specific to Superconducting magnetic energy storage.</x:v>
      </x:c>
      <x:c r="AH91" s="2" t="str">
        <x:v>Software continuity for Superconducting magnetic energy storage requires licences where applicable, updates, cybersecurity patches, backups, calibration files, model validation and technical support.</x:v>
      </x:c>
      <x:c r="AI91" s="2" t="str">
        <x:v>Orgware depends on the institutions, laboratories, training providers, regulators, operators and community interfaces needed to govern Superconducting magnetic energy storage.</x:v>
      </x:c>
      <x:c r="AJ91" s="2" t="str">
        <x:v>The orgware supporting Superconducting magnetic energy storage has mainly indirect energy use from offices, meetings, training and information systems; travel and field supervision may be material at dispersed sites.</x:v>
      </x:c>
      <x:c r="AK91" s="2" t="str">
        <x:v>Its organisational inputs are permits, budgets, trained staff, competence records, contracts, procedures, safeguards, monitoring evidence and stakeholder agreements tailored to Superconducting magnetic energy storage.</x:v>
      </x:c>
      <x:c r="AL91" s="2" t="str">
        <x:v>Sustained implementation of Superconducting magnetic energy storage requires procurement and service contracts, audit protocols, training material, reporting templates, insurance or guarantees and periodic independent review.</x:v>
      </x:c>
      <x:c r="AM91" s="2" t="str">
        <x:v>Iron ore / steel inputs</x:v>
      </x:c>
      <x:c r="AN91" s="2" t="str">
        <x:v>Australia; Brazil; China</x:v>
      </x:c>
      <x:c r="AO91" s="2" t="str">
        <x:v>China; India; Japan</x:v>
      </x:c>
      <x:c r="AP91" s="2" t="str">
        <x:v>Superconducting magnetic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1" s="2" t="str">
        <x:v>2024–2025</x:v>
      </x:c>
      <x:c r="AR91" s="2" t="str">
        <x:v>https://pubs.usgs.gov/periodicals/mcs2026/mcs2026.pdf</x:v>
      </x:c>
    </x:row>
    <x:row r="92" ht="240" customHeight="1">
      <x:c r="A92" s="2" t="str">
        <x:v>MIT-0085</x:v>
      </x:c>
      <x:c r="B92" s="2" t="str">
        <x:v>Mitigation</x:v>
      </x:c>
      <x:c r="C92" s="2" t="str">
        <x:v>Energy efficiency</x:v>
      </x:c>
      <x:c r="D92" s="2" t="str">
        <x:v>Energy storage</x:v>
      </x:c>
      <x:c r="E92" s="2" t="str">
        <x:v>Underground thermal energy storage</x:v>
      </x:c>
      <x:c r="F92" s="2" t="str">
        <x:v>Underground thermal energy storage is a mitigation technology in the Energy efficiency sector and the Energy storage technology group. It is defined as a combined hardware–software–orgware system that stores energy in electrochemical, mechanical, thermal, electrical or magnetic form and returns it later to shift demand, stabilise power or recover otherwise curtailed energy. Underground thermal energy storage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Key life-cycle variables are round-trip losses, calendar and cycle ageing, construction footprint, leakage, safety incidents, replacement rate and recovery of active materials. DOE technology reviews document pumped hydro, compressed air, batteries, flywheels, capacitors and superconducting magnetic storage as distinct architectures with different grid-service niches.</x:v>
      </x:c>
      <x:c r="G92" s="2" t="str">
        <x:v>Mixed: adaptable design, site-specific implementation</x:v>
      </x:c>
      <x:c r="H92" s="2" t="str">
        <x:v>Underground thermal energy storage is adaptable in capacity and configuration but site-specific in final engineering. Its principle remains the same, but resource quality, climate, scale, interfaces and safety constraints must be recalculated for each deployment.</x:v>
      </x:c>
      <x:c r="I92" s="2" t="str">
        <x:v>Primarily hard, with a soft component</x:v>
      </x:c>
      <x:c r="J92" s="2" t="str">
        <x:v>Underground thermal energy storage combines storage medium, containment, power conversion, protection, thermal management, sensors and connection equipment with the codified knowledge in state estimation, charge–discharge control, degradation model, dispatch optimisation, safety logic and event logging. Its performance cannot be assigned to artefacts alone: operation, competence, data quality and institutional arrangements are causal parts of the technology.</x:v>
      </x:c>
      <x:c r="K92" s="2" t="str">
        <x:v>Equipment and operation</x:v>
      </x:c>
      <x:c r="L92" s="2" t="str">
        <x:v>Underground thermal energy storage is embodied mainly as an equipment-and-operation system. The deliverable is accepted only when measurable service, quality, safety and climate-performance criteria are met under real conditions.</x:v>
      </x:c>
      <x:c r="M92" s="2" t="str">
        <x:v>Yes, subject to life-cycle safeguards</x:v>
      </x:c>
      <x:c r="N92" s="2" t="str">
        <x:v>Underground thermal energy storage is classified as climate-beneficial subject to safeguards. Key life-cycle variables are round-trip losses, calendar and cycle ageing, construction footprint, leakage, safety incidents, replacement rate and recovery of active materials. Avoided emissions or reduced vulnerability must be demonstrated against a defined baseline, without shifting material, pollution or social burdens outside the system boundary.</x:v>
      </x:c>
      <x:c r="O92" s="2" t="str">
        <x:v>Underground thermal energy storage: storage medium, containment, power conversion, protection, thermal management, sensors and connection equipment.</x:v>
      </x:c>
      <x:c r="P92" s="2" t="str">
        <x:v>Underground thermal energy storage: state estimation, charge–discharge control, degradation model, dispatch optimisation, safety logic and event logging.</x:v>
      </x:c>
      <x:c r="Q92" s="2" t="str">
        <x:v>Underground thermal energy storage: interconnection rules, operating envelope, fire and pressure safety, market participation, warranty and end-of-life responsibility.</x:v>
      </x:c>
      <x:c r="R92" s="2" t="str">
        <x:v>Underground thermal energy storage: foundations or caverns, electrical connection, ventilation or cooling, fire protection, drainage and secure maintenance access.</x:v>
      </x:c>
      <x:c r="S92" s="2" t="str">
        <x:v>Underground thermal energy storage: charging electricity and auxiliary energy for pumps, compressors, vacuum, cryogenics or cooling; round-trip efficiency is technology-specific.</x:v>
      </x:c>
      <x:c r="T92" s="2" t="str">
        <x:v>Underground thermal energy storage: steel, concrete, copper, power semiconductors and a technology-specific medium such as battery chemicals, water, air, phase-change material or superconductors.</x:v>
      </x:c>
      <x:c r="U92" s="2" t="str">
        <x:v>Underground thermal energy storage: converter modules, seals, bearings, pumps, fans, sensors, cooling parts, fire-suppression agents and replaceable storage modules.</x:v>
      </x:c>
      <x:c r="V92" s="2" t="str">
        <x:v>https://www.ctc-n.org/sites/default/files/resources/ctcn_taxonomy_0.pdf</x:v>
      </x:c>
      <x:c r="W92" s="2" t="str">
        <x:v>https://institutoagricoladepueblobello.edu.co/colegiapp/archivostemas/GUIA%209.%5B25%5D.pdf</x:v>
      </x:c>
      <x:c r="X92" s="2" t="str">
        <x:v>https://iiasa.ac.at/what-is-technology</x:v>
      </x:c>
      <x:c r="Y92" s="2" t="str">
        <x:v>https://www.ipcc.ch/report/ar6/wg3/chapter/chapter-9/; https://www.energy.gov/oe/articles/grid-energy-storage-december-2013</x:v>
      </x:c>
      <x:c r="Z92" s="2" t="str">
        <x:v>Technology-specific analytical synthesis. The CTCN hierarchy is retained; classifications and component dependencies require validation against the selected design, site and supplier documentation before investment or policy use.</x:v>
      </x:c>
      <x:c r="AA92" s="2" t="str">
        <x:v>Physical deployment of Underground thermal energy storage requires foundations or caverns, electrical connection, ventilation or cooling, fire protection, drainage and secure maintenance access; interfaces, foundations, access and environmental protection are sized to the specific resource and design load.</x:v>
      </x:c>
      <x:c r="AB92" s="2" t="str">
        <x:v>For Underground thermal energy storage, the hardware energy balance comprises charging electricity and auxiliary energy for pumps, compressors, vacuum, cryogenics or cooling; round-trip efficiency is technology-specific; metering must separate useful output, conversion losses and auxiliaries for the selected design.</x:v>
      </x:c>
      <x:c r="AC92" s="2" t="str">
        <x:v>Construction and operation use steel, concrete, copper, power semiconductors and a technology-specific medium such as battery chemicals, water, air, phase-change material or superconductors. For Underground thermal energy storage, specifications must include durability, compatibility, recycled content and recoverability.</x:v>
      </x:c>
      <x:c r="AD92" s="2" t="str">
        <x:v>Maintenance of Underground thermal energy storage depends on converter modules, seals, bearings, pumps, fans, sensors, cooling parts, fire-suppression agents and replaceable storage modules; critical spares are selected from failure-mode, lead-time and safety analysis for its installed configuration.</x:v>
      </x:c>
      <x:c r="AE92" s="2" t="str">
        <x:v>The software stack for Underground thermal energy storage requires databases, secure communications, version-controlled models, computing, backup and interfaces with field or operational systems.</x:v>
      </x:c>
      <x:c r="AF92" s="2" t="str">
        <x:v>For Underground thermal energy storage, software-related energy is electricity for sensing, computing, storage, communication and cooling; it is normally secondary but must be included for data-intensive or continuous services.</x:v>
      </x:c>
      <x:c r="AG92" s="2" t="str">
        <x:v>The non-physical inputs are calibrated data, metadata, algorithms, boundary conditions, emission or hazard factors, manuals and validation records specific to Underground thermal energy storage.</x:v>
      </x:c>
      <x:c r="AH92" s="2" t="str">
        <x:v>Software continuity for Underground thermal energy storage requires licences where applicable, updates, cybersecurity patches, backups, calibration files, model validation and technical support.</x:v>
      </x:c>
      <x:c r="AI92" s="2" t="str">
        <x:v>Orgware depends on the institutions, laboratories, training providers, regulators, operators and community interfaces needed to govern Underground thermal energy storage.</x:v>
      </x:c>
      <x:c r="AJ92" s="2" t="str">
        <x:v>The orgware supporting Underground thermal energy storage has mainly indirect energy use from offices, meetings, training and information systems; travel and field supervision may be material at dispersed sites.</x:v>
      </x:c>
      <x:c r="AK92" s="2" t="str">
        <x:v>Its organisational inputs are permits, budgets, trained staff, competence records, contracts, procedures, safeguards, monitoring evidence and stakeholder agreements tailored to Underground thermal energy storage.</x:v>
      </x:c>
      <x:c r="AL92" s="2" t="str">
        <x:v>Sustained implementation of Underground thermal energy storage requires procurement and service contracts, audit protocols, training material, reporting templates, insurance or guarantees and periodic independent review.</x:v>
      </x:c>
      <x:c r="AM92" s="2" t="str">
        <x:v>Iron ore / steel inputs</x:v>
      </x:c>
      <x:c r="AN92" s="2" t="str">
        <x:v>Australia; Brazil; China</x:v>
      </x:c>
      <x:c r="AO92" s="2" t="str">
        <x:v>China; India; Japan</x:v>
      </x:c>
      <x:c r="AP92" s="2" t="str">
        <x:v>Underground thermal energy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2" s="2" t="str">
        <x:v>2024–2025</x:v>
      </x:c>
      <x:c r="AR92" s="2" t="str">
        <x:v>https://pubs.usgs.gov/periodicals/mcs2026/mcs2026.pdf</x:v>
      </x:c>
    </x:row>
    <x:row r="93" ht="240" customHeight="1">
      <x:c r="A93" s="2" t="str">
        <x:v>MIT-0086</x:v>
      </x:c>
      <x:c r="B93" s="2" t="str">
        <x:v>Mitigation</x:v>
      </x:c>
      <x:c r="C93" s="2" t="str">
        <x:v>Renewable energy</x:v>
      </x:c>
      <x:c r="D93" s="2" t="str">
        <x:v>Solar</x:v>
      </x:c>
      <x:c r="E93" s="2" t="str">
        <x:v>Solar cooking</x:v>
      </x:c>
      <x:c r="F93" s="2" t="str">
        <x:v>Solar cooking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cooking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3" s="2" t="str">
        <x:v>Mixed: adaptable design, site-specific implementation</x:v>
      </x:c>
      <x:c r="H93" s="2" t="str">
        <x:v>Solar cooking is adaptable in capacity and configuration but site-specific in final engineering. Its principle remains the same, but resource quality, climate, scale, interfaces and safety constraints must be recalculated for each deployment.</x:v>
      </x:c>
      <x:c r="I93" s="2" t="str">
        <x:v>Primarily hard, with a soft component</x:v>
      </x:c>
      <x:c r="J93" s="2" t="str">
        <x:v>Solar cooking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3" s="2" t="str">
        <x:v>Equipment and operation</x:v>
      </x:c>
      <x:c r="L93" s="2" t="str">
        <x:v>Solar cooking is embodied mainly as an equipment-and-operation system. The deliverable is accepted only when measurable service, quality, safety and climate-performance criteria are met under real conditions.</x:v>
      </x:c>
      <x:c r="M93" s="2" t="str">
        <x:v>Yes, subject to life-cycle safeguards</x:v>
      </x:c>
      <x:c r="N93" s="2" t="str">
        <x:v>Solar cooking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3" s="2" t="str">
        <x:v>Solar cooking: resource collector or prime mover, generator or heat exchanger, support structure, power conversion, protection, metering and connection equipment.</x:v>
      </x:c>
      <x:c r="P93" s="2" t="str">
        <x:v>Solar cooking: resource assessment, energy-yield modelling, forecasting, maximum-power or process control, dispatch, condition monitoring and maintenance planning.</x:v>
      </x:c>
      <x:c r="Q93" s="2" t="str">
        <x:v>Solar cooking: resource and land or sea rights, environmental licensing, grid code, safety, community participation, revenue contract and decommissioning plan.</x:v>
      </x:c>
      <x:c r="R93" s="2" t="str">
        <x:v>Solar cooking: foundations, access, electrical or thermal network, substation, control and communications, drainage and construction or marine logistics.</x:v>
      </x:c>
      <x:c r="S93" s="2" t="str">
        <x:v>Solar cooking: the renewable resource is the primary input; auxiliary electricity, start-up fuel, pumping or thermal energy may be required depending on the design.</x:v>
      </x:c>
      <x:c r="T93" s="2" t="str">
        <x:v>Solar cooking: steel, concrete, copper, aluminium, polymers, glass and technology-specific materials such as silicon, magnets, coatings, catalysts or working fluids.</x:v>
      </x:c>
      <x:c r="U93" s="2" t="str">
        <x:v>Solar cooking: bearings, seals, filters, lubricants, sensors, converter parts, cables, fasteners, coatings and replaceable collector or heat-exchanger components.</x:v>
      </x:c>
      <x:c r="V93" s="2" t="str">
        <x:v>https://www.ctc-n.org/sites/default/files/resources/ctcn_taxonomy_0.pdf</x:v>
      </x:c>
      <x:c r="W93" s="2" t="str">
        <x:v>https://institutoagricoladepueblobello.edu.co/colegiapp/archivostemas/GUIA%209.%5B25%5D.pdf</x:v>
      </x:c>
      <x:c r="X93" s="2" t="str">
        <x:v>https://iiasa.ac.at/what-is-technology</x:v>
      </x:c>
      <x:c r="Y93" s="2" t="str">
        <x:v>https://www.ipcc.ch/report/ar6/wg3/chapter/chapter-6/; https://www.iea.org/data-and-statistics/data-tools/etp-clean-energy-technology-guide</x:v>
      </x:c>
      <x:c r="Z93" s="2" t="str">
        <x:v>Technology-specific analytical synthesis. The CTCN hierarchy is retained; classifications and component dependencies require validation against the selected design, site and supplier documentation before investment or policy use.</x:v>
      </x:c>
      <x:c r="AA93" s="2" t="str">
        <x:v>Physical deployment of Solar cooking requires foundations, access, electrical or thermal network, substation, control and communications, drainage and construction or marine logistics; interfaces, foundations, access and environmental protection are sized to the specific resource and design load.</x:v>
      </x:c>
      <x:c r="AB93" s="2" t="str">
        <x:v>For Solar cooking,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3" s="2" t="str">
        <x:v>Construction and operation use steel, concrete, copper, aluminium, polymers, glass and technology-specific materials such as silicon, magnets, coatings, catalysts or working fluids. For Solar cooking, specifications must include durability, compatibility, recycled content and recoverability.</x:v>
      </x:c>
      <x:c r="AD93" s="2" t="str">
        <x:v>Maintenance of Solar cooking depends on bearings, seals, filters, lubricants, sensors, converter parts, cables, fasteners, coatings and replaceable collector or heat-exchanger components; critical spares are selected from failure-mode, lead-time and safety analysis for its installed configuration.</x:v>
      </x:c>
      <x:c r="AE93" s="2" t="str">
        <x:v>The software stack for Solar cooking requires databases, secure communications, version-controlled models, computing, backup and interfaces with field or operational systems.</x:v>
      </x:c>
      <x:c r="AF93" s="2" t="str">
        <x:v>For Solar cooking, software-related energy is electricity for sensing, computing, storage, communication and cooling; it is normally secondary but must be included for data-intensive or continuous services.</x:v>
      </x:c>
      <x:c r="AG93" s="2" t="str">
        <x:v>The non-physical inputs are calibrated data, metadata, algorithms, boundary conditions, emission or hazard factors, manuals and validation records specific to Solar cooking.</x:v>
      </x:c>
      <x:c r="AH93" s="2" t="str">
        <x:v>Software continuity for Solar cooking requires licences where applicable, updates, cybersecurity patches, backups, calibration files, model validation and technical support.</x:v>
      </x:c>
      <x:c r="AI93" s="2" t="str">
        <x:v>Orgware depends on the institutions, laboratories, training providers, regulators, operators and community interfaces needed to govern Solar cooking.</x:v>
      </x:c>
      <x:c r="AJ93" s="2" t="str">
        <x:v>The orgware supporting Solar cooking has mainly indirect energy use from offices, meetings, training and information systems; travel and field supervision may be material at dispersed sites.</x:v>
      </x:c>
      <x:c r="AK93" s="2" t="str">
        <x:v>Its organisational inputs are permits, budgets, trained staff, competence records, contracts, procedures, safeguards, monitoring evidence and stakeholder agreements tailored to Solar cooking.</x:v>
      </x:c>
      <x:c r="AL93" s="2" t="str">
        <x:v>Sustained implementation of Solar cooking requires procurement and service contracts, audit protocols, training material, reporting templates, insurance or guarantees and periodic independent review.</x:v>
      </x:c>
      <x:c r="AM93" s="2" t="str">
        <x:v>Iron ore / steel inputs; Copper; Tin; Bauxite / aluminium</x:v>
      </x:c>
      <x:c r="AN93" s="2" t="str">
        <x:v>Australia; Brazil; China; Chile; Democratic Republic of the Congo; Peru; Indonesia; Myanmar; Guinea</x:v>
      </x:c>
      <x:c r="AO93" s="2" t="str">
        <x:v>China; India; Japan; Chile; Democratic Republic of the Congo; Indonesia; Malaysia; Russia</x:v>
      </x:c>
      <x:c r="AP93" s="2" t="str">
        <x:v>Solar cooking: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3" s="2" t="str">
        <x:v>2024–2025</x:v>
      </x:c>
      <x:c r="AR93" s="2" t="str">
        <x:v>https://pubs.usgs.gov/periodicals/mcs2026/mcs2026.pdf</x:v>
      </x:c>
    </x:row>
    <x:row r="94" ht="240" customHeight="1">
      <x:c r="A94" s="2" t="str">
        <x:v>MIT-0087</x:v>
      </x:c>
      <x:c r="B94" s="2" t="str">
        <x:v>Mitigation</x:v>
      </x:c>
      <x:c r="C94" s="2" t="str">
        <x:v>Renewable energy</x:v>
      </x:c>
      <x:c r="D94" s="2" t="str">
        <x:v>Solar</x:v>
      </x:c>
      <x:c r="E94" s="2" t="str">
        <x:v>Solar cooling and hybrid systems with heating and hot water</x:v>
      </x:c>
      <x:c r="F94" s="2" t="str">
        <x:v>Solar cooling and hybrid systems with heating and hot water is a mitigation technology in the Renewable energy sector and the Solar technology group. It is defined as a combined hardware–software–orgware system that improves the conversion of fuel or electricity into tractive work, recovers braking energy, reduces vehicle losses, or substitutes a lower-carbon energy carrier. Solar cooling and hybrid systems with heating and hot water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94" s="2" t="str">
        <x:v>Mixed: adaptable design, site-specific implementation</x:v>
      </x:c>
      <x:c r="H94" s="2" t="str">
        <x:v>Solar cooling and hybrid systems with heating and hot water is adaptable in capacity and configuration but site-specific in final engineering. Its principle remains the same, but resource quality, climate, scale, interfaces and safety constraints must be recalculated for each deployment.</x:v>
      </x:c>
      <x:c r="I94" s="2" t="str">
        <x:v>Primarily hard, with a soft component</x:v>
      </x:c>
      <x:c r="J94" s="2" t="str">
        <x:v>Solar cooling and hybrid systems with heating and hot water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94" s="2" t="str">
        <x:v>Equipment and operation</x:v>
      </x:c>
      <x:c r="L94" s="2" t="str">
        <x:v>Solar cooling and hybrid systems with heating and hot water is embodied mainly as an equipment-and-operation system. The deliverable is accepted only when measurable service, quality, safety and climate-performance criteria are met under real conditions.</x:v>
      </x:c>
      <x:c r="M94" s="2" t="str">
        <x:v>Yes, subject to life-cycle safeguards</x:v>
      </x:c>
      <x:c r="N94" s="2" t="str">
        <x:v>Solar cooling and hybrid systems with heating and hot water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94" s="2" t="str">
        <x:v>Solar cooling and hybrid systems with heating and hot water: powertrain, motor or engine, inverter, transmission, energy storage or fuel tanks, thermal management, braking, on-board control and refuelling or charging interface.</x:v>
      </x:c>
      <x:c r="P94" s="2" t="str">
        <x:v>Solar cooling and hybrid systems with heating and hot water: powertrain calibration, battery or fuel management, route-energy modelling, diagnostics, eco-driving logic, charging strategy and safety control.</x:v>
      </x:c>
      <x:c r="Q94" s="2" t="str">
        <x:v>Solar cooling and hybrid systems with heating and hot water: vehicle and fuel standards, homologation, charging or refuelling codes, maintenance competence, energy pricing, warranty and end-of-life responsibility.</x:v>
      </x:c>
      <x:c r="R94" s="2" t="str">
        <x:v>Solar cooling and hybrid systems with heating and hot water: vehicle production and maintenance facilities, depots, charging or refuelling stations, grid or fuel supply, rescue equipment and parts logistics.</x:v>
      </x:c>
      <x:c r="S94" s="2" t="str">
        <x:v>Solar cooling and hybrid systems with heating and hot water: electricity, liquid or gaseous fuel and auxiliary thermal loads; well-to-wheel carbon intensity and real operating efficiency determine the climate result.</x:v>
      </x:c>
      <x:c r="T94" s="2" t="str">
        <x:v>Solar cooling and hybrid systems with heating and hot water: steel, aluminium, copper, polymers, power electronics, magnets, catalysts and—where electrochemical storage is used—battery-active materials.</x:v>
      </x:c>
      <x:c r="U94" s="2" t="str">
        <x:v>Solar cooling and hybrid systems with heating and hot water: filters, fluids, seals, bearings, brake components, sensors, control modules, cables, connectors and battery or fuel-system service parts.</x:v>
      </x:c>
      <x:c r="V94" s="2" t="str">
        <x:v>https://www.ctc-n.org/sites/default/files/resources/ctcn_taxonomy_0.pdf</x:v>
      </x:c>
      <x:c r="W94" s="2" t="str">
        <x:v>https://institutoagricoladepueblobello.edu.co/colegiapp/archivostemas/GUIA%209.%5B25%5D.pdf</x:v>
      </x:c>
      <x:c r="X94" s="2" t="str">
        <x:v>https://iiasa.ac.at/what-is-technology</x:v>
      </x:c>
      <x:c r="Y94" s="2" t="str">
        <x:v>https://www.ipcc.ch/report/ar6/wg3/chapter/chapter-6/; https://www.iea.org/data-and-statistics/data-tools/etp-clean-energy-technology-guide; https://bogota.gov.co/en/international/new-era-transmilenio-transmiapp-and-largest-electric-fleet</x:v>
      </x:c>
      <x:c r="Z94" s="2" t="str">
        <x:v>Technology-specific analytical synthesis. The CTCN hierarchy is retained; classifications and component dependencies require validation against the selected design, site and supplier documentation before investment or policy use.</x:v>
      </x:c>
      <x:c r="AA94" s="2" t="str">
        <x:v>Physical deployment of Solar cooling and hybrid systems with heating and hot water requires vehicle production and maintenance facilities, depots, charging or refuelling stations, grid or fuel supply, rescue equipment and parts logistics; interfaces, foundations, access and environmental protection are sized to the specific resource and design load.</x:v>
      </x:c>
      <x:c r="AB94" s="2" t="str">
        <x:v>For Solar cooling and hybrid systems with heating and hot water,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94" s="2" t="str">
        <x:v>Construction and operation use steel, aluminium, copper, polymers, power electronics, magnets, catalysts and—where electrochemical storage is used—battery-active materials. For Solar cooling and hybrid systems with heating and hot water, specifications must include durability, compatibility, recycled content and recoverability.</x:v>
      </x:c>
      <x:c r="AD94" s="2" t="str">
        <x:v>Maintenance of Solar cooling and hybrid systems with heating and hot water depends on filters, fluids, seals, bearings, brake components, sensors, control modules, cables, connectors and battery or fuel-system service parts; critical spares are selected from failure-mode, lead-time and safety analysis for its installed configuration.</x:v>
      </x:c>
      <x:c r="AE94" s="2" t="str">
        <x:v>The software stack for Solar cooling and hybrid systems with heating and hot water requires databases, secure communications, version-controlled models, computing, backup and interfaces with field or operational systems.</x:v>
      </x:c>
      <x:c r="AF94" s="2" t="str">
        <x:v>For Solar cooling and hybrid systems with heating and hot water, software-related energy is electricity for sensing, computing, storage, communication and cooling; it is normally secondary but must be included for data-intensive or continuous services.</x:v>
      </x:c>
      <x:c r="AG94" s="2" t="str">
        <x:v>The non-physical inputs are calibrated data, metadata, algorithms, boundary conditions, emission or hazard factors, manuals and validation records specific to Solar cooling and hybrid systems with heating and hot water.</x:v>
      </x:c>
      <x:c r="AH94" s="2" t="str">
        <x:v>Software continuity for Solar cooling and hybrid systems with heating and hot water requires licences where applicable, updates, cybersecurity patches, backups, calibration files, model validation and technical support.</x:v>
      </x:c>
      <x:c r="AI94" s="2" t="str">
        <x:v>Orgware depends on the institutions, laboratories, training providers, regulators, operators and community interfaces needed to govern Solar cooling and hybrid systems with heating and hot water.</x:v>
      </x:c>
      <x:c r="AJ94" s="2" t="str">
        <x:v>The orgware supporting Solar cooling and hybrid systems with heating and hot water has mainly indirect energy use from offices, meetings, training and information systems; travel and field supervision may be material at dispersed sites.</x:v>
      </x:c>
      <x:c r="AK94" s="2" t="str">
        <x:v>Its organisational inputs are permits, budgets, trained staff, competence records, contracts, procedures, safeguards, monitoring evidence and stakeholder agreements tailored to Solar cooling and hybrid systems with heating and hot water.</x:v>
      </x:c>
      <x:c r="AL94" s="2" t="str">
        <x:v>Sustained implementation of Solar cooling and hybrid systems with heating and hot water requires procurement and service contracts, audit protocols, training material, reporting templates, insurance or guarantees and periodic independent review.</x:v>
      </x:c>
      <x:c r="AM94" s="2" t="str">
        <x:v>Iron ore / steel inputs; Copper; Tin; Bauxite / aluminium</x:v>
      </x:c>
      <x:c r="AN94" s="2" t="str">
        <x:v>Australia; Brazil; China; Chile; Democratic Republic of the Congo; Peru; Indonesia; Myanmar; Guinea</x:v>
      </x:c>
      <x:c r="AO94" s="2" t="str">
        <x:v>China; India; Japan; Chile; Democratic Republic of the Congo; Indonesia; Malaysia; Russia</x:v>
      </x:c>
      <x:c r="AP94" s="2" t="str">
        <x:v>Solar cooling and hybrid systems with heating and hot water: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4" s="2" t="str">
        <x:v>2024–2025</x:v>
      </x:c>
      <x:c r="AR94" s="2" t="str">
        <x:v>https://pubs.usgs.gov/periodicals/mcs2026/mcs2026.pdf</x:v>
      </x:c>
    </x:row>
    <x:row r="95" ht="240" customHeight="1">
      <x:c r="A95" s="2" t="str">
        <x:v>MIT-0088</x:v>
      </x:c>
      <x:c r="B95" s="2" t="str">
        <x:v>Mitigation</x:v>
      </x:c>
      <x:c r="C95" s="2" t="str">
        <x:v>Renewable energy</x:v>
      </x:c>
      <x:c r="D95" s="2" t="str">
        <x:v>Solar</x:v>
      </x:c>
      <x:c r="E95" s="2" t="str">
        <x:v>Solar towers (updraft)</x:v>
      </x:c>
      <x:c r="F95" s="2" t="str">
        <x:v>Solar towers (updraft)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towers (updraft)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5" s="2" t="str">
        <x:v>Mixed: adaptable design, site-specific implementation</x:v>
      </x:c>
      <x:c r="H95" s="2" t="str">
        <x:v>Solar towers (updraft) is adaptable in capacity and configuration but site-specific in final engineering. Its principle remains the same, but resource quality, climate, scale, interfaces and safety constraints must be recalculated for each deployment.</x:v>
      </x:c>
      <x:c r="I95" s="2" t="str">
        <x:v>Primarily hard, with a soft component</x:v>
      </x:c>
      <x:c r="J95" s="2" t="str">
        <x:v>Solar towers (updraft)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5" s="2" t="str">
        <x:v>Equipment and operation</x:v>
      </x:c>
      <x:c r="L95" s="2" t="str">
        <x:v>Solar towers (updraft) is embodied mainly as an equipment-and-operation system. The deliverable is accepted only when measurable service, quality, safety and climate-performance criteria are met under real conditions.</x:v>
      </x:c>
      <x:c r="M95" s="2" t="str">
        <x:v>Yes, subject to life-cycle safeguards</x:v>
      </x:c>
      <x:c r="N95" s="2" t="str">
        <x:v>Solar towers (updraft)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5" s="2" t="str">
        <x:v>Solar towers (updraft): resource collector or prime mover, generator or heat exchanger, support structure, power conversion, protection, metering and connection equipment.</x:v>
      </x:c>
      <x:c r="P95" s="2" t="str">
        <x:v>Solar towers (updraft): resource assessment, energy-yield modelling, forecasting, maximum-power or process control, dispatch, condition monitoring and maintenance planning.</x:v>
      </x:c>
      <x:c r="Q95" s="2" t="str">
        <x:v>Solar towers (updraft): resource and land or sea rights, environmental licensing, grid code, safety, community participation, revenue contract and decommissioning plan.</x:v>
      </x:c>
      <x:c r="R95" s="2" t="str">
        <x:v>Solar towers (updraft): foundations, access, electrical or thermal network, substation, control and communications, drainage and construction or marine logistics.</x:v>
      </x:c>
      <x:c r="S95" s="2" t="str">
        <x:v>Solar towers (updraft): the renewable resource is the primary input; auxiliary electricity, start-up fuel, pumping or thermal energy may be required depending on the design.</x:v>
      </x:c>
      <x:c r="T95" s="2" t="str">
        <x:v>Solar towers (updraft): steel, concrete, copper, aluminium, polymers, glass and technology-specific materials such as silicon, magnets, coatings, catalysts or working fluids.</x:v>
      </x:c>
      <x:c r="U95" s="2" t="str">
        <x:v>Solar towers (updraft): bearings, seals, filters, lubricants, sensors, converter parts, cables, fasteners, coatings and replaceable collector or heat-exchanger components.</x:v>
      </x:c>
      <x:c r="V95" s="2" t="str">
        <x:v>https://www.ctc-n.org/sites/default/files/resources/ctcn_taxonomy_0.pdf</x:v>
      </x:c>
      <x:c r="W95" s="2" t="str">
        <x:v>https://institutoagricoladepueblobello.edu.co/colegiapp/archivostemas/GUIA%209.%5B25%5D.pdf</x:v>
      </x:c>
      <x:c r="X95" s="2" t="str">
        <x:v>https://iiasa.ac.at/what-is-technology</x:v>
      </x:c>
      <x:c r="Y95" s="2" t="str">
        <x:v>https://www.ipcc.ch/report/ar6/wg3/chapter/chapter-6/; https://www.iea.org/data-and-statistics/data-tools/etp-clean-energy-technology-guide</x:v>
      </x:c>
      <x:c r="Z95" s="2" t="str">
        <x:v>Technology-specific analytical synthesis. The CTCN hierarchy is retained; classifications and component dependencies require validation against the selected design, site and supplier documentation before investment or policy use.</x:v>
      </x:c>
      <x:c r="AA95" s="2" t="str">
        <x:v>Physical deployment of Solar towers (updraft) requires foundations, access, electrical or thermal network, substation, control and communications, drainage and construction or marine logistics; interfaces, foundations, access and environmental protection are sized to the specific resource and design load.</x:v>
      </x:c>
      <x:c r="AB95" s="2" t="str">
        <x:v>For Solar towers (updraft),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5" s="2" t="str">
        <x:v>Construction and operation use steel, concrete, copper, aluminium, polymers, glass and technology-specific materials such as silicon, magnets, coatings, catalysts or working fluids. For Solar towers (updraft), specifications must include durability, compatibility, recycled content and recoverability.</x:v>
      </x:c>
      <x:c r="AD95" s="2" t="str">
        <x:v>Maintenance of Solar towers (updraft) depends on bearings, seals, filters, lubricants, sensors, converter parts, cables, fasteners, coatings and replaceable collector or heat-exchanger components; critical spares are selected from failure-mode, lead-time and safety analysis for its installed configuration.</x:v>
      </x:c>
      <x:c r="AE95" s="2" t="str">
        <x:v>The software stack for Solar towers (updraft) requires databases, secure communications, version-controlled models, computing, backup and interfaces with field or operational systems.</x:v>
      </x:c>
      <x:c r="AF95" s="2" t="str">
        <x:v>For Solar towers (updraft), software-related energy is electricity for sensing, computing, storage, communication and cooling; it is normally secondary but must be included for data-intensive or continuous services.</x:v>
      </x:c>
      <x:c r="AG95" s="2" t="str">
        <x:v>The non-physical inputs are calibrated data, metadata, algorithms, boundary conditions, emission or hazard factors, manuals and validation records specific to Solar towers (updraft).</x:v>
      </x:c>
      <x:c r="AH95" s="2" t="str">
        <x:v>Software continuity for Solar towers (updraft) requires licences where applicable, updates, cybersecurity patches, backups, calibration files, model validation and technical support.</x:v>
      </x:c>
      <x:c r="AI95" s="2" t="str">
        <x:v>Orgware depends on the institutions, laboratories, training providers, regulators, operators and community interfaces needed to govern Solar towers (updraft).</x:v>
      </x:c>
      <x:c r="AJ95" s="2" t="str">
        <x:v>The orgware supporting Solar towers (updraft) has mainly indirect energy use from offices, meetings, training and information systems; travel and field supervision may be material at dispersed sites.</x:v>
      </x:c>
      <x:c r="AK95" s="2" t="str">
        <x:v>Its organisational inputs are permits, budgets, trained staff, competence records, contracts, procedures, safeguards, monitoring evidence and stakeholder agreements tailored to Solar towers (updraft).</x:v>
      </x:c>
      <x:c r="AL95" s="2" t="str">
        <x:v>Sustained implementation of Solar towers (updraft) requires procurement and service contracts, audit protocols, training material, reporting templates, insurance or guarantees and periodic independent review.</x:v>
      </x:c>
      <x:c r="AM95" s="2" t="str">
        <x:v>Iron ore / steel inputs; Copper; Tin; Bauxite / aluminium</x:v>
      </x:c>
      <x:c r="AN95" s="2" t="str">
        <x:v>Australia; Brazil; China; Chile; Democratic Republic of the Congo; Peru; Indonesia; Myanmar; Guinea</x:v>
      </x:c>
      <x:c r="AO95" s="2" t="str">
        <x:v>China; India; Japan; Chile; Democratic Republic of the Congo; Indonesia; Malaysia; Russia</x:v>
      </x:c>
      <x:c r="AP95" s="2" t="str">
        <x:v>Solar towers (updraft):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5" s="2" t="str">
        <x:v>2024–2025</x:v>
      </x:c>
      <x:c r="AR95" s="2" t="str">
        <x:v>https://pubs.usgs.gov/periodicals/mcs2026/mcs2026.pdf</x:v>
      </x:c>
    </x:row>
    <x:row r="96" ht="240" customHeight="1">
      <x:c r="A96" s="2" t="str">
        <x:v>MIT-0089</x:v>
      </x:c>
      <x:c r="B96" s="2" t="str">
        <x:v>Mitigation</x:v>
      </x:c>
      <x:c r="C96" s="2" t="str">
        <x:v>Renewable energy</x:v>
      </x:c>
      <x:c r="D96" s="2" t="str">
        <x:v>Solar</x:v>
      </x:c>
      <x:c r="E96" s="2" t="str">
        <x:v>Solar water purification</x:v>
      </x:c>
      <x:c r="F96" s="2" t="str">
        <x:v>Solar water purification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water purification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6" s="2" t="str">
        <x:v>Mixed: adaptable design, site-specific implementation</x:v>
      </x:c>
      <x:c r="H96" s="2" t="str">
        <x:v>Solar water purification is adaptable in capacity and configuration but site-specific in final engineering. Its principle remains the same, but resource quality, climate, scale, interfaces and safety constraints must be recalculated for each deployment.</x:v>
      </x:c>
      <x:c r="I96" s="2" t="str">
        <x:v>Primarily hard, with a soft component</x:v>
      </x:c>
      <x:c r="J96" s="2" t="str">
        <x:v>Solar water purification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6" s="2" t="str">
        <x:v>Equipment and operation</x:v>
      </x:c>
      <x:c r="L96" s="2" t="str">
        <x:v>Solar water purification is embodied mainly as an equipment-and-operation system. The deliverable is accepted only when measurable service, quality, safety and climate-performance criteria are met under real conditions.</x:v>
      </x:c>
      <x:c r="M96" s="2" t="str">
        <x:v>Yes, subject to life-cycle safeguards</x:v>
      </x:c>
      <x:c r="N96" s="2" t="str">
        <x:v>Solar water purification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6" s="2" t="str">
        <x:v>Solar water purification: resource collector or prime mover, generator or heat exchanger, support structure, power conversion, protection, metering and connection equipment.</x:v>
      </x:c>
      <x:c r="P96" s="2" t="str">
        <x:v>Solar water purification: resource assessment, energy-yield modelling, forecasting, maximum-power or process control, dispatch, condition monitoring and maintenance planning.</x:v>
      </x:c>
      <x:c r="Q96" s="2" t="str">
        <x:v>Solar water purification: resource and land or sea rights, environmental licensing, grid code, safety, community participation, revenue contract and decommissioning plan.</x:v>
      </x:c>
      <x:c r="R96" s="2" t="str">
        <x:v>Solar water purification: foundations, access, electrical or thermal network, substation, control and communications, drainage and construction or marine logistics.</x:v>
      </x:c>
      <x:c r="S96" s="2" t="str">
        <x:v>Solar water purification: the renewable resource is the primary input; auxiliary electricity, start-up fuel, pumping or thermal energy may be required depending on the design.</x:v>
      </x:c>
      <x:c r="T96" s="2" t="str">
        <x:v>Solar water purification: steel, concrete, copper, aluminium, polymers, glass and technology-specific materials such as silicon, magnets, coatings, catalysts or working fluids.</x:v>
      </x:c>
      <x:c r="U96" s="2" t="str">
        <x:v>Solar water purification: bearings, seals, filters, lubricants, sensors, converter parts, cables, fasteners, coatings and replaceable collector or heat-exchanger components.</x:v>
      </x:c>
      <x:c r="V96" s="2" t="str">
        <x:v>https://www.ctc-n.org/sites/default/files/resources/ctcn_taxonomy_0.pdf</x:v>
      </x:c>
      <x:c r="W96" s="2" t="str">
        <x:v>https://institutoagricoladepueblobello.edu.co/colegiapp/archivostemas/GUIA%209.%5B25%5D.pdf</x:v>
      </x:c>
      <x:c r="X96" s="2" t="str">
        <x:v>https://iiasa.ac.at/what-is-technology</x:v>
      </x:c>
      <x:c r="Y96" s="2" t="str">
        <x:v>https://www.ipcc.ch/report/ar6/wg3/chapter/chapter-6/; https://www.iea.org/data-and-statistics/data-tools/etp-clean-energy-technology-guide</x:v>
      </x:c>
      <x:c r="Z96" s="2" t="str">
        <x:v>Technology-specific analytical synthesis. The CTCN hierarchy is retained; classifications and component dependencies require validation against the selected design, site and supplier documentation before investment or policy use.</x:v>
      </x:c>
      <x:c r="AA96" s="2" t="str">
        <x:v>Physical deployment of Solar water purification requires foundations, access, electrical or thermal network, substation, control and communications, drainage and construction or marine logistics; interfaces, foundations, access and environmental protection are sized to the specific resource and design load.</x:v>
      </x:c>
      <x:c r="AB96" s="2" t="str">
        <x:v>For Solar water purification,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6" s="2" t="str">
        <x:v>Construction and operation use steel, concrete, copper, aluminium, polymers, glass and technology-specific materials such as silicon, magnets, coatings, catalysts or working fluids. For Solar water purification, specifications must include durability, compatibility, recycled content and recoverability.</x:v>
      </x:c>
      <x:c r="AD96" s="2" t="str">
        <x:v>Maintenance of Solar water purification depends on bearings, seals, filters, lubricants, sensors, converter parts, cables, fasteners, coatings and replaceable collector or heat-exchanger components; critical spares are selected from failure-mode, lead-time and safety analysis for its installed configuration.</x:v>
      </x:c>
      <x:c r="AE96" s="2" t="str">
        <x:v>The software stack for Solar water purification requires databases, secure communications, version-controlled models, computing, backup and interfaces with field or operational systems.</x:v>
      </x:c>
      <x:c r="AF96" s="2" t="str">
        <x:v>For Solar water purification, software-related energy is electricity for sensing, computing, storage, communication and cooling; it is normally secondary but must be included for data-intensive or continuous services.</x:v>
      </x:c>
      <x:c r="AG96" s="2" t="str">
        <x:v>The non-physical inputs are calibrated data, metadata, algorithms, boundary conditions, emission or hazard factors, manuals and validation records specific to Solar water purification.</x:v>
      </x:c>
      <x:c r="AH96" s="2" t="str">
        <x:v>Software continuity for Solar water purification requires licences where applicable, updates, cybersecurity patches, backups, calibration files, model validation and technical support.</x:v>
      </x:c>
      <x:c r="AI96" s="2" t="str">
        <x:v>Orgware depends on the institutions, laboratories, training providers, regulators, operators and community interfaces needed to govern Solar water purification.</x:v>
      </x:c>
      <x:c r="AJ96" s="2" t="str">
        <x:v>The orgware supporting Solar water purification has mainly indirect energy use from offices, meetings, training and information systems; travel and field supervision may be material at dispersed sites.</x:v>
      </x:c>
      <x:c r="AK96" s="2" t="str">
        <x:v>Its organisational inputs are permits, budgets, trained staff, competence records, contracts, procedures, safeguards, monitoring evidence and stakeholder agreements tailored to Solar water purification.</x:v>
      </x:c>
      <x:c r="AL96" s="2" t="str">
        <x:v>Sustained implementation of Solar water purification requires procurement and service contracts, audit protocols, training material, reporting templates, insurance or guarantees and periodic independent review.</x:v>
      </x:c>
      <x:c r="AM96" s="2" t="str">
        <x:v>Iron ore / steel inputs; Copper; Tin; Bauxite / aluminium</x:v>
      </x:c>
      <x:c r="AN96" s="2" t="str">
        <x:v>Australia; Brazil; China; Chile; Democratic Republic of the Congo; Peru; Indonesia; Myanmar; Guinea</x:v>
      </x:c>
      <x:c r="AO96" s="2" t="str">
        <x:v>China; India; Japan; Chile; Democratic Republic of the Congo; Indonesia; Malaysia; Russia</x:v>
      </x:c>
      <x:c r="AP96" s="2" t="str">
        <x:v>Solar water purification: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6" s="2" t="str">
        <x:v>2024–2025</x:v>
      </x:c>
      <x:c r="AR96" s="2" t="str">
        <x:v>https://pubs.usgs.gov/periodicals/mcs2026/mcs2026.pdf</x:v>
      </x:c>
    </x:row>
    <x:row r="97" ht="240" customHeight="1">
      <x:c r="A97" s="2" t="str">
        <x:v>MIT-0090</x:v>
      </x:c>
      <x:c r="B97" s="2" t="str">
        <x:v>Mitigation</x:v>
      </x:c>
      <x:c r="C97" s="2" t="str">
        <x:v>Renewable energy</x:v>
      </x:c>
      <x:c r="D97" s="2" t="str">
        <x:v>Solar</x:v>
      </x:c>
      <x:c r="E97" s="2" t="str">
        <x:v>Building-integrated PV</x:v>
      </x:c>
      <x:c r="F97" s="2" t="str">
        <x:v>Building-integrated PV is a mitigation technology in the Renewable energy sector and the Solar technology group. It is defined as a combined hardware–software–orgware system that reduces thermal, electrical or water demand through passive design, efficient equipment, controls and low-impact materials. Semiconductor junctions convert incident photons directly into direct current; modules, inverters and protection equipment condition and deliver the electricity to a load, battery or grid.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97" s="2" t="str">
        <x:v>Mixed: adaptable design, site-specific implementation</x:v>
      </x:c>
      <x:c r="H97" s="2" t="str">
        <x:v>Building-integrated PV is adaptable in capacity and configuration but site-specific in final engineering. Its principle remains the same, but resource quality, climate, scale, interfaces and safety constraints must be recalculated for each deployment.</x:v>
      </x:c>
      <x:c r="I97" s="2" t="str">
        <x:v>Primarily hard, with a soft component</x:v>
      </x:c>
      <x:c r="J97" s="2" t="str">
        <x:v>Building-integrated PV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97" s="2" t="str">
        <x:v>Equipment and operation</x:v>
      </x:c>
      <x:c r="L97" s="2" t="str">
        <x:v>Building-integrated PV is embodied mainly as an equipment-and-operation system. The deliverable is accepted only when measurable service, quality, safety and climate-performance criteria are met under real conditions.</x:v>
      </x:c>
      <x:c r="M97" s="2" t="str">
        <x:v>Yes, subject to life-cycle safeguards</x:v>
      </x:c>
      <x:c r="N97" s="2" t="str">
        <x:v>Building-integrated PV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97" s="2" t="str">
        <x:v>Building-integrated PV: envelope assemblies, efficient equipment, sensors, actuators, meters and distribution systems.</x:v>
      </x:c>
      <x:c r="P97" s="2" t="str">
        <x:v>Building-integrated PV: energy simulation, load calculation, control sequences, commissioning data and building management.</x:v>
      </x:c>
      <x:c r="Q97" s="2" t="str">
        <x:v>Building-integrated PV: building codes, performance standards, procurement, commissioning, maintenance plans and occupant guidance.</x:v>
      </x:c>
      <x:c r="R97" s="2" t="str">
        <x:v>Building-integrated PV: building fabric, plant rooms, electrical and water networks, access for maintenance and metering.</x:v>
      </x:c>
      <x:c r="S97" s="2" t="str">
        <x:v>Building-integrated PV: electricity and thermal energy; peak demand, part-load efficiency and controls determine actual savings.</x:v>
      </x:c>
      <x:c r="T97" s="2" t="str">
        <x:v>Building-integrated PV: insulation, glass, concrete, steel, timber, aluminium, copper, refrigerants and electronic components as applicable.</x:v>
      </x:c>
      <x:c r="U97" s="2" t="str">
        <x:v>Building-integrated PV: filters, belts, seals, lamps or drivers, sensors, actuators, valves, control modules and envelope repair materials.</x:v>
      </x:c>
      <x:c r="V97" s="2" t="str">
        <x:v>https://www.ctc-n.org/sites/default/files/resources/ctcn_taxonomy_0.pdf</x:v>
      </x:c>
      <x:c r="W97" s="2" t="str">
        <x:v>https://institutoagricoladepueblobello.edu.co/colegiapp/archivostemas/GUIA%209.%5B25%5D.pdf</x:v>
      </x:c>
      <x:c r="X97" s="2" t="str">
        <x:v>https://iiasa.ac.at/what-is-technology</x:v>
      </x:c>
      <x:c r="Y97" s="2" t="str">
        <x:v>https://www.ipcc.ch/report/ar6/wg3/chapter/chapter-6/; https://www.ipcc.ch/report/ar6/wg3/chapter/chapter-9/</x:v>
      </x:c>
      <x:c r="Z97" s="2" t="str">
        <x:v>Technology-specific analytical synthesis. The CTCN hierarchy is retained; classifications and component dependencies require validation against the selected design, site and supplier documentation before investment or policy use.</x:v>
      </x:c>
      <x:c r="AA97" s="2" t="str">
        <x:v>Physical deployment of Building-integrated PV requires building fabric, plant rooms, electrical and water networks, access for maintenance and metering; interfaces, foundations, access and environmental protection are sized to the specific resource and design load.</x:v>
      </x:c>
      <x:c r="AB97" s="2" t="str">
        <x:v>For Building-integrated PV, the hardware energy balance comprises electricity and thermal energy; peak demand, part-load efficiency and controls determine actual savings; metering must separate useful output, conversion losses and auxiliaries for the selected design.</x:v>
      </x:c>
      <x:c r="AC97" s="2" t="str">
        <x:v>Construction and operation use insulation, glass, concrete, steel, timber, aluminium, copper, refrigerants and electronic components as applicable. For Building-integrated PV, specifications must include durability, compatibility, recycled content and recoverability.</x:v>
      </x:c>
      <x:c r="AD97" s="2" t="str">
        <x:v>Maintenance of Building-integrated PV depends on filters, belts, seals, lamps or drivers, sensors, actuators, valves, control modules and envelope repair materials; critical spares are selected from failure-mode, lead-time and safety analysis for its installed configuration.</x:v>
      </x:c>
      <x:c r="AE97" s="2" t="str">
        <x:v>The software stack for Building-integrated PV requires databases, secure communications, version-controlled models, computing, backup and interfaces with field or operational systems.</x:v>
      </x:c>
      <x:c r="AF97" s="2" t="str">
        <x:v>For Building-integrated PV, software-related energy is electricity for sensing, computing, storage, communication and cooling; it is normally secondary but must be included for data-intensive or continuous services.</x:v>
      </x:c>
      <x:c r="AG97" s="2" t="str">
        <x:v>The non-physical inputs are calibrated data, metadata, algorithms, boundary conditions, emission or hazard factors, manuals and validation records specific to Building-integrated PV.</x:v>
      </x:c>
      <x:c r="AH97" s="2" t="str">
        <x:v>Software continuity for Building-integrated PV requires licences where applicable, updates, cybersecurity patches, backups, calibration files, model validation and technical support.</x:v>
      </x:c>
      <x:c r="AI97" s="2" t="str">
        <x:v>Orgware depends on the institutions, laboratories, training providers, regulators, operators and community interfaces needed to govern Building-integrated PV.</x:v>
      </x:c>
      <x:c r="AJ97" s="2" t="str">
        <x:v>The orgware supporting Building-integrated PV has mainly indirect energy use from offices, meetings, training and information systems; travel and field supervision may be material at dispersed sites.</x:v>
      </x:c>
      <x:c r="AK97" s="2" t="str">
        <x:v>Its organisational inputs are permits, budgets, trained staff, competence records, contracts, procedures, safeguards, monitoring evidence and stakeholder agreements tailored to Building-integrated PV.</x:v>
      </x:c>
      <x:c r="AL97" s="2" t="str">
        <x:v>Sustained implementation of Building-integrated PV requires procurement and service contracts, audit protocols, training material, reporting templates, insurance or guarantees and periodic independent review.</x:v>
      </x:c>
      <x:c r="AM97" s="2" t="str">
        <x:v>Iron ore / steel inputs; Copper; Tin; Silicon metal / polysilicon; Silver; Bauxite / aluminium; Limestone / cement raw materials</x:v>
      </x:c>
      <x:c r="AN97" s="2" t="str">
        <x:v>Australia; Brazil; China; Chile; Democratic Republic of the Congo; Peru; Indonesia; Myanmar; Norway; Mexico; Guinea; India; Vietnam</x:v>
      </x:c>
      <x:c r="AO97" s="2" t="str">
        <x:v>China; India; Japan; Chile; Democratic Republic of the Congo; Indonesia; Malaysia; Germany; Mexico; Peru; Russia; Vietnam</x:v>
      </x:c>
      <x:c r="AP97" s="2" t="str">
        <x:v>Building-integrated PV: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7" s="2" t="str">
        <x:v>2024–2025</x:v>
      </x:c>
      <x:c r="AR97" s="2" t="str">
        <x:v>https://pubs.usgs.gov/periodicals/mcs2026/mcs2026.pdf</x:v>
      </x:c>
    </x:row>
    <x:row r="98" ht="240" customHeight="1">
      <x:c r="A98" s="2" t="str">
        <x:v>MIT-0091</x:v>
      </x:c>
      <x:c r="B98" s="2" t="str">
        <x:v>Mitigation</x:v>
      </x:c>
      <x:c r="C98" s="2" t="str">
        <x:v>Renewable energy</x:v>
      </x:c>
      <x:c r="D98" s="2" t="str">
        <x:v>Solar</x:v>
      </x:c>
      <x:c r="E98" s="2" t="str">
        <x:v>Solar water pumps</x:v>
      </x:c>
      <x:c r="F98" s="2" t="str">
        <x:v>Solar water pumps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water pumps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8" s="2" t="str">
        <x:v>Mixed: adaptable design, site-specific implementation</x:v>
      </x:c>
      <x:c r="H98" s="2" t="str">
        <x:v>Solar water pumps is adaptable in capacity and configuration but site-specific in final engineering. Its principle remains the same, but resource quality, climate, scale, interfaces and safety constraints must be recalculated for each deployment.</x:v>
      </x:c>
      <x:c r="I98" s="2" t="str">
        <x:v>Primarily hard, with a soft component</x:v>
      </x:c>
      <x:c r="J98" s="2" t="str">
        <x:v>Solar water pumps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8" s="2" t="str">
        <x:v>Equipment and operation</x:v>
      </x:c>
      <x:c r="L98" s="2" t="str">
        <x:v>Solar water pumps is embodied mainly as an equipment-and-operation system. The deliverable is accepted only when measurable service, quality, safety and climate-performance criteria are met under real conditions.</x:v>
      </x:c>
      <x:c r="M98" s="2" t="str">
        <x:v>Yes, subject to life-cycle safeguards</x:v>
      </x:c>
      <x:c r="N98" s="2" t="str">
        <x:v>Solar water pumps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8" s="2" t="str">
        <x:v>Solar water pumps: resource collector or prime mover, generator or heat exchanger, support structure, power conversion, protection, metering and connection equipment.</x:v>
      </x:c>
      <x:c r="P98" s="2" t="str">
        <x:v>Solar water pumps: resource assessment, energy-yield modelling, forecasting, maximum-power or process control, dispatch, condition monitoring and maintenance planning.</x:v>
      </x:c>
      <x:c r="Q98" s="2" t="str">
        <x:v>Solar water pumps: resource and land or sea rights, environmental licensing, grid code, safety, community participation, revenue contract and decommissioning plan.</x:v>
      </x:c>
      <x:c r="R98" s="2" t="str">
        <x:v>Solar water pumps: foundations, access, electrical or thermal network, substation, control and communications, drainage and construction or marine logistics.</x:v>
      </x:c>
      <x:c r="S98" s="2" t="str">
        <x:v>Solar water pumps: the renewable resource is the primary input; auxiliary electricity, start-up fuel, pumping or thermal energy may be required depending on the design.</x:v>
      </x:c>
      <x:c r="T98" s="2" t="str">
        <x:v>Solar water pumps: steel, concrete, copper, aluminium, polymers, glass and technology-specific materials such as silicon, magnets, coatings, catalysts or working fluids.</x:v>
      </x:c>
      <x:c r="U98" s="2" t="str">
        <x:v>Solar water pumps: bearings, seals, filters, lubricants, sensors, converter parts, cables, fasteners, coatings and replaceable collector or heat-exchanger components.</x:v>
      </x:c>
      <x:c r="V98" s="2" t="str">
        <x:v>https://www.ctc-n.org/sites/default/files/resources/ctcn_taxonomy_0.pdf</x:v>
      </x:c>
      <x:c r="W98" s="2" t="str">
        <x:v>https://institutoagricoladepueblobello.edu.co/colegiapp/archivostemas/GUIA%209.%5B25%5D.pdf</x:v>
      </x:c>
      <x:c r="X98" s="2" t="str">
        <x:v>https://iiasa.ac.at/what-is-technology</x:v>
      </x:c>
      <x:c r="Y98" s="2" t="str">
        <x:v>https://www.ipcc.ch/report/ar6/wg3/chapter/chapter-6/; https://www.iea.org/data-and-statistics/data-tools/etp-clean-energy-technology-guide</x:v>
      </x:c>
      <x:c r="Z98" s="2" t="str">
        <x:v>Technology-specific analytical synthesis. The CTCN hierarchy is retained; classifications and component dependencies require validation against the selected design, site and supplier documentation before investment or policy use.</x:v>
      </x:c>
      <x:c r="AA98" s="2" t="str">
        <x:v>Physical deployment of Solar water pumps requires foundations, access, electrical or thermal network, substation, control and communications, drainage and construction or marine logistics; interfaces, foundations, access and environmental protection are sized to the specific resource and design load.</x:v>
      </x:c>
      <x:c r="AB98" s="2" t="str">
        <x:v>For Solar water pumps,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8" s="2" t="str">
        <x:v>Construction and operation use steel, concrete, copper, aluminium, polymers, glass and technology-specific materials such as silicon, magnets, coatings, catalysts or working fluids. For Solar water pumps, specifications must include durability, compatibility, recycled content and recoverability.</x:v>
      </x:c>
      <x:c r="AD98" s="2" t="str">
        <x:v>Maintenance of Solar water pumps depends on bearings, seals, filters, lubricants, sensors, converter parts, cables, fasteners, coatings and replaceable collector or heat-exchanger components; critical spares are selected from failure-mode, lead-time and safety analysis for its installed configuration.</x:v>
      </x:c>
      <x:c r="AE98" s="2" t="str">
        <x:v>The software stack for Solar water pumps requires databases, secure communications, version-controlled models, computing, backup and interfaces with field or operational systems.</x:v>
      </x:c>
      <x:c r="AF98" s="2" t="str">
        <x:v>For Solar water pumps, software-related energy is electricity for sensing, computing, storage, communication and cooling; it is normally secondary but must be included for data-intensive or continuous services.</x:v>
      </x:c>
      <x:c r="AG98" s="2" t="str">
        <x:v>The non-physical inputs are calibrated data, metadata, algorithms, boundary conditions, emission or hazard factors, manuals and validation records specific to Solar water pumps.</x:v>
      </x:c>
      <x:c r="AH98" s="2" t="str">
        <x:v>Software continuity for Solar water pumps requires licences where applicable, updates, cybersecurity patches, backups, calibration files, model validation and technical support.</x:v>
      </x:c>
      <x:c r="AI98" s="2" t="str">
        <x:v>Orgware depends on the institutions, laboratories, training providers, regulators, operators and community interfaces needed to govern Solar water pumps.</x:v>
      </x:c>
      <x:c r="AJ98" s="2" t="str">
        <x:v>The orgware supporting Solar water pumps has mainly indirect energy use from offices, meetings, training and information systems; travel and field supervision may be material at dispersed sites.</x:v>
      </x:c>
      <x:c r="AK98" s="2" t="str">
        <x:v>Its organisational inputs are permits, budgets, trained staff, competence records, contracts, procedures, safeguards, monitoring evidence and stakeholder agreements tailored to Solar water pumps.</x:v>
      </x:c>
      <x:c r="AL98" s="2" t="str">
        <x:v>Sustained implementation of Solar water pumps requires procurement and service contracts, audit protocols, training material, reporting templates, insurance or guarantees and periodic independent review.</x:v>
      </x:c>
      <x:c r="AM98" s="2" t="str">
        <x:v>Iron ore / steel inputs; Copper; Tin; Bauxite / aluminium</x:v>
      </x:c>
      <x:c r="AN98" s="2" t="str">
        <x:v>Australia; Brazil; China; Chile; Democratic Republic of the Congo; Peru; Indonesia; Myanmar; Guinea</x:v>
      </x:c>
      <x:c r="AO98" s="2" t="str">
        <x:v>China; India; Japan; Chile; Democratic Republic of the Congo; Indonesia; Malaysia; Russia</x:v>
      </x:c>
      <x:c r="AP98" s="2" t="str">
        <x:v>Solar water pumps: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8" s="2" t="str">
        <x:v>2024–2025</x:v>
      </x:c>
      <x:c r="AR98" s="2" t="str">
        <x:v>https://pubs.usgs.gov/periodicals/mcs2026/mcs2026.pdf</x:v>
      </x:c>
    </x:row>
    <x:row r="99" ht="240" customHeight="1">
      <x:c r="A99" s="2" t="str">
        <x:v>MIT-0092</x:v>
      </x:c>
      <x:c r="B99" s="2" t="str">
        <x:v>Mitigation</x:v>
      </x:c>
      <x:c r="C99" s="2" t="str">
        <x:v>Renewable energy</x:v>
      </x:c>
      <x:c r="D99" s="2" t="str">
        <x:v>Solar</x:v>
      </x:c>
      <x:c r="E99" s="2" t="str">
        <x:v>Solar heating</x:v>
      </x:c>
      <x:c r="F99" s="2" t="str">
        <x:v>Solar heating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99" s="2" t="str">
        <x:v>Mixed: adaptable design, site-specific implementation</x:v>
      </x:c>
      <x:c r="H99" s="2" t="str">
        <x:v>Solar heating is adaptable in capacity and configuration but site-specific in final engineering. Its principle remains the same, but resource quality, climate, scale, interfaces and safety constraints must be recalculated for each deployment.</x:v>
      </x:c>
      <x:c r="I99" s="2" t="str">
        <x:v>Primarily hard, with a soft component</x:v>
      </x:c>
      <x:c r="J99" s="2" t="str">
        <x:v>Solar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99" s="2" t="str">
        <x:v>Equipment and operation</x:v>
      </x:c>
      <x:c r="L99" s="2" t="str">
        <x:v>Solar heating is embodied mainly as an equipment-and-operation system. The deliverable is accepted only when measurable service, quality, safety and climate-performance criteria are met under real conditions.</x:v>
      </x:c>
      <x:c r="M99" s="2" t="str">
        <x:v>Yes, subject to life-cycle safeguards</x:v>
      </x:c>
      <x:c r="N99" s="2" t="str">
        <x:v>Solar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99" s="2" t="str">
        <x:v>Solar heating: resource collector or prime mover, generator or heat exchanger, support structure, power conversion, protection, metering and connection equipment.</x:v>
      </x:c>
      <x:c r="P99" s="2" t="str">
        <x:v>Solar heating: resource assessment, energy-yield modelling, forecasting, maximum-power or process control, dispatch, condition monitoring and maintenance planning.</x:v>
      </x:c>
      <x:c r="Q99" s="2" t="str">
        <x:v>Solar heating: resource and land or sea rights, environmental licensing, grid code, safety, community participation, revenue contract and decommissioning plan.</x:v>
      </x:c>
      <x:c r="R99" s="2" t="str">
        <x:v>Solar heating: foundations, access, electrical or thermal network, substation, control and communications, drainage and construction or marine logistics.</x:v>
      </x:c>
      <x:c r="S99" s="2" t="str">
        <x:v>Solar heating: the renewable resource is the primary input; auxiliary electricity, start-up fuel, pumping or thermal energy may be required depending on the design.</x:v>
      </x:c>
      <x:c r="T99" s="2" t="str">
        <x:v>Solar heating: steel, concrete, copper, aluminium, polymers, glass and technology-specific materials such as silicon, magnets, coatings, catalysts or working fluids.</x:v>
      </x:c>
      <x:c r="U99" s="2" t="str">
        <x:v>Solar heating: bearings, seals, filters, lubricants, sensors, converter parts, cables, fasteners, coatings and replaceable collector or heat-exchanger components.</x:v>
      </x:c>
      <x:c r="V99" s="2" t="str">
        <x:v>https://www.ctc-n.org/sites/default/files/resources/ctcn_taxonomy_0.pdf</x:v>
      </x:c>
      <x:c r="W99" s="2" t="str">
        <x:v>https://institutoagricoladepueblobello.edu.co/colegiapp/archivostemas/GUIA%209.%5B25%5D.pdf</x:v>
      </x:c>
      <x:c r="X99" s="2" t="str">
        <x:v>https://iiasa.ac.at/what-is-technology</x:v>
      </x:c>
      <x:c r="Y99" s="2" t="str">
        <x:v>https://www.ipcc.ch/report/ar6/wg3/chapter/chapter-6/; https://www.iea.org/data-and-statistics/data-tools/etp-clean-energy-technology-guide</x:v>
      </x:c>
      <x:c r="Z99" s="2" t="str">
        <x:v>Technology-specific analytical synthesis. The CTCN hierarchy is retained; classifications and component dependencies require validation against the selected design, site and supplier documentation before investment or policy use.</x:v>
      </x:c>
      <x:c r="AA99" s="2" t="str">
        <x:v>Physical deployment of Solar heating requires foundations, access, electrical or thermal network, substation, control and communications, drainage and construction or marine logistics; interfaces, foundations, access and environmental protection are sized to the specific resource and design load.</x:v>
      </x:c>
      <x:c r="AB99" s="2" t="str">
        <x:v>For Solar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99" s="2" t="str">
        <x:v>Construction and operation use steel, concrete, copper, aluminium, polymers, glass and technology-specific materials such as silicon, magnets, coatings, catalysts or working fluids. For Solar heating, specifications must include durability, compatibility, recycled content and recoverability.</x:v>
      </x:c>
      <x:c r="AD99" s="2" t="str">
        <x:v>Maintenance of Solar heating depends on bearings, seals, filters, lubricants, sensors, converter parts, cables, fasteners, coatings and replaceable collector or heat-exchanger components; critical spares are selected from failure-mode, lead-time and safety analysis for its installed configuration.</x:v>
      </x:c>
      <x:c r="AE99" s="2" t="str">
        <x:v>The software stack for Solar heating requires databases, secure communications, version-controlled models, computing, backup and interfaces with field or operational systems.</x:v>
      </x:c>
      <x:c r="AF99" s="2" t="str">
        <x:v>For Solar heating, software-related energy is electricity for sensing, computing, storage, communication and cooling; it is normally secondary but must be included for data-intensive or continuous services.</x:v>
      </x:c>
      <x:c r="AG99" s="2" t="str">
        <x:v>The non-physical inputs are calibrated data, metadata, algorithms, boundary conditions, emission or hazard factors, manuals and validation records specific to Solar heating.</x:v>
      </x:c>
      <x:c r="AH99" s="2" t="str">
        <x:v>Software continuity for Solar heating requires licences where applicable, updates, cybersecurity patches, backups, calibration files, model validation and technical support.</x:v>
      </x:c>
      <x:c r="AI99" s="2" t="str">
        <x:v>Orgware depends on the institutions, laboratories, training providers, regulators, operators and community interfaces needed to govern Solar heating.</x:v>
      </x:c>
      <x:c r="AJ99" s="2" t="str">
        <x:v>The orgware supporting Solar heating has mainly indirect energy use from offices, meetings, training and information systems; travel and field supervision may be material at dispersed sites.</x:v>
      </x:c>
      <x:c r="AK99" s="2" t="str">
        <x:v>Its organisational inputs are permits, budgets, trained staff, competence records, contracts, procedures, safeguards, monitoring evidence and stakeholder agreements tailored to Solar heating.</x:v>
      </x:c>
      <x:c r="AL99" s="2" t="str">
        <x:v>Sustained implementation of Solar heating requires procurement and service contracts, audit protocols, training material, reporting templates, insurance or guarantees and periodic independent review.</x:v>
      </x:c>
      <x:c r="AM99" s="2" t="str">
        <x:v>Iron ore / steel inputs; Copper; Tin; Bauxite / aluminium</x:v>
      </x:c>
      <x:c r="AN99" s="2" t="str">
        <x:v>Australia; Brazil; China; Chile; Democratic Republic of the Congo; Peru; Indonesia; Myanmar; Guinea</x:v>
      </x:c>
      <x:c r="AO99" s="2" t="str">
        <x:v>China; India; Japan; Chile; Democratic Republic of the Congo; Indonesia; Malaysia; Russia</x:v>
      </x:c>
      <x:c r="AP99" s="2" t="str">
        <x:v>Solar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9" s="2" t="str">
        <x:v>2024–2025</x:v>
      </x:c>
      <x:c r="AR99" s="2" t="str">
        <x:v>https://pubs.usgs.gov/periodicals/mcs2026/mcs2026.pdf</x:v>
      </x:c>
    </x:row>
    <x:row r="100" ht="240" customHeight="1">
      <x:c r="A100" s="2" t="str">
        <x:v>MIT-0093</x:v>
      </x:c>
      <x:c r="B100" s="2" t="str">
        <x:v>Mitigation</x:v>
      </x:c>
      <x:c r="C100" s="2" t="str">
        <x:v>Renewable energy</x:v>
      </x:c>
      <x:c r="D100" s="2" t="str">
        <x:v>Solar</x:v>
      </x:c>
      <x:c r="E100" s="2" t="str">
        <x:v>Solar lamps</x:v>
      </x:c>
      <x:c r="F100" s="2" t="str">
        <x:v>Solar lamps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lamps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0" s="2" t="str">
        <x:v>Mixed: adaptable design, site-specific implementation</x:v>
      </x:c>
      <x:c r="H100" s="2" t="str">
        <x:v>Solar lamps is adaptable in capacity and configuration but site-specific in final engineering. Its principle remains the same, but resource quality, climate, scale, interfaces and safety constraints must be recalculated for each deployment.</x:v>
      </x:c>
      <x:c r="I100" s="2" t="str">
        <x:v>Primarily hard, with a soft component</x:v>
      </x:c>
      <x:c r="J100" s="2" t="str">
        <x:v>Solar lamps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0" s="2" t="str">
        <x:v>Equipment and operation</x:v>
      </x:c>
      <x:c r="L100" s="2" t="str">
        <x:v>Solar lamps is embodied mainly as an equipment-and-operation system. The deliverable is accepted only when measurable service, quality, safety and climate-performance criteria are met under real conditions.</x:v>
      </x:c>
      <x:c r="M100" s="2" t="str">
        <x:v>Yes, subject to life-cycle safeguards</x:v>
      </x:c>
      <x:c r="N100" s="2" t="str">
        <x:v>Solar lamps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0" s="2" t="str">
        <x:v>Solar lamps: resource collector or prime mover, generator or heat exchanger, support structure, power conversion, protection, metering and connection equipment.</x:v>
      </x:c>
      <x:c r="P100" s="2" t="str">
        <x:v>Solar lamps: resource assessment, energy-yield modelling, forecasting, maximum-power or process control, dispatch, condition monitoring and maintenance planning.</x:v>
      </x:c>
      <x:c r="Q100" s="2" t="str">
        <x:v>Solar lamps: resource and land or sea rights, environmental licensing, grid code, safety, community participation, revenue contract and decommissioning plan.</x:v>
      </x:c>
      <x:c r="R100" s="2" t="str">
        <x:v>Solar lamps: foundations, access, electrical or thermal network, substation, control and communications, drainage and construction or marine logistics.</x:v>
      </x:c>
      <x:c r="S100" s="2" t="str">
        <x:v>Solar lamps: the renewable resource is the primary input; auxiliary electricity, start-up fuel, pumping or thermal energy may be required depending on the design.</x:v>
      </x:c>
      <x:c r="T100" s="2" t="str">
        <x:v>Solar lamps: steel, concrete, copper, aluminium, polymers, glass and technology-specific materials such as silicon, magnets, coatings, catalysts or working fluids.</x:v>
      </x:c>
      <x:c r="U100" s="2" t="str">
        <x:v>Solar lamps: bearings, seals, filters, lubricants, sensors, converter parts, cables, fasteners, coatings and replaceable collector or heat-exchanger components.</x:v>
      </x:c>
      <x:c r="V100" s="2" t="str">
        <x:v>https://www.ctc-n.org/sites/default/files/resources/ctcn_taxonomy_0.pdf</x:v>
      </x:c>
      <x:c r="W100" s="2" t="str">
        <x:v>https://institutoagricoladepueblobello.edu.co/colegiapp/archivostemas/GUIA%209.%5B25%5D.pdf</x:v>
      </x:c>
      <x:c r="X100" s="2" t="str">
        <x:v>https://iiasa.ac.at/what-is-technology</x:v>
      </x:c>
      <x:c r="Y100" s="2" t="str">
        <x:v>https://www.ipcc.ch/report/ar6/wg3/chapter/chapter-6/; https://www.iea.org/data-and-statistics/data-tools/etp-clean-energy-technology-guide</x:v>
      </x:c>
      <x:c r="Z100" s="2" t="str">
        <x:v>Technology-specific analytical synthesis. The CTCN hierarchy is retained; classifications and component dependencies require validation against the selected design, site and supplier documentation before investment or policy use.</x:v>
      </x:c>
      <x:c r="AA100" s="2" t="str">
        <x:v>Physical deployment of Solar lamps requires foundations, access, electrical or thermal network, substation, control and communications, drainage and construction or marine logistics; interfaces, foundations, access and environmental protection are sized to the specific resource and design load.</x:v>
      </x:c>
      <x:c r="AB100" s="2" t="str">
        <x:v>For Solar lamps,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0" s="2" t="str">
        <x:v>Construction and operation use steel, concrete, copper, aluminium, polymers, glass and technology-specific materials such as silicon, magnets, coatings, catalysts or working fluids. For Solar lamps, specifications must include durability, compatibility, recycled content and recoverability.</x:v>
      </x:c>
      <x:c r="AD100" s="2" t="str">
        <x:v>Maintenance of Solar lamps depends on bearings, seals, filters, lubricants, sensors, converter parts, cables, fasteners, coatings and replaceable collector or heat-exchanger components; critical spares are selected from failure-mode, lead-time and safety analysis for its installed configuration.</x:v>
      </x:c>
      <x:c r="AE100" s="2" t="str">
        <x:v>The software stack for Solar lamps requires databases, secure communications, version-controlled models, computing, backup and interfaces with field or operational systems.</x:v>
      </x:c>
      <x:c r="AF100" s="2" t="str">
        <x:v>For Solar lamps, software-related energy is electricity for sensing, computing, storage, communication and cooling; it is normally secondary but must be included for data-intensive or continuous services.</x:v>
      </x:c>
      <x:c r="AG100" s="2" t="str">
        <x:v>The non-physical inputs are calibrated data, metadata, algorithms, boundary conditions, emission or hazard factors, manuals and validation records specific to Solar lamps.</x:v>
      </x:c>
      <x:c r="AH100" s="2" t="str">
        <x:v>Software continuity for Solar lamps requires licences where applicable, updates, cybersecurity patches, backups, calibration files, model validation and technical support.</x:v>
      </x:c>
      <x:c r="AI100" s="2" t="str">
        <x:v>Orgware depends on the institutions, laboratories, training providers, regulators, operators and community interfaces needed to govern Solar lamps.</x:v>
      </x:c>
      <x:c r="AJ100" s="2" t="str">
        <x:v>The orgware supporting Solar lamps has mainly indirect energy use from offices, meetings, training and information systems; travel and field supervision may be material at dispersed sites.</x:v>
      </x:c>
      <x:c r="AK100" s="2" t="str">
        <x:v>Its organisational inputs are permits, budgets, trained staff, competence records, contracts, procedures, safeguards, monitoring evidence and stakeholder agreements tailored to Solar lamps.</x:v>
      </x:c>
      <x:c r="AL100" s="2" t="str">
        <x:v>Sustained implementation of Solar lamps requires procurement and service contracts, audit protocols, training material, reporting templates, insurance or guarantees and periodic independent review.</x:v>
      </x:c>
      <x:c r="AM100" s="2" t="str">
        <x:v>Iron ore / steel inputs; Copper; Tin; Lithium; Nickel; Cobalt; Natural graphite; Manganese; Bauxite / aluminium</x:v>
      </x:c>
      <x:c r="AN100" s="2" t="str">
        <x:v>Australia; Brazil; China; Chile; Democratic Republic of the Congo; Peru; Indonesia; Myanmar; Philippines; Russia; Madagascar; Mozambique; South Africa; Gabon; Ghana; Guinea</x:v>
      </x:c>
      <x:c r="AO100" s="2" t="str">
        <x:v>China; India; Japan; Chile; Democratic Republic of the Congo; Indonesia; Malaysia; Argentina; Finland; Canada; South Korea; South Africa; Australia; Russia</x:v>
      </x:c>
      <x:c r="AP100" s="2" t="str">
        <x:v>Solar lamps: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0" s="2" t="str">
        <x:v>2024–2025</x:v>
      </x:c>
      <x:c r="AR100" s="2" t="str">
        <x:v>https://pubs.usgs.gov/periodicals/mcs2026/mcs2026.pdf; https://www.iea.org/reports/global-critical-minerals-outlook-2025</x:v>
      </x:c>
    </x:row>
    <x:row r="101" ht="240" customHeight="1">
      <x:c r="A101" s="2" t="str">
        <x:v>MIT-0094</x:v>
      </x:c>
      <x:c r="B101" s="2" t="str">
        <x:v>Mitigation</x:v>
      </x:c>
      <x:c r="C101" s="2" t="str">
        <x:v>Renewable energy</x:v>
      </x:c>
      <x:c r="D101" s="2" t="str">
        <x:v>Solar</x:v>
      </x:c>
      <x:c r="E101" s="2" t="str">
        <x:v>Solar PV</x:v>
      </x:c>
      <x:c r="F101" s="2" t="str">
        <x:v>Solar PV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Semiconductor junctions convert incident photons directly into direct current; modules, inverters and protection equipment condition and deliver the electricity to a load, battery or grid.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1" s="2" t="str">
        <x:v>Mixed: adaptable design, site-specific implementation</x:v>
      </x:c>
      <x:c r="H101" s="2" t="str">
        <x:v>Solar PV is adaptable in capacity and configuration but site-specific in final engineering. Its principle remains the same, but resource quality, climate, scale, interfaces and safety constraints must be recalculated for each deployment.</x:v>
      </x:c>
      <x:c r="I101" s="2" t="str">
        <x:v>Primarily hard, with a soft component</x:v>
      </x:c>
      <x:c r="J101" s="2" t="str">
        <x:v>Solar PV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1" s="2" t="str">
        <x:v>Equipment and operation</x:v>
      </x:c>
      <x:c r="L101" s="2" t="str">
        <x:v>Solar PV is embodied mainly as an equipment-and-operation system. The deliverable is accepted only when measurable service, quality, safety and climate-performance criteria are met under real conditions.</x:v>
      </x:c>
      <x:c r="M101" s="2" t="str">
        <x:v>Yes, subject to life-cycle safeguards</x:v>
      </x:c>
      <x:c r="N101" s="2" t="str">
        <x:v>Solar PV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1" s="2" t="str">
        <x:v>Solar PV: resource collector or prime mover, generator or heat exchanger, support structure, power conversion, protection, metering and connection equipment.</x:v>
      </x:c>
      <x:c r="P101" s="2" t="str">
        <x:v>Solar PV: resource assessment, energy-yield modelling, forecasting, maximum-power or process control, dispatch, condition monitoring and maintenance planning.</x:v>
      </x:c>
      <x:c r="Q101" s="2" t="str">
        <x:v>Solar PV: resource and land or sea rights, environmental licensing, grid code, safety, community participation, revenue contract and decommissioning plan.</x:v>
      </x:c>
      <x:c r="R101" s="2" t="str">
        <x:v>Solar PV: foundations, access, electrical or thermal network, substation, control and communications, drainage and construction or marine logistics.</x:v>
      </x:c>
      <x:c r="S101" s="2" t="str">
        <x:v>Solar PV: the renewable resource is the primary input; auxiliary electricity, start-up fuel, pumping or thermal energy may be required depending on the design.</x:v>
      </x:c>
      <x:c r="T101" s="2" t="str">
        <x:v>Solar PV: steel, concrete, copper, aluminium, polymers, glass and technology-specific materials such as silicon, magnets, coatings, catalysts or working fluids.</x:v>
      </x:c>
      <x:c r="U101" s="2" t="str">
        <x:v>Solar PV: bearings, seals, filters, lubricants, sensors, converter parts, cables, fasteners, coatings and replaceable collector or heat-exchanger components.</x:v>
      </x:c>
      <x:c r="V101" s="2" t="str">
        <x:v>https://www.ctc-n.org/sites/default/files/resources/ctcn_taxonomy_0.pdf</x:v>
      </x:c>
      <x:c r="W101" s="2" t="str">
        <x:v>https://institutoagricoladepueblobello.edu.co/colegiapp/archivostemas/GUIA%209.%5B25%5D.pdf</x:v>
      </x:c>
      <x:c r="X101" s="2" t="str">
        <x:v>https://iiasa.ac.at/what-is-technology</x:v>
      </x:c>
      <x:c r="Y101" s="2" t="str">
        <x:v>https://www.ipcc.ch/report/ar6/wg3/chapter/chapter-6/; https://www.iea.org/data-and-statistics/data-tools/etp-clean-energy-technology-guide</x:v>
      </x:c>
      <x:c r="Z101" s="2" t="str">
        <x:v>Technology-specific analytical synthesis. The CTCN hierarchy is retained; classifications and component dependencies require validation against the selected design, site and supplier documentation before investment or policy use.</x:v>
      </x:c>
      <x:c r="AA101" s="2" t="str">
        <x:v>Physical deployment of Solar PV requires foundations, access, electrical or thermal network, substation, control and communications, drainage and construction or marine logistics; interfaces, foundations, access and environmental protection are sized to the specific resource and design load.</x:v>
      </x:c>
      <x:c r="AB101" s="2" t="str">
        <x:v>For Solar PV,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1" s="2" t="str">
        <x:v>Construction and operation use steel, concrete, copper, aluminium, polymers, glass and technology-specific materials such as silicon, magnets, coatings, catalysts or working fluids. For Solar PV, specifications must include durability, compatibility, recycled content and recoverability.</x:v>
      </x:c>
      <x:c r="AD101" s="2" t="str">
        <x:v>Maintenance of Solar PV depends on bearings, seals, filters, lubricants, sensors, converter parts, cables, fasteners, coatings and replaceable collector or heat-exchanger components; critical spares are selected from failure-mode, lead-time and safety analysis for its installed configuration.</x:v>
      </x:c>
      <x:c r="AE101" s="2" t="str">
        <x:v>The software stack for Solar PV requires databases, secure communications, version-controlled models, computing, backup and interfaces with field or operational systems.</x:v>
      </x:c>
      <x:c r="AF101" s="2" t="str">
        <x:v>For Solar PV, software-related energy is electricity for sensing, computing, storage, communication and cooling; it is normally secondary but must be included for data-intensive or continuous services.</x:v>
      </x:c>
      <x:c r="AG101" s="2" t="str">
        <x:v>The non-physical inputs are calibrated data, metadata, algorithms, boundary conditions, emission or hazard factors, manuals and validation records specific to Solar PV.</x:v>
      </x:c>
      <x:c r="AH101" s="2" t="str">
        <x:v>Software continuity for Solar PV requires licences where applicable, updates, cybersecurity patches, backups, calibration files, model validation and technical support.</x:v>
      </x:c>
      <x:c r="AI101" s="2" t="str">
        <x:v>Orgware depends on the institutions, laboratories, training providers, regulators, operators and community interfaces needed to govern Solar PV.</x:v>
      </x:c>
      <x:c r="AJ101" s="2" t="str">
        <x:v>The orgware supporting Solar PV has mainly indirect energy use from offices, meetings, training and information systems; travel and field supervision may be material at dispersed sites.</x:v>
      </x:c>
      <x:c r="AK101" s="2" t="str">
        <x:v>Its organisational inputs are permits, budgets, trained staff, competence records, contracts, procedures, safeguards, monitoring evidence and stakeholder agreements tailored to Solar PV.</x:v>
      </x:c>
      <x:c r="AL101" s="2" t="str">
        <x:v>Sustained implementation of Solar PV requires procurement and service contracts, audit protocols, training material, reporting templates, insurance or guarantees and periodic independent review.</x:v>
      </x:c>
      <x:c r="AM101" s="2" t="str">
        <x:v>Iron ore / steel inputs; Copper; Tin; Silicon metal / polysilicon; Silver; Bauxite / aluminium</x:v>
      </x:c>
      <x:c r="AN101" s="2" t="str">
        <x:v>Australia; Brazil; China; Chile; Democratic Republic of the Congo; Peru; Indonesia; Myanmar; Norway; Mexico; Guinea</x:v>
      </x:c>
      <x:c r="AO101" s="2" t="str">
        <x:v>China; India; Japan; Chile; Democratic Republic of the Congo; Indonesia; Malaysia; Germany; Mexico; Peru; Russia</x:v>
      </x:c>
      <x:c r="AP101" s="2" t="str">
        <x:v>Solar PV: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1" s="2" t="str">
        <x:v>2024–2025</x:v>
      </x:c>
      <x:c r="AR101" s="2" t="str">
        <x:v>https://pubs.usgs.gov/periodicals/mcs2026/mcs2026.pdf</x:v>
      </x:c>
    </x:row>
    <x:row r="102" ht="240" customHeight="1">
      <x:c r="A102" s="2" t="str">
        <x:v>MIT-0095</x:v>
      </x:c>
      <x:c r="B102" s="2" t="str">
        <x:v>Mitigation</x:v>
      </x:c>
      <x:c r="C102" s="2" t="str">
        <x:v>Renewable energy</x:v>
      </x:c>
      <x:c r="D102" s="2" t="str">
        <x:v>Solar</x:v>
      </x:c>
      <x:c r="E102" s="2" t="str">
        <x:v>Solar thermal power</x:v>
      </x:c>
      <x:c r="F102" s="2" t="str">
        <x:v>Solar thermal power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Optical collectors concentrate solar radiation onto a receiver, heat a working fluid and drive a thermodynamic power cycle; thermal storage can decouple collection from generation.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2" s="2" t="str">
        <x:v>Mixed: adaptable design, site-specific implementation</x:v>
      </x:c>
      <x:c r="H102" s="2" t="str">
        <x:v>Solar thermal power is adaptable in capacity and configuration but site-specific in final engineering. Its principle remains the same, but resource quality, climate, scale, interfaces and safety constraints must be recalculated for each deployment.</x:v>
      </x:c>
      <x:c r="I102" s="2" t="str">
        <x:v>Primarily hard, with a soft component</x:v>
      </x:c>
      <x:c r="J102" s="2" t="str">
        <x:v>Solar thermal 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2" s="2" t="str">
        <x:v>Equipment and operation</x:v>
      </x:c>
      <x:c r="L102" s="2" t="str">
        <x:v>Solar thermal power is embodied mainly as an equipment-and-operation system. The deliverable is accepted only when measurable service, quality, safety and climate-performance criteria are met under real conditions.</x:v>
      </x:c>
      <x:c r="M102" s="2" t="str">
        <x:v>Yes, subject to life-cycle safeguards</x:v>
      </x:c>
      <x:c r="N102" s="2" t="str">
        <x:v>Solar thermal 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2" s="2" t="str">
        <x:v>Solar thermal power: resource collector or prime mover, generator or heat exchanger, support structure, power conversion, protection, metering and connection equipment.</x:v>
      </x:c>
      <x:c r="P102" s="2" t="str">
        <x:v>Solar thermal power: resource assessment, energy-yield modelling, forecasting, maximum-power or process control, dispatch, condition monitoring and maintenance planning.</x:v>
      </x:c>
      <x:c r="Q102" s="2" t="str">
        <x:v>Solar thermal power: resource and land or sea rights, environmental licensing, grid code, safety, community participation, revenue contract and decommissioning plan.</x:v>
      </x:c>
      <x:c r="R102" s="2" t="str">
        <x:v>Solar thermal power: foundations, access, electrical or thermal network, substation, control and communications, drainage and construction or marine logistics.</x:v>
      </x:c>
      <x:c r="S102" s="2" t="str">
        <x:v>Solar thermal power: the renewable resource is the primary input; auxiliary electricity, start-up fuel, pumping or thermal energy may be required depending on the design.</x:v>
      </x:c>
      <x:c r="T102" s="2" t="str">
        <x:v>Solar thermal power: steel, concrete, copper, aluminium, polymers, glass and technology-specific materials such as silicon, magnets, coatings, catalysts or working fluids.</x:v>
      </x:c>
      <x:c r="U102" s="2" t="str">
        <x:v>Solar thermal power: bearings, seals, filters, lubricants, sensors, converter parts, cables, fasteners, coatings and replaceable collector or heat-exchanger components.</x:v>
      </x:c>
      <x:c r="V102" s="2" t="str">
        <x:v>https://www.ctc-n.org/sites/default/files/resources/ctcn_taxonomy_0.pdf</x:v>
      </x:c>
      <x:c r="W102" s="2" t="str">
        <x:v>https://institutoagricoladepueblobello.edu.co/colegiapp/archivostemas/GUIA%209.%5B25%5D.pdf</x:v>
      </x:c>
      <x:c r="X102" s="2" t="str">
        <x:v>https://iiasa.ac.at/what-is-technology</x:v>
      </x:c>
      <x:c r="Y102" s="2" t="str">
        <x:v>https://www.ipcc.ch/report/ar6/wg3/chapter/chapter-6/; https://www.iea.org/data-and-statistics/data-tools/etp-clean-energy-technology-guide</x:v>
      </x:c>
      <x:c r="Z102" s="2" t="str">
        <x:v>Technology-specific analytical synthesis. The CTCN hierarchy is retained; classifications and component dependencies require validation against the selected design, site and supplier documentation before investment or policy use.</x:v>
      </x:c>
      <x:c r="AA102" s="2" t="str">
        <x:v>Physical deployment of Solar thermal power requires foundations, access, electrical or thermal network, substation, control and communications, drainage and construction or marine logistics; interfaces, foundations, access and environmental protection are sized to the specific resource and design load.</x:v>
      </x:c>
      <x:c r="AB102" s="2" t="str">
        <x:v>For Solar thermal 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2" s="2" t="str">
        <x:v>Construction and operation use steel, concrete, copper, aluminium, polymers, glass and technology-specific materials such as silicon, magnets, coatings, catalysts or working fluids. For Solar thermal power, specifications must include durability, compatibility, recycled content and recoverability.</x:v>
      </x:c>
      <x:c r="AD102" s="2" t="str">
        <x:v>Maintenance of Solar thermal power depends on bearings, seals, filters, lubricants, sensors, converter parts, cables, fasteners, coatings and replaceable collector or heat-exchanger components; critical spares are selected from failure-mode, lead-time and safety analysis for its installed configuration.</x:v>
      </x:c>
      <x:c r="AE102" s="2" t="str">
        <x:v>The software stack for Solar thermal power requires databases, secure communications, version-controlled models, computing, backup and interfaces with field or operational systems.</x:v>
      </x:c>
      <x:c r="AF102" s="2" t="str">
        <x:v>For Solar thermal power, software-related energy is electricity for sensing, computing, storage, communication and cooling; it is normally secondary but must be included for data-intensive or continuous services.</x:v>
      </x:c>
      <x:c r="AG102" s="2" t="str">
        <x:v>The non-physical inputs are calibrated data, metadata, algorithms, boundary conditions, emission or hazard factors, manuals and validation records specific to Solar thermal power.</x:v>
      </x:c>
      <x:c r="AH102" s="2" t="str">
        <x:v>Software continuity for Solar thermal power requires licences where applicable, updates, cybersecurity patches, backups, calibration files, model validation and technical support.</x:v>
      </x:c>
      <x:c r="AI102" s="2" t="str">
        <x:v>Orgware depends on the institutions, laboratories, training providers, regulators, operators and community interfaces needed to govern Solar thermal power.</x:v>
      </x:c>
      <x:c r="AJ102" s="2" t="str">
        <x:v>The orgware supporting Solar thermal power has mainly indirect energy use from offices, meetings, training and information systems; travel and field supervision may be material at dispersed sites.</x:v>
      </x:c>
      <x:c r="AK102" s="2" t="str">
        <x:v>Its organisational inputs are permits, budgets, trained staff, competence records, contracts, procedures, safeguards, monitoring evidence and stakeholder agreements tailored to Solar thermal power.</x:v>
      </x:c>
      <x:c r="AL102" s="2" t="str">
        <x:v>Sustained implementation of Solar thermal power requires procurement and service contracts, audit protocols, training material, reporting templates, insurance or guarantees and periodic independent review.</x:v>
      </x:c>
      <x:c r="AM102" s="2" t="str">
        <x:v>Iron ore / steel inputs; Copper; Tin; Bauxite / aluminium</x:v>
      </x:c>
      <x:c r="AN102" s="2" t="str">
        <x:v>Australia; Brazil; China; Chile; Democratic Republic of the Congo; Peru; Indonesia; Myanmar; Guinea</x:v>
      </x:c>
      <x:c r="AO102" s="2" t="str">
        <x:v>China; India; Japan; Chile; Democratic Republic of the Congo; Indonesia; Malaysia; Russia</x:v>
      </x:c>
      <x:c r="AP102" s="2" t="str">
        <x:v>Solar thermal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2" s="2" t="str">
        <x:v>2024–2025</x:v>
      </x:c>
      <x:c r="AR102" s="2" t="str">
        <x:v>https://pubs.usgs.gov/periodicals/mcs2026/mcs2026.pdf</x:v>
      </x:c>
    </x:row>
    <x:row r="103" ht="240" customHeight="1">
      <x:c r="A103" s="2" t="str">
        <x:v>MIT-0096</x:v>
      </x:c>
      <x:c r="B103" s="2" t="str">
        <x:v>Mitigation</x:v>
      </x:c>
      <x:c r="C103" s="2" t="str">
        <x:v>Renewable energy</x:v>
      </x:c>
      <x:c r="D103" s="2" t="str">
        <x:v>Solar</x:v>
      </x:c>
      <x:c r="E103" s="2" t="str">
        <x:v>Solar dryer</x:v>
      </x:c>
      <x:c r="F103" s="2" t="str">
        <x:v>Solar dryer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Solar dryer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3" s="2" t="str">
        <x:v>Mixed: adaptable design, site-specific implementation</x:v>
      </x:c>
      <x:c r="H103" s="2" t="str">
        <x:v>Solar dryer is adaptable in capacity and configuration but site-specific in final engineering. Its principle remains the same, but resource quality, climate, scale, interfaces and safety constraints must be recalculated for each deployment.</x:v>
      </x:c>
      <x:c r="I103" s="2" t="str">
        <x:v>Primarily hard, with a soft component</x:v>
      </x:c>
      <x:c r="J103" s="2" t="str">
        <x:v>Solar dryer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3" s="2" t="str">
        <x:v>Equipment and operation</x:v>
      </x:c>
      <x:c r="L103" s="2" t="str">
        <x:v>Solar dryer is embodied mainly as an equipment-and-operation system. The deliverable is accepted only when measurable service, quality, safety and climate-performance criteria are met under real conditions.</x:v>
      </x:c>
      <x:c r="M103" s="2" t="str">
        <x:v>Yes, subject to life-cycle safeguards</x:v>
      </x:c>
      <x:c r="N103" s="2" t="str">
        <x:v>Solar dryer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3" s="2" t="str">
        <x:v>Solar dryer: resource collector or prime mover, generator or heat exchanger, support structure, power conversion, protection, metering and connection equipment.</x:v>
      </x:c>
      <x:c r="P103" s="2" t="str">
        <x:v>Solar dryer: resource assessment, energy-yield modelling, forecasting, maximum-power or process control, dispatch, condition monitoring and maintenance planning.</x:v>
      </x:c>
      <x:c r="Q103" s="2" t="str">
        <x:v>Solar dryer: resource and land or sea rights, environmental licensing, grid code, safety, community participation, revenue contract and decommissioning plan.</x:v>
      </x:c>
      <x:c r="R103" s="2" t="str">
        <x:v>Solar dryer: foundations, access, electrical or thermal network, substation, control and communications, drainage and construction or marine logistics.</x:v>
      </x:c>
      <x:c r="S103" s="2" t="str">
        <x:v>Solar dryer: the renewable resource is the primary input; auxiliary electricity, start-up fuel, pumping or thermal energy may be required depending on the design.</x:v>
      </x:c>
      <x:c r="T103" s="2" t="str">
        <x:v>Solar dryer: steel, concrete, copper, aluminium, polymers, glass and technology-specific materials such as silicon, magnets, coatings, catalysts or working fluids.</x:v>
      </x:c>
      <x:c r="U103" s="2" t="str">
        <x:v>Solar dryer: bearings, seals, filters, lubricants, sensors, converter parts, cables, fasteners, coatings and replaceable collector or heat-exchanger components.</x:v>
      </x:c>
      <x:c r="V103" s="2" t="str">
        <x:v>https://www.ctc-n.org/sites/default/files/resources/ctcn_taxonomy_0.pdf</x:v>
      </x:c>
      <x:c r="W103" s="2" t="str">
        <x:v>https://institutoagricoladepueblobello.edu.co/colegiapp/archivostemas/GUIA%209.%5B25%5D.pdf</x:v>
      </x:c>
      <x:c r="X103" s="2" t="str">
        <x:v>https://iiasa.ac.at/what-is-technology</x:v>
      </x:c>
      <x:c r="Y103" s="2" t="str">
        <x:v>https://www.ipcc.ch/report/ar6/wg3/chapter/chapter-6/; https://www.iea.org/data-and-statistics/data-tools/etp-clean-energy-technology-guide</x:v>
      </x:c>
      <x:c r="Z103" s="2" t="str">
        <x:v>Technology-specific analytical synthesis. The CTCN hierarchy is retained; classifications and component dependencies require validation against the selected design, site and supplier documentation before investment or policy use.</x:v>
      </x:c>
      <x:c r="AA103" s="2" t="str">
        <x:v>Physical deployment of Solar dryer requires foundations, access, electrical or thermal network, substation, control and communications, drainage and construction or marine logistics; interfaces, foundations, access and environmental protection are sized to the specific resource and design load.</x:v>
      </x:c>
      <x:c r="AB103" s="2" t="str">
        <x:v>For Solar dryer,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3" s="2" t="str">
        <x:v>Construction and operation use steel, concrete, copper, aluminium, polymers, glass and technology-specific materials such as silicon, magnets, coatings, catalysts or working fluids. For Solar dryer, specifications must include durability, compatibility, recycled content and recoverability.</x:v>
      </x:c>
      <x:c r="AD103" s="2" t="str">
        <x:v>Maintenance of Solar dryer depends on bearings, seals, filters, lubricants, sensors, converter parts, cables, fasteners, coatings and replaceable collector or heat-exchanger components; critical spares are selected from failure-mode, lead-time and safety analysis for its installed configuration.</x:v>
      </x:c>
      <x:c r="AE103" s="2" t="str">
        <x:v>The software stack for Solar dryer requires databases, secure communications, version-controlled models, computing, backup and interfaces with field or operational systems.</x:v>
      </x:c>
      <x:c r="AF103" s="2" t="str">
        <x:v>For Solar dryer, software-related energy is electricity for sensing, computing, storage, communication and cooling; it is normally secondary but must be included for data-intensive or continuous services.</x:v>
      </x:c>
      <x:c r="AG103" s="2" t="str">
        <x:v>The non-physical inputs are calibrated data, metadata, algorithms, boundary conditions, emission or hazard factors, manuals and validation records specific to Solar dryer.</x:v>
      </x:c>
      <x:c r="AH103" s="2" t="str">
        <x:v>Software continuity for Solar dryer requires licences where applicable, updates, cybersecurity patches, backups, calibration files, model validation and technical support.</x:v>
      </x:c>
      <x:c r="AI103" s="2" t="str">
        <x:v>Orgware depends on the institutions, laboratories, training providers, regulators, operators and community interfaces needed to govern Solar dryer.</x:v>
      </x:c>
      <x:c r="AJ103" s="2" t="str">
        <x:v>The orgware supporting Solar dryer has mainly indirect energy use from offices, meetings, training and information systems; travel and field supervision may be material at dispersed sites.</x:v>
      </x:c>
      <x:c r="AK103" s="2" t="str">
        <x:v>Its organisational inputs are permits, budgets, trained staff, competence records, contracts, procedures, safeguards, monitoring evidence and stakeholder agreements tailored to Solar dryer.</x:v>
      </x:c>
      <x:c r="AL103" s="2" t="str">
        <x:v>Sustained implementation of Solar dryer requires procurement and service contracts, audit protocols, training material, reporting templates, insurance or guarantees and periodic independent review.</x:v>
      </x:c>
      <x:c r="AM103" s="2" t="str">
        <x:v>Iron ore / steel inputs; Copper; Tin; Bauxite / aluminium</x:v>
      </x:c>
      <x:c r="AN103" s="2" t="str">
        <x:v>Australia; Brazil; China; Chile; Democratic Republic of the Congo; Peru; Indonesia; Myanmar; Guinea</x:v>
      </x:c>
      <x:c r="AO103" s="2" t="str">
        <x:v>China; India; Japan; Chile; Democratic Republic of the Congo; Indonesia; Malaysia; Russia</x:v>
      </x:c>
      <x:c r="AP103" s="2" t="str">
        <x:v>Solar dryer: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3" s="2" t="str">
        <x:v>2024–2025</x:v>
      </x:c>
      <x:c r="AR103" s="2" t="str">
        <x:v>https://pubs.usgs.gov/periodicals/mcs2026/mcs2026.pdf</x:v>
      </x:c>
    </x:row>
    <x:row r="104" ht="240" customHeight="1">
      <x:c r="A104" s="2" t="str">
        <x:v>MIT-0097</x:v>
      </x:c>
      <x:c r="B104" s="2" t="str">
        <x:v>Mitigation</x:v>
      </x:c>
      <x:c r="C104" s="2" t="str">
        <x:v>Renewable energy</x:v>
      </x:c>
      <x:c r="D104" s="2" t="str">
        <x:v>Solar</x:v>
      </x:c>
      <x:c r="E104" s="2" t="str">
        <x:v>Energy tower (downdraft)</x:v>
      </x:c>
      <x:c r="F104" s="2" t="str">
        <x:v>Energy tower (downdraft) is a mitigation technology in the Renewable energy sector and the Solar technology group. It is defined as a combined hardware–software–orgware system that converts a renewable solar, wind, water, ocean, geothermal or chemical resource into electricity, heat or mechanical work while controlling variability and conversion losses. Energy tower (downdraft)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4" s="2" t="str">
        <x:v>Mixed: adaptable design, site-specific implementation</x:v>
      </x:c>
      <x:c r="H104" s="2" t="str">
        <x:v>Energy tower (downdraft) is adaptable in capacity and configuration but site-specific in final engineering. Its principle remains the same, but resource quality, climate, scale, interfaces and safety constraints must be recalculated for each deployment.</x:v>
      </x:c>
      <x:c r="I104" s="2" t="str">
        <x:v>Primarily hard, with a soft component</x:v>
      </x:c>
      <x:c r="J104" s="2" t="str">
        <x:v>Energy tower (downdraft)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4" s="2" t="str">
        <x:v>Equipment and operation</x:v>
      </x:c>
      <x:c r="L104" s="2" t="str">
        <x:v>Energy tower (downdraft) is embodied mainly as an equipment-and-operation system. The deliverable is accepted only when measurable service, quality, safety and climate-performance criteria are met under real conditions.</x:v>
      </x:c>
      <x:c r="M104" s="2" t="str">
        <x:v>Yes, subject to life-cycle safeguards</x:v>
      </x:c>
      <x:c r="N104" s="2" t="str">
        <x:v>Energy tower (downdraft)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4" s="2" t="str">
        <x:v>Energy tower (downdraft): resource collector or prime mover, generator or heat exchanger, support structure, power conversion, protection, metering and connection equipment.</x:v>
      </x:c>
      <x:c r="P104" s="2" t="str">
        <x:v>Energy tower (downdraft): resource assessment, energy-yield modelling, forecasting, maximum-power or process control, dispatch, condition monitoring and maintenance planning.</x:v>
      </x:c>
      <x:c r="Q104" s="2" t="str">
        <x:v>Energy tower (downdraft): resource and land or sea rights, environmental licensing, grid code, safety, community participation, revenue contract and decommissioning plan.</x:v>
      </x:c>
      <x:c r="R104" s="2" t="str">
        <x:v>Energy tower (downdraft): foundations, access, electrical or thermal network, substation, control and communications, drainage and construction or marine logistics.</x:v>
      </x:c>
      <x:c r="S104" s="2" t="str">
        <x:v>Energy tower (downdraft): the renewable resource is the primary input; auxiliary electricity, start-up fuel, pumping or thermal energy may be required depending on the design.</x:v>
      </x:c>
      <x:c r="T104" s="2" t="str">
        <x:v>Energy tower (downdraft): steel, concrete, copper, aluminium, polymers, glass and technology-specific materials such as silicon, magnets, coatings, catalysts or working fluids.</x:v>
      </x:c>
      <x:c r="U104" s="2" t="str">
        <x:v>Energy tower (downdraft): bearings, seals, filters, lubricants, sensors, converter parts, cables, fasteners, coatings and replaceable collector or heat-exchanger components.</x:v>
      </x:c>
      <x:c r="V104" s="2" t="str">
        <x:v>https://www.ctc-n.org/sites/default/files/resources/ctcn_taxonomy_0.pdf</x:v>
      </x:c>
      <x:c r="W104" s="2" t="str">
        <x:v>https://institutoagricoladepueblobello.edu.co/colegiapp/archivostemas/GUIA%209.%5B25%5D.pdf</x:v>
      </x:c>
      <x:c r="X104" s="2" t="str">
        <x:v>https://iiasa.ac.at/what-is-technology</x:v>
      </x:c>
      <x:c r="Y104" s="2" t="str">
        <x:v>https://www.ipcc.ch/report/ar6/wg3/chapter/chapter-6/; https://www.iea.org/data-and-statistics/data-tools/etp-clean-energy-technology-guide</x:v>
      </x:c>
      <x:c r="Z104" s="2" t="str">
        <x:v>Technology-specific analytical synthesis. The CTCN hierarchy is retained; classifications and component dependencies require validation against the selected design, site and supplier documentation before investment or policy use.</x:v>
      </x:c>
      <x:c r="AA104" s="2" t="str">
        <x:v>Physical deployment of Energy tower (downdraft) requires foundations, access, electrical or thermal network, substation, control and communications, drainage and construction or marine logistics; interfaces, foundations, access and environmental protection are sized to the specific resource and design load.</x:v>
      </x:c>
      <x:c r="AB104" s="2" t="str">
        <x:v>For Energy tower (downdraft),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4" s="2" t="str">
        <x:v>Construction and operation use steel, concrete, copper, aluminium, polymers, glass and technology-specific materials such as silicon, magnets, coatings, catalysts or working fluids. For Energy tower (downdraft), specifications must include durability, compatibility, recycled content and recoverability.</x:v>
      </x:c>
      <x:c r="AD104" s="2" t="str">
        <x:v>Maintenance of Energy tower (downdraft) depends on bearings, seals, filters, lubricants, sensors, converter parts, cables, fasteners, coatings and replaceable collector or heat-exchanger components; critical spares are selected from failure-mode, lead-time and safety analysis for its installed configuration.</x:v>
      </x:c>
      <x:c r="AE104" s="2" t="str">
        <x:v>The software stack for Energy tower (downdraft) requires databases, secure communications, version-controlled models, computing, backup and interfaces with field or operational systems.</x:v>
      </x:c>
      <x:c r="AF104" s="2" t="str">
        <x:v>For Energy tower (downdraft), software-related energy is electricity for sensing, computing, storage, communication and cooling; it is normally secondary but must be included for data-intensive or continuous services.</x:v>
      </x:c>
      <x:c r="AG104" s="2" t="str">
        <x:v>The non-physical inputs are calibrated data, metadata, algorithms, boundary conditions, emission or hazard factors, manuals and validation records specific to Energy tower (downdraft).</x:v>
      </x:c>
      <x:c r="AH104" s="2" t="str">
        <x:v>Software continuity for Energy tower (downdraft) requires licences where applicable, updates, cybersecurity patches, backups, calibration files, model validation and technical support.</x:v>
      </x:c>
      <x:c r="AI104" s="2" t="str">
        <x:v>Orgware depends on the institutions, laboratories, training providers, regulators, operators and community interfaces needed to govern Energy tower (downdraft).</x:v>
      </x:c>
      <x:c r="AJ104" s="2" t="str">
        <x:v>The orgware supporting Energy tower (downdraft) has mainly indirect energy use from offices, meetings, training and information systems; travel and field supervision may be material at dispersed sites.</x:v>
      </x:c>
      <x:c r="AK104" s="2" t="str">
        <x:v>Its organisational inputs are permits, budgets, trained staff, competence records, contracts, procedures, safeguards, monitoring evidence and stakeholder agreements tailored to Energy tower (downdraft).</x:v>
      </x:c>
      <x:c r="AL104" s="2" t="str">
        <x:v>Sustained implementation of Energy tower (downdraft) requires procurement and service contracts, audit protocols, training material, reporting templates, insurance or guarantees and periodic independent review.</x:v>
      </x:c>
      <x:c r="AM104" s="2" t="str">
        <x:v>Iron ore / steel inputs; Copper; Tin; Bauxite / aluminium</x:v>
      </x:c>
      <x:c r="AN104" s="2" t="str">
        <x:v>Australia; Brazil; China; Chile; Democratic Republic of the Congo; Peru; Indonesia; Myanmar; Guinea</x:v>
      </x:c>
      <x:c r="AO104" s="2" t="str">
        <x:v>China; India; Japan; Chile; Democratic Republic of the Congo; Indonesia; Malaysia; Russia</x:v>
      </x:c>
      <x:c r="AP104" s="2" t="str">
        <x:v>Energy tower (downdraft):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4" s="2" t="str">
        <x:v>2024–2025</x:v>
      </x:c>
      <x:c r="AR104" s="2" t="str">
        <x:v>https://pubs.usgs.gov/periodicals/mcs2026/mcs2026.pdf</x:v>
      </x:c>
    </x:row>
    <x:row r="105" ht="240" customHeight="1">
      <x:c r="A105" s="2" t="str">
        <x:v>MIT-0098</x:v>
      </x:c>
      <x:c r="B105" s="2" t="str">
        <x:v>Mitigation</x:v>
      </x:c>
      <x:c r="C105" s="2" t="str">
        <x:v>Renewable energy</x:v>
      </x:c>
      <x:c r="D105" s="2" t="str">
        <x:v>Solar</x:v>
      </x:c>
      <x:c r="E105" s="2" t="str">
        <x:v>Solar water heater</x:v>
      </x:c>
      <x:c r="F105" s="2" t="str">
        <x:v>Solar water heater is a mitigation technology in the Renewable energy sector and the Solar technology group. It is defined as a combined hardware–software–orgware system that reduces thermal, electrical or water demand through passive design, efficient equipment, controls and low-impact materials. Solar water heater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105" s="2" t="str">
        <x:v>Mixed: adaptable design, site-specific implementation</x:v>
      </x:c>
      <x:c r="H105" s="2" t="str">
        <x:v>Solar water heater is adaptable in capacity and configuration but site-specific in final engineering. Its principle remains the same, but resource quality, climate, scale, interfaces and safety constraints must be recalculated for each deployment.</x:v>
      </x:c>
      <x:c r="I105" s="2" t="str">
        <x:v>Primarily hard, with a soft component</x:v>
      </x:c>
      <x:c r="J105" s="2" t="str">
        <x:v>Solar water heater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105" s="2" t="str">
        <x:v>Equipment and operation</x:v>
      </x:c>
      <x:c r="L105" s="2" t="str">
        <x:v>Solar water heater is embodied mainly as an equipment-and-operation system. The deliverable is accepted only when measurable service, quality, safety and climate-performance criteria are met under real conditions.</x:v>
      </x:c>
      <x:c r="M105" s="2" t="str">
        <x:v>Yes, subject to life-cycle safeguards</x:v>
      </x:c>
      <x:c r="N105" s="2" t="str">
        <x:v>Solar water heater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105" s="2" t="str">
        <x:v>Solar water heater: envelope assemblies, efficient equipment, sensors, actuators, meters and distribution systems.</x:v>
      </x:c>
      <x:c r="P105" s="2" t="str">
        <x:v>Solar water heater: energy simulation, load calculation, control sequences, commissioning data and building management.</x:v>
      </x:c>
      <x:c r="Q105" s="2" t="str">
        <x:v>Solar water heater: building codes, performance standards, procurement, commissioning, maintenance plans and occupant guidance.</x:v>
      </x:c>
      <x:c r="R105" s="2" t="str">
        <x:v>Solar water heater: building fabric, plant rooms, electrical and water networks, access for maintenance and metering.</x:v>
      </x:c>
      <x:c r="S105" s="2" t="str">
        <x:v>Solar water heater: electricity and thermal energy; peak demand, part-load efficiency and controls determine actual savings.</x:v>
      </x:c>
      <x:c r="T105" s="2" t="str">
        <x:v>Solar water heater: insulation, glass, concrete, steel, timber, aluminium, copper, refrigerants and electronic components as applicable.</x:v>
      </x:c>
      <x:c r="U105" s="2" t="str">
        <x:v>Solar water heater: filters, belts, seals, lamps or drivers, sensors, actuators, valves, control modules and envelope repair materials.</x:v>
      </x:c>
      <x:c r="V105" s="2" t="str">
        <x:v>https://www.ctc-n.org/sites/default/files/resources/ctcn_taxonomy_0.pdf</x:v>
      </x:c>
      <x:c r="W105" s="2" t="str">
        <x:v>https://institutoagricoladepueblobello.edu.co/colegiapp/archivostemas/GUIA%209.%5B25%5D.pdf</x:v>
      </x:c>
      <x:c r="X105" s="2" t="str">
        <x:v>https://iiasa.ac.at/what-is-technology</x:v>
      </x:c>
      <x:c r="Y105" s="2" t="str">
        <x:v>https://www.ipcc.ch/report/ar6/wg3/chapter/chapter-6/; https://www.ipcc.ch/report/ar6/wg3/chapter/chapter-9/</x:v>
      </x:c>
      <x:c r="Z105" s="2" t="str">
        <x:v>Technology-specific analytical synthesis. The CTCN hierarchy is retained; classifications and component dependencies require validation against the selected design, site and supplier documentation before investment or policy use.</x:v>
      </x:c>
      <x:c r="AA105" s="2" t="str">
        <x:v>Physical deployment of Solar water heater requires building fabric, plant rooms, electrical and water networks, access for maintenance and metering; interfaces, foundations, access and environmental protection are sized to the specific resource and design load.</x:v>
      </x:c>
      <x:c r="AB105" s="2" t="str">
        <x:v>For Solar water heater, the hardware energy balance comprises electricity and thermal energy; peak demand, part-load efficiency and controls determine actual savings; metering must separate useful output, conversion losses and auxiliaries for the selected design.</x:v>
      </x:c>
      <x:c r="AC105" s="2" t="str">
        <x:v>Construction and operation use insulation, glass, concrete, steel, timber, aluminium, copper, refrigerants and electronic components as applicable. For Solar water heater, specifications must include durability, compatibility, recycled content and recoverability.</x:v>
      </x:c>
      <x:c r="AD105" s="2" t="str">
        <x:v>Maintenance of Solar water heater depends on filters, belts, seals, lamps or drivers, sensors, actuators, valves, control modules and envelope repair materials; critical spares are selected from failure-mode, lead-time and safety analysis for its installed configuration.</x:v>
      </x:c>
      <x:c r="AE105" s="2" t="str">
        <x:v>The software stack for Solar water heater requires databases, secure communications, version-controlled models, computing, backup and interfaces with field or operational systems.</x:v>
      </x:c>
      <x:c r="AF105" s="2" t="str">
        <x:v>For Solar water heater, software-related energy is electricity for sensing, computing, storage, communication and cooling; it is normally secondary but must be included for data-intensive or continuous services.</x:v>
      </x:c>
      <x:c r="AG105" s="2" t="str">
        <x:v>The non-physical inputs are calibrated data, metadata, algorithms, boundary conditions, emission or hazard factors, manuals and validation records specific to Solar water heater.</x:v>
      </x:c>
      <x:c r="AH105" s="2" t="str">
        <x:v>Software continuity for Solar water heater requires licences where applicable, updates, cybersecurity patches, backups, calibration files, model validation and technical support.</x:v>
      </x:c>
      <x:c r="AI105" s="2" t="str">
        <x:v>Orgware depends on the institutions, laboratories, training providers, regulators, operators and community interfaces needed to govern Solar water heater.</x:v>
      </x:c>
      <x:c r="AJ105" s="2" t="str">
        <x:v>The orgware supporting Solar water heater has mainly indirect energy use from offices, meetings, training and information systems; travel and field supervision may be material at dispersed sites.</x:v>
      </x:c>
      <x:c r="AK105" s="2" t="str">
        <x:v>Its organisational inputs are permits, budgets, trained staff, competence records, contracts, procedures, safeguards, monitoring evidence and stakeholder agreements tailored to Solar water heater.</x:v>
      </x:c>
      <x:c r="AL105" s="2" t="str">
        <x:v>Sustained implementation of Solar water heater requires procurement and service contracts, audit protocols, training material, reporting templates, insurance or guarantees and periodic independent review.</x:v>
      </x:c>
      <x:c r="AM105" s="2" t="str">
        <x:v>Iron ore / steel inputs; Copper; Tin; Bauxite / aluminium</x:v>
      </x:c>
      <x:c r="AN105" s="2" t="str">
        <x:v>Australia; Brazil; China; Chile; Democratic Republic of the Congo; Peru; Indonesia; Myanmar; Guinea</x:v>
      </x:c>
      <x:c r="AO105" s="2" t="str">
        <x:v>China; India; Japan; Chile; Democratic Republic of the Congo; Indonesia; Malaysia; Russia</x:v>
      </x:c>
      <x:c r="AP105" s="2" t="str">
        <x:v>Solar water heater: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5" s="2" t="str">
        <x:v>2024–2025</x:v>
      </x:c>
      <x:c r="AR105" s="2" t="str">
        <x:v>https://pubs.usgs.gov/periodicals/mcs2026/mcs2026.pdf</x:v>
      </x:c>
    </x:row>
    <x:row r="106" ht="240" customHeight="1">
      <x:c r="A106" s="2" t="str">
        <x:v>MIT-0099</x:v>
      </x:c>
      <x:c r="B106" s="2" t="str">
        <x:v>Mitigation</x:v>
      </x:c>
      <x:c r="C106" s="2" t="str">
        <x:v>Renewable energy</x:v>
      </x:c>
      <x:c r="D106" s="2" t="str">
        <x:v>Renewable energy infrastructure</x:v>
      </x:c>
      <x:c r="E106" s="2" t="str">
        <x:v>Hydrogen technologies</x:v>
      </x:c>
      <x:c r="F106" s="2" t="str">
        <x:v>Hydrogen technologies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Hydrogen technologies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6" s="2" t="str">
        <x:v>Mixed: adaptable design, site-specific implementation</x:v>
      </x:c>
      <x:c r="H106" s="2" t="str">
        <x:v>Hydrogen technologies is adaptable in capacity and configuration but site-specific in final engineering. Its principle remains the same, but resource quality, climate, scale, interfaces and safety constraints must be recalculated for each deployment.</x:v>
      </x:c>
      <x:c r="I106" s="2" t="str">
        <x:v>Primarily hard, with a soft component</x:v>
      </x:c>
      <x:c r="J106" s="2" t="str">
        <x:v>Hydrogen technologies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6" s="2" t="str">
        <x:v>Equipment and operation</x:v>
      </x:c>
      <x:c r="L106" s="2" t="str">
        <x:v>Hydrogen technologies is embodied mainly as an equipment-and-operation system. The deliverable is accepted only when measurable service, quality, safety and climate-performance criteria are met under real conditions.</x:v>
      </x:c>
      <x:c r="M106" s="2" t="str">
        <x:v>Yes, subject to life-cycle safeguards</x:v>
      </x:c>
      <x:c r="N106" s="2" t="str">
        <x:v>Hydrogen technologies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6" s="2" t="str">
        <x:v>Hydrogen technologies: resource collector or prime mover, generator or heat exchanger, support structure, power conversion, protection, metering and connection equipment.</x:v>
      </x:c>
      <x:c r="P106" s="2" t="str">
        <x:v>Hydrogen technologies: resource assessment, energy-yield modelling, forecasting, maximum-power or process control, dispatch, condition monitoring and maintenance planning.</x:v>
      </x:c>
      <x:c r="Q106" s="2" t="str">
        <x:v>Hydrogen technologies: resource and land or sea rights, environmental licensing, grid code, safety, community participation, revenue contract and decommissioning plan.</x:v>
      </x:c>
      <x:c r="R106" s="2" t="str">
        <x:v>Hydrogen technologies: foundations, access, electrical or thermal network, substation, control and communications, drainage and construction or marine logistics.</x:v>
      </x:c>
      <x:c r="S106" s="2" t="str">
        <x:v>Hydrogen technologies: the renewable resource is the primary input; auxiliary electricity, start-up fuel, pumping or thermal energy may be required depending on the design.</x:v>
      </x:c>
      <x:c r="T106" s="2" t="str">
        <x:v>Hydrogen technologies: steel, concrete, copper, aluminium, polymers, glass and technology-specific materials such as silicon, magnets, coatings, catalysts or working fluids.</x:v>
      </x:c>
      <x:c r="U106" s="2" t="str">
        <x:v>Hydrogen technologies: bearings, seals, filters, lubricants, sensors, converter parts, cables, fasteners, coatings and replaceable collector or heat-exchanger components.</x:v>
      </x:c>
      <x:c r="V106" s="2" t="str">
        <x:v>https://www.ctc-n.org/sites/default/files/resources/ctcn_taxonomy_0.pdf</x:v>
      </x:c>
      <x:c r="W106" s="2" t="str">
        <x:v>https://institutoagricoladepueblobello.edu.co/colegiapp/archivostemas/GUIA%209.%5B25%5D.pdf</x:v>
      </x:c>
      <x:c r="X106" s="2" t="str">
        <x:v>https://iiasa.ac.at/what-is-technology</x:v>
      </x:c>
      <x:c r="Y106" s="2" t="str">
        <x:v>https://www.ipcc.ch/report/ar6/wg3/chapter/chapter-6/; https://www.iea.org/data-and-statistics/data-tools/etp-clean-energy-technology-guide</x:v>
      </x:c>
      <x:c r="Z106" s="2" t="str">
        <x:v>Technology-specific analytical synthesis. The CTCN hierarchy is retained; classifications and component dependencies require validation against the selected design, site and supplier documentation before investment or policy use.</x:v>
      </x:c>
      <x:c r="AA106" s="2" t="str">
        <x:v>Physical deployment of Hydrogen technologies requires foundations, access, electrical or thermal network, substation, control and communications, drainage and construction or marine logistics; interfaces, foundations, access and environmental protection are sized to the specific resource and design load.</x:v>
      </x:c>
      <x:c r="AB106" s="2" t="str">
        <x:v>For Hydrogen technologies,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6" s="2" t="str">
        <x:v>Construction and operation use steel, concrete, copper, aluminium, polymers, glass and technology-specific materials such as silicon, magnets, coatings, catalysts or working fluids. For Hydrogen technologies, specifications must include durability, compatibility, recycled content and recoverability.</x:v>
      </x:c>
      <x:c r="AD106" s="2" t="str">
        <x:v>Maintenance of Hydrogen technologies depends on bearings, seals, filters, lubricants, sensors, converter parts, cables, fasteners, coatings and replaceable collector or heat-exchanger components; critical spares are selected from failure-mode, lead-time and safety analysis for its installed configuration.</x:v>
      </x:c>
      <x:c r="AE106" s="2" t="str">
        <x:v>The software stack for Hydrogen technologies requires databases, secure communications, version-controlled models, computing, backup and interfaces with field or operational systems.</x:v>
      </x:c>
      <x:c r="AF106" s="2" t="str">
        <x:v>For Hydrogen technologies, software-related energy is electricity for sensing, computing, storage, communication and cooling; it is normally secondary but must be included for data-intensive or continuous services.</x:v>
      </x:c>
      <x:c r="AG106" s="2" t="str">
        <x:v>The non-physical inputs are calibrated data, metadata, algorithms, boundary conditions, emission or hazard factors, manuals and validation records specific to Hydrogen technologies.</x:v>
      </x:c>
      <x:c r="AH106" s="2" t="str">
        <x:v>Software continuity for Hydrogen technologies requires licences where applicable, updates, cybersecurity patches, backups, calibration files, model validation and technical support.</x:v>
      </x:c>
      <x:c r="AI106" s="2" t="str">
        <x:v>Orgware depends on the institutions, laboratories, training providers, regulators, operators and community interfaces needed to govern Hydrogen technologies.</x:v>
      </x:c>
      <x:c r="AJ106" s="2" t="str">
        <x:v>The orgware supporting Hydrogen technologies has mainly indirect energy use from offices, meetings, training and information systems; travel and field supervision may be material at dispersed sites.</x:v>
      </x:c>
      <x:c r="AK106" s="2" t="str">
        <x:v>Its organisational inputs are permits, budgets, trained staff, competence records, contracts, procedures, safeguards, monitoring evidence and stakeholder agreements tailored to Hydrogen technologies.</x:v>
      </x:c>
      <x:c r="AL106" s="2" t="str">
        <x:v>Sustained implementation of Hydrogen technologies requires procurement and service contracts, audit protocols, training material, reporting templates, insurance or guarantees and periodic independent review.</x:v>
      </x:c>
      <x:c r="AM106" s="2" t="str">
        <x:v>Iron ore / steel inputs; Copper; Tin; Limestone / cement raw materials</x:v>
      </x:c>
      <x:c r="AN106" s="2" t="str">
        <x:v>Australia; Brazil; China; Chile; Democratic Republic of the Congo; Peru; Indonesia; Myanmar; India; Vietnam</x:v>
      </x:c>
      <x:c r="AO106" s="2" t="str">
        <x:v>China; India; Japan; Chile; Democratic Republic of the Congo; Indonesia; Malaysia; Vietnam</x:v>
      </x:c>
      <x:c r="AP106" s="2" t="str">
        <x:v>Hydrogen technologies: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6" s="2" t="str">
        <x:v>2024–2025</x:v>
      </x:c>
      <x:c r="AR106" s="2" t="str">
        <x:v>https://pubs.usgs.gov/periodicals/mcs2026/mcs2026.pdf</x:v>
      </x:c>
    </x:row>
    <x:row r="107" ht="240" customHeight="1">
      <x:c r="A107" s="2" t="str">
        <x:v>MIT-0100</x:v>
      </x:c>
      <x:c r="B107" s="2" t="str">
        <x:v>Mitigation</x:v>
      </x:c>
      <x:c r="C107" s="2" t="str">
        <x:v>Renewable energy</x:v>
      </x:c>
      <x:c r="D107" s="2" t="str">
        <x:v>Renewable energy infrastructure</x:v>
      </x:c>
      <x:c r="E107" s="2" t="str">
        <x:v>Off-grid systems</x:v>
      </x:c>
      <x:c r="F107" s="2" t="str">
        <x:v>Off-grid systems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Off-grid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7" s="2" t="str">
        <x:v>Mixed: adaptable design, site-specific implementation</x:v>
      </x:c>
      <x:c r="H107" s="2" t="str">
        <x:v>Off-grid systems is adaptable in capacity and configuration but site-specific in final engineering. Its principle remains the same, but resource quality, climate, scale, interfaces and safety constraints must be recalculated for each deployment.</x:v>
      </x:c>
      <x:c r="I107" s="2" t="str">
        <x:v>Primarily hard, with a soft component</x:v>
      </x:c>
      <x:c r="J107" s="2" t="str">
        <x:v>Off-grid systems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7" s="2" t="str">
        <x:v>Equipment and operation</x:v>
      </x:c>
      <x:c r="L107" s="2" t="str">
        <x:v>Off-grid systems is embodied mainly as an equipment-and-operation system. The deliverable is accepted only when measurable service, quality, safety and climate-performance criteria are met under real conditions.</x:v>
      </x:c>
      <x:c r="M107" s="2" t="str">
        <x:v>Yes, subject to life-cycle safeguards</x:v>
      </x:c>
      <x:c r="N107" s="2" t="str">
        <x:v>Off-grid systems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7" s="2" t="str">
        <x:v>Off-grid systems: resource collector or prime mover, generator or heat exchanger, support structure, power conversion, protection, metering and connection equipment.</x:v>
      </x:c>
      <x:c r="P107" s="2" t="str">
        <x:v>Off-grid systems: resource assessment, energy-yield modelling, forecasting, maximum-power or process control, dispatch, condition monitoring and maintenance planning.</x:v>
      </x:c>
      <x:c r="Q107" s="2" t="str">
        <x:v>Off-grid systems: resource and land or sea rights, environmental licensing, grid code, safety, community participation, revenue contract and decommissioning plan.</x:v>
      </x:c>
      <x:c r="R107" s="2" t="str">
        <x:v>Off-grid systems: foundations, access, electrical or thermal network, substation, control and communications, drainage and construction or marine logistics.</x:v>
      </x:c>
      <x:c r="S107" s="2" t="str">
        <x:v>Off-grid systems: the renewable resource is the primary input; auxiliary electricity, start-up fuel, pumping or thermal energy may be required depending on the design.</x:v>
      </x:c>
      <x:c r="T107" s="2" t="str">
        <x:v>Off-grid systems: steel, concrete, copper, aluminium, polymers, glass and technology-specific materials such as silicon, magnets, coatings, catalysts or working fluids.</x:v>
      </x:c>
      <x:c r="U107" s="2" t="str">
        <x:v>Off-grid systems: bearings, seals, filters, lubricants, sensors, converter parts, cables, fasteners, coatings and replaceable collector or heat-exchanger components.</x:v>
      </x:c>
      <x:c r="V107" s="2" t="str">
        <x:v>https://www.ctc-n.org/sites/default/files/resources/ctcn_taxonomy_0.pdf</x:v>
      </x:c>
      <x:c r="W107" s="2" t="str">
        <x:v>https://institutoagricoladepueblobello.edu.co/colegiapp/archivostemas/GUIA%209.%5B25%5D.pdf</x:v>
      </x:c>
      <x:c r="X107" s="2" t="str">
        <x:v>https://iiasa.ac.at/what-is-technology</x:v>
      </x:c>
      <x:c r="Y107" s="2" t="str">
        <x:v>https://www.ipcc.ch/report/ar6/wg3/chapter/chapter-6/; https://www.iea.org/data-and-statistics/data-tools/etp-clean-energy-technology-guide</x:v>
      </x:c>
      <x:c r="Z107" s="2" t="str">
        <x:v>Technology-specific analytical synthesis. The CTCN hierarchy is retained; classifications and component dependencies require validation against the selected design, site and supplier documentation before investment or policy use.</x:v>
      </x:c>
      <x:c r="AA107" s="2" t="str">
        <x:v>Physical deployment of Off-grid systems requires foundations, access, electrical or thermal network, substation, control and communications, drainage and construction or marine logistics; interfaces, foundations, access and environmental protection are sized to the specific resource and design load.</x:v>
      </x:c>
      <x:c r="AB107" s="2" t="str">
        <x:v>For Off-grid systems,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7" s="2" t="str">
        <x:v>Construction and operation use steel, concrete, copper, aluminium, polymers, glass and technology-specific materials such as silicon, magnets, coatings, catalysts or working fluids. For Off-grid systems, specifications must include durability, compatibility, recycled content and recoverability.</x:v>
      </x:c>
      <x:c r="AD107" s="2" t="str">
        <x:v>Maintenance of Off-grid systems depends on bearings, seals, filters, lubricants, sensors, converter parts, cables, fasteners, coatings and replaceable collector or heat-exchanger components; critical spares are selected from failure-mode, lead-time and safety analysis for its installed configuration.</x:v>
      </x:c>
      <x:c r="AE107" s="2" t="str">
        <x:v>The software stack for Off-grid systems requires databases, secure communications, version-controlled models, computing, backup and interfaces with field or operational systems.</x:v>
      </x:c>
      <x:c r="AF107" s="2" t="str">
        <x:v>For Off-grid systems, software-related energy is electricity for sensing, computing, storage, communication and cooling; it is normally secondary but must be included for data-intensive or continuous services.</x:v>
      </x:c>
      <x:c r="AG107" s="2" t="str">
        <x:v>The non-physical inputs are calibrated data, metadata, algorithms, boundary conditions, emission or hazard factors, manuals and validation records specific to Off-grid systems.</x:v>
      </x:c>
      <x:c r="AH107" s="2" t="str">
        <x:v>Software continuity for Off-grid systems requires licences where applicable, updates, cybersecurity patches, backups, calibration files, model validation and technical support.</x:v>
      </x:c>
      <x:c r="AI107" s="2" t="str">
        <x:v>Orgware depends on the institutions, laboratories, training providers, regulators, operators and community interfaces needed to govern Off-grid systems.</x:v>
      </x:c>
      <x:c r="AJ107" s="2" t="str">
        <x:v>The orgware supporting Off-grid systems has mainly indirect energy use from offices, meetings, training and information systems; travel and field supervision may be material at dispersed sites.</x:v>
      </x:c>
      <x:c r="AK107" s="2" t="str">
        <x:v>Its organisational inputs are permits, budgets, trained staff, competence records, contracts, procedures, safeguards, monitoring evidence and stakeholder agreements tailored to Off-grid systems.</x:v>
      </x:c>
      <x:c r="AL107" s="2" t="str">
        <x:v>Sustained implementation of Off-grid systems requires procurement and service contracts, audit protocols, training material, reporting templates, insurance or guarantees and periodic independent review.</x:v>
      </x:c>
      <x:c r="AM107" s="2" t="str">
        <x:v>Iron ore / steel inputs; Copper; Tin; Lithium; Nickel; Cobalt; Natural graphite; Manganese; Limestone / cement raw materials</x:v>
      </x:c>
      <x:c r="AN107" s="2" t="str">
        <x:v>Australia; Brazil; China; Chile; Democratic Republic of the Congo; Peru; Indonesia; Myanmar; Philippines; Russia; Madagascar; Mozambique; South Africa; Gabon; Ghana; India; Vietnam</x:v>
      </x:c>
      <x:c r="AO107" s="2" t="str">
        <x:v>China; India; Japan; Chile; Democratic Republic of the Congo; Indonesia; Malaysia; Argentina; Finland; Canada; South Korea; South Africa; Australia; Vietnam</x:v>
      </x:c>
      <x:c r="AP107" s="2" t="str">
        <x:v>Off-grid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7" s="2" t="str">
        <x:v>2024–2025</x:v>
      </x:c>
      <x:c r="AR107" s="2" t="str">
        <x:v>https://pubs.usgs.gov/periodicals/mcs2026/mcs2026.pdf; https://www.iea.org/reports/global-critical-minerals-outlook-2025</x:v>
      </x:c>
    </x:row>
    <x:row r="108" ht="240" customHeight="1">
      <x:c r="A108" s="2" t="str">
        <x:v>MIT-0101</x:v>
      </x:c>
      <x:c r="B108" s="2" t="str">
        <x:v>Mitigation</x:v>
      </x:c>
      <x:c r="C108" s="2" t="str">
        <x:v>Renewable energy</x:v>
      </x:c>
      <x:c r="D108" s="2" t="str">
        <x:v>Renewable energy infrastructure</x:v>
      </x:c>
      <x:c r="E108" s="2" t="str">
        <x:v>Fuel cells</x:v>
      </x:c>
      <x:c r="F108" s="2" t="str">
        <x:v>Fuel cells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Fuel cells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8" s="2" t="str">
        <x:v>Mixed: adaptable design, site-specific implementation</x:v>
      </x:c>
      <x:c r="H108" s="2" t="str">
        <x:v>Fuel cells is adaptable in capacity and configuration but site-specific in final engineering. Its principle remains the same, but resource quality, climate, scale, interfaces and safety constraints must be recalculated for each deployment.</x:v>
      </x:c>
      <x:c r="I108" s="2" t="str">
        <x:v>Primarily hard, with a soft component</x:v>
      </x:c>
      <x:c r="J108" s="2" t="str">
        <x:v>Fuel cells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8" s="2" t="str">
        <x:v>Equipment and operation</x:v>
      </x:c>
      <x:c r="L108" s="2" t="str">
        <x:v>Fuel cells is embodied mainly as an equipment-and-operation system. The deliverable is accepted only when measurable service, quality, safety and climate-performance criteria are met under real conditions.</x:v>
      </x:c>
      <x:c r="M108" s="2" t="str">
        <x:v>Yes, subject to life-cycle safeguards</x:v>
      </x:c>
      <x:c r="N108" s="2" t="str">
        <x:v>Fuel cells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8" s="2" t="str">
        <x:v>Fuel cells: resource collector or prime mover, generator or heat exchanger, support structure, power conversion, protection, metering and connection equipment.</x:v>
      </x:c>
      <x:c r="P108" s="2" t="str">
        <x:v>Fuel cells: resource assessment, energy-yield modelling, forecasting, maximum-power or process control, dispatch, condition monitoring and maintenance planning.</x:v>
      </x:c>
      <x:c r="Q108" s="2" t="str">
        <x:v>Fuel cells: resource and land or sea rights, environmental licensing, grid code, safety, community participation, revenue contract and decommissioning plan.</x:v>
      </x:c>
      <x:c r="R108" s="2" t="str">
        <x:v>Fuel cells: foundations, access, electrical or thermal network, substation, control and communications, drainage and construction or marine logistics.</x:v>
      </x:c>
      <x:c r="S108" s="2" t="str">
        <x:v>Fuel cells: the renewable resource is the primary input; auxiliary electricity, start-up fuel, pumping or thermal energy may be required depending on the design.</x:v>
      </x:c>
      <x:c r="T108" s="2" t="str">
        <x:v>Fuel cells: steel, concrete, copper, aluminium, polymers, glass and technology-specific materials such as silicon, magnets, coatings, catalysts or working fluids.</x:v>
      </x:c>
      <x:c r="U108" s="2" t="str">
        <x:v>Fuel cells: bearings, seals, filters, lubricants, sensors, converter parts, cables, fasteners, coatings and replaceable collector or heat-exchanger components.</x:v>
      </x:c>
      <x:c r="V108" s="2" t="str">
        <x:v>https://www.ctc-n.org/sites/default/files/resources/ctcn_taxonomy_0.pdf</x:v>
      </x:c>
      <x:c r="W108" s="2" t="str">
        <x:v>https://institutoagricoladepueblobello.edu.co/colegiapp/archivostemas/GUIA%209.%5B25%5D.pdf</x:v>
      </x:c>
      <x:c r="X108" s="2" t="str">
        <x:v>https://iiasa.ac.at/what-is-technology</x:v>
      </x:c>
      <x:c r="Y108" s="2" t="str">
        <x:v>https://www.ipcc.ch/report/ar6/wg3/chapter/chapter-6/; https://www.iea.org/data-and-statistics/data-tools/etp-clean-energy-technology-guide</x:v>
      </x:c>
      <x:c r="Z108" s="2" t="str">
        <x:v>Technology-specific analytical synthesis. The CTCN hierarchy is retained; classifications and component dependencies require validation against the selected design, site and supplier documentation before investment or policy use.</x:v>
      </x:c>
      <x:c r="AA108" s="2" t="str">
        <x:v>Physical deployment of Fuel cells requires foundations, access, electrical or thermal network, substation, control and communications, drainage and construction or marine logistics; interfaces, foundations, access and environmental protection are sized to the specific resource and design load.</x:v>
      </x:c>
      <x:c r="AB108" s="2" t="str">
        <x:v>For Fuel cells,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8" s="2" t="str">
        <x:v>Construction and operation use steel, concrete, copper, aluminium, polymers, glass and technology-specific materials such as silicon, magnets, coatings, catalysts or working fluids. For Fuel cells, specifications must include durability, compatibility, recycled content and recoverability.</x:v>
      </x:c>
      <x:c r="AD108" s="2" t="str">
        <x:v>Maintenance of Fuel cells depends on bearings, seals, filters, lubricants, sensors, converter parts, cables, fasteners, coatings and replaceable collector or heat-exchanger components; critical spares are selected from failure-mode, lead-time and safety analysis for its installed configuration.</x:v>
      </x:c>
      <x:c r="AE108" s="2" t="str">
        <x:v>The software stack for Fuel cells requires databases, secure communications, version-controlled models, computing, backup and interfaces with field or operational systems.</x:v>
      </x:c>
      <x:c r="AF108" s="2" t="str">
        <x:v>For Fuel cells, software-related energy is electricity for sensing, computing, storage, communication and cooling; it is normally secondary but must be included for data-intensive or continuous services.</x:v>
      </x:c>
      <x:c r="AG108" s="2" t="str">
        <x:v>The non-physical inputs are calibrated data, metadata, algorithms, boundary conditions, emission or hazard factors, manuals and validation records specific to Fuel cells.</x:v>
      </x:c>
      <x:c r="AH108" s="2" t="str">
        <x:v>Software continuity for Fuel cells requires licences where applicable, updates, cybersecurity patches, backups, calibration files, model validation and technical support.</x:v>
      </x:c>
      <x:c r="AI108" s="2" t="str">
        <x:v>Orgware depends on the institutions, laboratories, training providers, regulators, operators and community interfaces needed to govern Fuel cells.</x:v>
      </x:c>
      <x:c r="AJ108" s="2" t="str">
        <x:v>The orgware supporting Fuel cells has mainly indirect energy use from offices, meetings, training and information systems; travel and field supervision may be material at dispersed sites.</x:v>
      </x:c>
      <x:c r="AK108" s="2" t="str">
        <x:v>Its organisational inputs are permits, budgets, trained staff, competence records, contracts, procedures, safeguards, monitoring evidence and stakeholder agreements tailored to Fuel cells.</x:v>
      </x:c>
      <x:c r="AL108" s="2" t="str">
        <x:v>Sustained implementation of Fuel cells requires procurement and service contracts, audit protocols, training material, reporting templates, insurance or guarantees and periodic independent review.</x:v>
      </x:c>
      <x:c r="AM108" s="2" t="str">
        <x:v>Iron ore / steel inputs; Copper; Tin; Platinum-group metals; Limestone / cement raw materials</x:v>
      </x:c>
      <x:c r="AN108" s="2" t="str">
        <x:v>Australia; Brazil; China; Chile; Democratic Republic of the Congo; Peru; Indonesia; Myanmar; South Africa; Russia; Zimbabwe; India; Vietnam</x:v>
      </x:c>
      <x:c r="AO108" s="2" t="str">
        <x:v>China; India; Japan; Chile; Democratic Republic of the Congo; Indonesia; Malaysia; South Africa; Russia; Germany; Vietnam</x:v>
      </x:c>
      <x:c r="AP108" s="2" t="str">
        <x:v>Fuel cells: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8" s="2" t="str">
        <x:v>2024–2025</x:v>
      </x:c>
      <x:c r="AR108" s="2" t="str">
        <x:v>https://pubs.usgs.gov/periodicals/mcs2026/mcs2026.pdf</x:v>
      </x:c>
    </x:row>
    <x:row r="109" ht="240" customHeight="1">
      <x:c r="A109" s="2" t="str">
        <x:v>MIT-0102</x:v>
      </x:c>
      <x:c r="B109" s="2" t="str">
        <x:v>Mitigation</x:v>
      </x:c>
      <x:c r="C109" s="2" t="str">
        <x:v>Renewable energy</x:v>
      </x:c>
      <x:c r="D109" s="2" t="str">
        <x:v>Renewable energy infrastructure</x:v>
      </x:c>
      <x:c r="E109" s="2" t="str">
        <x:v>Fuel cells for stationary applications</x:v>
      </x:c>
      <x:c r="F109" s="2" t="str">
        <x:v>Fuel cells for stationary applications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Fuel cells for stationary applications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9" s="2" t="str">
        <x:v>Mixed: adaptable design, site-specific implementation</x:v>
      </x:c>
      <x:c r="H109" s="2" t="str">
        <x:v>Fuel cells for stationary applications is adaptable in capacity and configuration but site-specific in final engineering. Its principle remains the same, but resource quality, climate, scale, interfaces and safety constraints must be recalculated for each deployment.</x:v>
      </x:c>
      <x:c r="I109" s="2" t="str">
        <x:v>Primarily hard, with a soft component</x:v>
      </x:c>
      <x:c r="J109" s="2" t="str">
        <x:v>Fuel cells for stationary applications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9" s="2" t="str">
        <x:v>Equipment and operation</x:v>
      </x:c>
      <x:c r="L109" s="2" t="str">
        <x:v>Fuel cells for stationary applications is embodied mainly as an equipment-and-operation system. The deliverable is accepted only when measurable service, quality, safety and climate-performance criteria are met under real conditions.</x:v>
      </x:c>
      <x:c r="M109" s="2" t="str">
        <x:v>Yes, subject to life-cycle safeguards</x:v>
      </x:c>
      <x:c r="N109" s="2" t="str">
        <x:v>Fuel cells for stationary applications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9" s="2" t="str">
        <x:v>Fuel cells for stationary applications: resource collector or prime mover, generator or heat exchanger, support structure, power conversion, protection, metering and connection equipment.</x:v>
      </x:c>
      <x:c r="P109" s="2" t="str">
        <x:v>Fuel cells for stationary applications: resource assessment, energy-yield modelling, forecasting, maximum-power or process control, dispatch, condition monitoring and maintenance planning.</x:v>
      </x:c>
      <x:c r="Q109" s="2" t="str">
        <x:v>Fuel cells for stationary applications: resource and land or sea rights, environmental licensing, grid code, safety, community participation, revenue contract and decommissioning plan.</x:v>
      </x:c>
      <x:c r="R109" s="2" t="str">
        <x:v>Fuel cells for stationary applications: foundations, access, electrical or thermal network, substation, control and communications, drainage and construction or marine logistics.</x:v>
      </x:c>
      <x:c r="S109" s="2" t="str">
        <x:v>Fuel cells for stationary applications: the renewable resource is the primary input; auxiliary electricity, start-up fuel, pumping or thermal energy may be required depending on the design.</x:v>
      </x:c>
      <x:c r="T109" s="2" t="str">
        <x:v>Fuel cells for stationary applications: steel, concrete, copper, aluminium, polymers, glass and technology-specific materials such as silicon, magnets, coatings, catalysts or working fluids.</x:v>
      </x:c>
      <x:c r="U109" s="2" t="str">
        <x:v>Fuel cells for stationary applications: bearings, seals, filters, lubricants, sensors, converter parts, cables, fasteners, coatings and replaceable collector or heat-exchanger components.</x:v>
      </x:c>
      <x:c r="V109" s="2" t="str">
        <x:v>https://www.ctc-n.org/sites/default/files/resources/ctcn_taxonomy_0.pdf</x:v>
      </x:c>
      <x:c r="W109" s="2" t="str">
        <x:v>https://institutoagricoladepueblobello.edu.co/colegiapp/archivostemas/GUIA%209.%5B25%5D.pdf</x:v>
      </x:c>
      <x:c r="X109" s="2" t="str">
        <x:v>https://iiasa.ac.at/what-is-technology</x:v>
      </x:c>
      <x:c r="Y109" s="2" t="str">
        <x:v>https://www.ipcc.ch/report/ar6/wg3/chapter/chapter-6/; https://www.iea.org/data-and-statistics/data-tools/etp-clean-energy-technology-guide</x:v>
      </x:c>
      <x:c r="Z109" s="2" t="str">
        <x:v>Technology-specific analytical synthesis. The CTCN hierarchy is retained; classifications and component dependencies require validation against the selected design, site and supplier documentation before investment or policy use.</x:v>
      </x:c>
      <x:c r="AA109" s="2" t="str">
        <x:v>Physical deployment of Fuel cells for stationary applications requires foundations, access, electrical or thermal network, substation, control and communications, drainage and construction or marine logistics; interfaces, foundations, access and environmental protection are sized to the specific resource and design load.</x:v>
      </x:c>
      <x:c r="AB109" s="2" t="str">
        <x:v>For Fuel cells for stationary applications,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9" s="2" t="str">
        <x:v>Construction and operation use steel, concrete, copper, aluminium, polymers, glass and technology-specific materials such as silicon, magnets, coatings, catalysts or working fluids. For Fuel cells for stationary applications, specifications must include durability, compatibility, recycled content and recoverability.</x:v>
      </x:c>
      <x:c r="AD109" s="2" t="str">
        <x:v>Maintenance of Fuel cells for stationary applications depends on bearings, seals, filters, lubricants, sensors, converter parts, cables, fasteners, coatings and replaceable collector or heat-exchanger components; critical spares are selected from failure-mode, lead-time and safety analysis for its installed configuration.</x:v>
      </x:c>
      <x:c r="AE109" s="2" t="str">
        <x:v>The software stack for Fuel cells for stationary applications requires databases, secure communications, version-controlled models, computing, backup and interfaces with field or operational systems.</x:v>
      </x:c>
      <x:c r="AF109" s="2" t="str">
        <x:v>For Fuel cells for stationary applications, software-related energy is electricity for sensing, computing, storage, communication and cooling; it is normally secondary but must be included for data-intensive or continuous services.</x:v>
      </x:c>
      <x:c r="AG109" s="2" t="str">
        <x:v>The non-physical inputs are calibrated data, metadata, algorithms, boundary conditions, emission or hazard factors, manuals and validation records specific to Fuel cells for stationary applications.</x:v>
      </x:c>
      <x:c r="AH109" s="2" t="str">
        <x:v>Software continuity for Fuel cells for stationary applications requires licences where applicable, updates, cybersecurity patches, backups, calibration files, model validation and technical support.</x:v>
      </x:c>
      <x:c r="AI109" s="2" t="str">
        <x:v>Orgware depends on the institutions, laboratories, training providers, regulators, operators and community interfaces needed to govern Fuel cells for stationary applications.</x:v>
      </x:c>
      <x:c r="AJ109" s="2" t="str">
        <x:v>The orgware supporting Fuel cells for stationary applications has mainly indirect energy use from offices, meetings, training and information systems; travel and field supervision may be material at dispersed sites.</x:v>
      </x:c>
      <x:c r="AK109" s="2" t="str">
        <x:v>Its organisational inputs are permits, budgets, trained staff, competence records, contracts, procedures, safeguards, monitoring evidence and stakeholder agreements tailored to Fuel cells for stationary applications.</x:v>
      </x:c>
      <x:c r="AL109" s="2" t="str">
        <x:v>Sustained implementation of Fuel cells for stationary applications requires procurement and service contracts, audit protocols, training material, reporting templates, insurance or guarantees and periodic independent review.</x:v>
      </x:c>
      <x:c r="AM109" s="2" t="str">
        <x:v>Iron ore / steel inputs; Copper; Tin; Platinum-group metals; Limestone / cement raw materials</x:v>
      </x:c>
      <x:c r="AN109" s="2" t="str">
        <x:v>Australia; Brazil; China; Chile; Democratic Republic of the Congo; Peru; Indonesia; Myanmar; South Africa; Russia; Zimbabwe; India; Vietnam</x:v>
      </x:c>
      <x:c r="AO109" s="2" t="str">
        <x:v>China; India; Japan; Chile; Democratic Republic of the Congo; Indonesia; Malaysia; South Africa; Russia; Germany; Vietnam</x:v>
      </x:c>
      <x:c r="AP109" s="2" t="str">
        <x:v>Fuel cells for stationary applications: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9" s="2" t="str">
        <x:v>2024–2025</x:v>
      </x:c>
      <x:c r="AR109" s="2" t="str">
        <x:v>https://pubs.usgs.gov/periodicals/mcs2026/mcs2026.pdf</x:v>
      </x:c>
    </x:row>
    <x:row r="110" ht="240" customHeight="1">
      <x:c r="A110" s="2" t="str">
        <x:v>MIT-0103</x:v>
      </x:c>
      <x:c r="B110" s="2" t="str">
        <x:v>Mitigation</x:v>
      </x:c>
      <x:c r="C110" s="2" t="str">
        <x:v>Renewable energy</x:v>
      </x:c>
      <x:c r="D110" s="2" t="str">
        <x:v>Renewable energy infrastructure</x:v>
      </x:c>
      <x:c r="E110" s="2" t="str">
        <x:v>Renewable energy resource mapping</x:v>
      </x:c>
      <x:c r="F110" s="2" t="str">
        <x:v>Renewable energy resource mapping is a mitigation technology in the Renewable energy sector and the Renewable energy infrastructure technology group. It is defined as a combined hardware–software–orgware system that converts a renewable solar, wind, water, ocean, geothermal or chemical resource into electricity, heat or mechanical work while controlling variability and conversion losses. Renewable energy resource mapping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0" s="2" t="str">
        <x:v>Mixed: adaptable design, site-specific implementation</x:v>
      </x:c>
      <x:c r="H110" s="2" t="str">
        <x:v>Renewable energy resource mapping is adaptable in capacity and configuration but site-specific in final engineering. Its principle remains the same, but resource quality, climate, scale, interfaces and safety constraints must be recalculated for each deployment.</x:v>
      </x:c>
      <x:c r="I110" s="2" t="str">
        <x:v>Hard and soft</x:v>
      </x:c>
      <x:c r="J110" s="2" t="str">
        <x:v>Renewable energy resource mapping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0" s="2" t="str">
        <x:v>Operation and information service</x:v>
      </x:c>
      <x:c r="L110" s="2" t="str">
        <x:v>Renewable energy resource mapping is embodied mainly as an information and decision service. The deliverable is accepted only when measurable service, quality, safety and climate-performance criteria are met under real conditions.</x:v>
      </x:c>
      <x:c r="M110" s="2" t="str">
        <x:v>Yes, subject to life-cycle safeguards</x:v>
      </x:c>
      <x:c r="N110" s="2" t="str">
        <x:v>Renewable energy resource mapping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0" s="2" t="str">
        <x:v>Renewable energy resource mapping: resource collector or prime mover, generator or heat exchanger, support structure, power conversion, protection, metering and connection equipment.</x:v>
      </x:c>
      <x:c r="P110" s="2" t="str">
        <x:v>Renewable energy resource mapping: resource assessment, energy-yield modelling, forecasting, maximum-power or process control, dispatch, condition monitoring and maintenance planning.</x:v>
      </x:c>
      <x:c r="Q110" s="2" t="str">
        <x:v>Renewable energy resource mapping: resource and land or sea rights, environmental licensing, grid code, safety, community participation, revenue contract and decommissioning plan.</x:v>
      </x:c>
      <x:c r="R110" s="2" t="str">
        <x:v>Renewable energy resource mapping: foundations, access, electrical or thermal network, substation, control and communications, drainage and construction or marine logistics.</x:v>
      </x:c>
      <x:c r="S110" s="2" t="str">
        <x:v>Renewable energy resource mapping: the renewable resource is the primary input; auxiliary electricity, start-up fuel, pumping or thermal energy may be required depending on the design.</x:v>
      </x:c>
      <x:c r="T110" s="2" t="str">
        <x:v>Renewable energy resource mapping: steel, concrete, copper, aluminium, polymers, glass and technology-specific materials such as silicon, magnets, coatings, catalysts or working fluids.</x:v>
      </x:c>
      <x:c r="U110" s="2" t="str">
        <x:v>Renewable energy resource mapping: bearings, seals, filters, lubricants, sensors, converter parts, cables, fasteners, coatings and replaceable collector or heat-exchanger components.</x:v>
      </x:c>
      <x:c r="V110" s="2" t="str">
        <x:v>https://www.ctc-n.org/sites/default/files/resources/ctcn_taxonomy_0.pdf</x:v>
      </x:c>
      <x:c r="W110" s="2" t="str">
        <x:v>https://institutoagricoladepueblobello.edu.co/colegiapp/archivostemas/GUIA%209.%5B25%5D.pdf</x:v>
      </x:c>
      <x:c r="X110" s="2" t="str">
        <x:v>https://iiasa.ac.at/what-is-technology</x:v>
      </x:c>
      <x:c r="Y110" s="2" t="str">
        <x:v>https://www.ipcc.ch/report/ar6/wg3/chapter/chapter-6/; https://www.iea.org/data-and-statistics/data-tools/etp-clean-energy-technology-guide</x:v>
      </x:c>
      <x:c r="Z110" s="2" t="str">
        <x:v>Technology-specific analytical synthesis. The CTCN hierarchy is retained; classifications and component dependencies require validation against the selected design, site and supplier documentation before investment or policy use.</x:v>
      </x:c>
      <x:c r="AA110" s="2" t="str">
        <x:v>Physical deployment of Renewable energy resource mapping requires foundations, access, electrical or thermal network, substation, control and communications, drainage and construction or marine logistics; interfaces, foundations, access and environmental protection are sized to the specific resource and design load.</x:v>
      </x:c>
      <x:c r="AB110" s="2" t="str">
        <x:v>For Renewable energy resource mapping,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0" s="2" t="str">
        <x:v>Construction and operation use steel, concrete, copper, aluminium, polymers, glass and technology-specific materials such as silicon, magnets, coatings, catalysts or working fluids. For Renewable energy resource mapping, specifications must include durability, compatibility, recycled content and recoverability.</x:v>
      </x:c>
      <x:c r="AD110" s="2" t="str">
        <x:v>Maintenance of Renewable energy resource mapping depends on bearings, seals, filters, lubricants, sensors, converter parts, cables, fasteners, coatings and replaceable collector or heat-exchanger components; critical spares are selected from failure-mode, lead-time and safety analysis for its installed configuration.</x:v>
      </x:c>
      <x:c r="AE110" s="2" t="str">
        <x:v>The software stack for Renewable energy resource mapping requires databases, secure communications, version-controlled models, computing, backup and interfaces with field or operational systems.</x:v>
      </x:c>
      <x:c r="AF110" s="2" t="str">
        <x:v>For Renewable energy resource mapping, software-related energy is electricity for sensing, computing, storage, communication and cooling; it is normally secondary but must be included for data-intensive or continuous services.</x:v>
      </x:c>
      <x:c r="AG110" s="2" t="str">
        <x:v>The non-physical inputs are calibrated data, metadata, algorithms, boundary conditions, emission or hazard factors, manuals and validation records specific to Renewable energy resource mapping.</x:v>
      </x:c>
      <x:c r="AH110" s="2" t="str">
        <x:v>Software continuity for Renewable energy resource mapping requires licences where applicable, updates, cybersecurity patches, backups, calibration files, model validation and technical support.</x:v>
      </x:c>
      <x:c r="AI110" s="2" t="str">
        <x:v>Orgware depends on the institutions, laboratories, training providers, regulators, operators and community interfaces needed to govern Renewable energy resource mapping.</x:v>
      </x:c>
      <x:c r="AJ110" s="2" t="str">
        <x:v>The orgware supporting Renewable energy resource mapping has mainly indirect energy use from offices, meetings, training and information systems; travel and field supervision may be material at dispersed sites.</x:v>
      </x:c>
      <x:c r="AK110" s="2" t="str">
        <x:v>Its organisational inputs are permits, budgets, trained staff, competence records, contracts, procedures, safeguards, monitoring evidence and stakeholder agreements tailored to Renewable energy resource mapping.</x:v>
      </x:c>
      <x:c r="AL110" s="2" t="str">
        <x:v>Sustained implementation of Renewable energy resource mapping requires procurement and service contracts, audit protocols, training material, reporting templates, insurance or guarantees and periodic independent review.</x:v>
      </x:c>
      <x:c r="AM110" s="2" t="str">
        <x:v>Iron ore / steel inputs; Copper; Tin; Limestone / cement raw materials</x:v>
      </x:c>
      <x:c r="AN110" s="2" t="str">
        <x:v>Australia; Brazil; China; Chile; Democratic Republic of the Congo; Peru; Indonesia; Myanmar; India; Vietnam</x:v>
      </x:c>
      <x:c r="AO110" s="2" t="str">
        <x:v>China; India; Japan; Chile; Democratic Republic of the Congo; Indonesia; Malaysia; Vietnam</x:v>
      </x:c>
      <x:c r="AP110" s="2" t="str">
        <x:v>Renewable energy resource mapping: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0" s="2" t="str">
        <x:v>2024–2025</x:v>
      </x:c>
      <x:c r="AR110" s="2" t="str">
        <x:v>https://pubs.usgs.gov/periodicals/mcs2026/mcs2026.pdf</x:v>
      </x:c>
    </x:row>
    <x:row r="111" ht="240" customHeight="1">
      <x:c r="A111" s="2" t="str">
        <x:v>MIT-0104</x:v>
      </x:c>
      <x:c r="B111" s="2" t="str">
        <x:v>Mitigation</x:v>
      </x:c>
      <x:c r="C111" s="2" t="str">
        <x:v>Renewable energy</x:v>
      </x:c>
      <x:c r="D111" s="2" t="str">
        <x:v>Renewable energy infrastructure</x:v>
      </x:c>
      <x:c r="E111" s="2" t="str">
        <x:v>Grid integration for renewables</x:v>
      </x:c>
      <x:c r="F111" s="2" t="str">
        <x:v>Grid integration for renewables is a mitigation technology in the Renewable energy sector and the Renewable energy infrastructure technology group. It is defined as a combined hardware–software–orgware system that coordinates generation, storage, networks and demand in time and space to reduce losses, integrate variable renewables, manage peaks and preserve reliability. Grid integration for renewables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impacts include network reinforcement, electronics manufacture, operational losses, equipment replacement, cybersecurity obsolescence and recovery of metals and batteries. NREL microgrid demonstrations document islanding, black start and operation with high shares of renewable generation; these functions illustrate the integration requirements of modern grids.</x:v>
      </x:c>
      <x:c r="G111" s="2" t="str">
        <x:v>Mixed: adaptable design, site-specific implementation</x:v>
      </x:c>
      <x:c r="H111" s="2" t="str">
        <x:v>Grid integration for renewables is adaptable in capacity and configuration but site-specific in final engineering. Its principle remains the same, but resource quality, climate, scale, interfaces and safety constraints must be recalculated for each deployment.</x:v>
      </x:c>
      <x:c r="I111" s="2" t="str">
        <x:v>Primarily hard, with a soft component</x:v>
      </x:c>
      <x:c r="J111" s="2" t="str">
        <x:v>Grid integration for renewables combines substations, conductors, transformers, switchgear, meters, protection relays, converters, storage interfaces, communications and control-centre equipment with the codified knowledge in load flow, state estimation, forecasting, optimal dispatch, protection coordination, demand response, cybersecurity and asset-health analytics. Its performance cannot be assigned to artefacts alone: operation, competence, data quality and institutional arrangements are causal parts of the technology.</x:v>
      </x:c>
      <x:c r="K111" s="2" t="str">
        <x:v>Equipment and operation</x:v>
      </x:c>
      <x:c r="L111" s="2" t="str">
        <x:v>Grid integration for renewables is embodied mainly as an equipment-and-operation system. The deliverable is accepted only when measurable service, quality, safety and climate-performance criteria are met under real conditions.</x:v>
      </x:c>
      <x:c r="M111" s="2" t="str">
        <x:v>Yes, subject to life-cycle safeguards</x:v>
      </x:c>
      <x:c r="N111" s="2" t="str">
        <x:v>Grid integration for renewables is classified as climate-beneficial subject to safeguards. Life-cycle impacts include network reinforcement, electronics manufacture, operational losses, equipment replacement, cybersecurity obsolescence and recovery of metals and batteries. Avoided emissions or reduced vulnerability must be demonstrated against a defined baseline, without shifting material, pollution or social burdens outside the system boundary.</x:v>
      </x:c>
      <x:c r="O111" s="2" t="str">
        <x:v>Grid integration for renewables: substations, conductors, transformers, switchgear, meters, protection relays, converters, storage interfaces, communications and control-centre equipment.</x:v>
      </x:c>
      <x:c r="P111" s="2" t="str">
        <x:v>Grid integration for renewables: load flow, state estimation, forecasting, optimal dispatch, protection coordination, demand response, cybersecurity and asset-health analytics.</x:v>
      </x:c>
      <x:c r="Q111" s="2" t="str">
        <x:v>Grid integration for renewables: grid codes, connection agreements, market rules, interoperability, data governance, system-operator procedures and cyber-incident response.</x:v>
      </x:c>
      <x:c r="R111" s="2" t="str">
        <x:v>Grid integration for renewables: generation and load connection points, distribution or transmission network, communications backbone, control centre, maintenance access and backup power.</x:v>
      </x:c>
      <x:c r="S111" s="2" t="str">
        <x:v>Grid integration for renewables: electricity for network operation, conversion, cooling and communications; losses and storage round-trip efficiency are explicit performance variables.</x:v>
      </x:c>
      <x:c r="T111" s="2" t="str">
        <x:v>Grid integration for renewables: copper or aluminium conductors, electrical steel, structural steel, concrete, polymers, semiconductors, insulation and battery materials where storage is included.</x:v>
      </x:c>
      <x:c r="U111" s="2" t="str">
        <x:v>Grid integration for renewables: breakers, fuses, relays, meters, sensors, communication modules, inverter parts, cooling equipment and transformer consumables.</x:v>
      </x:c>
      <x:c r="V111" s="2" t="str">
        <x:v>https://www.ctc-n.org/sites/default/files/resources/ctcn_taxonomy_0.pdf</x:v>
      </x:c>
      <x:c r="W111" s="2" t="str">
        <x:v>https://institutoagricoladepueblobello.edu.co/colegiapp/archivostemas/GUIA%209.%5B25%5D.pdf</x:v>
      </x:c>
      <x:c r="X111" s="2" t="str">
        <x:v>https://iiasa.ac.at/what-is-technology</x:v>
      </x:c>
      <x:c r="Y111" s="2" t="str">
        <x:v>https://www.ipcc.ch/report/ar6/wg3/chapter/chapter-6/; https://www.iea.org/data-and-statistics/data-tools/etp-clean-energy-technology-guide; https://docs.nrel.gov/docs/fy19osti/72586.pdf</x:v>
      </x:c>
      <x:c r="Z111" s="2" t="str">
        <x:v>Technology-specific analytical synthesis. The CTCN hierarchy is retained; classifications and component dependencies require validation against the selected design, site and supplier documentation before investment or policy use.</x:v>
      </x:c>
      <x:c r="AA111" s="2" t="str">
        <x:v>Physical deployment of Grid integration for renewables requires generation and load connection points, distribution or transmission network, communications backbone, control centre, maintenance access and backup power; interfaces, foundations, access and environmental protection are sized to the specific resource and design load.</x:v>
      </x:c>
      <x:c r="AB111" s="2" t="str">
        <x:v>For Grid integration for renewables, the hardware energy balance comprises electricity for network operation, conversion, cooling and communications; losses and storage round-trip efficiency are explicit performance variables; metering must separate useful output, conversion losses and auxiliaries for the selected design.</x:v>
      </x:c>
      <x:c r="AC111" s="2" t="str">
        <x:v>Construction and operation use copper or aluminium conductors, electrical steel, structural steel, concrete, polymers, semiconductors, insulation and battery materials where storage is included. For Grid integration for renewables, specifications must include durability, compatibility, recycled content and recoverability.</x:v>
      </x:c>
      <x:c r="AD111" s="2" t="str">
        <x:v>Maintenance of Grid integration for renewables depends on breakers, fuses, relays, meters, sensors, communication modules, inverter parts, cooling equipment and transformer consumables; critical spares are selected from failure-mode, lead-time and safety analysis for its installed configuration.</x:v>
      </x:c>
      <x:c r="AE111" s="2" t="str">
        <x:v>The software stack for Grid integration for renewables requires databases, secure communications, version-controlled models, computing, backup and interfaces with field or operational systems.</x:v>
      </x:c>
      <x:c r="AF111" s="2" t="str">
        <x:v>For Grid integration for renewables, software-related energy is electricity for sensing, computing, storage, communication and cooling; it is normally secondary but must be included for data-intensive or continuous services.</x:v>
      </x:c>
      <x:c r="AG111" s="2" t="str">
        <x:v>The non-physical inputs are calibrated data, metadata, algorithms, boundary conditions, emission or hazard factors, manuals and validation records specific to Grid integration for renewables.</x:v>
      </x:c>
      <x:c r="AH111" s="2" t="str">
        <x:v>Software continuity for Grid integration for renewables requires licences where applicable, updates, cybersecurity patches, backups, calibration files, model validation and technical support.</x:v>
      </x:c>
      <x:c r="AI111" s="2" t="str">
        <x:v>Orgware depends on the institutions, laboratories, training providers, regulators, operators and community interfaces needed to govern Grid integration for renewables.</x:v>
      </x:c>
      <x:c r="AJ111" s="2" t="str">
        <x:v>The orgware supporting Grid integration for renewables has mainly indirect energy use from offices, meetings, training and information systems; travel and field supervision may be material at dispersed sites.</x:v>
      </x:c>
      <x:c r="AK111" s="2" t="str">
        <x:v>Its organisational inputs are permits, budgets, trained staff, competence records, contracts, procedures, safeguards, monitoring evidence and stakeholder agreements tailored to Grid integration for renewables.</x:v>
      </x:c>
      <x:c r="AL111" s="2" t="str">
        <x:v>Sustained implementation of Grid integration for renewables requires procurement and service contracts, audit protocols, training material, reporting templates, insurance or guarantees and periodic independent review.</x:v>
      </x:c>
      <x:c r="AM111" s="2" t="str">
        <x:v>Iron ore / steel inputs; Copper; Tin; Limestone / cement raw materials</x:v>
      </x:c>
      <x:c r="AN111" s="2" t="str">
        <x:v>Australia; Brazil; China; Chile; Democratic Republic of the Congo; Peru; Indonesia; Myanmar; India; Vietnam</x:v>
      </x:c>
      <x:c r="AO111" s="2" t="str">
        <x:v>China; India; Japan; Chile; Democratic Republic of the Congo; Indonesia; Malaysia; Vietnam</x:v>
      </x:c>
      <x:c r="AP111" s="2" t="str">
        <x:v>Grid integration for renewables: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1" s="2" t="str">
        <x:v>2024–2025</x:v>
      </x:c>
      <x:c r="AR111" s="2" t="str">
        <x:v>https://pubs.usgs.gov/periodicals/mcs2026/mcs2026.pdf</x:v>
      </x:c>
    </x:row>
    <x:row r="112" ht="240" customHeight="1">
      <x:c r="A112" s="2" t="str">
        <x:v>MIT-0105</x:v>
      </x:c>
      <x:c r="B112" s="2" t="str">
        <x:v>Mitigation</x:v>
      </x:c>
      <x:c r="C112" s="2" t="str">
        <x:v>Renewable energy</x:v>
      </x:c>
      <x:c r="D112" s="2" t="str">
        <x:v>Hydro</x:v>
      </x:c>
      <x:c r="E112" s="2" t="str">
        <x:v>Run-of-river hydropower</x:v>
      </x:c>
      <x:c r="F112" s="2" t="str">
        <x:v>Run-of-river hydropower is a mitigation technology in the Renewable energy sector and the Hydro technology group. It is defined as a combined hardware–software–orgware system that converts a renewable solar, wind, water, ocean, geothermal or chemical resource into electricity, heat or mechanical work while controlling variability and conversion losses. Run-of-river hydropower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2" s="2" t="str">
        <x:v>Primarily fixed</x:v>
      </x:c>
      <x:c r="H112" s="2" t="str">
        <x:v>Run-of-river hydropower is tied to long-lived, site-specific assets and design loads. Its principle remains the same, but resource quality, climate, scale, interfaces and safety constraints must be recalculated for each deployment.</x:v>
      </x:c>
      <x:c r="I112" s="2" t="str">
        <x:v>Primarily hard, with a soft component</x:v>
      </x:c>
      <x:c r="J112" s="2" t="str">
        <x:v>Run-of-river hydropower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2" s="2" t="str">
        <x:v>Equipment and operation</x:v>
      </x:c>
      <x:c r="L112" s="2" t="str">
        <x:v>Run-of-river hydropower is embodied mainly as an equipment-and-operation system. The deliverable is accepted only when measurable service, quality, safety and climate-performance criteria are met under real conditions.</x:v>
      </x:c>
      <x:c r="M112" s="2" t="str">
        <x:v>Yes, subject to life-cycle safeguards</x:v>
      </x:c>
      <x:c r="N112" s="2" t="str">
        <x:v>Run-of-river hydropower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2" s="2" t="str">
        <x:v>Run-of-river hydropower: resource collector or prime mover, generator or heat exchanger, support structure, power conversion, protection, metering and connection equipment.</x:v>
      </x:c>
      <x:c r="P112" s="2" t="str">
        <x:v>Run-of-river hydropower: resource assessment, energy-yield modelling, forecasting, maximum-power or process control, dispatch, condition monitoring and maintenance planning.</x:v>
      </x:c>
      <x:c r="Q112" s="2" t="str">
        <x:v>Run-of-river hydropower: resource and land or sea rights, environmental licensing, grid code, safety, community participation, revenue contract and decommissioning plan.</x:v>
      </x:c>
      <x:c r="R112" s="2" t="str">
        <x:v>Run-of-river hydropower: foundations, access, electrical or thermal network, substation, control and communications, drainage and construction or marine logistics.</x:v>
      </x:c>
      <x:c r="S112" s="2" t="str">
        <x:v>Run-of-river hydropower: the renewable resource is the primary input; auxiliary electricity, start-up fuel, pumping or thermal energy may be required depending on the design.</x:v>
      </x:c>
      <x:c r="T112" s="2" t="str">
        <x:v>Run-of-river hydropower: steel, concrete, copper, aluminium, polymers, glass and technology-specific materials such as silicon, magnets, coatings, catalysts or working fluids.</x:v>
      </x:c>
      <x:c r="U112" s="2" t="str">
        <x:v>Run-of-river hydropower: bearings, seals, filters, lubricants, sensors, converter parts, cables, fasteners, coatings and replaceable collector or heat-exchanger components.</x:v>
      </x:c>
      <x:c r="V112" s="2" t="str">
        <x:v>https://www.ctc-n.org/sites/default/files/resources/ctcn_taxonomy_0.pdf</x:v>
      </x:c>
      <x:c r="W112" s="2" t="str">
        <x:v>https://institutoagricoladepueblobello.edu.co/colegiapp/archivostemas/GUIA%209.%5B25%5D.pdf</x:v>
      </x:c>
      <x:c r="X112" s="2" t="str">
        <x:v>https://iiasa.ac.at/what-is-technology</x:v>
      </x:c>
      <x:c r="Y112" s="2" t="str">
        <x:v>https://www.ipcc.ch/report/ar6/wg3/chapter/chapter-6/; https://www.iea.org/data-and-statistics/data-tools/etp-clean-energy-technology-guide</x:v>
      </x:c>
      <x:c r="Z112" s="2" t="str">
        <x:v>Technology-specific analytical synthesis. The CTCN hierarchy is retained; classifications and component dependencies require validation against the selected design, site and supplier documentation before investment or policy use.</x:v>
      </x:c>
      <x:c r="AA112" s="2" t="str">
        <x:v>Physical deployment of Run-of-river hydropower requires foundations, access, electrical or thermal network, substation, control and communications, drainage and construction or marine logistics; interfaces, foundations, access and environmental protection are sized to the specific resource and design load.</x:v>
      </x:c>
      <x:c r="AB112" s="2" t="str">
        <x:v>For Run-of-river hydropower,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2" s="2" t="str">
        <x:v>Construction and operation use steel, concrete, copper, aluminium, polymers, glass and technology-specific materials such as silicon, magnets, coatings, catalysts or working fluids. For Run-of-river hydropower, specifications must include durability, compatibility, recycled content and recoverability.</x:v>
      </x:c>
      <x:c r="AD112" s="2" t="str">
        <x:v>Maintenance of Run-of-river hydropower depends on bearings, seals, filters, lubricants, sensors, converter parts, cables, fasteners, coatings and replaceable collector or heat-exchanger components; critical spares are selected from failure-mode, lead-time and safety analysis for its installed configuration.</x:v>
      </x:c>
      <x:c r="AE112" s="2" t="str">
        <x:v>The software stack for Run-of-river hydropower requires databases, secure communications, version-controlled models, computing, backup and interfaces with field or operational systems.</x:v>
      </x:c>
      <x:c r="AF112" s="2" t="str">
        <x:v>For Run-of-river hydropower, software-related energy is electricity for sensing, computing, storage, communication and cooling; it is normally secondary but must be included for data-intensive or continuous services.</x:v>
      </x:c>
      <x:c r="AG112" s="2" t="str">
        <x:v>The non-physical inputs are calibrated data, metadata, algorithms, boundary conditions, emission or hazard factors, manuals and validation records specific to Run-of-river hydropower.</x:v>
      </x:c>
      <x:c r="AH112" s="2" t="str">
        <x:v>Software continuity for Run-of-river hydropower requires licences where applicable, updates, cybersecurity patches, backups, calibration files, model validation and technical support.</x:v>
      </x:c>
      <x:c r="AI112" s="2" t="str">
        <x:v>Orgware depends on the institutions, laboratories, training providers, regulators, operators and community interfaces needed to govern Run-of-river hydropower.</x:v>
      </x:c>
      <x:c r="AJ112" s="2" t="str">
        <x:v>The orgware supporting Run-of-river hydropower has mainly indirect energy use from offices, meetings, training and information systems; travel and field supervision may be material at dispersed sites.</x:v>
      </x:c>
      <x:c r="AK112" s="2" t="str">
        <x:v>Its organisational inputs are permits, budgets, trained staff, competence records, contracts, procedures, safeguards, monitoring evidence and stakeholder agreements tailored to Run-of-river hydropower.</x:v>
      </x:c>
      <x:c r="AL112" s="2" t="str">
        <x:v>Sustained implementation of Run-of-river hydropower requires procurement and service contracts, audit protocols, training material, reporting templates, insurance or guarantees and periodic independent review.</x:v>
      </x:c>
      <x:c r="AM112" s="2" t="str">
        <x:v>Iron ore / steel inputs</x:v>
      </x:c>
      <x:c r="AN112" s="2" t="str">
        <x:v>Australia; Brazil; China</x:v>
      </x:c>
      <x:c r="AO112" s="2" t="str">
        <x:v>China; India; Japan</x:v>
      </x:c>
      <x:c r="AP112" s="2" t="str">
        <x:v>Run-of-river hydropower: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2" s="2" t="str">
        <x:v>2024–2025</x:v>
      </x:c>
      <x:c r="AR112" s="2" t="str">
        <x:v>https://pubs.usgs.gov/periodicals/mcs2026/mcs2026.pdf</x:v>
      </x:c>
    </x:row>
    <x:row r="113" ht="240" customHeight="1">
      <x:c r="A113" s="2" t="str">
        <x:v>MIT-0106</x:v>
      </x:c>
      <x:c r="B113" s="2" t="str">
        <x:v>Mitigation</x:v>
      </x:c>
      <x:c r="C113" s="2" t="str">
        <x:v>Renewable energy</x:v>
      </x:c>
      <x:c r="D113" s="2" t="str">
        <x:v>Ocean energy</x:v>
      </x:c>
      <x:c r="E113" s="2" t="str">
        <x:v>Osmotic power</x:v>
      </x:c>
      <x:c r="F113" s="2" t="str">
        <x:v>Osmotic power is a mitigation technology in the Renewable energy sector and the Ocean energy technology group. It is defined as a combined hardware–software–orgware system that converts a renewable solar, wind, water, ocean, geothermal or chemical resource into electricity, heat or mechanical work while controlling variability and conversion losses. Osmotic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3" s="2" t="str">
        <x:v>Mixed: adaptable design, site-specific implementation</x:v>
      </x:c>
      <x:c r="H113" s="2" t="str">
        <x:v>Osmotic power is adaptable in capacity and configuration but site-specific in final engineering. Its principle remains the same, but resource quality, climate, scale, interfaces and safety constraints must be recalculated for each deployment.</x:v>
      </x:c>
      <x:c r="I113" s="2" t="str">
        <x:v>Primarily hard, with a soft component</x:v>
      </x:c>
      <x:c r="J113" s="2" t="str">
        <x:v>Osmotic 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3" s="2" t="str">
        <x:v>Equipment and operation</x:v>
      </x:c>
      <x:c r="L113" s="2" t="str">
        <x:v>Osmotic power is embodied mainly as an equipment-and-operation system. The deliverable is accepted only when measurable service, quality, safety and climate-performance criteria are met under real conditions.</x:v>
      </x:c>
      <x:c r="M113" s="2" t="str">
        <x:v>Yes, subject to life-cycle safeguards</x:v>
      </x:c>
      <x:c r="N113" s="2" t="str">
        <x:v>Osmotic 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3" s="2" t="str">
        <x:v>Osmotic power: resource collector or prime mover, generator or heat exchanger, support structure, power conversion, protection, metering and connection equipment.</x:v>
      </x:c>
      <x:c r="P113" s="2" t="str">
        <x:v>Osmotic power: resource assessment, energy-yield modelling, forecasting, maximum-power or process control, dispatch, condition monitoring and maintenance planning.</x:v>
      </x:c>
      <x:c r="Q113" s="2" t="str">
        <x:v>Osmotic power: resource and land or sea rights, environmental licensing, grid code, safety, community participation, revenue contract and decommissioning plan.</x:v>
      </x:c>
      <x:c r="R113" s="2" t="str">
        <x:v>Osmotic power: foundations, access, electrical or thermal network, substation, control and communications, drainage and construction or marine logistics.</x:v>
      </x:c>
      <x:c r="S113" s="2" t="str">
        <x:v>Osmotic power: the renewable resource is the primary input; auxiliary electricity, start-up fuel, pumping or thermal energy may be required depending on the design.</x:v>
      </x:c>
      <x:c r="T113" s="2" t="str">
        <x:v>Osmotic power: steel, concrete, copper, aluminium, polymers, glass and technology-specific materials such as silicon, magnets, coatings, catalysts or working fluids.</x:v>
      </x:c>
      <x:c r="U113" s="2" t="str">
        <x:v>Osmotic power: bearings, seals, filters, lubricants, sensors, converter parts, cables, fasteners, coatings and replaceable collector or heat-exchanger components.</x:v>
      </x:c>
      <x:c r="V113" s="2" t="str">
        <x:v>https://www.ctc-n.org/sites/default/files/resources/ctcn_taxonomy_0.pdf</x:v>
      </x:c>
      <x:c r="W113" s="2" t="str">
        <x:v>https://institutoagricoladepueblobello.edu.co/colegiapp/archivostemas/GUIA%209.%5B25%5D.pdf</x:v>
      </x:c>
      <x:c r="X113" s="2" t="str">
        <x:v>https://iiasa.ac.at/what-is-technology</x:v>
      </x:c>
      <x:c r="Y113" s="2" t="str">
        <x:v>https://www.ipcc.ch/report/ar6/wg3/chapter/chapter-6/; https://www.iea.org/data-and-statistics/data-tools/etp-clean-energy-technology-guide</x:v>
      </x:c>
      <x:c r="Z113" s="2" t="str">
        <x:v>Technology-specific analytical synthesis. The CTCN hierarchy is retained; classifications and component dependencies require validation against the selected design, site and supplier documentation before investment or policy use.</x:v>
      </x:c>
      <x:c r="AA113" s="2" t="str">
        <x:v>Physical deployment of Osmotic power requires foundations, access, electrical or thermal network, substation, control and communications, drainage and construction or marine logistics; interfaces, foundations, access and environmental protection are sized to the specific resource and design load.</x:v>
      </x:c>
      <x:c r="AB113" s="2" t="str">
        <x:v>For Osmotic 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3" s="2" t="str">
        <x:v>Construction and operation use steel, concrete, copper, aluminium, polymers, glass and technology-specific materials such as silicon, magnets, coatings, catalysts or working fluids. For Osmotic power, specifications must include durability, compatibility, recycled content and recoverability.</x:v>
      </x:c>
      <x:c r="AD113" s="2" t="str">
        <x:v>Maintenance of Osmotic power depends on bearings, seals, filters, lubricants, sensors, converter parts, cables, fasteners, coatings and replaceable collector or heat-exchanger components; critical spares are selected from failure-mode, lead-time and safety analysis for its installed configuration.</x:v>
      </x:c>
      <x:c r="AE113" s="2" t="str">
        <x:v>The software stack for Osmotic power requires databases, secure communications, version-controlled models, computing, backup and interfaces with field or operational systems.</x:v>
      </x:c>
      <x:c r="AF113" s="2" t="str">
        <x:v>For Osmotic power, software-related energy is electricity for sensing, computing, storage, communication and cooling; it is normally secondary but must be included for data-intensive or continuous services.</x:v>
      </x:c>
      <x:c r="AG113" s="2" t="str">
        <x:v>The non-physical inputs are calibrated data, metadata, algorithms, boundary conditions, emission or hazard factors, manuals and validation records specific to Osmotic power.</x:v>
      </x:c>
      <x:c r="AH113" s="2" t="str">
        <x:v>Software continuity for Osmotic power requires licences where applicable, updates, cybersecurity patches, backups, calibration files, model validation and technical support.</x:v>
      </x:c>
      <x:c r="AI113" s="2" t="str">
        <x:v>Orgware depends on the institutions, laboratories, training providers, regulators, operators and community interfaces needed to govern Osmotic power.</x:v>
      </x:c>
      <x:c r="AJ113" s="2" t="str">
        <x:v>The orgware supporting Osmotic power has mainly indirect energy use from offices, meetings, training and information systems; travel and field supervision may be material at dispersed sites.</x:v>
      </x:c>
      <x:c r="AK113" s="2" t="str">
        <x:v>Its organisational inputs are permits, budgets, trained staff, competence records, contracts, procedures, safeguards, monitoring evidence and stakeholder agreements tailored to Osmotic power.</x:v>
      </x:c>
      <x:c r="AL113" s="2" t="str">
        <x:v>Sustained implementation of Osmotic power requires procurement and service contracts, audit protocols, training material, reporting templates, insurance or guarantees and periodic independent review.</x:v>
      </x:c>
      <x:c r="AM113" s="2" t="str">
        <x:v>Iron ore / steel inputs</x:v>
      </x:c>
      <x:c r="AN113" s="2" t="str">
        <x:v>Australia; Brazil; China</x:v>
      </x:c>
      <x:c r="AO113" s="2" t="str">
        <x:v>China; India; Japan</x:v>
      </x:c>
      <x:c r="AP113" s="2" t="str">
        <x:v>Osmotic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3" s="2" t="str">
        <x:v>2024–2025</x:v>
      </x:c>
      <x:c r="AR113" s="2" t="str">
        <x:v>https://pubs.usgs.gov/periodicals/mcs2026/mcs2026.pdf</x:v>
      </x:c>
    </x:row>
    <x:row r="114" ht="240" customHeight="1">
      <x:c r="A114" s="2" t="str">
        <x:v>MIT-0107</x:v>
      </x:c>
      <x:c r="B114" s="2" t="str">
        <x:v>Mitigation</x:v>
      </x:c>
      <x:c r="C114" s="2" t="str">
        <x:v>Renewable energy</x:v>
      </x:c>
      <x:c r="D114" s="2" t="str">
        <x:v>Ocean energy</x:v>
      </x:c>
      <x:c r="E114" s="2" t="str">
        <x:v>Ocean thermal energy conversion</x:v>
      </x:c>
      <x:c r="F114" s="2" t="str">
        <x:v>Ocean thermal energy conversion is a mitigation technology in the Renewable energy sector and the Ocean energy technology group. It is defined as a combined hardware–software–orgware system that converts a renewable solar, wind, water, ocean, geothermal or chemical resource into electricity, heat or mechanical work while controlling variability and conversion losses. Ocean thermal energy conversion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4" s="2" t="str">
        <x:v>Mixed: adaptable design, site-specific implementation</x:v>
      </x:c>
      <x:c r="H114" s="2" t="str">
        <x:v>Ocean thermal energy conversion is adaptable in capacity and configuration but site-specific in final engineering. Its principle remains the same, but resource quality, climate, scale, interfaces and safety constraints must be recalculated for each deployment.</x:v>
      </x:c>
      <x:c r="I114" s="2" t="str">
        <x:v>Primarily hard, with a soft component</x:v>
      </x:c>
      <x:c r="J114" s="2" t="str">
        <x:v>Ocean thermal energy conversion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4" s="2" t="str">
        <x:v>Equipment and operation</x:v>
      </x:c>
      <x:c r="L114" s="2" t="str">
        <x:v>Ocean thermal energy conversion is embodied mainly as an equipment-and-operation system. The deliverable is accepted only when measurable service, quality, safety and climate-performance criteria are met under real conditions.</x:v>
      </x:c>
      <x:c r="M114" s="2" t="str">
        <x:v>Yes, subject to life-cycle safeguards</x:v>
      </x:c>
      <x:c r="N114" s="2" t="str">
        <x:v>Ocean thermal energy conversion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4" s="2" t="str">
        <x:v>Ocean thermal energy conversion: resource collector or prime mover, generator or heat exchanger, support structure, power conversion, protection, metering and connection equipment.</x:v>
      </x:c>
      <x:c r="P114" s="2" t="str">
        <x:v>Ocean thermal energy conversion: resource assessment, energy-yield modelling, forecasting, maximum-power or process control, dispatch, condition monitoring and maintenance planning.</x:v>
      </x:c>
      <x:c r="Q114" s="2" t="str">
        <x:v>Ocean thermal energy conversion: resource and land or sea rights, environmental licensing, grid code, safety, community participation, revenue contract and decommissioning plan.</x:v>
      </x:c>
      <x:c r="R114" s="2" t="str">
        <x:v>Ocean thermal energy conversion: foundations, access, electrical or thermal network, substation, control and communications, drainage and construction or marine logistics.</x:v>
      </x:c>
      <x:c r="S114" s="2" t="str">
        <x:v>Ocean thermal energy conversion: the renewable resource is the primary input; auxiliary electricity, start-up fuel, pumping or thermal energy may be required depending on the design.</x:v>
      </x:c>
      <x:c r="T114" s="2" t="str">
        <x:v>Ocean thermal energy conversion: steel, concrete, copper, aluminium, polymers, glass and technology-specific materials such as silicon, magnets, coatings, catalysts or working fluids.</x:v>
      </x:c>
      <x:c r="U114" s="2" t="str">
        <x:v>Ocean thermal energy conversion: bearings, seals, filters, lubricants, sensors, converter parts, cables, fasteners, coatings and replaceable collector or heat-exchanger components.</x:v>
      </x:c>
      <x:c r="V114" s="2" t="str">
        <x:v>https://www.ctc-n.org/sites/default/files/resources/ctcn_taxonomy_0.pdf</x:v>
      </x:c>
      <x:c r="W114" s="2" t="str">
        <x:v>https://institutoagricoladepueblobello.edu.co/colegiapp/archivostemas/GUIA%209.%5B25%5D.pdf</x:v>
      </x:c>
      <x:c r="X114" s="2" t="str">
        <x:v>https://iiasa.ac.at/what-is-technology</x:v>
      </x:c>
      <x:c r="Y114" s="2" t="str">
        <x:v>https://www.ipcc.ch/report/ar6/wg3/chapter/chapter-6/; https://www.iea.org/data-and-statistics/data-tools/etp-clean-energy-technology-guide</x:v>
      </x:c>
      <x:c r="Z114" s="2" t="str">
        <x:v>Technology-specific analytical synthesis. The CTCN hierarchy is retained; classifications and component dependencies require validation against the selected design, site and supplier documentation before investment or policy use.</x:v>
      </x:c>
      <x:c r="AA114" s="2" t="str">
        <x:v>Physical deployment of Ocean thermal energy conversion requires foundations, access, electrical or thermal network, substation, control and communications, drainage and construction or marine logistics; interfaces, foundations, access and environmental protection are sized to the specific resource and design load.</x:v>
      </x:c>
      <x:c r="AB114" s="2" t="str">
        <x:v>For Ocean thermal energy conversion,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4" s="2" t="str">
        <x:v>Construction and operation use steel, concrete, copper, aluminium, polymers, glass and technology-specific materials such as silicon, magnets, coatings, catalysts or working fluids. For Ocean thermal energy conversion, specifications must include durability, compatibility, recycled content and recoverability.</x:v>
      </x:c>
      <x:c r="AD114" s="2" t="str">
        <x:v>Maintenance of Ocean thermal energy conversion depends on bearings, seals, filters, lubricants, sensors, converter parts, cables, fasteners, coatings and replaceable collector or heat-exchanger components; critical spares are selected from failure-mode, lead-time and safety analysis for its installed configuration.</x:v>
      </x:c>
      <x:c r="AE114" s="2" t="str">
        <x:v>The software stack for Ocean thermal energy conversion requires databases, secure communications, version-controlled models, computing, backup and interfaces with field or operational systems.</x:v>
      </x:c>
      <x:c r="AF114" s="2" t="str">
        <x:v>For Ocean thermal energy conversion, software-related energy is electricity for sensing, computing, storage, communication and cooling; it is normally secondary but must be included for data-intensive or continuous services.</x:v>
      </x:c>
      <x:c r="AG114" s="2" t="str">
        <x:v>The non-physical inputs are calibrated data, metadata, algorithms, boundary conditions, emission or hazard factors, manuals and validation records specific to Ocean thermal energy conversion.</x:v>
      </x:c>
      <x:c r="AH114" s="2" t="str">
        <x:v>Software continuity for Ocean thermal energy conversion requires licences where applicable, updates, cybersecurity patches, backups, calibration files, model validation and technical support.</x:v>
      </x:c>
      <x:c r="AI114" s="2" t="str">
        <x:v>Orgware depends on the institutions, laboratories, training providers, regulators, operators and community interfaces needed to govern Ocean thermal energy conversion.</x:v>
      </x:c>
      <x:c r="AJ114" s="2" t="str">
        <x:v>The orgware supporting Ocean thermal energy conversion has mainly indirect energy use from offices, meetings, training and information systems; travel and field supervision may be material at dispersed sites.</x:v>
      </x:c>
      <x:c r="AK114" s="2" t="str">
        <x:v>Its organisational inputs are permits, budgets, trained staff, competence records, contracts, procedures, safeguards, monitoring evidence and stakeholder agreements tailored to Ocean thermal energy conversion.</x:v>
      </x:c>
      <x:c r="AL114" s="2" t="str">
        <x:v>Sustained implementation of Ocean thermal energy conversion requires procurement and service contracts, audit protocols, training material, reporting templates, insurance or guarantees and periodic independent review.</x:v>
      </x:c>
      <x:c r="AM114" s="2" t="str">
        <x:v>Iron ore / steel inputs</x:v>
      </x:c>
      <x:c r="AN114" s="2" t="str">
        <x:v>Australia; Brazil; China</x:v>
      </x:c>
      <x:c r="AO114" s="2" t="str">
        <x:v>China; India; Japan</x:v>
      </x:c>
      <x:c r="AP114" s="2" t="str">
        <x:v>Ocean thermal energy conversion: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4" s="2" t="str">
        <x:v>2024–2025</x:v>
      </x:c>
      <x:c r="AR114" s="2" t="str">
        <x:v>https://pubs.usgs.gov/periodicals/mcs2026/mcs2026.pdf</x:v>
      </x:c>
    </x:row>
    <x:row r="115" ht="240" customHeight="1">
      <x:c r="A115" s="2" t="str">
        <x:v>MIT-0108</x:v>
      </x:c>
      <x:c r="B115" s="2" t="str">
        <x:v>Mitigation</x:v>
      </x:c>
      <x:c r="C115" s="2" t="str">
        <x:v>Renewable energy</x:v>
      </x:c>
      <x:c r="D115" s="2" t="str">
        <x:v>Ocean energy</x:v>
      </x:c>
      <x:c r="E115" s="2" t="str">
        <x:v>Wave energy</x:v>
      </x:c>
      <x:c r="F115" s="2" t="str">
        <x:v>Wave energy is a mitigation technology in the Renewable energy sector and the Ocean energy technology group. It is defined as a combined hardware–software–orgware system that converts a renewable solar, wind, water, ocean, geothermal or chemical resource into electricity, heat or mechanical work while controlling variability and conversion losses. Wave energy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5" s="2" t="str">
        <x:v>Mixed: adaptable design, site-specific implementation</x:v>
      </x:c>
      <x:c r="H115" s="2" t="str">
        <x:v>Wave energy is adaptable in capacity and configuration but site-specific in final engineering. Its principle remains the same, but resource quality, climate, scale, interfaces and safety constraints must be recalculated for each deployment.</x:v>
      </x:c>
      <x:c r="I115" s="2" t="str">
        <x:v>Primarily hard, with a soft component</x:v>
      </x:c>
      <x:c r="J115" s="2" t="str">
        <x:v>Wave energy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5" s="2" t="str">
        <x:v>Equipment and operation</x:v>
      </x:c>
      <x:c r="L115" s="2" t="str">
        <x:v>Wave energy is embodied mainly as an equipment-and-operation system. The deliverable is accepted only when measurable service, quality, safety and climate-performance criteria are met under real conditions.</x:v>
      </x:c>
      <x:c r="M115" s="2" t="str">
        <x:v>Yes, subject to life-cycle safeguards</x:v>
      </x:c>
      <x:c r="N115" s="2" t="str">
        <x:v>Wave energy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5" s="2" t="str">
        <x:v>Wave energy: resource collector or prime mover, generator or heat exchanger, support structure, power conversion, protection, metering and connection equipment.</x:v>
      </x:c>
      <x:c r="P115" s="2" t="str">
        <x:v>Wave energy: resource assessment, energy-yield modelling, forecasting, maximum-power or process control, dispatch, condition monitoring and maintenance planning.</x:v>
      </x:c>
      <x:c r="Q115" s="2" t="str">
        <x:v>Wave energy: resource and land or sea rights, environmental licensing, grid code, safety, community participation, revenue contract and decommissioning plan.</x:v>
      </x:c>
      <x:c r="R115" s="2" t="str">
        <x:v>Wave energy: foundations, access, electrical or thermal network, substation, control and communications, drainage and construction or marine logistics.</x:v>
      </x:c>
      <x:c r="S115" s="2" t="str">
        <x:v>Wave energy: the renewable resource is the primary input; auxiliary electricity, start-up fuel, pumping or thermal energy may be required depending on the design.</x:v>
      </x:c>
      <x:c r="T115" s="2" t="str">
        <x:v>Wave energy: steel, concrete, copper, aluminium, polymers, glass and technology-specific materials such as silicon, magnets, coatings, catalysts or working fluids.</x:v>
      </x:c>
      <x:c r="U115" s="2" t="str">
        <x:v>Wave energy: bearings, seals, filters, lubricants, sensors, converter parts, cables, fasteners, coatings and replaceable collector or heat-exchanger components.</x:v>
      </x:c>
      <x:c r="V115" s="2" t="str">
        <x:v>https://www.ctc-n.org/sites/default/files/resources/ctcn_taxonomy_0.pdf</x:v>
      </x:c>
      <x:c r="W115" s="2" t="str">
        <x:v>https://institutoagricoladepueblobello.edu.co/colegiapp/archivostemas/GUIA%209.%5B25%5D.pdf</x:v>
      </x:c>
      <x:c r="X115" s="2" t="str">
        <x:v>https://iiasa.ac.at/what-is-technology</x:v>
      </x:c>
      <x:c r="Y115" s="2" t="str">
        <x:v>https://www.ipcc.ch/report/ar6/wg3/chapter/chapter-6/; https://www.iea.org/data-and-statistics/data-tools/etp-clean-energy-technology-guide</x:v>
      </x:c>
      <x:c r="Z115" s="2" t="str">
        <x:v>Technology-specific analytical synthesis. The CTCN hierarchy is retained; classifications and component dependencies require validation against the selected design, site and supplier documentation before investment or policy use.</x:v>
      </x:c>
      <x:c r="AA115" s="2" t="str">
        <x:v>Physical deployment of Wave energy requires foundations, access, electrical or thermal network, substation, control and communications, drainage and construction or marine logistics; interfaces, foundations, access and environmental protection are sized to the specific resource and design load.</x:v>
      </x:c>
      <x:c r="AB115" s="2" t="str">
        <x:v>For Wave energy,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5" s="2" t="str">
        <x:v>Construction and operation use steel, concrete, copper, aluminium, polymers, glass and technology-specific materials such as silicon, magnets, coatings, catalysts or working fluids. For Wave energy, specifications must include durability, compatibility, recycled content and recoverability.</x:v>
      </x:c>
      <x:c r="AD115" s="2" t="str">
        <x:v>Maintenance of Wave energy depends on bearings, seals, filters, lubricants, sensors, converter parts, cables, fasteners, coatings and replaceable collector or heat-exchanger components; critical spares are selected from failure-mode, lead-time and safety analysis for its installed configuration.</x:v>
      </x:c>
      <x:c r="AE115" s="2" t="str">
        <x:v>The software stack for Wave energy requires databases, secure communications, version-controlled models, computing, backup and interfaces with field or operational systems.</x:v>
      </x:c>
      <x:c r="AF115" s="2" t="str">
        <x:v>For Wave energy, software-related energy is electricity for sensing, computing, storage, communication and cooling; it is normally secondary but must be included for data-intensive or continuous services.</x:v>
      </x:c>
      <x:c r="AG115" s="2" t="str">
        <x:v>The non-physical inputs are calibrated data, metadata, algorithms, boundary conditions, emission or hazard factors, manuals and validation records specific to Wave energy.</x:v>
      </x:c>
      <x:c r="AH115" s="2" t="str">
        <x:v>Software continuity for Wave energy requires licences where applicable, updates, cybersecurity patches, backups, calibration files, model validation and technical support.</x:v>
      </x:c>
      <x:c r="AI115" s="2" t="str">
        <x:v>Orgware depends on the institutions, laboratories, training providers, regulators, operators and community interfaces needed to govern Wave energy.</x:v>
      </x:c>
      <x:c r="AJ115" s="2" t="str">
        <x:v>The orgware supporting Wave energy has mainly indirect energy use from offices, meetings, training and information systems; travel and field supervision may be material at dispersed sites.</x:v>
      </x:c>
      <x:c r="AK115" s="2" t="str">
        <x:v>Its organisational inputs are permits, budgets, trained staff, competence records, contracts, procedures, safeguards, monitoring evidence and stakeholder agreements tailored to Wave energy.</x:v>
      </x:c>
      <x:c r="AL115" s="2" t="str">
        <x:v>Sustained implementation of Wave energy requires procurement and service contracts, audit protocols, training material, reporting templates, insurance or guarantees and periodic independent review.</x:v>
      </x:c>
      <x:c r="AM115" s="2" t="str">
        <x:v>Iron ore / steel inputs</x:v>
      </x:c>
      <x:c r="AN115" s="2" t="str">
        <x:v>Australia; Brazil; China</x:v>
      </x:c>
      <x:c r="AO115" s="2" t="str">
        <x:v>China; India; Japan</x:v>
      </x:c>
      <x:c r="AP115" s="2" t="str">
        <x:v>Wave energy: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5" s="2" t="str">
        <x:v>2024–2025</x:v>
      </x:c>
      <x:c r="AR115" s="2" t="str">
        <x:v>https://pubs.usgs.gov/periodicals/mcs2026/mcs2026.pdf</x:v>
      </x:c>
    </x:row>
    <x:row r="116" ht="240" customHeight="1">
      <x:c r="A116" s="2" t="str">
        <x:v>MIT-0109</x:v>
      </x:c>
      <x:c r="B116" s="2" t="str">
        <x:v>Mitigation</x:v>
      </x:c>
      <x:c r="C116" s="2" t="str">
        <x:v>Renewable energy</x:v>
      </x:c>
      <x:c r="D116" s="2" t="str">
        <x:v>Ocean energy</x:v>
      </x:c>
      <x:c r="E116" s="2" t="str">
        <x:v>Tidal energy</x:v>
      </x:c>
      <x:c r="F116" s="2" t="str">
        <x:v>Tidal energy is a mitigation technology in the Renewable energy sector and the Ocean energy technology group. It is defined as a combined hardware–software–orgware system that converts a renewable solar, wind, water, ocean, geothermal or chemical resource into electricity, heat or mechanical work while controlling variability and conversion losses. Tidal energy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6" s="2" t="str">
        <x:v>Mixed: adaptable design, site-specific implementation</x:v>
      </x:c>
      <x:c r="H116" s="2" t="str">
        <x:v>Tidal energy is adaptable in capacity and configuration but site-specific in final engineering. Its principle remains the same, but resource quality, climate, scale, interfaces and safety constraints must be recalculated for each deployment.</x:v>
      </x:c>
      <x:c r="I116" s="2" t="str">
        <x:v>Primarily hard, with a soft component</x:v>
      </x:c>
      <x:c r="J116" s="2" t="str">
        <x:v>Tidal energy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6" s="2" t="str">
        <x:v>Equipment and operation</x:v>
      </x:c>
      <x:c r="L116" s="2" t="str">
        <x:v>Tidal energy is embodied mainly as an equipment-and-operation system. The deliverable is accepted only when measurable service, quality, safety and climate-performance criteria are met under real conditions.</x:v>
      </x:c>
      <x:c r="M116" s="2" t="str">
        <x:v>Yes, subject to life-cycle safeguards</x:v>
      </x:c>
      <x:c r="N116" s="2" t="str">
        <x:v>Tidal energy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6" s="2" t="str">
        <x:v>Tidal energy: resource collector or prime mover, generator or heat exchanger, support structure, power conversion, protection, metering and connection equipment.</x:v>
      </x:c>
      <x:c r="P116" s="2" t="str">
        <x:v>Tidal energy: resource assessment, energy-yield modelling, forecasting, maximum-power or process control, dispatch, condition monitoring and maintenance planning.</x:v>
      </x:c>
      <x:c r="Q116" s="2" t="str">
        <x:v>Tidal energy: resource and land or sea rights, environmental licensing, grid code, safety, community participation, revenue contract and decommissioning plan.</x:v>
      </x:c>
      <x:c r="R116" s="2" t="str">
        <x:v>Tidal energy: foundations, access, electrical or thermal network, substation, control and communications, drainage and construction or marine logistics.</x:v>
      </x:c>
      <x:c r="S116" s="2" t="str">
        <x:v>Tidal energy: the renewable resource is the primary input; auxiliary electricity, start-up fuel, pumping or thermal energy may be required depending on the design.</x:v>
      </x:c>
      <x:c r="T116" s="2" t="str">
        <x:v>Tidal energy: steel, concrete, copper, aluminium, polymers, glass and technology-specific materials such as silicon, magnets, coatings, catalysts or working fluids.</x:v>
      </x:c>
      <x:c r="U116" s="2" t="str">
        <x:v>Tidal energy: bearings, seals, filters, lubricants, sensors, converter parts, cables, fasteners, coatings and replaceable collector or heat-exchanger components.</x:v>
      </x:c>
      <x:c r="V116" s="2" t="str">
        <x:v>https://www.ctc-n.org/sites/default/files/resources/ctcn_taxonomy_0.pdf</x:v>
      </x:c>
      <x:c r="W116" s="2" t="str">
        <x:v>https://institutoagricoladepueblobello.edu.co/colegiapp/archivostemas/GUIA%209.%5B25%5D.pdf</x:v>
      </x:c>
      <x:c r="X116" s="2" t="str">
        <x:v>https://iiasa.ac.at/what-is-technology</x:v>
      </x:c>
      <x:c r="Y116" s="2" t="str">
        <x:v>https://www.ipcc.ch/report/ar6/wg3/chapter/chapter-6/; https://www.iea.org/data-and-statistics/data-tools/etp-clean-energy-technology-guide</x:v>
      </x:c>
      <x:c r="Z116" s="2" t="str">
        <x:v>Technology-specific analytical synthesis. The CTCN hierarchy is retained; classifications and component dependencies require validation against the selected design, site and supplier documentation before investment or policy use.</x:v>
      </x:c>
      <x:c r="AA116" s="2" t="str">
        <x:v>Physical deployment of Tidal energy requires foundations, access, electrical or thermal network, substation, control and communications, drainage and construction or marine logistics; interfaces, foundations, access and environmental protection are sized to the specific resource and design load.</x:v>
      </x:c>
      <x:c r="AB116" s="2" t="str">
        <x:v>For Tidal energy,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6" s="2" t="str">
        <x:v>Construction and operation use steel, concrete, copper, aluminium, polymers, glass and technology-specific materials such as silicon, magnets, coatings, catalysts or working fluids. For Tidal energy, specifications must include durability, compatibility, recycled content and recoverability.</x:v>
      </x:c>
      <x:c r="AD116" s="2" t="str">
        <x:v>Maintenance of Tidal energy depends on bearings, seals, filters, lubricants, sensors, converter parts, cables, fasteners, coatings and replaceable collector or heat-exchanger components; critical spares are selected from failure-mode, lead-time and safety analysis for its installed configuration.</x:v>
      </x:c>
      <x:c r="AE116" s="2" t="str">
        <x:v>The software stack for Tidal energy requires databases, secure communications, version-controlled models, computing, backup and interfaces with field or operational systems.</x:v>
      </x:c>
      <x:c r="AF116" s="2" t="str">
        <x:v>For Tidal energy, software-related energy is electricity for sensing, computing, storage, communication and cooling; it is normally secondary but must be included for data-intensive or continuous services.</x:v>
      </x:c>
      <x:c r="AG116" s="2" t="str">
        <x:v>The non-physical inputs are calibrated data, metadata, algorithms, boundary conditions, emission or hazard factors, manuals and validation records specific to Tidal energy.</x:v>
      </x:c>
      <x:c r="AH116" s="2" t="str">
        <x:v>Software continuity for Tidal energy requires licences where applicable, updates, cybersecurity patches, backups, calibration files, model validation and technical support.</x:v>
      </x:c>
      <x:c r="AI116" s="2" t="str">
        <x:v>Orgware depends on the institutions, laboratories, training providers, regulators, operators and community interfaces needed to govern Tidal energy.</x:v>
      </x:c>
      <x:c r="AJ116" s="2" t="str">
        <x:v>The orgware supporting Tidal energy has mainly indirect energy use from offices, meetings, training and information systems; travel and field supervision may be material at dispersed sites.</x:v>
      </x:c>
      <x:c r="AK116" s="2" t="str">
        <x:v>Its organisational inputs are permits, budgets, trained staff, competence records, contracts, procedures, safeguards, monitoring evidence and stakeholder agreements tailored to Tidal energy.</x:v>
      </x:c>
      <x:c r="AL116" s="2" t="str">
        <x:v>Sustained implementation of Tidal energy requires procurement and service contracts, audit protocols, training material, reporting templates, insurance or guarantees and periodic independent review.</x:v>
      </x:c>
      <x:c r="AM116" s="2" t="str">
        <x:v>Iron ore / steel inputs</x:v>
      </x:c>
      <x:c r="AN116" s="2" t="str">
        <x:v>Australia; Brazil; China</x:v>
      </x:c>
      <x:c r="AO116" s="2" t="str">
        <x:v>China; India; Japan</x:v>
      </x:c>
      <x:c r="AP116" s="2" t="str">
        <x:v>Tidal energy: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6" s="2" t="str">
        <x:v>2024–2025</x:v>
      </x:c>
      <x:c r="AR116" s="2" t="str">
        <x:v>https://pubs.usgs.gov/periodicals/mcs2026/mcs2026.pdf</x:v>
      </x:c>
    </x:row>
    <x:row r="117" ht="240" customHeight="1">
      <x:c r="A117" s="2" t="str">
        <x:v>MIT-0110</x:v>
      </x:c>
      <x:c r="B117" s="2" t="str">
        <x:v>Mitigation</x:v>
      </x:c>
      <x:c r="C117" s="2" t="str">
        <x:v>Renewable energy</x:v>
      </x:c>
      <x:c r="D117" s="2" t="str">
        <x:v>Wind</x:v>
      </x:c>
      <x:c r="E117" s="2" t="str">
        <x:v>On-shore wind</x:v>
      </x:c>
      <x:c r="F117" s="2" t="str">
        <x:v>On-shore wind is a mitigation technology in the Renewable energy sector and the Wind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7" s="2" t="str">
        <x:v>Mixed: adaptable design, site-specific implementation</x:v>
      </x:c>
      <x:c r="H117" s="2" t="str">
        <x:v>On-shore wind is adaptable in capacity and configuration but site-specific in final engineering. Its principle remains the same, but resource quality, climate, scale, interfaces and safety constraints must be recalculated for each deployment.</x:v>
      </x:c>
      <x:c r="I117" s="2" t="str">
        <x:v>Primarily hard, with a soft component</x:v>
      </x:c>
      <x:c r="J117" s="2" t="str">
        <x:v>On-shore wind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7" s="2" t="str">
        <x:v>Equipment and operation</x:v>
      </x:c>
      <x:c r="L117" s="2" t="str">
        <x:v>On-shore wind is embodied mainly as an equipment-and-operation system. The deliverable is accepted only when measurable service, quality, safety and climate-performance criteria are met under real conditions.</x:v>
      </x:c>
      <x:c r="M117" s="2" t="str">
        <x:v>Yes, subject to life-cycle safeguards</x:v>
      </x:c>
      <x:c r="N117" s="2" t="str">
        <x:v>On-shore wind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7" s="2" t="str">
        <x:v>On-shore wind: resource collector or prime mover, generator or heat exchanger, support structure, power conversion, protection, metering and connection equipment.</x:v>
      </x:c>
      <x:c r="P117" s="2" t="str">
        <x:v>On-shore wind: resource assessment, energy-yield modelling, forecasting, maximum-power or process control, dispatch, condition monitoring and maintenance planning.</x:v>
      </x:c>
      <x:c r="Q117" s="2" t="str">
        <x:v>On-shore wind: resource and land or sea rights, environmental licensing, grid code, safety, community participation, revenue contract and decommissioning plan.</x:v>
      </x:c>
      <x:c r="R117" s="2" t="str">
        <x:v>On-shore wind: foundations, access, electrical or thermal network, substation, control and communications, drainage and construction or marine logistics.</x:v>
      </x:c>
      <x:c r="S117" s="2" t="str">
        <x:v>On-shore wind: the renewable resource is the primary input; auxiliary electricity, start-up fuel, pumping or thermal energy may be required depending on the design.</x:v>
      </x:c>
      <x:c r="T117" s="2" t="str">
        <x:v>On-shore wind: steel, concrete, copper, aluminium, polymers, glass and technology-specific materials such as silicon, magnets, coatings, catalysts or working fluids.</x:v>
      </x:c>
      <x:c r="U117" s="2" t="str">
        <x:v>On-shore wind: bearings, seals, filters, lubricants, sensors, converter parts, cables, fasteners, coatings and replaceable collector or heat-exchanger components.</x:v>
      </x:c>
      <x:c r="V117" s="2" t="str">
        <x:v>https://www.ctc-n.org/sites/default/files/resources/ctcn_taxonomy_0.pdf</x:v>
      </x:c>
      <x:c r="W117" s="2" t="str">
        <x:v>https://institutoagricoladepueblobello.edu.co/colegiapp/archivostemas/GUIA%209.%5B25%5D.pdf</x:v>
      </x:c>
      <x:c r="X117" s="2" t="str">
        <x:v>https://iiasa.ac.at/what-is-technology</x:v>
      </x:c>
      <x:c r="Y117" s="2" t="str">
        <x:v>https://www.ipcc.ch/report/ar6/wg3/chapter/chapter-6/; https://www.iea.org/data-and-statistics/data-tools/etp-clean-energy-technology-guide</x:v>
      </x:c>
      <x:c r="Z117" s="2" t="str">
        <x:v>Technology-specific analytical synthesis. The CTCN hierarchy is retained; classifications and component dependencies require validation against the selected design, site and supplier documentation before investment or policy use.</x:v>
      </x:c>
      <x:c r="AA117" s="2" t="str">
        <x:v>Physical deployment of On-shore wind requires foundations, access, electrical or thermal network, substation, control and communications, drainage and construction or marine logistics; interfaces, foundations, access and environmental protection are sized to the specific resource and design load.</x:v>
      </x:c>
      <x:c r="AB117" s="2" t="str">
        <x:v>For On-shore wind,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7" s="2" t="str">
        <x:v>Construction and operation use steel, concrete, copper, aluminium, polymers, glass and technology-specific materials such as silicon, magnets, coatings, catalysts or working fluids. For On-shore wind, specifications must include durability, compatibility, recycled content and recoverability.</x:v>
      </x:c>
      <x:c r="AD117" s="2" t="str">
        <x:v>Maintenance of On-shore wind depends on bearings, seals, filters, lubricants, sensors, converter parts, cables, fasteners, coatings and replaceable collector or heat-exchanger components; critical spares are selected from failure-mode, lead-time and safety analysis for its installed configuration.</x:v>
      </x:c>
      <x:c r="AE117" s="2" t="str">
        <x:v>The software stack for On-shore wind requires databases, secure communications, version-controlled models, computing, backup and interfaces with field or operational systems.</x:v>
      </x:c>
      <x:c r="AF117" s="2" t="str">
        <x:v>For On-shore wind, software-related energy is electricity for sensing, computing, storage, communication and cooling; it is normally secondary but must be included for data-intensive or continuous services.</x:v>
      </x:c>
      <x:c r="AG117" s="2" t="str">
        <x:v>The non-physical inputs are calibrated data, metadata, algorithms, boundary conditions, emission or hazard factors, manuals and validation records specific to On-shore wind.</x:v>
      </x:c>
      <x:c r="AH117" s="2" t="str">
        <x:v>Software continuity for On-shore wind requires licences where applicable, updates, cybersecurity patches, backups, calibration files, model validation and technical support.</x:v>
      </x:c>
      <x:c r="AI117" s="2" t="str">
        <x:v>Orgware depends on the institutions, laboratories, training providers, regulators, operators and community interfaces needed to govern On-shore wind.</x:v>
      </x:c>
      <x:c r="AJ117" s="2" t="str">
        <x:v>The orgware supporting On-shore wind has mainly indirect energy use from offices, meetings, training and information systems; travel and field supervision may be material at dispersed sites.</x:v>
      </x:c>
      <x:c r="AK117" s="2" t="str">
        <x:v>Its organisational inputs are permits, budgets, trained staff, competence records, contracts, procedures, safeguards, monitoring evidence and stakeholder agreements tailored to On-shore wind.</x:v>
      </x:c>
      <x:c r="AL117" s="2" t="str">
        <x:v>Sustained implementation of On-shore wind requires procurement and service contracts, audit protocols, training material, reporting templates, insurance or guarantees and periodic independent review.</x:v>
      </x:c>
      <x:c r="AM117" s="2" t="str">
        <x:v>Iron ore / steel inputs; Copper; Tin; Rare earth elements; Zinc; Bauxite / aluminium</x:v>
      </x:c>
      <x:c r="AN117" s="2" t="str">
        <x:v>Australia; Brazil; China; Chile; Democratic Republic of the Congo; Peru; Indonesia; Myanmar; United States; Guinea</x:v>
      </x:c>
      <x:c r="AO117" s="2" t="str">
        <x:v>China; India; Japan; Chile; Democratic Republic of the Congo; Indonesia; Malaysia; Estonia; South Korea; Russia</x:v>
      </x:c>
      <x:c r="AP117" s="2" t="str">
        <x:v>On-shore wind: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7" s="2" t="str">
        <x:v>2024–2025</x:v>
      </x:c>
      <x:c r="AR117" s="2" t="str">
        <x:v>https://pubs.usgs.gov/periodicals/mcs2026/mcs2026.pdf; https://www.iea.org/reports/global-critical-minerals-outlook-2025</x:v>
      </x:c>
    </x:row>
    <x:row r="118" ht="240" customHeight="1">
      <x:c r="A118" s="2" t="str">
        <x:v>MIT-0111</x:v>
      </x:c>
      <x:c r="B118" s="2" t="str">
        <x:v>Mitigation</x:v>
      </x:c>
      <x:c r="C118" s="2" t="str">
        <x:v>Renewable energy</x:v>
      </x:c>
      <x:c r="D118" s="2" t="str">
        <x:v>Wind</x:v>
      </x:c>
      <x:c r="E118" s="2" t="str">
        <x:v>Building-integrated wind turbines</x:v>
      </x:c>
      <x:c r="F118" s="2" t="str">
        <x:v>Building-integrated wind turbines is a mitigation technology in the Renewable energy sector and the Wind technology group. It is defined as a combined hardware–software–orgware system that reduces thermal, electrical or water demand through passive design, efficient equipment, controls and low-impact materials.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118" s="2" t="str">
        <x:v>Mixed: adaptable design, site-specific implementation</x:v>
      </x:c>
      <x:c r="H118" s="2" t="str">
        <x:v>Building-integrated wind turbines is adaptable in capacity and configuration but site-specific in final engineering. Its principle remains the same, but resource quality, climate, scale, interfaces and safety constraints must be recalculated for each deployment.</x:v>
      </x:c>
      <x:c r="I118" s="2" t="str">
        <x:v>Primarily hard, with a soft component</x:v>
      </x:c>
      <x:c r="J118" s="2" t="str">
        <x:v>Building-integrated wind turbines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118" s="2" t="str">
        <x:v>Equipment and operation</x:v>
      </x:c>
      <x:c r="L118" s="2" t="str">
        <x:v>Building-integrated wind turbines is embodied mainly as an equipment-and-operation system. The deliverable is accepted only when measurable service, quality, safety and climate-performance criteria are met under real conditions.</x:v>
      </x:c>
      <x:c r="M118" s="2" t="str">
        <x:v>Yes, subject to life-cycle safeguards</x:v>
      </x:c>
      <x:c r="N118" s="2" t="str">
        <x:v>Building-integrated wind turbines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118" s="2" t="str">
        <x:v>Building-integrated wind turbines: envelope assemblies, efficient equipment, sensors, actuators, meters and distribution systems.</x:v>
      </x:c>
      <x:c r="P118" s="2" t="str">
        <x:v>Building-integrated wind turbines: energy simulation, load calculation, control sequences, commissioning data and building management.</x:v>
      </x:c>
      <x:c r="Q118" s="2" t="str">
        <x:v>Building-integrated wind turbines: building codes, performance standards, procurement, commissioning, maintenance plans and occupant guidance.</x:v>
      </x:c>
      <x:c r="R118" s="2" t="str">
        <x:v>Building-integrated wind turbines: building fabric, plant rooms, electrical and water networks, access for maintenance and metering.</x:v>
      </x:c>
      <x:c r="S118" s="2" t="str">
        <x:v>Building-integrated wind turbines: electricity and thermal energy; peak demand, part-load efficiency and controls determine actual savings.</x:v>
      </x:c>
      <x:c r="T118" s="2" t="str">
        <x:v>Building-integrated wind turbines: insulation, glass, concrete, steel, timber, aluminium, copper, refrigerants and electronic components as applicable.</x:v>
      </x:c>
      <x:c r="U118" s="2" t="str">
        <x:v>Building-integrated wind turbines: filters, belts, seals, lamps or drivers, sensors, actuators, valves, control modules and envelope repair materials.</x:v>
      </x:c>
      <x:c r="V118" s="2" t="str">
        <x:v>https://www.ctc-n.org/sites/default/files/resources/ctcn_taxonomy_0.pdf</x:v>
      </x:c>
      <x:c r="W118" s="2" t="str">
        <x:v>https://institutoagricoladepueblobello.edu.co/colegiapp/archivostemas/GUIA%209.%5B25%5D.pdf</x:v>
      </x:c>
      <x:c r="X118" s="2" t="str">
        <x:v>https://iiasa.ac.at/what-is-technology</x:v>
      </x:c>
      <x:c r="Y118" s="2" t="str">
        <x:v>https://www.ipcc.ch/report/ar6/wg3/chapter/chapter-6/; https://www.ipcc.ch/report/ar6/wg3/chapter/chapter-9/</x:v>
      </x:c>
      <x:c r="Z118" s="2" t="str">
        <x:v>Technology-specific analytical synthesis. The CTCN hierarchy is retained; classifications and component dependencies require validation against the selected design, site and supplier documentation before investment or policy use.</x:v>
      </x:c>
      <x:c r="AA118" s="2" t="str">
        <x:v>Physical deployment of Building-integrated wind turbines requires building fabric, plant rooms, electrical and water networks, access for maintenance and metering; interfaces, foundations, access and environmental protection are sized to the specific resource and design load.</x:v>
      </x:c>
      <x:c r="AB118" s="2" t="str">
        <x:v>For Building-integrated wind turbines, the hardware energy balance comprises electricity and thermal energy; peak demand, part-load efficiency and controls determine actual savings; metering must separate useful output, conversion losses and auxiliaries for the selected design.</x:v>
      </x:c>
      <x:c r="AC118" s="2" t="str">
        <x:v>Construction and operation use insulation, glass, concrete, steel, timber, aluminium, copper, refrigerants and electronic components as applicable. For Building-integrated wind turbines, specifications must include durability, compatibility, recycled content and recoverability.</x:v>
      </x:c>
      <x:c r="AD118" s="2" t="str">
        <x:v>Maintenance of Building-integrated wind turbines depends on filters, belts, seals, lamps or drivers, sensors, actuators, valves, control modules and envelope repair materials; critical spares are selected from failure-mode, lead-time and safety analysis for its installed configuration.</x:v>
      </x:c>
      <x:c r="AE118" s="2" t="str">
        <x:v>The software stack for Building-integrated wind turbines requires databases, secure communications, version-controlled models, computing, backup and interfaces with field or operational systems.</x:v>
      </x:c>
      <x:c r="AF118" s="2" t="str">
        <x:v>For Building-integrated wind turbines, software-related energy is electricity for sensing, computing, storage, communication and cooling; it is normally secondary but must be included for data-intensive or continuous services.</x:v>
      </x:c>
      <x:c r="AG118" s="2" t="str">
        <x:v>The non-physical inputs are calibrated data, metadata, algorithms, boundary conditions, emission or hazard factors, manuals and validation records specific to Building-integrated wind turbines.</x:v>
      </x:c>
      <x:c r="AH118" s="2" t="str">
        <x:v>Software continuity for Building-integrated wind turbines requires licences where applicable, updates, cybersecurity patches, backups, calibration files, model validation and technical support.</x:v>
      </x:c>
      <x:c r="AI118" s="2" t="str">
        <x:v>Orgware depends on the institutions, laboratories, training providers, regulators, operators and community interfaces needed to govern Building-integrated wind turbines.</x:v>
      </x:c>
      <x:c r="AJ118" s="2" t="str">
        <x:v>The orgware supporting Building-integrated wind turbines has mainly indirect energy use from offices, meetings, training and information systems; travel and field supervision may be material at dispersed sites.</x:v>
      </x:c>
      <x:c r="AK118" s="2" t="str">
        <x:v>Its organisational inputs are permits, budgets, trained staff, competence records, contracts, procedures, safeguards, monitoring evidence and stakeholder agreements tailored to Building-integrated wind turbines.</x:v>
      </x:c>
      <x:c r="AL118" s="2" t="str">
        <x:v>Sustained implementation of Building-integrated wind turbines requires procurement and service contracts, audit protocols, training material, reporting templates, insurance or guarantees and periodic independent review.</x:v>
      </x:c>
      <x:c r="AM118" s="2" t="str">
        <x:v>Iron ore / steel inputs; Copper; Tin; Rare earth elements; Limestone / cement raw materials; Zinc; Bauxite / aluminium</x:v>
      </x:c>
      <x:c r="AN118" s="2" t="str">
        <x:v>Australia; Brazil; China; Chile; Democratic Republic of the Congo; Peru; Indonesia; Myanmar; United States; India; Vietnam; Guinea</x:v>
      </x:c>
      <x:c r="AO118" s="2" t="str">
        <x:v>China; India; Japan; Chile; Democratic Republic of the Congo; Indonesia; Malaysia; Estonia; Vietnam; South Korea; Russia</x:v>
      </x:c>
      <x:c r="AP118" s="2" t="str">
        <x:v>Building-integrated wind turbines: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8" s="2" t="str">
        <x:v>2024–2025</x:v>
      </x:c>
      <x:c r="AR118" s="2" t="str">
        <x:v>https://pubs.usgs.gov/periodicals/mcs2026/mcs2026.pdf; https://www.iea.org/reports/global-critical-minerals-outlook-2025</x:v>
      </x:c>
    </x:row>
    <x:row r="119" ht="240" customHeight="1">
      <x:c r="A119" s="2" t="str">
        <x:v>MIT-0112</x:v>
      </x:c>
      <x:c r="B119" s="2" t="str">
        <x:v>Mitigation</x:v>
      </x:c>
      <x:c r="C119" s="2" t="str">
        <x:v>Renewable energy</x:v>
      </x:c>
      <x:c r="D119" s="2" t="str">
        <x:v>Wind</x:v>
      </x:c>
      <x:c r="E119" s="2" t="str">
        <x:v>Offshore wind</x:v>
      </x:c>
      <x:c r="F119" s="2" t="str">
        <x:v>Offshore wind is a mitigation technology in the Renewable energy sector and the Wind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19" s="2" t="str">
        <x:v>Primarily fixed</x:v>
      </x:c>
      <x:c r="H119" s="2" t="str">
        <x:v>Offshore wind is tied to long-lived, site-specific assets and design loads. Its principle remains the same, but resource quality, climate, scale, interfaces and safety constraints must be recalculated for each deployment.</x:v>
      </x:c>
      <x:c r="I119" s="2" t="str">
        <x:v>Primarily hard, with a soft component</x:v>
      </x:c>
      <x:c r="J119" s="2" t="str">
        <x:v>Offshore wind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19" s="2" t="str">
        <x:v>Equipment and operation</x:v>
      </x:c>
      <x:c r="L119" s="2" t="str">
        <x:v>Offshore wind is embodied mainly as an equipment-and-operation system. The deliverable is accepted only when measurable service, quality, safety and climate-performance criteria are met under real conditions.</x:v>
      </x:c>
      <x:c r="M119" s="2" t="str">
        <x:v>Yes, subject to life-cycle safeguards</x:v>
      </x:c>
      <x:c r="N119" s="2" t="str">
        <x:v>Offshore wind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19" s="2" t="str">
        <x:v>Offshore wind: resource collector or prime mover, generator or heat exchanger, support structure, power conversion, protection, metering and connection equipment.</x:v>
      </x:c>
      <x:c r="P119" s="2" t="str">
        <x:v>Offshore wind: resource assessment, energy-yield modelling, forecasting, maximum-power or process control, dispatch, condition monitoring and maintenance planning.</x:v>
      </x:c>
      <x:c r="Q119" s="2" t="str">
        <x:v>Offshore wind: resource and land or sea rights, environmental licensing, grid code, safety, community participation, revenue contract and decommissioning plan.</x:v>
      </x:c>
      <x:c r="R119" s="2" t="str">
        <x:v>Offshore wind: foundations, access, electrical or thermal network, substation, control and communications, drainage and construction or marine logistics.</x:v>
      </x:c>
      <x:c r="S119" s="2" t="str">
        <x:v>Offshore wind: the renewable resource is the primary input; auxiliary electricity, start-up fuel, pumping or thermal energy may be required depending on the design.</x:v>
      </x:c>
      <x:c r="T119" s="2" t="str">
        <x:v>Offshore wind: steel, concrete, copper, aluminium, polymers, glass and technology-specific materials such as silicon, magnets, coatings, catalysts or working fluids.</x:v>
      </x:c>
      <x:c r="U119" s="2" t="str">
        <x:v>Offshore wind: bearings, seals, filters, lubricants, sensors, converter parts, cables, fasteners, coatings and replaceable collector or heat-exchanger components.</x:v>
      </x:c>
      <x:c r="V119" s="2" t="str">
        <x:v>https://www.ctc-n.org/sites/default/files/resources/ctcn_taxonomy_0.pdf</x:v>
      </x:c>
      <x:c r="W119" s="2" t="str">
        <x:v>https://institutoagricoladepueblobello.edu.co/colegiapp/archivostemas/GUIA%209.%5B25%5D.pdf</x:v>
      </x:c>
      <x:c r="X119" s="2" t="str">
        <x:v>https://iiasa.ac.at/what-is-technology</x:v>
      </x:c>
      <x:c r="Y119" s="2" t="str">
        <x:v>https://www.ipcc.ch/report/ar6/wg3/chapter/chapter-6/; https://www.iea.org/data-and-statistics/data-tools/etp-clean-energy-technology-guide</x:v>
      </x:c>
      <x:c r="Z119" s="2" t="str">
        <x:v>Technology-specific analytical synthesis. The CTCN hierarchy is retained; classifications and component dependencies require validation against the selected design, site and supplier documentation before investment or policy use.</x:v>
      </x:c>
      <x:c r="AA119" s="2" t="str">
        <x:v>Physical deployment of Offshore wind requires foundations, access, electrical or thermal network, substation, control and communications, drainage and construction or marine logistics; interfaces, foundations, access and environmental protection are sized to the specific resource and design load.</x:v>
      </x:c>
      <x:c r="AB119" s="2" t="str">
        <x:v>For Offshore wind,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19" s="2" t="str">
        <x:v>Construction and operation use steel, concrete, copper, aluminium, polymers, glass and technology-specific materials such as silicon, magnets, coatings, catalysts or working fluids. For Offshore wind, specifications must include durability, compatibility, recycled content and recoverability.</x:v>
      </x:c>
      <x:c r="AD119" s="2" t="str">
        <x:v>Maintenance of Offshore wind depends on bearings, seals, filters, lubricants, sensors, converter parts, cables, fasteners, coatings and replaceable collector or heat-exchanger components; critical spares are selected from failure-mode, lead-time and safety analysis for its installed configuration.</x:v>
      </x:c>
      <x:c r="AE119" s="2" t="str">
        <x:v>The software stack for Offshore wind requires databases, secure communications, version-controlled models, computing, backup and interfaces with field or operational systems.</x:v>
      </x:c>
      <x:c r="AF119" s="2" t="str">
        <x:v>For Offshore wind, software-related energy is electricity for sensing, computing, storage, communication and cooling; it is normally secondary but must be included for data-intensive or continuous services.</x:v>
      </x:c>
      <x:c r="AG119" s="2" t="str">
        <x:v>The non-physical inputs are calibrated data, metadata, algorithms, boundary conditions, emission or hazard factors, manuals and validation records specific to Offshore wind.</x:v>
      </x:c>
      <x:c r="AH119" s="2" t="str">
        <x:v>Software continuity for Offshore wind requires licences where applicable, updates, cybersecurity patches, backups, calibration files, model validation and technical support.</x:v>
      </x:c>
      <x:c r="AI119" s="2" t="str">
        <x:v>Orgware depends on the institutions, laboratories, training providers, regulators, operators and community interfaces needed to govern Offshore wind.</x:v>
      </x:c>
      <x:c r="AJ119" s="2" t="str">
        <x:v>The orgware supporting Offshore wind has mainly indirect energy use from offices, meetings, training and information systems; travel and field supervision may be material at dispersed sites.</x:v>
      </x:c>
      <x:c r="AK119" s="2" t="str">
        <x:v>Its organisational inputs are permits, budgets, trained staff, competence records, contracts, procedures, safeguards, monitoring evidence and stakeholder agreements tailored to Offshore wind.</x:v>
      </x:c>
      <x:c r="AL119" s="2" t="str">
        <x:v>Sustained implementation of Offshore wind requires procurement and service contracts, audit protocols, training material, reporting templates, insurance or guarantees and periodic independent review.</x:v>
      </x:c>
      <x:c r="AM119" s="2" t="str">
        <x:v>Iron ore / steel inputs; Copper; Tin; Rare earth elements; Nickel; Chromium; Zinc; Bauxite / aluminium</x:v>
      </x:c>
      <x:c r="AN119" s="2" t="str">
        <x:v>Australia; Brazil; China; Chile; Democratic Republic of the Congo; Peru; Indonesia; Myanmar; United States; Philippines; Russia; South Africa; Kazakhstan; Turkey; Guinea</x:v>
      </x:c>
      <x:c r="AO119" s="2" t="str">
        <x:v>China; India; Japan; Chile; Democratic Republic of the Congo; Indonesia; Malaysia; Estonia; South Africa; Kazakhstan; South Korea; Russia</x:v>
      </x:c>
      <x:c r="AP119" s="2" t="str">
        <x:v>Offshore wind: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9" s="2" t="str">
        <x:v>2024–2025</x:v>
      </x:c>
      <x:c r="AR119" s="2" t="str">
        <x:v>https://pubs.usgs.gov/periodicals/mcs2026/mcs2026.pdf; https://www.iea.org/reports/global-critical-minerals-outlook-2025</x:v>
      </x:c>
    </x:row>
    <x:row r="120" ht="240" customHeight="1">
      <x:c r="A120" s="2" t="str">
        <x:v>MIT-0113</x:v>
      </x:c>
      <x:c r="B120" s="2" t="str">
        <x:v>Mitigation</x:v>
      </x:c>
      <x:c r="C120" s="2" t="str">
        <x:v>Renewable energy</x:v>
      </x:c>
      <x:c r="D120" s="2" t="str">
        <x:v>Wind</x:v>
      </x:c>
      <x:c r="E120" s="2" t="str">
        <x:v>Wind water pumping</x:v>
      </x:c>
      <x:c r="F120" s="2" t="str">
        <x:v>Wind water pumping is a mitigation technology in the Renewable energy sector and the Wind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0" s="2" t="str">
        <x:v>Mixed: adaptable design, site-specific implementation</x:v>
      </x:c>
      <x:c r="H120" s="2" t="str">
        <x:v>Wind water pumping is adaptable in capacity and configuration but site-specific in final engineering. Its principle remains the same, but resource quality, climate, scale, interfaces and safety constraints must be recalculated for each deployment.</x:v>
      </x:c>
      <x:c r="I120" s="2" t="str">
        <x:v>Primarily hard, with a soft component</x:v>
      </x:c>
      <x:c r="J120" s="2" t="str">
        <x:v>Wind water pumping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0" s="2" t="str">
        <x:v>Equipment and operation</x:v>
      </x:c>
      <x:c r="L120" s="2" t="str">
        <x:v>Wind water pumping is embodied mainly as an equipment-and-operation system. The deliverable is accepted only when measurable service, quality, safety and climate-performance criteria are met under real conditions.</x:v>
      </x:c>
      <x:c r="M120" s="2" t="str">
        <x:v>Yes, subject to life-cycle safeguards</x:v>
      </x:c>
      <x:c r="N120" s="2" t="str">
        <x:v>Wind water pumping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0" s="2" t="str">
        <x:v>Wind water pumping: resource collector or prime mover, generator or heat exchanger, support structure, power conversion, protection, metering and connection equipment.</x:v>
      </x:c>
      <x:c r="P120" s="2" t="str">
        <x:v>Wind water pumping: resource assessment, energy-yield modelling, forecasting, maximum-power or process control, dispatch, condition monitoring and maintenance planning.</x:v>
      </x:c>
      <x:c r="Q120" s="2" t="str">
        <x:v>Wind water pumping: resource and land or sea rights, environmental licensing, grid code, safety, community participation, revenue contract and decommissioning plan.</x:v>
      </x:c>
      <x:c r="R120" s="2" t="str">
        <x:v>Wind water pumping: foundations, access, electrical or thermal network, substation, control and communications, drainage and construction or marine logistics.</x:v>
      </x:c>
      <x:c r="S120" s="2" t="str">
        <x:v>Wind water pumping: the renewable resource is the primary input; auxiliary electricity, start-up fuel, pumping or thermal energy may be required depending on the design.</x:v>
      </x:c>
      <x:c r="T120" s="2" t="str">
        <x:v>Wind water pumping: steel, concrete, copper, aluminium, polymers, glass and technology-specific materials such as silicon, magnets, coatings, catalysts or working fluids.</x:v>
      </x:c>
      <x:c r="U120" s="2" t="str">
        <x:v>Wind water pumping: bearings, seals, filters, lubricants, sensors, converter parts, cables, fasteners, coatings and replaceable collector or heat-exchanger components.</x:v>
      </x:c>
      <x:c r="V120" s="2" t="str">
        <x:v>https://www.ctc-n.org/sites/default/files/resources/ctcn_taxonomy_0.pdf</x:v>
      </x:c>
      <x:c r="W120" s="2" t="str">
        <x:v>https://institutoagricoladepueblobello.edu.co/colegiapp/archivostemas/GUIA%209.%5B25%5D.pdf</x:v>
      </x:c>
      <x:c r="X120" s="2" t="str">
        <x:v>https://iiasa.ac.at/what-is-technology</x:v>
      </x:c>
      <x:c r="Y120" s="2" t="str">
        <x:v>https://www.ipcc.ch/report/ar6/wg3/chapter/chapter-6/; https://www.iea.org/data-and-statistics/data-tools/etp-clean-energy-technology-guide</x:v>
      </x:c>
      <x:c r="Z120" s="2" t="str">
        <x:v>Technology-specific analytical synthesis. The CTCN hierarchy is retained; classifications and component dependencies require validation against the selected design, site and supplier documentation before investment or policy use.</x:v>
      </x:c>
      <x:c r="AA120" s="2" t="str">
        <x:v>Physical deployment of Wind water pumping requires foundations, access, electrical or thermal network, substation, control and communications, drainage and construction or marine logistics; interfaces, foundations, access and environmental protection are sized to the specific resource and design load.</x:v>
      </x:c>
      <x:c r="AB120" s="2" t="str">
        <x:v>For Wind water pumping,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0" s="2" t="str">
        <x:v>Construction and operation use steel, concrete, copper, aluminium, polymers, glass and technology-specific materials such as silicon, magnets, coatings, catalysts or working fluids. For Wind water pumping, specifications must include durability, compatibility, recycled content and recoverability.</x:v>
      </x:c>
      <x:c r="AD120" s="2" t="str">
        <x:v>Maintenance of Wind water pumping depends on bearings, seals, filters, lubricants, sensors, converter parts, cables, fasteners, coatings and replaceable collector or heat-exchanger components; critical spares are selected from failure-mode, lead-time and safety analysis for its installed configuration.</x:v>
      </x:c>
      <x:c r="AE120" s="2" t="str">
        <x:v>The software stack for Wind water pumping requires databases, secure communications, version-controlled models, computing, backup and interfaces with field or operational systems.</x:v>
      </x:c>
      <x:c r="AF120" s="2" t="str">
        <x:v>For Wind water pumping, software-related energy is electricity for sensing, computing, storage, communication and cooling; it is normally secondary but must be included for data-intensive or continuous services.</x:v>
      </x:c>
      <x:c r="AG120" s="2" t="str">
        <x:v>The non-physical inputs are calibrated data, metadata, algorithms, boundary conditions, emission or hazard factors, manuals and validation records specific to Wind water pumping.</x:v>
      </x:c>
      <x:c r="AH120" s="2" t="str">
        <x:v>Software continuity for Wind water pumping requires licences where applicable, updates, cybersecurity patches, backups, calibration files, model validation and technical support.</x:v>
      </x:c>
      <x:c r="AI120" s="2" t="str">
        <x:v>Orgware depends on the institutions, laboratories, training providers, regulators, operators and community interfaces needed to govern Wind water pumping.</x:v>
      </x:c>
      <x:c r="AJ120" s="2" t="str">
        <x:v>The orgware supporting Wind water pumping has mainly indirect energy use from offices, meetings, training and information systems; travel and field supervision may be material at dispersed sites.</x:v>
      </x:c>
      <x:c r="AK120" s="2" t="str">
        <x:v>Its organisational inputs are permits, budgets, trained staff, competence records, contracts, procedures, safeguards, monitoring evidence and stakeholder agreements tailored to Wind water pumping.</x:v>
      </x:c>
      <x:c r="AL120" s="2" t="str">
        <x:v>Sustained implementation of Wind water pumping requires procurement and service contracts, audit protocols, training material, reporting templates, insurance or guarantees and periodic independent review.</x:v>
      </x:c>
      <x:c r="AM120" s="2" t="str">
        <x:v>Iron ore / steel inputs; Copper; Tin; Rare earth elements; Zinc; Bauxite / aluminium</x:v>
      </x:c>
      <x:c r="AN120" s="2" t="str">
        <x:v>Australia; Brazil; China; Chile; Democratic Republic of the Congo; Peru; Indonesia; Myanmar; United States; Guinea</x:v>
      </x:c>
      <x:c r="AO120" s="2" t="str">
        <x:v>China; India; Japan; Chile; Democratic Republic of the Congo; Indonesia; Malaysia; Estonia; South Korea; Russia</x:v>
      </x:c>
      <x:c r="AP120" s="2" t="str">
        <x:v>Wind water pumping: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0" s="2" t="str">
        <x:v>2024–2025</x:v>
      </x:c>
      <x:c r="AR120" s="2" t="str">
        <x:v>https://pubs.usgs.gov/periodicals/mcs2026/mcs2026.pdf; https://www.iea.org/reports/global-critical-minerals-outlook-2025</x:v>
      </x:c>
    </x:row>
    <x:row r="121" ht="240" customHeight="1">
      <x:c r="A121" s="2" t="str">
        <x:v>MIT-0114</x:v>
      </x:c>
      <x:c r="B121" s="2" t="str">
        <x:v>Mitigation</x:v>
      </x:c>
      <x:c r="C121" s="2" t="str">
        <x:v>Renewable energy</x:v>
      </x:c>
      <x:c r="D121" s="2" t="str">
        <x:v>Wind</x:v>
      </x:c>
      <x:c r="E121" s="2" t="str">
        <x:v>Small-scale wind</x:v>
      </x:c>
      <x:c r="F121" s="2" t="str">
        <x:v>Small-scale wind is a mitigation technology in the Renewable energy sector and the Wind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1" s="2" t="str">
        <x:v>Mixed: adaptable design, site-specific implementation</x:v>
      </x:c>
      <x:c r="H121" s="2" t="str">
        <x:v>Small-scale wind is adaptable in capacity and configuration but site-specific in final engineering. Its principle remains the same, but resource quality, climate, scale, interfaces and safety constraints must be recalculated for each deployment.</x:v>
      </x:c>
      <x:c r="I121" s="2" t="str">
        <x:v>Primarily hard, with a soft component</x:v>
      </x:c>
      <x:c r="J121" s="2" t="str">
        <x:v>Small-scale wind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1" s="2" t="str">
        <x:v>Equipment and operation</x:v>
      </x:c>
      <x:c r="L121" s="2" t="str">
        <x:v>Small-scale wind is embodied mainly as an equipment-and-operation system. The deliverable is accepted only when measurable service, quality, safety and climate-performance criteria are met under real conditions.</x:v>
      </x:c>
      <x:c r="M121" s="2" t="str">
        <x:v>Yes, subject to life-cycle safeguards</x:v>
      </x:c>
      <x:c r="N121" s="2" t="str">
        <x:v>Small-scale wind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1" s="2" t="str">
        <x:v>Small-scale wind: resource collector or prime mover, generator or heat exchanger, support structure, power conversion, protection, metering and connection equipment.</x:v>
      </x:c>
      <x:c r="P121" s="2" t="str">
        <x:v>Small-scale wind: resource assessment, energy-yield modelling, forecasting, maximum-power or process control, dispatch, condition monitoring and maintenance planning.</x:v>
      </x:c>
      <x:c r="Q121" s="2" t="str">
        <x:v>Small-scale wind: resource and land or sea rights, environmental licensing, grid code, safety, community participation, revenue contract and decommissioning plan.</x:v>
      </x:c>
      <x:c r="R121" s="2" t="str">
        <x:v>Small-scale wind: foundations, access, electrical or thermal network, substation, control and communications, drainage and construction or marine logistics.</x:v>
      </x:c>
      <x:c r="S121" s="2" t="str">
        <x:v>Small-scale wind: the renewable resource is the primary input; auxiliary electricity, start-up fuel, pumping or thermal energy may be required depending on the design.</x:v>
      </x:c>
      <x:c r="T121" s="2" t="str">
        <x:v>Small-scale wind: steel, concrete, copper, aluminium, polymers, glass and technology-specific materials such as silicon, magnets, coatings, catalysts or working fluids.</x:v>
      </x:c>
      <x:c r="U121" s="2" t="str">
        <x:v>Small-scale wind: bearings, seals, filters, lubricants, sensors, converter parts, cables, fasteners, coatings and replaceable collector or heat-exchanger components.</x:v>
      </x:c>
      <x:c r="V121" s="2" t="str">
        <x:v>https://www.ctc-n.org/sites/default/files/resources/ctcn_taxonomy_0.pdf</x:v>
      </x:c>
      <x:c r="W121" s="2" t="str">
        <x:v>https://institutoagricoladepueblobello.edu.co/colegiapp/archivostemas/GUIA%209.%5B25%5D.pdf</x:v>
      </x:c>
      <x:c r="X121" s="2" t="str">
        <x:v>https://iiasa.ac.at/what-is-technology</x:v>
      </x:c>
      <x:c r="Y121" s="2" t="str">
        <x:v>https://www.ipcc.ch/report/ar6/wg3/chapter/chapter-6/; https://www.iea.org/data-and-statistics/data-tools/etp-clean-energy-technology-guide</x:v>
      </x:c>
      <x:c r="Z121" s="2" t="str">
        <x:v>Technology-specific analytical synthesis. The CTCN hierarchy is retained; classifications and component dependencies require validation against the selected design, site and supplier documentation before investment or policy use.</x:v>
      </x:c>
      <x:c r="AA121" s="2" t="str">
        <x:v>Physical deployment of Small-scale wind requires foundations, access, electrical or thermal network, substation, control and communications, drainage and construction or marine logistics; interfaces, foundations, access and environmental protection are sized to the specific resource and design load.</x:v>
      </x:c>
      <x:c r="AB121" s="2" t="str">
        <x:v>For Small-scale wind,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1" s="2" t="str">
        <x:v>Construction and operation use steel, concrete, copper, aluminium, polymers, glass and technology-specific materials such as silicon, magnets, coatings, catalysts or working fluids. For Small-scale wind, specifications must include durability, compatibility, recycled content and recoverability.</x:v>
      </x:c>
      <x:c r="AD121" s="2" t="str">
        <x:v>Maintenance of Small-scale wind depends on bearings, seals, filters, lubricants, sensors, converter parts, cables, fasteners, coatings and replaceable collector or heat-exchanger components; critical spares are selected from failure-mode, lead-time and safety analysis for its installed configuration.</x:v>
      </x:c>
      <x:c r="AE121" s="2" t="str">
        <x:v>The software stack for Small-scale wind requires databases, secure communications, version-controlled models, computing, backup and interfaces with field or operational systems.</x:v>
      </x:c>
      <x:c r="AF121" s="2" t="str">
        <x:v>For Small-scale wind, software-related energy is electricity for sensing, computing, storage, communication and cooling; it is normally secondary but must be included for data-intensive or continuous services.</x:v>
      </x:c>
      <x:c r="AG121" s="2" t="str">
        <x:v>The non-physical inputs are calibrated data, metadata, algorithms, boundary conditions, emission or hazard factors, manuals and validation records specific to Small-scale wind.</x:v>
      </x:c>
      <x:c r="AH121" s="2" t="str">
        <x:v>Software continuity for Small-scale wind requires licences where applicable, updates, cybersecurity patches, backups, calibration files, model validation and technical support.</x:v>
      </x:c>
      <x:c r="AI121" s="2" t="str">
        <x:v>Orgware depends on the institutions, laboratories, training providers, regulators, operators and community interfaces needed to govern Small-scale wind.</x:v>
      </x:c>
      <x:c r="AJ121" s="2" t="str">
        <x:v>The orgware supporting Small-scale wind has mainly indirect energy use from offices, meetings, training and information systems; travel and field supervision may be material at dispersed sites.</x:v>
      </x:c>
      <x:c r="AK121" s="2" t="str">
        <x:v>Its organisational inputs are permits, budgets, trained staff, competence records, contracts, procedures, safeguards, monitoring evidence and stakeholder agreements tailored to Small-scale wind.</x:v>
      </x:c>
      <x:c r="AL121" s="2" t="str">
        <x:v>Sustained implementation of Small-scale wind requires procurement and service contracts, audit protocols, training material, reporting templates, insurance or guarantees and periodic independent review.</x:v>
      </x:c>
      <x:c r="AM121" s="2" t="str">
        <x:v>Iron ore / steel inputs; Copper; Tin; Rare earth elements; Zinc; Bauxite / aluminium</x:v>
      </x:c>
      <x:c r="AN121" s="2" t="str">
        <x:v>Australia; Brazil; China; Chile; Democratic Republic of the Congo; Peru; Indonesia; Myanmar; United States; Guinea</x:v>
      </x:c>
      <x:c r="AO121" s="2" t="str">
        <x:v>China; India; Japan; Chile; Democratic Republic of the Congo; Indonesia; Malaysia; Estonia; South Korea; Russia</x:v>
      </x:c>
      <x:c r="AP121" s="2" t="str">
        <x:v>Small-scale wind: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1" s="2" t="str">
        <x:v>2024–2025</x:v>
      </x:c>
      <x:c r="AR121" s="2" t="str">
        <x:v>https://pubs.usgs.gov/periodicals/mcs2026/mcs2026.pdf; https://www.iea.org/reports/global-critical-minerals-outlook-2025</x:v>
      </x:c>
    </x:row>
    <x:row r="122" ht="240" customHeight="1">
      <x:c r="A122" s="2" t="str">
        <x:v>MIT-0115</x:v>
      </x:c>
      <x:c r="B122" s="2" t="str">
        <x:v>Mitigation</x:v>
      </x:c>
      <x:c r="C122" s="2" t="str">
        <x:v>Renewable energy</x:v>
      </x:c>
      <x:c r="D122" s="2" t="str">
        <x:v>Bioenergy</x:v>
      </x:c>
      <x:c r="E122" s="2" t="str">
        <x:v>Biofuels from algae</x:v>
      </x:c>
      <x:c r="F122" s="2" t="str">
        <x:v>Biofuels from algae is a mitigation technology in the Renewable energy sector and the Bioenergy technology group. It is defined as a combined hardware–software–orgware system that improves the conversion of fuel or electricity into tractive work, recovers braking energy, reduces vehicle losses, or substitutes a lower-carbon energy carrier. Biofuels from algae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covers vehicle and battery manufacture, fuel or electricity production, real-duty-cycle efficiency, leakage or methane slip, maintenance, second life and material recovery. Bogotá's electric-bus fleet is a real large-scale application of electric drivetrains, depot charging, fleet control and specialised maintenance.</x:v>
      </x:c>
      <x:c r="G122" s="2" t="str">
        <x:v>Mixed: adaptable design, site-specific implementation</x:v>
      </x:c>
      <x:c r="H122" s="2" t="str">
        <x:v>Biofuels from algae is adaptable in capacity and configuration but site-specific in final engineering. Its principle remains the same, but resource quality, climate, scale, interfaces and safety constraints must be recalculated for each deployment.</x:v>
      </x:c>
      <x:c r="I122" s="2" t="str">
        <x:v>Primarily hard, with a soft component</x:v>
      </x:c>
      <x:c r="J122" s="2" t="str">
        <x:v>Biofuels from algae combines powertrain, motor or engine, inverter, transmission, energy storage or fuel tanks, thermal management, braking, on-board control and refuelling or charging interface with the codified knowledge in powertrain calibration, battery or fuel management, route-energy modelling, diagnostics, eco-driving logic, charging strategy and safety control. Its performance cannot be assigned to artefacts alone: operation, competence, data quality and institutional arrangements are causal parts of the technology.</x:v>
      </x:c>
      <x:c r="K122" s="2" t="str">
        <x:v>Equipment and operation</x:v>
      </x:c>
      <x:c r="L122" s="2" t="str">
        <x:v>Biofuels from algae is embodied mainly as an equipment-and-operation system. The deliverable is accepted only when measurable service, quality, safety and climate-performance criteria are met under real conditions.</x:v>
      </x:c>
      <x:c r="M122" s="2" t="str">
        <x:v>Yes, subject to life-cycle safeguards</x:v>
      </x:c>
      <x:c r="N122" s="2" t="str">
        <x:v>Biofuels from algae is classified as climate-beneficial subject to safeguards. Assessment covers vehicle and battery manufacture, fuel or electricity production, real-duty-cycle efficiency, leakage or methane slip, maintenance, second life and material recovery. Avoided emissions or reduced vulnerability must be demonstrated against a defined baseline, without shifting material, pollution or social burdens outside the system boundary.</x:v>
      </x:c>
      <x:c r="O122" s="2" t="str">
        <x:v>Biofuels from algae: powertrain, motor or engine, inverter, transmission, energy storage or fuel tanks, thermal management, braking, on-board control and refuelling or charging interface.</x:v>
      </x:c>
      <x:c r="P122" s="2" t="str">
        <x:v>Biofuels from algae: powertrain calibration, battery or fuel management, route-energy modelling, diagnostics, eco-driving logic, charging strategy and safety control.</x:v>
      </x:c>
      <x:c r="Q122" s="2" t="str">
        <x:v>Biofuels from algae: vehicle and fuel standards, homologation, charging or refuelling codes, maintenance competence, energy pricing, warranty and end-of-life responsibility.</x:v>
      </x:c>
      <x:c r="R122" s="2" t="str">
        <x:v>Biofuels from algae: vehicle production and maintenance facilities, depots, charging or refuelling stations, grid or fuel supply, rescue equipment and parts logistics.</x:v>
      </x:c>
      <x:c r="S122" s="2" t="str">
        <x:v>Biofuels from algae: electricity, liquid or gaseous fuel and auxiliary thermal loads; well-to-wheel carbon intensity and real operating efficiency determine the climate result.</x:v>
      </x:c>
      <x:c r="T122" s="2" t="str">
        <x:v>Biofuels from algae: steel, aluminium, copper, polymers, power electronics, magnets, catalysts and—where electrochemical storage is used—battery-active materials.</x:v>
      </x:c>
      <x:c r="U122" s="2" t="str">
        <x:v>Biofuels from algae: filters, fluids, seals, bearings, brake components, sensors, control modules, cables, connectors and battery or fuel-system service parts.</x:v>
      </x:c>
      <x:c r="V122" s="2" t="str">
        <x:v>https://www.ctc-n.org/sites/default/files/resources/ctcn_taxonomy_0.pdf</x:v>
      </x:c>
      <x:c r="W122" s="2" t="str">
        <x:v>https://institutoagricoladepueblobello.edu.co/colegiapp/archivostemas/GUIA%209.%5B25%5D.pdf</x:v>
      </x:c>
      <x:c r="X122" s="2" t="str">
        <x:v>https://iiasa.ac.at/what-is-technology</x:v>
      </x:c>
      <x:c r="Y122" s="2" t="str">
        <x:v>https://www.ipcc.ch/report/ar6/wg3/chapter/chapter-6/; https://www.iea.org/data-and-statistics/data-tools/etp-clean-energy-technology-guide; https://bogota.gov.co/en/international/new-era-transmilenio-transmiapp-and-largest-electric-fleet</x:v>
      </x:c>
      <x:c r="Z122" s="2" t="str">
        <x:v>Technology-specific analytical synthesis. The CTCN hierarchy is retained; classifications and component dependencies require validation against the selected design, site and supplier documentation before investment or policy use.</x:v>
      </x:c>
      <x:c r="AA122" s="2" t="str">
        <x:v>Physical deployment of Biofuels from algae requires vehicle production and maintenance facilities, depots, charging or refuelling stations, grid or fuel supply, rescue equipment and parts logistics; interfaces, foundations, access and environmental protection are sized to the specific resource and design load.</x:v>
      </x:c>
      <x:c r="AB122" s="2" t="str">
        <x:v>For Biofuels from algae, the hardware energy balance comprises electricity, liquid or gaseous fuel and auxiliary thermal loads; well-to-wheel carbon intensity and real operating efficiency determine the climate result; metering must separate useful output, conversion losses and auxiliaries for the selected design.</x:v>
      </x:c>
      <x:c r="AC122" s="2" t="str">
        <x:v>Construction and operation use steel, aluminium, copper, polymers, power electronics, magnets, catalysts and—where electrochemical storage is used—battery-active materials. For Biofuels from algae, specifications must include durability, compatibility, recycled content and recoverability.</x:v>
      </x:c>
      <x:c r="AD122" s="2" t="str">
        <x:v>Maintenance of Biofuels from algae depends on filters, fluids, seals, bearings, brake components, sensors, control modules, cables, connectors and battery or fuel-system service parts; critical spares are selected from failure-mode, lead-time and safety analysis for its installed configuration.</x:v>
      </x:c>
      <x:c r="AE122" s="2" t="str">
        <x:v>The software stack for Biofuels from algae requires databases, secure communications, version-controlled models, computing, backup and interfaces with field or operational systems.</x:v>
      </x:c>
      <x:c r="AF122" s="2" t="str">
        <x:v>For Biofuels from algae, software-related energy is electricity for sensing, computing, storage, communication and cooling; it is normally secondary but must be included for data-intensive or continuous services.</x:v>
      </x:c>
      <x:c r="AG122" s="2" t="str">
        <x:v>The non-physical inputs are calibrated data, metadata, algorithms, boundary conditions, emission or hazard factors, manuals and validation records specific to Biofuels from algae.</x:v>
      </x:c>
      <x:c r="AH122" s="2" t="str">
        <x:v>Software continuity for Biofuels from algae requires licences where applicable, updates, cybersecurity patches, backups, calibration files, model validation and technical support.</x:v>
      </x:c>
      <x:c r="AI122" s="2" t="str">
        <x:v>Orgware depends on the institutions, laboratories, training providers, regulators, operators and community interfaces needed to govern Biofuels from algae.</x:v>
      </x:c>
      <x:c r="AJ122" s="2" t="str">
        <x:v>The orgware supporting Biofuels from algae has mainly indirect energy use from offices, meetings, training and information systems; travel and field supervision may be material at dispersed sites.</x:v>
      </x:c>
      <x:c r="AK122" s="2" t="str">
        <x:v>Its organisational inputs are permits, budgets, trained staff, competence records, contracts, procedures, safeguards, monitoring evidence and stakeholder agreements tailored to Biofuels from algae.</x:v>
      </x:c>
      <x:c r="AL122" s="2" t="str">
        <x:v>Sustained implementation of Biofuels from algae requires procurement and service contracts, audit protocols, training material, reporting templates, insurance or guarantees and periodic independent review.</x:v>
      </x:c>
      <x:c r="AM122" s="2" t="str">
        <x:v>Iron ore / steel inputs</x:v>
      </x:c>
      <x:c r="AN122" s="2" t="str">
        <x:v>Australia; Brazil; China</x:v>
      </x:c>
      <x:c r="AO122" s="2" t="str">
        <x:v>China; India; Japan</x:v>
      </x:c>
      <x:c r="AP122" s="2" t="str">
        <x:v>Biofuels from algae: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2" s="2" t="str">
        <x:v>2024–2025</x:v>
      </x:c>
      <x:c r="AR122" s="2" t="str">
        <x:v>https://pubs.usgs.gov/periodicals/mcs2026/mcs2026.pdf</x:v>
      </x:c>
    </x:row>
    <x:row r="123" ht="240" customHeight="1">
      <x:c r="A123" s="2" t="str">
        <x:v>MIT-0116</x:v>
      </x:c>
      <x:c r="B123" s="2" t="str">
        <x:v>Mitigation</x:v>
      </x:c>
      <x:c r="C123" s="2" t="str">
        <x:v>Renewable energy</x:v>
      </x:c>
      <x:c r="D123" s="2" t="str">
        <x:v>Bioenergy</x:v>
      </x:c>
      <x:c r="E123" s="2" t="str">
        <x:v>Switch from fossil fuel to biomass</x:v>
      </x:c>
      <x:c r="F123" s="2" t="str">
        <x:v>Switch from fossil fuel to biomass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Switch from fossil fuel to biomass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3" s="2" t="str">
        <x:v>Mixed: adaptable design, site-specific implementation</x:v>
      </x:c>
      <x:c r="H123" s="2" t="str">
        <x:v>Switch from fossil fuel to biomass is adaptable in capacity and configuration but site-specific in final engineering. Its principle remains the same, but resource quality, climate, scale, interfaces and safety constraints must be recalculated for each deployment.</x:v>
      </x:c>
      <x:c r="I123" s="2" t="str">
        <x:v>Primarily hard, with a soft component</x:v>
      </x:c>
      <x:c r="J123" s="2" t="str">
        <x:v>Switch from fossil fuel to biomass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3" s="2" t="str">
        <x:v>Equipment and operation</x:v>
      </x:c>
      <x:c r="L123" s="2" t="str">
        <x:v>Switch from fossil fuel to biomass is embodied mainly as an equipment-and-operation system. The deliverable is accepted only when measurable service, quality, safety and climate-performance criteria are met under real conditions.</x:v>
      </x:c>
      <x:c r="M123" s="2" t="str">
        <x:v>Conditional on performance and life cycle</x:v>
      </x:c>
      <x:c r="N123" s="2" t="str">
        <x:v>Switch from fossil fuel to biomass is classified as conditional.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3" s="2" t="str">
        <x:v>Switch from fossil fuel to biomass: resource collector or prime mover, generator or heat exchanger, support structure, power conversion, protection, metering and connection equipment.</x:v>
      </x:c>
      <x:c r="P123" s="2" t="str">
        <x:v>Switch from fossil fuel to biomass: resource assessment, energy-yield modelling, forecasting, maximum-power or process control, dispatch, condition monitoring and maintenance planning.</x:v>
      </x:c>
      <x:c r="Q123" s="2" t="str">
        <x:v>Switch from fossil fuel to biomass: resource and land or sea rights, environmental licensing, grid code, safety, community participation, revenue contract and decommissioning plan.</x:v>
      </x:c>
      <x:c r="R123" s="2" t="str">
        <x:v>Switch from fossil fuel to biomass: foundations, access, electrical or thermal network, substation, control and communications, drainage and construction or marine logistics.</x:v>
      </x:c>
      <x:c r="S123" s="2" t="str">
        <x:v>Switch from fossil fuel to biomass: the renewable resource is the primary input; auxiliary electricity, start-up fuel, pumping or thermal energy may be required depending on the design.</x:v>
      </x:c>
      <x:c r="T123" s="2" t="str">
        <x:v>Switch from fossil fuel to biomass: steel, concrete, copper, aluminium, polymers, glass and technology-specific materials such as silicon, magnets, coatings, catalysts or working fluids.</x:v>
      </x:c>
      <x:c r="U123" s="2" t="str">
        <x:v>Switch from fossil fuel to biomass: bearings, seals, filters, lubricants, sensors, converter parts, cables, fasteners, coatings and replaceable collector or heat-exchanger components.</x:v>
      </x:c>
      <x:c r="V123" s="2" t="str">
        <x:v>https://www.ctc-n.org/sites/default/files/resources/ctcn_taxonomy_0.pdf</x:v>
      </x:c>
      <x:c r="W123" s="2" t="str">
        <x:v>https://institutoagricoladepueblobello.edu.co/colegiapp/archivostemas/GUIA%209.%5B25%5D.pdf</x:v>
      </x:c>
      <x:c r="X123" s="2" t="str">
        <x:v>https://iiasa.ac.at/what-is-technology</x:v>
      </x:c>
      <x:c r="Y123" s="2" t="str">
        <x:v>https://www.ipcc.ch/report/ar6/wg3/chapter/chapter-6/; https://www.iea.org/data-and-statistics/data-tools/etp-clean-energy-technology-guide</x:v>
      </x:c>
      <x:c r="Z123" s="2" t="str">
        <x:v>Technology-specific analytical synthesis. The CTCN hierarchy is retained; classifications and component dependencies require validation against the selected design, site and supplier documentation before investment or policy use.</x:v>
      </x:c>
      <x:c r="AA123" s="2" t="str">
        <x:v>Physical deployment of Switch from fossil fuel to biomass requires foundations, access, electrical or thermal network, substation, control and communications, drainage and construction or marine logistics; interfaces, foundations, access and environmental protection are sized to the specific resource and design load.</x:v>
      </x:c>
      <x:c r="AB123" s="2" t="str">
        <x:v>For Switch from fossil fuel to biomass,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3" s="2" t="str">
        <x:v>Construction and operation use steel, concrete, copper, aluminium, polymers, glass and technology-specific materials such as silicon, magnets, coatings, catalysts or working fluids. For Switch from fossil fuel to biomass, specifications must include durability, compatibility, recycled content and recoverability.</x:v>
      </x:c>
      <x:c r="AD123" s="2" t="str">
        <x:v>Maintenance of Switch from fossil fuel to biomass depends on bearings, seals, filters, lubricants, sensors, converter parts, cables, fasteners, coatings and replaceable collector or heat-exchanger components; critical spares are selected from failure-mode, lead-time and safety analysis for its installed configuration.</x:v>
      </x:c>
      <x:c r="AE123" s="2" t="str">
        <x:v>The software stack for Switch from fossil fuel to biomass requires databases, secure communications, version-controlled models, computing, backup and interfaces with field or operational systems.</x:v>
      </x:c>
      <x:c r="AF123" s="2" t="str">
        <x:v>For Switch from fossil fuel to biomass, software-related energy is electricity for sensing, computing, storage, communication and cooling; it is normally secondary but must be included for data-intensive or continuous services.</x:v>
      </x:c>
      <x:c r="AG123" s="2" t="str">
        <x:v>The non-physical inputs are calibrated data, metadata, algorithms, boundary conditions, emission or hazard factors, manuals and validation records specific to Switch from fossil fuel to biomass.</x:v>
      </x:c>
      <x:c r="AH123" s="2" t="str">
        <x:v>Software continuity for Switch from fossil fuel to biomass requires licences where applicable, updates, cybersecurity patches, backups, calibration files, model validation and technical support.</x:v>
      </x:c>
      <x:c r="AI123" s="2" t="str">
        <x:v>Orgware depends on the institutions, laboratories, training providers, regulators, operators and community interfaces needed to govern Switch from fossil fuel to biomass.</x:v>
      </x:c>
      <x:c r="AJ123" s="2" t="str">
        <x:v>The orgware supporting Switch from fossil fuel to biomass has mainly indirect energy use from offices, meetings, training and information systems; travel and field supervision may be material at dispersed sites.</x:v>
      </x:c>
      <x:c r="AK123" s="2" t="str">
        <x:v>Its organisational inputs are permits, budgets, trained staff, competence records, contracts, procedures, safeguards, monitoring evidence and stakeholder agreements tailored to Switch from fossil fuel to biomass.</x:v>
      </x:c>
      <x:c r="AL123" s="2" t="str">
        <x:v>Sustained implementation of Switch from fossil fuel to biomass requires procurement and service contracts, audit protocols, training material, reporting templates, insurance or guarantees and periodic independent review.</x:v>
      </x:c>
      <x:c r="AM123" s="2" t="str">
        <x:v>Iron ore / steel inputs</x:v>
      </x:c>
      <x:c r="AN123" s="2" t="str">
        <x:v>Australia; Brazil; China</x:v>
      </x:c>
      <x:c r="AO123" s="2" t="str">
        <x:v>China; India; Japan</x:v>
      </x:c>
      <x:c r="AP123" s="2" t="str">
        <x:v>Switch from fossil fuel to biomass: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3" s="2" t="str">
        <x:v>2024–2025</x:v>
      </x:c>
      <x:c r="AR123" s="2" t="str">
        <x:v>https://pubs.usgs.gov/periodicals/mcs2026/mcs2026.pdf</x:v>
      </x:c>
    </x:row>
    <x:row r="124" ht="240" customHeight="1">
      <x:c r="A124" s="2" t="str">
        <x:v>MIT-0117</x:v>
      </x:c>
      <x:c r="B124" s="2" t="str">
        <x:v>Mitigation</x:v>
      </x:c>
      <x:c r="C124" s="2" t="str">
        <x:v>Renewable energy</x:v>
      </x:c>
      <x:c r="D124" s="2" t="str">
        <x:v>Bioenergy</x:v>
      </x:c>
      <x:c r="E124" s="2" t="str">
        <x:v>Biogas for heating</x:v>
      </x:c>
      <x:c r="F124" s="2" t="str">
        <x:v>Biogas for heating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Biogas for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4" s="2" t="str">
        <x:v>Mixed: adaptable design, site-specific implementation</x:v>
      </x:c>
      <x:c r="H124" s="2" t="str">
        <x:v>Biogas for heating is adaptable in capacity and configuration but site-specific in final engineering. Its principle remains the same, but resource quality, climate, scale, interfaces and safety constraints must be recalculated for each deployment.</x:v>
      </x:c>
      <x:c r="I124" s="2" t="str">
        <x:v>Primarily hard, with a soft component</x:v>
      </x:c>
      <x:c r="J124" s="2" t="str">
        <x:v>Biogas for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4" s="2" t="str">
        <x:v>Equipment and operation</x:v>
      </x:c>
      <x:c r="L124" s="2" t="str">
        <x:v>Biogas for heating is embodied mainly as an equipment-and-operation system. The deliverable is accepted only when measurable service, quality, safety and climate-performance criteria are met under real conditions.</x:v>
      </x:c>
      <x:c r="M124" s="2" t="str">
        <x:v>Yes, subject to life-cycle safeguards</x:v>
      </x:c>
      <x:c r="N124" s="2" t="str">
        <x:v>Biogas for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4" s="2" t="str">
        <x:v>Biogas for heating: resource collector or prime mover, generator or heat exchanger, support structure, power conversion, protection, metering and connection equipment.</x:v>
      </x:c>
      <x:c r="P124" s="2" t="str">
        <x:v>Biogas for heating: resource assessment, energy-yield modelling, forecasting, maximum-power or process control, dispatch, condition monitoring and maintenance planning.</x:v>
      </x:c>
      <x:c r="Q124" s="2" t="str">
        <x:v>Biogas for heating: resource and land or sea rights, environmental licensing, grid code, safety, community participation, revenue contract and decommissioning plan.</x:v>
      </x:c>
      <x:c r="R124" s="2" t="str">
        <x:v>Biogas for heating: foundations, access, electrical or thermal network, substation, control and communications, drainage and construction or marine logistics.</x:v>
      </x:c>
      <x:c r="S124" s="2" t="str">
        <x:v>Biogas for heating: the renewable resource is the primary input; auxiliary electricity, start-up fuel, pumping or thermal energy may be required depending on the design.</x:v>
      </x:c>
      <x:c r="T124" s="2" t="str">
        <x:v>Biogas for heating: steel, concrete, copper, aluminium, polymers, glass and technology-specific materials such as silicon, magnets, coatings, catalysts or working fluids.</x:v>
      </x:c>
      <x:c r="U124" s="2" t="str">
        <x:v>Biogas for heating: bearings, seals, filters, lubricants, sensors, converter parts, cables, fasteners, coatings and replaceable collector or heat-exchanger components.</x:v>
      </x:c>
      <x:c r="V124" s="2" t="str">
        <x:v>https://www.ctc-n.org/sites/default/files/resources/ctcn_taxonomy_0.pdf</x:v>
      </x:c>
      <x:c r="W124" s="2" t="str">
        <x:v>https://institutoagricoladepueblobello.edu.co/colegiapp/archivostemas/GUIA%209.%5B25%5D.pdf</x:v>
      </x:c>
      <x:c r="X124" s="2" t="str">
        <x:v>https://iiasa.ac.at/what-is-technology</x:v>
      </x:c>
      <x:c r="Y124" s="2" t="str">
        <x:v>https://www.ipcc.ch/report/ar6/wg3/chapter/chapter-6/; https://www.iea.org/data-and-statistics/data-tools/etp-clean-energy-technology-guide</x:v>
      </x:c>
      <x:c r="Z124" s="2" t="str">
        <x:v>Technology-specific analytical synthesis. The CTCN hierarchy is retained; classifications and component dependencies require validation against the selected design, site and supplier documentation before investment or policy use.</x:v>
      </x:c>
      <x:c r="AA124" s="2" t="str">
        <x:v>Physical deployment of Biogas for heating requires foundations, access, electrical or thermal network, substation, control and communications, drainage and construction or marine logistics; interfaces, foundations, access and environmental protection are sized to the specific resource and design load.</x:v>
      </x:c>
      <x:c r="AB124" s="2" t="str">
        <x:v>For Biogas for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4" s="2" t="str">
        <x:v>Construction and operation use steel, concrete, copper, aluminium, polymers, glass and technology-specific materials such as silicon, magnets, coatings, catalysts or working fluids. For Biogas for heating, specifications must include durability, compatibility, recycled content and recoverability.</x:v>
      </x:c>
      <x:c r="AD124" s="2" t="str">
        <x:v>Maintenance of Biogas for heating depends on bearings, seals, filters, lubricants, sensors, converter parts, cables, fasteners, coatings and replaceable collector or heat-exchanger components; critical spares are selected from failure-mode, lead-time and safety analysis for its installed configuration.</x:v>
      </x:c>
      <x:c r="AE124" s="2" t="str">
        <x:v>The software stack for Biogas for heating requires databases, secure communications, version-controlled models, computing, backup and interfaces with field or operational systems.</x:v>
      </x:c>
      <x:c r="AF124" s="2" t="str">
        <x:v>For Biogas for heating, software-related energy is electricity for sensing, computing, storage, communication and cooling; it is normally secondary but must be included for data-intensive or continuous services.</x:v>
      </x:c>
      <x:c r="AG124" s="2" t="str">
        <x:v>The non-physical inputs are calibrated data, metadata, algorithms, boundary conditions, emission or hazard factors, manuals and validation records specific to Biogas for heating.</x:v>
      </x:c>
      <x:c r="AH124" s="2" t="str">
        <x:v>Software continuity for Biogas for heating requires licences where applicable, updates, cybersecurity patches, backups, calibration files, model validation and technical support.</x:v>
      </x:c>
      <x:c r="AI124" s="2" t="str">
        <x:v>Orgware depends on the institutions, laboratories, training providers, regulators, operators and community interfaces needed to govern Biogas for heating.</x:v>
      </x:c>
      <x:c r="AJ124" s="2" t="str">
        <x:v>The orgware supporting Biogas for heating has mainly indirect energy use from offices, meetings, training and information systems; travel and field supervision may be material at dispersed sites.</x:v>
      </x:c>
      <x:c r="AK124" s="2" t="str">
        <x:v>Its organisational inputs are permits, budgets, trained staff, competence records, contracts, procedures, safeguards, monitoring evidence and stakeholder agreements tailored to Biogas for heating.</x:v>
      </x:c>
      <x:c r="AL124" s="2" t="str">
        <x:v>Sustained implementation of Biogas for heating requires procurement and service contracts, audit protocols, training material, reporting templates, insurance or guarantees and periodic independent review.</x:v>
      </x:c>
      <x:c r="AM124" s="2" t="str">
        <x:v>Iron ore / steel inputs</x:v>
      </x:c>
      <x:c r="AN124" s="2" t="str">
        <x:v>Australia; Brazil; China</x:v>
      </x:c>
      <x:c r="AO124" s="2" t="str">
        <x:v>China; India; Japan</x:v>
      </x:c>
      <x:c r="AP124" s="2" t="str">
        <x:v>Biogas for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4" s="2" t="str">
        <x:v>2024–2025</x:v>
      </x:c>
      <x:c r="AR124" s="2" t="str">
        <x:v>https://pubs.usgs.gov/periodicals/mcs2026/mcs2026.pdf</x:v>
      </x:c>
    </x:row>
    <x:row r="125" ht="240" customHeight="1">
      <x:c r="A125" s="2" t="str">
        <x:v>MIT-0118</x:v>
      </x:c>
      <x:c r="B125" s="2" t="str">
        <x:v>Mitigation</x:v>
      </x:c>
      <x:c r="C125" s="2" t="str">
        <x:v>Renewable energy</x:v>
      </x:c>
      <x:c r="D125" s="2" t="str">
        <x:v>Bioenergy</x:v>
      </x:c>
      <x:c r="E125" s="2" t="str">
        <x:v>Energy supply from waste</x:v>
      </x:c>
      <x:c r="F125" s="2" t="str">
        <x:v>Energy supply from waste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Energy supply from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5" s="2" t="str">
        <x:v>Mixed: adaptable design, site-specific implementation</x:v>
      </x:c>
      <x:c r="H125" s="2" t="str">
        <x:v>Energy supply from waste is adaptable in capacity and configuration but site-specific in final engineering. Its principle remains the same, but resource quality, climate, scale, interfaces and safety constraints must be recalculated for each deployment.</x:v>
      </x:c>
      <x:c r="I125" s="2" t="str">
        <x:v>Primarily hard, with a soft component</x:v>
      </x:c>
      <x:c r="J125" s="2" t="str">
        <x:v>Energy supply from waste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5" s="2" t="str">
        <x:v>Equipment and operation</x:v>
      </x:c>
      <x:c r="L125" s="2" t="str">
        <x:v>Energy supply from waste is embodied mainly as an equipment-and-operation system. The deliverable is accepted only when measurable service, quality, safety and climate-performance criteria are met under real conditions.</x:v>
      </x:c>
      <x:c r="M125" s="2" t="str">
        <x:v>Yes, subject to life-cycle safeguards</x:v>
      </x:c>
      <x:c r="N125" s="2" t="str">
        <x:v>Energy supply from waste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5" s="2" t="str">
        <x:v>Energy supply from waste: resource collector or prime mover, generator or heat exchanger, support structure, power conversion, protection, metering and connection equipment.</x:v>
      </x:c>
      <x:c r="P125" s="2" t="str">
        <x:v>Energy supply from waste: resource assessment, energy-yield modelling, forecasting, maximum-power or process control, dispatch, condition monitoring and maintenance planning.</x:v>
      </x:c>
      <x:c r="Q125" s="2" t="str">
        <x:v>Energy supply from waste: resource and land or sea rights, environmental licensing, grid code, safety, community participation, revenue contract and decommissioning plan.</x:v>
      </x:c>
      <x:c r="R125" s="2" t="str">
        <x:v>Energy supply from waste: foundations, access, electrical or thermal network, substation, control and communications, drainage and construction or marine logistics.</x:v>
      </x:c>
      <x:c r="S125" s="2" t="str">
        <x:v>Energy supply from waste: the renewable resource is the primary input; auxiliary electricity, start-up fuel, pumping or thermal energy may be required depending on the design.</x:v>
      </x:c>
      <x:c r="T125" s="2" t="str">
        <x:v>Energy supply from waste: steel, concrete, copper, aluminium, polymers, glass and technology-specific materials such as silicon, magnets, coatings, catalysts or working fluids.</x:v>
      </x:c>
      <x:c r="U125" s="2" t="str">
        <x:v>Energy supply from waste: bearings, seals, filters, lubricants, sensors, converter parts, cables, fasteners, coatings and replaceable collector or heat-exchanger components.</x:v>
      </x:c>
      <x:c r="V125" s="2" t="str">
        <x:v>https://www.ctc-n.org/sites/default/files/resources/ctcn_taxonomy_0.pdf</x:v>
      </x:c>
      <x:c r="W125" s="2" t="str">
        <x:v>https://institutoagricoladepueblobello.edu.co/colegiapp/archivostemas/GUIA%209.%5B25%5D.pdf</x:v>
      </x:c>
      <x:c r="X125" s="2" t="str">
        <x:v>https://iiasa.ac.at/what-is-technology</x:v>
      </x:c>
      <x:c r="Y125" s="2" t="str">
        <x:v>https://www.ipcc.ch/report/ar6/wg3/chapter/chapter-6/; https://www.iea.org/data-and-statistics/data-tools/etp-clean-energy-technology-guide</x:v>
      </x:c>
      <x:c r="Z125" s="2" t="str">
        <x:v>Technology-specific analytical synthesis. The CTCN hierarchy is retained; classifications and component dependencies require validation against the selected design, site and supplier documentation before investment or policy use.</x:v>
      </x:c>
      <x:c r="AA125" s="2" t="str">
        <x:v>Physical deployment of Energy supply from waste requires foundations, access, electrical or thermal network, substation, control and communications, drainage and construction or marine logistics; interfaces, foundations, access and environmental protection are sized to the specific resource and design load.</x:v>
      </x:c>
      <x:c r="AB125" s="2" t="str">
        <x:v>For Energy supply from waste,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5" s="2" t="str">
        <x:v>Construction and operation use steel, concrete, copper, aluminium, polymers, glass and technology-specific materials such as silicon, magnets, coatings, catalysts or working fluids. For Energy supply from waste, specifications must include durability, compatibility, recycled content and recoverability.</x:v>
      </x:c>
      <x:c r="AD125" s="2" t="str">
        <x:v>Maintenance of Energy supply from waste depends on bearings, seals, filters, lubricants, sensors, converter parts, cables, fasteners, coatings and replaceable collector or heat-exchanger components; critical spares are selected from failure-mode, lead-time and safety analysis for its installed configuration.</x:v>
      </x:c>
      <x:c r="AE125" s="2" t="str">
        <x:v>The software stack for Energy supply from waste requires databases, secure communications, version-controlled models, computing, backup and interfaces with field or operational systems.</x:v>
      </x:c>
      <x:c r="AF125" s="2" t="str">
        <x:v>For Energy supply from waste, software-related energy is electricity for sensing, computing, storage, communication and cooling; it is normally secondary but must be included for data-intensive or continuous services.</x:v>
      </x:c>
      <x:c r="AG125" s="2" t="str">
        <x:v>The non-physical inputs are calibrated data, metadata, algorithms, boundary conditions, emission or hazard factors, manuals and validation records specific to Energy supply from waste.</x:v>
      </x:c>
      <x:c r="AH125" s="2" t="str">
        <x:v>Software continuity for Energy supply from waste requires licences where applicable, updates, cybersecurity patches, backups, calibration files, model validation and technical support.</x:v>
      </x:c>
      <x:c r="AI125" s="2" t="str">
        <x:v>Orgware depends on the institutions, laboratories, training providers, regulators, operators and community interfaces needed to govern Energy supply from waste.</x:v>
      </x:c>
      <x:c r="AJ125" s="2" t="str">
        <x:v>The orgware supporting Energy supply from waste has mainly indirect energy use from offices, meetings, training and information systems; travel and field supervision may be material at dispersed sites.</x:v>
      </x:c>
      <x:c r="AK125" s="2" t="str">
        <x:v>Its organisational inputs are permits, budgets, trained staff, competence records, contracts, procedures, safeguards, monitoring evidence and stakeholder agreements tailored to Energy supply from waste.</x:v>
      </x:c>
      <x:c r="AL125" s="2" t="str">
        <x:v>Sustained implementation of Energy supply from waste requires procurement and service contracts, audit protocols, training material, reporting templates, insurance or guarantees and periodic independent review.</x:v>
      </x:c>
      <x:c r="AM125" s="2" t="str">
        <x:v>Iron ore / steel inputs</x:v>
      </x:c>
      <x:c r="AN125" s="2" t="str">
        <x:v>Australia; Brazil; China</x:v>
      </x:c>
      <x:c r="AO125" s="2" t="str">
        <x:v>China; India; Japan</x:v>
      </x:c>
      <x:c r="AP125" s="2" t="str">
        <x:v>Energy supply from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5" s="2" t="str">
        <x:v>2024–2025</x:v>
      </x:c>
      <x:c r="AR125" s="2" t="str">
        <x:v>https://pubs.usgs.gov/periodicals/mcs2026/mcs2026.pdf</x:v>
      </x:c>
    </x:row>
    <x:row r="126" ht="240" customHeight="1">
      <x:c r="A126" s="2" t="str">
        <x:v>MIT-0119</x:v>
      </x:c>
      <x:c r="B126" s="2" t="str">
        <x:v>Mitigation</x:v>
      </x:c>
      <x:c r="C126" s="2" t="str">
        <x:v>Renewable energy</x:v>
      </x:c>
      <x:c r="D126" s="2" t="str">
        <x:v>Bioenergy</x:v>
      </x:c>
      <x:c r="E126" s="2" t="str">
        <x:v>Biogas power</x:v>
      </x:c>
      <x:c r="F126" s="2" t="str">
        <x:v>Biogas power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Biogas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6" s="2" t="str">
        <x:v>Mixed: adaptable design, site-specific implementation</x:v>
      </x:c>
      <x:c r="H126" s="2" t="str">
        <x:v>Biogas power is adaptable in capacity and configuration but site-specific in final engineering. Its principle remains the same, but resource quality, climate, scale, interfaces and safety constraints must be recalculated for each deployment.</x:v>
      </x:c>
      <x:c r="I126" s="2" t="str">
        <x:v>Primarily hard, with a soft component</x:v>
      </x:c>
      <x:c r="J126" s="2" t="str">
        <x:v>Biogas 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6" s="2" t="str">
        <x:v>Equipment and operation</x:v>
      </x:c>
      <x:c r="L126" s="2" t="str">
        <x:v>Biogas power is embodied mainly as an equipment-and-operation system. The deliverable is accepted only when measurable service, quality, safety and climate-performance criteria are met under real conditions.</x:v>
      </x:c>
      <x:c r="M126" s="2" t="str">
        <x:v>Yes, subject to life-cycle safeguards</x:v>
      </x:c>
      <x:c r="N126" s="2" t="str">
        <x:v>Biogas 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6" s="2" t="str">
        <x:v>Biogas power: resource collector or prime mover, generator or heat exchanger, support structure, power conversion, protection, metering and connection equipment.</x:v>
      </x:c>
      <x:c r="P126" s="2" t="str">
        <x:v>Biogas power: resource assessment, energy-yield modelling, forecasting, maximum-power or process control, dispatch, condition monitoring and maintenance planning.</x:v>
      </x:c>
      <x:c r="Q126" s="2" t="str">
        <x:v>Biogas power: resource and land or sea rights, environmental licensing, grid code, safety, community participation, revenue contract and decommissioning plan.</x:v>
      </x:c>
      <x:c r="R126" s="2" t="str">
        <x:v>Biogas power: foundations, access, electrical or thermal network, substation, control and communications, drainage and construction or marine logistics.</x:v>
      </x:c>
      <x:c r="S126" s="2" t="str">
        <x:v>Biogas power: the renewable resource is the primary input; auxiliary electricity, start-up fuel, pumping or thermal energy may be required depending on the design.</x:v>
      </x:c>
      <x:c r="T126" s="2" t="str">
        <x:v>Biogas power: steel, concrete, copper, aluminium, polymers, glass and technology-specific materials such as silicon, magnets, coatings, catalysts or working fluids.</x:v>
      </x:c>
      <x:c r="U126" s="2" t="str">
        <x:v>Biogas power: bearings, seals, filters, lubricants, sensors, converter parts, cables, fasteners, coatings and replaceable collector or heat-exchanger components.</x:v>
      </x:c>
      <x:c r="V126" s="2" t="str">
        <x:v>https://www.ctc-n.org/sites/default/files/resources/ctcn_taxonomy_0.pdf</x:v>
      </x:c>
      <x:c r="W126" s="2" t="str">
        <x:v>https://institutoagricoladepueblobello.edu.co/colegiapp/archivostemas/GUIA%209.%5B25%5D.pdf</x:v>
      </x:c>
      <x:c r="X126" s="2" t="str">
        <x:v>https://iiasa.ac.at/what-is-technology</x:v>
      </x:c>
      <x:c r="Y126" s="2" t="str">
        <x:v>https://www.ipcc.ch/report/ar6/wg3/chapter/chapter-6/; https://www.iea.org/data-and-statistics/data-tools/etp-clean-energy-technology-guide</x:v>
      </x:c>
      <x:c r="Z126" s="2" t="str">
        <x:v>Technology-specific analytical synthesis. The CTCN hierarchy is retained; classifications and component dependencies require validation against the selected design, site and supplier documentation before investment or policy use.</x:v>
      </x:c>
      <x:c r="AA126" s="2" t="str">
        <x:v>Physical deployment of Biogas power requires foundations, access, electrical or thermal network, substation, control and communications, drainage and construction or marine logistics; interfaces, foundations, access and environmental protection are sized to the specific resource and design load.</x:v>
      </x:c>
      <x:c r="AB126" s="2" t="str">
        <x:v>For Biogas 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6" s="2" t="str">
        <x:v>Construction and operation use steel, concrete, copper, aluminium, polymers, glass and technology-specific materials such as silicon, magnets, coatings, catalysts or working fluids. For Biogas power, specifications must include durability, compatibility, recycled content and recoverability.</x:v>
      </x:c>
      <x:c r="AD126" s="2" t="str">
        <x:v>Maintenance of Biogas power depends on bearings, seals, filters, lubricants, sensors, converter parts, cables, fasteners, coatings and replaceable collector or heat-exchanger components; critical spares are selected from failure-mode, lead-time and safety analysis for its installed configuration.</x:v>
      </x:c>
      <x:c r="AE126" s="2" t="str">
        <x:v>The software stack for Biogas power requires databases, secure communications, version-controlled models, computing, backup and interfaces with field or operational systems.</x:v>
      </x:c>
      <x:c r="AF126" s="2" t="str">
        <x:v>For Biogas power, software-related energy is electricity for sensing, computing, storage, communication and cooling; it is normally secondary but must be included for data-intensive or continuous services.</x:v>
      </x:c>
      <x:c r="AG126" s="2" t="str">
        <x:v>The non-physical inputs are calibrated data, metadata, algorithms, boundary conditions, emission or hazard factors, manuals and validation records specific to Biogas power.</x:v>
      </x:c>
      <x:c r="AH126" s="2" t="str">
        <x:v>Software continuity for Biogas power requires licences where applicable, updates, cybersecurity patches, backups, calibration files, model validation and technical support.</x:v>
      </x:c>
      <x:c r="AI126" s="2" t="str">
        <x:v>Orgware depends on the institutions, laboratories, training providers, regulators, operators and community interfaces needed to govern Biogas power.</x:v>
      </x:c>
      <x:c r="AJ126" s="2" t="str">
        <x:v>The orgware supporting Biogas power has mainly indirect energy use from offices, meetings, training and information systems; travel and field supervision may be material at dispersed sites.</x:v>
      </x:c>
      <x:c r="AK126" s="2" t="str">
        <x:v>Its organisational inputs are permits, budgets, trained staff, competence records, contracts, procedures, safeguards, monitoring evidence and stakeholder agreements tailored to Biogas power.</x:v>
      </x:c>
      <x:c r="AL126" s="2" t="str">
        <x:v>Sustained implementation of Biogas power requires procurement and service contracts, audit protocols, training material, reporting templates, insurance or guarantees and periodic independent review.</x:v>
      </x:c>
      <x:c r="AM126" s="2" t="str">
        <x:v>Iron ore / steel inputs</x:v>
      </x:c>
      <x:c r="AN126" s="2" t="str">
        <x:v>Australia; Brazil; China</x:v>
      </x:c>
      <x:c r="AO126" s="2" t="str">
        <x:v>China; India; Japan</x:v>
      </x:c>
      <x:c r="AP126" s="2" t="str">
        <x:v>Biogas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6" s="2" t="str">
        <x:v>2024–2025</x:v>
      </x:c>
      <x:c r="AR126" s="2" t="str">
        <x:v>https://pubs.usgs.gov/periodicals/mcs2026/mcs2026.pdf</x:v>
      </x:c>
    </x:row>
    <x:row r="127" ht="240" customHeight="1">
      <x:c r="A127" s="2" t="str">
        <x:v>MIT-0120</x:v>
      </x:c>
      <x:c r="B127" s="2" t="str">
        <x:v>Mitigation</x:v>
      </x:c>
      <x:c r="C127" s="2" t="str">
        <x:v>Renewable energy</x:v>
      </x:c>
      <x:c r="D127" s="2" t="str">
        <x:v>Bioenergy</x:v>
      </x:c>
      <x:c r="E127" s="2" t="str">
        <x:v>Biomass briquettes or pellets</x:v>
      </x:c>
      <x:c r="F127" s="2" t="str">
        <x:v>Biomass briquettes or pellets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Biomass briquettes or pellets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7" s="2" t="str">
        <x:v>Mixed: adaptable design, site-specific implementation</x:v>
      </x:c>
      <x:c r="H127" s="2" t="str">
        <x:v>Biomass briquettes or pellets is adaptable in capacity and configuration but site-specific in final engineering. Its principle remains the same, but resource quality, climate, scale, interfaces and safety constraints must be recalculated for each deployment.</x:v>
      </x:c>
      <x:c r="I127" s="2" t="str">
        <x:v>Primarily hard, with a soft component</x:v>
      </x:c>
      <x:c r="J127" s="2" t="str">
        <x:v>Biomass briquettes or pellets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7" s="2" t="str">
        <x:v>Product and equipment; complementary operation</x:v>
      </x:c>
      <x:c r="L127" s="2" t="str">
        <x:v>Biomass briquettes or pellets is embodied mainly as a product/equipment package. The deliverable is accepted only when measurable service, quality, safety and climate-performance criteria are met under real conditions.</x:v>
      </x:c>
      <x:c r="M127" s="2" t="str">
        <x:v>Yes, subject to life-cycle safeguards</x:v>
      </x:c>
      <x:c r="N127" s="2" t="str">
        <x:v>Biomass briquettes or pellets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7" s="2" t="str">
        <x:v>Biomass briquettes or pellets: resource collector or prime mover, generator or heat exchanger, support structure, power conversion, protection, metering and connection equipment.</x:v>
      </x:c>
      <x:c r="P127" s="2" t="str">
        <x:v>Biomass briquettes or pellets: resource assessment, energy-yield modelling, forecasting, maximum-power or process control, dispatch, condition monitoring and maintenance planning.</x:v>
      </x:c>
      <x:c r="Q127" s="2" t="str">
        <x:v>Biomass briquettes or pellets: resource and land or sea rights, environmental licensing, grid code, safety, community participation, revenue contract and decommissioning plan.</x:v>
      </x:c>
      <x:c r="R127" s="2" t="str">
        <x:v>Biomass briquettes or pellets: foundations, access, electrical or thermal network, substation, control and communications, drainage and construction or marine logistics.</x:v>
      </x:c>
      <x:c r="S127" s="2" t="str">
        <x:v>Biomass briquettes or pellets: the renewable resource is the primary input; auxiliary electricity, start-up fuel, pumping or thermal energy may be required depending on the design.</x:v>
      </x:c>
      <x:c r="T127" s="2" t="str">
        <x:v>Biomass briquettes or pellets: steel, concrete, copper, aluminium, polymers, glass and technology-specific materials such as silicon, magnets, coatings, catalysts or working fluids.</x:v>
      </x:c>
      <x:c r="U127" s="2" t="str">
        <x:v>Biomass briquettes or pellets: bearings, seals, filters, lubricants, sensors, converter parts, cables, fasteners, coatings and replaceable collector or heat-exchanger components.</x:v>
      </x:c>
      <x:c r="V127" s="2" t="str">
        <x:v>https://www.ctc-n.org/sites/default/files/resources/ctcn_taxonomy_0.pdf</x:v>
      </x:c>
      <x:c r="W127" s="2" t="str">
        <x:v>https://institutoagricoladepueblobello.edu.co/colegiapp/archivostemas/GUIA%209.%5B25%5D.pdf</x:v>
      </x:c>
      <x:c r="X127" s="2" t="str">
        <x:v>https://iiasa.ac.at/what-is-technology</x:v>
      </x:c>
      <x:c r="Y127" s="2" t="str">
        <x:v>https://www.ipcc.ch/report/ar6/wg3/chapter/chapter-6/; https://www.iea.org/data-and-statistics/data-tools/etp-clean-energy-technology-guide</x:v>
      </x:c>
      <x:c r="Z127" s="2" t="str">
        <x:v>Technology-specific analytical synthesis. The CTCN hierarchy is retained; classifications and component dependencies require validation against the selected design, site and supplier documentation before investment or policy use.</x:v>
      </x:c>
      <x:c r="AA127" s="2" t="str">
        <x:v>Physical deployment of Biomass briquettes or pellets requires foundations, access, electrical or thermal network, substation, control and communications, drainage and construction or marine logistics; interfaces, foundations, access and environmental protection are sized to the specific resource and design load.</x:v>
      </x:c>
      <x:c r="AB127" s="2" t="str">
        <x:v>For Biomass briquettes or pellets,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7" s="2" t="str">
        <x:v>Construction and operation use steel, concrete, copper, aluminium, polymers, glass and technology-specific materials such as silicon, magnets, coatings, catalysts or working fluids. For Biomass briquettes or pellets, specifications must include durability, compatibility, recycled content and recoverability.</x:v>
      </x:c>
      <x:c r="AD127" s="2" t="str">
        <x:v>Maintenance of Biomass briquettes or pellets depends on bearings, seals, filters, lubricants, sensors, converter parts, cables, fasteners, coatings and replaceable collector or heat-exchanger components; critical spares are selected from failure-mode, lead-time and safety analysis for its installed configuration.</x:v>
      </x:c>
      <x:c r="AE127" s="2" t="str">
        <x:v>The software stack for Biomass briquettes or pellets requires databases, secure communications, version-controlled models, computing, backup and interfaces with field or operational systems.</x:v>
      </x:c>
      <x:c r="AF127" s="2" t="str">
        <x:v>For Biomass briquettes or pellets, software-related energy is electricity for sensing, computing, storage, communication and cooling; it is normally secondary but must be included for data-intensive or continuous services.</x:v>
      </x:c>
      <x:c r="AG127" s="2" t="str">
        <x:v>The non-physical inputs are calibrated data, metadata, algorithms, boundary conditions, emission or hazard factors, manuals and validation records specific to Biomass briquettes or pellets.</x:v>
      </x:c>
      <x:c r="AH127" s="2" t="str">
        <x:v>Software continuity for Biomass briquettes or pellets requires licences where applicable, updates, cybersecurity patches, backups, calibration files, model validation and technical support.</x:v>
      </x:c>
      <x:c r="AI127" s="2" t="str">
        <x:v>Orgware depends on the institutions, laboratories, training providers, regulators, operators and community interfaces needed to govern Biomass briquettes or pellets.</x:v>
      </x:c>
      <x:c r="AJ127" s="2" t="str">
        <x:v>The orgware supporting Biomass briquettes or pellets has mainly indirect energy use from offices, meetings, training and information systems; travel and field supervision may be material at dispersed sites.</x:v>
      </x:c>
      <x:c r="AK127" s="2" t="str">
        <x:v>Its organisational inputs are permits, budgets, trained staff, competence records, contracts, procedures, safeguards, monitoring evidence and stakeholder agreements tailored to Biomass briquettes or pellets.</x:v>
      </x:c>
      <x:c r="AL127" s="2" t="str">
        <x:v>Sustained implementation of Biomass briquettes or pellets requires procurement and service contracts, audit protocols, training material, reporting templates, insurance or guarantees and periodic independent review.</x:v>
      </x:c>
      <x:c r="AM127" s="2" t="str">
        <x:v>Iron ore / steel inputs</x:v>
      </x:c>
      <x:c r="AN127" s="2" t="str">
        <x:v>Australia; Brazil; China</x:v>
      </x:c>
      <x:c r="AO127" s="2" t="str">
        <x:v>China; India; Japan</x:v>
      </x:c>
      <x:c r="AP127" s="2" t="str">
        <x:v>Biomass briquettes or pellets: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7" s="2" t="str">
        <x:v>2024–2025</x:v>
      </x:c>
      <x:c r="AR127" s="2" t="str">
        <x:v>https://pubs.usgs.gov/periodicals/mcs2026/mcs2026.pdf</x:v>
      </x:c>
    </x:row>
    <x:row r="128" ht="240" customHeight="1">
      <x:c r="A128" s="2" t="str">
        <x:v>MIT-0121</x:v>
      </x:c>
      <x:c r="B128" s="2" t="str">
        <x:v>Mitigation</x:v>
      </x:c>
      <x:c r="C128" s="2" t="str">
        <x:v>Renewable energy</x:v>
      </x:c>
      <x:c r="D128" s="2" t="str">
        <x:v>Bioenergy</x:v>
      </x:c>
      <x:c r="E128" s="2" t="str">
        <x:v>Biomass for heating</x:v>
      </x:c>
      <x:c r="F128" s="2" t="str">
        <x:v>Biomass for heating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Biomass for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8" s="2" t="str">
        <x:v>Mixed: adaptable design, site-specific implementation</x:v>
      </x:c>
      <x:c r="H128" s="2" t="str">
        <x:v>Biomass for heating is adaptable in capacity and configuration but site-specific in final engineering. Its principle remains the same, but resource quality, climate, scale, interfaces and safety constraints must be recalculated for each deployment.</x:v>
      </x:c>
      <x:c r="I128" s="2" t="str">
        <x:v>Primarily hard, with a soft component</x:v>
      </x:c>
      <x:c r="J128" s="2" t="str">
        <x:v>Biomass for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8" s="2" t="str">
        <x:v>Equipment and operation</x:v>
      </x:c>
      <x:c r="L128" s="2" t="str">
        <x:v>Biomass for heating is embodied mainly as an equipment-and-operation system. The deliverable is accepted only when measurable service, quality, safety and climate-performance criteria are met under real conditions.</x:v>
      </x:c>
      <x:c r="M128" s="2" t="str">
        <x:v>Yes, subject to life-cycle safeguards</x:v>
      </x:c>
      <x:c r="N128" s="2" t="str">
        <x:v>Biomass for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8" s="2" t="str">
        <x:v>Biomass for heating: resource collector or prime mover, generator or heat exchanger, support structure, power conversion, protection, metering and connection equipment.</x:v>
      </x:c>
      <x:c r="P128" s="2" t="str">
        <x:v>Biomass for heating: resource assessment, energy-yield modelling, forecasting, maximum-power or process control, dispatch, condition monitoring and maintenance planning.</x:v>
      </x:c>
      <x:c r="Q128" s="2" t="str">
        <x:v>Biomass for heating: resource and land or sea rights, environmental licensing, grid code, safety, community participation, revenue contract and decommissioning plan.</x:v>
      </x:c>
      <x:c r="R128" s="2" t="str">
        <x:v>Biomass for heating: foundations, access, electrical or thermal network, substation, control and communications, drainage and construction or marine logistics.</x:v>
      </x:c>
      <x:c r="S128" s="2" t="str">
        <x:v>Biomass for heating: the renewable resource is the primary input; auxiliary electricity, start-up fuel, pumping or thermal energy may be required depending on the design.</x:v>
      </x:c>
      <x:c r="T128" s="2" t="str">
        <x:v>Biomass for heating: steel, concrete, copper, aluminium, polymers, glass and technology-specific materials such as silicon, magnets, coatings, catalysts or working fluids.</x:v>
      </x:c>
      <x:c r="U128" s="2" t="str">
        <x:v>Biomass for heating: bearings, seals, filters, lubricants, sensors, converter parts, cables, fasteners, coatings and replaceable collector or heat-exchanger components.</x:v>
      </x:c>
      <x:c r="V128" s="2" t="str">
        <x:v>https://www.ctc-n.org/sites/default/files/resources/ctcn_taxonomy_0.pdf</x:v>
      </x:c>
      <x:c r="W128" s="2" t="str">
        <x:v>https://institutoagricoladepueblobello.edu.co/colegiapp/archivostemas/GUIA%209.%5B25%5D.pdf</x:v>
      </x:c>
      <x:c r="X128" s="2" t="str">
        <x:v>https://iiasa.ac.at/what-is-technology</x:v>
      </x:c>
      <x:c r="Y128" s="2" t="str">
        <x:v>https://www.ipcc.ch/report/ar6/wg3/chapter/chapter-6/; https://www.iea.org/data-and-statistics/data-tools/etp-clean-energy-technology-guide</x:v>
      </x:c>
      <x:c r="Z128" s="2" t="str">
        <x:v>Technology-specific analytical synthesis. The CTCN hierarchy is retained; classifications and component dependencies require validation against the selected design, site and supplier documentation before investment or policy use.</x:v>
      </x:c>
      <x:c r="AA128" s="2" t="str">
        <x:v>Physical deployment of Biomass for heating requires foundations, access, electrical or thermal network, substation, control and communications, drainage and construction or marine logistics; interfaces, foundations, access and environmental protection are sized to the specific resource and design load.</x:v>
      </x:c>
      <x:c r="AB128" s="2" t="str">
        <x:v>For Biomass for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8" s="2" t="str">
        <x:v>Construction and operation use steel, concrete, copper, aluminium, polymers, glass and technology-specific materials such as silicon, magnets, coatings, catalysts or working fluids. For Biomass for heating, specifications must include durability, compatibility, recycled content and recoverability.</x:v>
      </x:c>
      <x:c r="AD128" s="2" t="str">
        <x:v>Maintenance of Biomass for heating depends on bearings, seals, filters, lubricants, sensors, converter parts, cables, fasteners, coatings and replaceable collector or heat-exchanger components; critical spares are selected from failure-mode, lead-time and safety analysis for its installed configuration.</x:v>
      </x:c>
      <x:c r="AE128" s="2" t="str">
        <x:v>The software stack for Biomass for heating requires databases, secure communications, version-controlled models, computing, backup and interfaces with field or operational systems.</x:v>
      </x:c>
      <x:c r="AF128" s="2" t="str">
        <x:v>For Biomass for heating, software-related energy is electricity for sensing, computing, storage, communication and cooling; it is normally secondary but must be included for data-intensive or continuous services.</x:v>
      </x:c>
      <x:c r="AG128" s="2" t="str">
        <x:v>The non-physical inputs are calibrated data, metadata, algorithms, boundary conditions, emission or hazard factors, manuals and validation records specific to Biomass for heating.</x:v>
      </x:c>
      <x:c r="AH128" s="2" t="str">
        <x:v>Software continuity for Biomass for heating requires licences where applicable, updates, cybersecurity patches, backups, calibration files, model validation and technical support.</x:v>
      </x:c>
      <x:c r="AI128" s="2" t="str">
        <x:v>Orgware depends on the institutions, laboratories, training providers, regulators, operators and community interfaces needed to govern Biomass for heating.</x:v>
      </x:c>
      <x:c r="AJ128" s="2" t="str">
        <x:v>The orgware supporting Biomass for heating has mainly indirect energy use from offices, meetings, training and information systems; travel and field supervision may be material at dispersed sites.</x:v>
      </x:c>
      <x:c r="AK128" s="2" t="str">
        <x:v>Its organisational inputs are permits, budgets, trained staff, competence records, contracts, procedures, safeguards, monitoring evidence and stakeholder agreements tailored to Biomass for heating.</x:v>
      </x:c>
      <x:c r="AL128" s="2" t="str">
        <x:v>Sustained implementation of Biomass for heating requires procurement and service contracts, audit protocols, training material, reporting templates, insurance or guarantees and periodic independent review.</x:v>
      </x:c>
      <x:c r="AM128" s="2" t="str">
        <x:v>Iron ore / steel inputs</x:v>
      </x:c>
      <x:c r="AN128" s="2" t="str">
        <x:v>Australia; Brazil; China</x:v>
      </x:c>
      <x:c r="AO128" s="2" t="str">
        <x:v>China; India; Japan</x:v>
      </x:c>
      <x:c r="AP128" s="2" t="str">
        <x:v>Biomass for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8" s="2" t="str">
        <x:v>2024–2025</x:v>
      </x:c>
      <x:c r="AR128" s="2" t="str">
        <x:v>https://pubs.usgs.gov/periodicals/mcs2026/mcs2026.pdf</x:v>
      </x:c>
    </x:row>
    <x:row r="129" ht="240" customHeight="1">
      <x:c r="A129" s="2" t="str">
        <x:v>MIT-0122</x:v>
      </x:c>
      <x:c r="B129" s="2" t="str">
        <x:v>Mitigation</x:v>
      </x:c>
      <x:c r="C129" s="2" t="str">
        <x:v>Renewable energy</x:v>
      </x:c>
      <x:c r="D129" s="2" t="str">
        <x:v>Bioenergy</x:v>
      </x:c>
      <x:c r="E129" s="2" t="str">
        <x:v>Black liquor</x:v>
      </x:c>
      <x:c r="F129" s="2" t="str">
        <x:v>Black liquor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Black liquor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29" s="2" t="str">
        <x:v>Mixed: adaptable design, site-specific implementation</x:v>
      </x:c>
      <x:c r="H129" s="2" t="str">
        <x:v>Black liquor is adaptable in capacity and configuration but site-specific in final engineering. Its principle remains the same, but resource quality, climate, scale, interfaces and safety constraints must be recalculated for each deployment.</x:v>
      </x:c>
      <x:c r="I129" s="2" t="str">
        <x:v>Primarily hard, with a soft component</x:v>
      </x:c>
      <x:c r="J129" s="2" t="str">
        <x:v>Black liquor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29" s="2" t="str">
        <x:v>Equipment and operation</x:v>
      </x:c>
      <x:c r="L129" s="2" t="str">
        <x:v>Black liquor is embodied mainly as an equipment-and-operation system. The deliverable is accepted only when measurable service, quality, safety and climate-performance criteria are met under real conditions.</x:v>
      </x:c>
      <x:c r="M129" s="2" t="str">
        <x:v>Yes, subject to life-cycle safeguards</x:v>
      </x:c>
      <x:c r="N129" s="2" t="str">
        <x:v>Black liquor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29" s="2" t="str">
        <x:v>Black liquor: resource collector or prime mover, generator or heat exchanger, support structure, power conversion, protection, metering and connection equipment.</x:v>
      </x:c>
      <x:c r="P129" s="2" t="str">
        <x:v>Black liquor: resource assessment, energy-yield modelling, forecasting, maximum-power or process control, dispatch, condition monitoring and maintenance planning.</x:v>
      </x:c>
      <x:c r="Q129" s="2" t="str">
        <x:v>Black liquor: resource and land or sea rights, environmental licensing, grid code, safety, community participation, revenue contract and decommissioning plan.</x:v>
      </x:c>
      <x:c r="R129" s="2" t="str">
        <x:v>Black liquor: foundations, access, electrical or thermal network, substation, control and communications, drainage and construction or marine logistics.</x:v>
      </x:c>
      <x:c r="S129" s="2" t="str">
        <x:v>Black liquor: the renewable resource is the primary input; auxiliary electricity, start-up fuel, pumping or thermal energy may be required depending on the design.</x:v>
      </x:c>
      <x:c r="T129" s="2" t="str">
        <x:v>Black liquor: steel, concrete, copper, aluminium, polymers, glass and technology-specific materials such as silicon, magnets, coatings, catalysts or working fluids.</x:v>
      </x:c>
      <x:c r="U129" s="2" t="str">
        <x:v>Black liquor: bearings, seals, filters, lubricants, sensors, converter parts, cables, fasteners, coatings and replaceable collector or heat-exchanger components.</x:v>
      </x:c>
      <x:c r="V129" s="2" t="str">
        <x:v>https://www.ctc-n.org/sites/default/files/resources/ctcn_taxonomy_0.pdf</x:v>
      </x:c>
      <x:c r="W129" s="2" t="str">
        <x:v>https://institutoagricoladepueblobello.edu.co/colegiapp/archivostemas/GUIA%209.%5B25%5D.pdf</x:v>
      </x:c>
      <x:c r="X129" s="2" t="str">
        <x:v>https://iiasa.ac.at/what-is-technology</x:v>
      </x:c>
      <x:c r="Y129" s="2" t="str">
        <x:v>https://www.ipcc.ch/report/ar6/wg3/chapter/chapter-6/; https://www.iea.org/data-and-statistics/data-tools/etp-clean-energy-technology-guide</x:v>
      </x:c>
      <x:c r="Z129" s="2" t="str">
        <x:v>Technology-specific analytical synthesis. The CTCN hierarchy is retained; classifications and component dependencies require validation against the selected design, site and supplier documentation before investment or policy use.</x:v>
      </x:c>
      <x:c r="AA129" s="2" t="str">
        <x:v>Physical deployment of Black liquor requires foundations, access, electrical or thermal network, substation, control and communications, drainage and construction or marine logistics; interfaces, foundations, access and environmental protection are sized to the specific resource and design load.</x:v>
      </x:c>
      <x:c r="AB129" s="2" t="str">
        <x:v>For Black liquor,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29" s="2" t="str">
        <x:v>Construction and operation use steel, concrete, copper, aluminium, polymers, glass and technology-specific materials such as silicon, magnets, coatings, catalysts or working fluids. For Black liquor, specifications must include durability, compatibility, recycled content and recoverability.</x:v>
      </x:c>
      <x:c r="AD129" s="2" t="str">
        <x:v>Maintenance of Black liquor depends on bearings, seals, filters, lubricants, sensors, converter parts, cables, fasteners, coatings and replaceable collector or heat-exchanger components; critical spares are selected from failure-mode, lead-time and safety analysis for its installed configuration.</x:v>
      </x:c>
      <x:c r="AE129" s="2" t="str">
        <x:v>The software stack for Black liquor requires databases, secure communications, version-controlled models, computing, backup and interfaces with field or operational systems.</x:v>
      </x:c>
      <x:c r="AF129" s="2" t="str">
        <x:v>For Black liquor, software-related energy is electricity for sensing, computing, storage, communication and cooling; it is normally secondary but must be included for data-intensive or continuous services.</x:v>
      </x:c>
      <x:c r="AG129" s="2" t="str">
        <x:v>The non-physical inputs are calibrated data, metadata, algorithms, boundary conditions, emission or hazard factors, manuals and validation records specific to Black liquor.</x:v>
      </x:c>
      <x:c r="AH129" s="2" t="str">
        <x:v>Software continuity for Black liquor requires licences where applicable, updates, cybersecurity patches, backups, calibration files, model validation and technical support.</x:v>
      </x:c>
      <x:c r="AI129" s="2" t="str">
        <x:v>Orgware depends on the institutions, laboratories, training providers, regulators, operators and community interfaces needed to govern Black liquor.</x:v>
      </x:c>
      <x:c r="AJ129" s="2" t="str">
        <x:v>The orgware supporting Black liquor has mainly indirect energy use from offices, meetings, training and information systems; travel and field supervision may be material at dispersed sites.</x:v>
      </x:c>
      <x:c r="AK129" s="2" t="str">
        <x:v>Its organisational inputs are permits, budgets, trained staff, competence records, contracts, procedures, safeguards, monitoring evidence and stakeholder agreements tailored to Black liquor.</x:v>
      </x:c>
      <x:c r="AL129" s="2" t="str">
        <x:v>Sustained implementation of Black liquor requires procurement and service contracts, audit protocols, training material, reporting templates, insurance or guarantees and periodic independent review.</x:v>
      </x:c>
      <x:c r="AM129" s="2" t="str">
        <x:v>Iron ore / steel inputs</x:v>
      </x:c>
      <x:c r="AN129" s="2" t="str">
        <x:v>Australia; Brazil; China</x:v>
      </x:c>
      <x:c r="AO129" s="2" t="str">
        <x:v>China; India; Japan</x:v>
      </x:c>
      <x:c r="AP129" s="2" t="str">
        <x:v>Black liquor: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9" s="2" t="str">
        <x:v>2024–2025</x:v>
      </x:c>
      <x:c r="AR129" s="2" t="str">
        <x:v>https://pubs.usgs.gov/periodicals/mcs2026/mcs2026.pdf</x:v>
      </x:c>
    </x:row>
    <x:row r="130" ht="240" customHeight="1">
      <x:c r="A130" s="2" t="str">
        <x:v>MIT-0123</x:v>
      </x:c>
      <x:c r="B130" s="2" t="str">
        <x:v>Mitigation</x:v>
      </x:c>
      <x:c r="C130" s="2" t="str">
        <x:v>Renewable energy</x:v>
      </x:c>
      <x:c r="D130" s="2" t="str">
        <x:v>Bioenergy</x:v>
      </x:c>
      <x:c r="E130" s="2" t="str">
        <x:v>Biomass power</x:v>
      </x:c>
      <x:c r="F130" s="2" t="str">
        <x:v>Biomass power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Biomass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0" s="2" t="str">
        <x:v>Mixed: adaptable design, site-specific implementation</x:v>
      </x:c>
      <x:c r="H130" s="2" t="str">
        <x:v>Biomass power is adaptable in capacity and configuration but site-specific in final engineering. Its principle remains the same, but resource quality, climate, scale, interfaces and safety constraints must be recalculated for each deployment.</x:v>
      </x:c>
      <x:c r="I130" s="2" t="str">
        <x:v>Primarily hard, with a soft component</x:v>
      </x:c>
      <x:c r="J130" s="2" t="str">
        <x:v>Biomass 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0" s="2" t="str">
        <x:v>Equipment and operation</x:v>
      </x:c>
      <x:c r="L130" s="2" t="str">
        <x:v>Biomass power is embodied mainly as an equipment-and-operation system. The deliverable is accepted only when measurable service, quality, safety and climate-performance criteria are met under real conditions.</x:v>
      </x:c>
      <x:c r="M130" s="2" t="str">
        <x:v>Yes, subject to life-cycle safeguards</x:v>
      </x:c>
      <x:c r="N130" s="2" t="str">
        <x:v>Biomass 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0" s="2" t="str">
        <x:v>Biomass power: resource collector or prime mover, generator or heat exchanger, support structure, power conversion, protection, metering and connection equipment.</x:v>
      </x:c>
      <x:c r="P130" s="2" t="str">
        <x:v>Biomass power: resource assessment, energy-yield modelling, forecasting, maximum-power or process control, dispatch, condition monitoring and maintenance planning.</x:v>
      </x:c>
      <x:c r="Q130" s="2" t="str">
        <x:v>Biomass power: resource and land or sea rights, environmental licensing, grid code, safety, community participation, revenue contract and decommissioning plan.</x:v>
      </x:c>
      <x:c r="R130" s="2" t="str">
        <x:v>Biomass power: foundations, access, electrical or thermal network, substation, control and communications, drainage and construction or marine logistics.</x:v>
      </x:c>
      <x:c r="S130" s="2" t="str">
        <x:v>Biomass power: the renewable resource is the primary input; auxiliary electricity, start-up fuel, pumping or thermal energy may be required depending on the design.</x:v>
      </x:c>
      <x:c r="T130" s="2" t="str">
        <x:v>Biomass power: steel, concrete, copper, aluminium, polymers, glass and technology-specific materials such as silicon, magnets, coatings, catalysts or working fluids.</x:v>
      </x:c>
      <x:c r="U130" s="2" t="str">
        <x:v>Biomass power: bearings, seals, filters, lubricants, sensors, converter parts, cables, fasteners, coatings and replaceable collector or heat-exchanger components.</x:v>
      </x:c>
      <x:c r="V130" s="2" t="str">
        <x:v>https://www.ctc-n.org/sites/default/files/resources/ctcn_taxonomy_0.pdf</x:v>
      </x:c>
      <x:c r="W130" s="2" t="str">
        <x:v>https://institutoagricoladepueblobello.edu.co/colegiapp/archivostemas/GUIA%209.%5B25%5D.pdf</x:v>
      </x:c>
      <x:c r="X130" s="2" t="str">
        <x:v>https://iiasa.ac.at/what-is-technology</x:v>
      </x:c>
      <x:c r="Y130" s="2" t="str">
        <x:v>https://www.ipcc.ch/report/ar6/wg3/chapter/chapter-6/; https://www.iea.org/data-and-statistics/data-tools/etp-clean-energy-technology-guide</x:v>
      </x:c>
      <x:c r="Z130" s="2" t="str">
        <x:v>Technology-specific analytical synthesis. The CTCN hierarchy is retained; classifications and component dependencies require validation against the selected design, site and supplier documentation before investment or policy use.</x:v>
      </x:c>
      <x:c r="AA130" s="2" t="str">
        <x:v>Physical deployment of Biomass power requires foundations, access, electrical or thermal network, substation, control and communications, drainage and construction or marine logistics; interfaces, foundations, access and environmental protection are sized to the specific resource and design load.</x:v>
      </x:c>
      <x:c r="AB130" s="2" t="str">
        <x:v>For Biomass 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0" s="2" t="str">
        <x:v>Construction and operation use steel, concrete, copper, aluminium, polymers, glass and technology-specific materials such as silicon, magnets, coatings, catalysts or working fluids. For Biomass power, specifications must include durability, compatibility, recycled content and recoverability.</x:v>
      </x:c>
      <x:c r="AD130" s="2" t="str">
        <x:v>Maintenance of Biomass power depends on bearings, seals, filters, lubricants, sensors, converter parts, cables, fasteners, coatings and replaceable collector or heat-exchanger components; critical spares are selected from failure-mode, lead-time and safety analysis for its installed configuration.</x:v>
      </x:c>
      <x:c r="AE130" s="2" t="str">
        <x:v>The software stack for Biomass power requires databases, secure communications, version-controlled models, computing, backup and interfaces with field or operational systems.</x:v>
      </x:c>
      <x:c r="AF130" s="2" t="str">
        <x:v>For Biomass power, software-related energy is electricity for sensing, computing, storage, communication and cooling; it is normally secondary but must be included for data-intensive or continuous services.</x:v>
      </x:c>
      <x:c r="AG130" s="2" t="str">
        <x:v>The non-physical inputs are calibrated data, metadata, algorithms, boundary conditions, emission or hazard factors, manuals and validation records specific to Biomass power.</x:v>
      </x:c>
      <x:c r="AH130" s="2" t="str">
        <x:v>Software continuity for Biomass power requires licences where applicable, updates, cybersecurity patches, backups, calibration files, model validation and technical support.</x:v>
      </x:c>
      <x:c r="AI130" s="2" t="str">
        <x:v>Orgware depends on the institutions, laboratories, training providers, regulators, operators and community interfaces needed to govern Biomass power.</x:v>
      </x:c>
      <x:c r="AJ130" s="2" t="str">
        <x:v>The orgware supporting Biomass power has mainly indirect energy use from offices, meetings, training and information systems; travel and field supervision may be material at dispersed sites.</x:v>
      </x:c>
      <x:c r="AK130" s="2" t="str">
        <x:v>Its organisational inputs are permits, budgets, trained staff, competence records, contracts, procedures, safeguards, monitoring evidence and stakeholder agreements tailored to Biomass power.</x:v>
      </x:c>
      <x:c r="AL130" s="2" t="str">
        <x:v>Sustained implementation of Biomass power requires procurement and service contracts, audit protocols, training material, reporting templates, insurance or guarantees and periodic independent review.</x:v>
      </x:c>
      <x:c r="AM130" s="2" t="str">
        <x:v>Iron ore / steel inputs</x:v>
      </x:c>
      <x:c r="AN130" s="2" t="str">
        <x:v>Australia; Brazil; China</x:v>
      </x:c>
      <x:c r="AO130" s="2" t="str">
        <x:v>China; India; Japan</x:v>
      </x:c>
      <x:c r="AP130" s="2" t="str">
        <x:v>Biomass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0" s="2" t="str">
        <x:v>2024–2025</x:v>
      </x:c>
      <x:c r="AR130" s="2" t="str">
        <x:v>https://pubs.usgs.gov/periodicals/mcs2026/mcs2026.pdf</x:v>
      </x:c>
    </x:row>
    <x:row r="131" ht="240" customHeight="1">
      <x:c r="A131" s="2" t="str">
        <x:v>MIT-0124</x:v>
      </x:c>
      <x:c r="B131" s="2" t="str">
        <x:v>Mitigation</x:v>
      </x:c>
      <x:c r="C131" s="2" t="str">
        <x:v>Renewable energy</x:v>
      </x:c>
      <x:c r="D131" s="2" t="str">
        <x:v>Bioenergy</x:v>
      </x:c>
      <x:c r="E131" s="2" t="str">
        <x:v>Ethanol fuel</x:v>
      </x:c>
      <x:c r="F131" s="2" t="str">
        <x:v>Ethanol fuel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Ethanol fuel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1" s="2" t="str">
        <x:v>Mixed: adaptable design, site-specific implementation</x:v>
      </x:c>
      <x:c r="H131" s="2" t="str">
        <x:v>Ethanol fuel is adaptable in capacity and configuration but site-specific in final engineering. Its principle remains the same, but resource quality, climate, scale, interfaces and safety constraints must be recalculated for each deployment.</x:v>
      </x:c>
      <x:c r="I131" s="2" t="str">
        <x:v>Primarily hard, with a soft component</x:v>
      </x:c>
      <x:c r="J131" s="2" t="str">
        <x:v>Ethanol fuel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1" s="2" t="str">
        <x:v>Product and equipment; complementary operation</x:v>
      </x:c>
      <x:c r="L131" s="2" t="str">
        <x:v>Ethanol fuel is embodied mainly as a product/equipment package. The deliverable is accepted only when measurable service, quality, safety and climate-performance criteria are met under real conditions.</x:v>
      </x:c>
      <x:c r="M131" s="2" t="str">
        <x:v>Yes, subject to life-cycle safeguards</x:v>
      </x:c>
      <x:c r="N131" s="2" t="str">
        <x:v>Ethanol fuel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1" s="2" t="str">
        <x:v>Ethanol fuel: resource collector or prime mover, generator or heat exchanger, support structure, power conversion, protection, metering and connection equipment.</x:v>
      </x:c>
      <x:c r="P131" s="2" t="str">
        <x:v>Ethanol fuel: resource assessment, energy-yield modelling, forecasting, maximum-power or process control, dispatch, condition monitoring and maintenance planning.</x:v>
      </x:c>
      <x:c r="Q131" s="2" t="str">
        <x:v>Ethanol fuel: resource and land or sea rights, environmental licensing, grid code, safety, community participation, revenue contract and decommissioning plan.</x:v>
      </x:c>
      <x:c r="R131" s="2" t="str">
        <x:v>Ethanol fuel: foundations, access, electrical or thermal network, substation, control and communications, drainage and construction or marine logistics.</x:v>
      </x:c>
      <x:c r="S131" s="2" t="str">
        <x:v>Ethanol fuel: the renewable resource is the primary input; auxiliary electricity, start-up fuel, pumping or thermal energy may be required depending on the design.</x:v>
      </x:c>
      <x:c r="T131" s="2" t="str">
        <x:v>Ethanol fuel: steel, concrete, copper, aluminium, polymers, glass and technology-specific materials such as silicon, magnets, coatings, catalysts or working fluids.</x:v>
      </x:c>
      <x:c r="U131" s="2" t="str">
        <x:v>Ethanol fuel: bearings, seals, filters, lubricants, sensors, converter parts, cables, fasteners, coatings and replaceable collector or heat-exchanger components.</x:v>
      </x:c>
      <x:c r="V131" s="2" t="str">
        <x:v>https://www.ctc-n.org/sites/default/files/resources/ctcn_taxonomy_0.pdf</x:v>
      </x:c>
      <x:c r="W131" s="2" t="str">
        <x:v>https://institutoagricoladepueblobello.edu.co/colegiapp/archivostemas/GUIA%209.%5B25%5D.pdf</x:v>
      </x:c>
      <x:c r="X131" s="2" t="str">
        <x:v>https://iiasa.ac.at/what-is-technology</x:v>
      </x:c>
      <x:c r="Y131" s="2" t="str">
        <x:v>https://www.ipcc.ch/report/ar6/wg3/chapter/chapter-6/; https://www.iea.org/data-and-statistics/data-tools/etp-clean-energy-technology-guide</x:v>
      </x:c>
      <x:c r="Z131" s="2" t="str">
        <x:v>Technology-specific analytical synthesis. The CTCN hierarchy is retained; classifications and component dependencies require validation against the selected design, site and supplier documentation before investment or policy use.</x:v>
      </x:c>
      <x:c r="AA131" s="2" t="str">
        <x:v>Physical deployment of Ethanol fuel requires foundations, access, electrical or thermal network, substation, control and communications, drainage and construction or marine logistics; interfaces, foundations, access and environmental protection are sized to the specific resource and design load.</x:v>
      </x:c>
      <x:c r="AB131" s="2" t="str">
        <x:v>For Ethanol fuel,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1" s="2" t="str">
        <x:v>Construction and operation use steel, concrete, copper, aluminium, polymers, glass and technology-specific materials such as silicon, magnets, coatings, catalysts or working fluids. For Ethanol fuel, specifications must include durability, compatibility, recycled content and recoverability.</x:v>
      </x:c>
      <x:c r="AD131" s="2" t="str">
        <x:v>Maintenance of Ethanol fuel depends on bearings, seals, filters, lubricants, sensors, converter parts, cables, fasteners, coatings and replaceable collector or heat-exchanger components; critical spares are selected from failure-mode, lead-time and safety analysis for its installed configuration.</x:v>
      </x:c>
      <x:c r="AE131" s="2" t="str">
        <x:v>The software stack for Ethanol fuel requires databases, secure communications, version-controlled models, computing, backup and interfaces with field or operational systems.</x:v>
      </x:c>
      <x:c r="AF131" s="2" t="str">
        <x:v>For Ethanol fuel, software-related energy is electricity for sensing, computing, storage, communication and cooling; it is normally secondary but must be included for data-intensive or continuous services.</x:v>
      </x:c>
      <x:c r="AG131" s="2" t="str">
        <x:v>The non-physical inputs are calibrated data, metadata, algorithms, boundary conditions, emission or hazard factors, manuals and validation records specific to Ethanol fuel.</x:v>
      </x:c>
      <x:c r="AH131" s="2" t="str">
        <x:v>Software continuity for Ethanol fuel requires licences where applicable, updates, cybersecurity patches, backups, calibration files, model validation and technical support.</x:v>
      </x:c>
      <x:c r="AI131" s="2" t="str">
        <x:v>Orgware depends on the institutions, laboratories, training providers, regulators, operators and community interfaces needed to govern Ethanol fuel.</x:v>
      </x:c>
      <x:c r="AJ131" s="2" t="str">
        <x:v>The orgware supporting Ethanol fuel has mainly indirect energy use from offices, meetings, training and information systems; travel and field supervision may be material at dispersed sites.</x:v>
      </x:c>
      <x:c r="AK131" s="2" t="str">
        <x:v>Its organisational inputs are permits, budgets, trained staff, competence records, contracts, procedures, safeguards, monitoring evidence and stakeholder agreements tailored to Ethanol fuel.</x:v>
      </x:c>
      <x:c r="AL131" s="2" t="str">
        <x:v>Sustained implementation of Ethanol fuel requires procurement and service contracts, audit protocols, training material, reporting templates, insurance or guarantees and periodic independent review.</x:v>
      </x:c>
      <x:c r="AM131" s="2" t="str">
        <x:v>Iron ore / steel inputs</x:v>
      </x:c>
      <x:c r="AN131" s="2" t="str">
        <x:v>Australia; Brazil; China</x:v>
      </x:c>
      <x:c r="AO131" s="2" t="str">
        <x:v>China; India; Japan</x:v>
      </x:c>
      <x:c r="AP131" s="2" t="str">
        <x:v>Ethanol fuel: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1" s="2" t="str">
        <x:v>2024–2025</x:v>
      </x:c>
      <x:c r="AR131" s="2" t="str">
        <x:v>https://pubs.usgs.gov/periodicals/mcs2026/mcs2026.pdf</x:v>
      </x:c>
    </x:row>
    <x:row r="132" ht="240" customHeight="1">
      <x:c r="A132" s="2" t="str">
        <x:v>MIT-0125</x:v>
      </x:c>
      <x:c r="B132" s="2" t="str">
        <x:v>Mitigation</x:v>
      </x:c>
      <x:c r="C132" s="2" t="str">
        <x:v>Renewable energy</x:v>
      </x:c>
      <x:c r="D132" s="2" t="str">
        <x:v>Bioenergy</x:v>
      </x:c>
      <x:c r="E132" s="2" t="str">
        <x:v>Biodiesel</x:v>
      </x:c>
      <x:c r="F132" s="2" t="str">
        <x:v>Biodiesel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Biodiesel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2" s="2" t="str">
        <x:v>Mixed: adaptable design, site-specific implementation</x:v>
      </x:c>
      <x:c r="H132" s="2" t="str">
        <x:v>Biodiesel is adaptable in capacity and configuration but site-specific in final engineering. Its principle remains the same, but resource quality, climate, scale, interfaces and safety constraints must be recalculated for each deployment.</x:v>
      </x:c>
      <x:c r="I132" s="2" t="str">
        <x:v>Primarily hard, with a soft component</x:v>
      </x:c>
      <x:c r="J132" s="2" t="str">
        <x:v>Biodiesel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2" s="2" t="str">
        <x:v>Product and equipment; complementary operation</x:v>
      </x:c>
      <x:c r="L132" s="2" t="str">
        <x:v>Biodiesel is embodied mainly as a product/equipment package. The deliverable is accepted only when measurable service, quality, safety and climate-performance criteria are met under real conditions.</x:v>
      </x:c>
      <x:c r="M132" s="2" t="str">
        <x:v>Yes, subject to life-cycle safeguards</x:v>
      </x:c>
      <x:c r="N132" s="2" t="str">
        <x:v>Biodiesel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2" s="2" t="str">
        <x:v>Biodiesel: resource collector or prime mover, generator or heat exchanger, support structure, power conversion, protection, metering and connection equipment.</x:v>
      </x:c>
      <x:c r="P132" s="2" t="str">
        <x:v>Biodiesel: resource assessment, energy-yield modelling, forecasting, maximum-power or process control, dispatch, condition monitoring and maintenance planning.</x:v>
      </x:c>
      <x:c r="Q132" s="2" t="str">
        <x:v>Biodiesel: resource and land or sea rights, environmental licensing, grid code, safety, community participation, revenue contract and decommissioning plan.</x:v>
      </x:c>
      <x:c r="R132" s="2" t="str">
        <x:v>Biodiesel: foundations, access, electrical or thermal network, substation, control and communications, drainage and construction or marine logistics.</x:v>
      </x:c>
      <x:c r="S132" s="2" t="str">
        <x:v>Biodiesel: the renewable resource is the primary input; auxiliary electricity, start-up fuel, pumping or thermal energy may be required depending on the design.</x:v>
      </x:c>
      <x:c r="T132" s="2" t="str">
        <x:v>Biodiesel: steel, concrete, copper, aluminium, polymers, glass and technology-specific materials such as silicon, magnets, coatings, catalysts or working fluids.</x:v>
      </x:c>
      <x:c r="U132" s="2" t="str">
        <x:v>Biodiesel: bearings, seals, filters, lubricants, sensors, converter parts, cables, fasteners, coatings and replaceable collector or heat-exchanger components.</x:v>
      </x:c>
      <x:c r="V132" s="2" t="str">
        <x:v>https://www.ctc-n.org/sites/default/files/resources/ctcn_taxonomy_0.pdf</x:v>
      </x:c>
      <x:c r="W132" s="2" t="str">
        <x:v>https://institutoagricoladepueblobello.edu.co/colegiapp/archivostemas/GUIA%209.%5B25%5D.pdf</x:v>
      </x:c>
      <x:c r="X132" s="2" t="str">
        <x:v>https://iiasa.ac.at/what-is-technology</x:v>
      </x:c>
      <x:c r="Y132" s="2" t="str">
        <x:v>https://www.ipcc.ch/report/ar6/wg3/chapter/chapter-6/; https://www.iea.org/data-and-statistics/data-tools/etp-clean-energy-technology-guide</x:v>
      </x:c>
      <x:c r="Z132" s="2" t="str">
        <x:v>Technology-specific analytical synthesis. The CTCN hierarchy is retained; classifications and component dependencies require validation against the selected design, site and supplier documentation before investment or policy use.</x:v>
      </x:c>
      <x:c r="AA132" s="2" t="str">
        <x:v>Physical deployment of Biodiesel requires foundations, access, electrical or thermal network, substation, control and communications, drainage and construction or marine logistics; interfaces, foundations, access and environmental protection are sized to the specific resource and design load.</x:v>
      </x:c>
      <x:c r="AB132" s="2" t="str">
        <x:v>For Biodiesel,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2" s="2" t="str">
        <x:v>Construction and operation use steel, concrete, copper, aluminium, polymers, glass and technology-specific materials such as silicon, magnets, coatings, catalysts or working fluids. For Biodiesel, specifications must include durability, compatibility, recycled content and recoverability.</x:v>
      </x:c>
      <x:c r="AD132" s="2" t="str">
        <x:v>Maintenance of Biodiesel depends on bearings, seals, filters, lubricants, sensors, converter parts, cables, fasteners, coatings and replaceable collector or heat-exchanger components; critical spares are selected from failure-mode, lead-time and safety analysis for its installed configuration.</x:v>
      </x:c>
      <x:c r="AE132" s="2" t="str">
        <x:v>The software stack for Biodiesel requires databases, secure communications, version-controlled models, computing, backup and interfaces with field or operational systems.</x:v>
      </x:c>
      <x:c r="AF132" s="2" t="str">
        <x:v>For Biodiesel, software-related energy is electricity for sensing, computing, storage, communication and cooling; it is normally secondary but must be included for data-intensive or continuous services.</x:v>
      </x:c>
      <x:c r="AG132" s="2" t="str">
        <x:v>The non-physical inputs are calibrated data, metadata, algorithms, boundary conditions, emission or hazard factors, manuals and validation records specific to Biodiesel.</x:v>
      </x:c>
      <x:c r="AH132" s="2" t="str">
        <x:v>Software continuity for Biodiesel requires licences where applicable, updates, cybersecurity patches, backups, calibration files, model validation and technical support.</x:v>
      </x:c>
      <x:c r="AI132" s="2" t="str">
        <x:v>Orgware depends on the institutions, laboratories, training providers, regulators, operators and community interfaces needed to govern Biodiesel.</x:v>
      </x:c>
      <x:c r="AJ132" s="2" t="str">
        <x:v>The orgware supporting Biodiesel has mainly indirect energy use from offices, meetings, training and information systems; travel and field supervision may be material at dispersed sites.</x:v>
      </x:c>
      <x:c r="AK132" s="2" t="str">
        <x:v>Its organisational inputs are permits, budgets, trained staff, competence records, contracts, procedures, safeguards, monitoring evidence and stakeholder agreements tailored to Biodiesel.</x:v>
      </x:c>
      <x:c r="AL132" s="2" t="str">
        <x:v>Sustained implementation of Biodiesel requires procurement and service contracts, audit protocols, training material, reporting templates, insurance or guarantees and periodic independent review.</x:v>
      </x:c>
      <x:c r="AM132" s="2" t="str">
        <x:v>Iron ore / steel inputs</x:v>
      </x:c>
      <x:c r="AN132" s="2" t="str">
        <x:v>Australia; Brazil; China</x:v>
      </x:c>
      <x:c r="AO132" s="2" t="str">
        <x:v>China; India; Japan</x:v>
      </x:c>
      <x:c r="AP132" s="2" t="str">
        <x:v>Biodiesel: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2" s="2" t="str">
        <x:v>2024–2025</x:v>
      </x:c>
      <x:c r="AR132" s="2" t="str">
        <x:v>https://pubs.usgs.gov/periodicals/mcs2026/mcs2026.pdf</x:v>
      </x:c>
    </x:row>
    <x:row r="133" ht="240" customHeight="1">
      <x:c r="A133" s="2" t="str">
        <x:v>MIT-0126</x:v>
      </x:c>
      <x:c r="B133" s="2" t="str">
        <x:v>Mitigation</x:v>
      </x:c>
      <x:c r="C133" s="2" t="str">
        <x:v>Renewable energy</x:v>
      </x:c>
      <x:c r="D133" s="2" t="str">
        <x:v>Bioenergy</x:v>
      </x:c>
      <x:c r="E133" s="2" t="str">
        <x:v>Biodiesel from waste oil</x:v>
      </x:c>
      <x:c r="F133" s="2" t="str">
        <x:v>Biodiesel from waste oil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Biodiesel from waste oil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3" s="2" t="str">
        <x:v>Mixed: adaptable design, site-specific implementation</x:v>
      </x:c>
      <x:c r="H133" s="2" t="str">
        <x:v>Biodiesel from waste oil is adaptable in capacity and configuration but site-specific in final engineering. Its principle remains the same, but resource quality, climate, scale, interfaces and safety constraints must be recalculated for each deployment.</x:v>
      </x:c>
      <x:c r="I133" s="2" t="str">
        <x:v>Primarily hard, with a soft component</x:v>
      </x:c>
      <x:c r="J133" s="2" t="str">
        <x:v>Biodiesel from waste oil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3" s="2" t="str">
        <x:v>Product and equipment; complementary operation</x:v>
      </x:c>
      <x:c r="L133" s="2" t="str">
        <x:v>Biodiesel from waste oil is embodied mainly as a product/equipment package. The deliverable is accepted only when measurable service, quality, safety and climate-performance criteria are met under real conditions.</x:v>
      </x:c>
      <x:c r="M133" s="2" t="str">
        <x:v>Yes, subject to life-cycle safeguards</x:v>
      </x:c>
      <x:c r="N133" s="2" t="str">
        <x:v>Biodiesel from waste oil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3" s="2" t="str">
        <x:v>Biodiesel from waste oil: resource collector or prime mover, generator or heat exchanger, support structure, power conversion, protection, metering and connection equipment.</x:v>
      </x:c>
      <x:c r="P133" s="2" t="str">
        <x:v>Biodiesel from waste oil: resource assessment, energy-yield modelling, forecasting, maximum-power or process control, dispatch, condition monitoring and maintenance planning.</x:v>
      </x:c>
      <x:c r="Q133" s="2" t="str">
        <x:v>Biodiesel from waste oil: resource and land or sea rights, environmental licensing, grid code, safety, community participation, revenue contract and decommissioning plan.</x:v>
      </x:c>
      <x:c r="R133" s="2" t="str">
        <x:v>Biodiesel from waste oil: foundations, access, electrical or thermal network, substation, control and communications, drainage and construction or marine logistics.</x:v>
      </x:c>
      <x:c r="S133" s="2" t="str">
        <x:v>Biodiesel from waste oil: the renewable resource is the primary input; auxiliary electricity, start-up fuel, pumping or thermal energy may be required depending on the design.</x:v>
      </x:c>
      <x:c r="T133" s="2" t="str">
        <x:v>Biodiesel from waste oil: steel, concrete, copper, aluminium, polymers, glass and technology-specific materials such as silicon, magnets, coatings, catalysts or working fluids.</x:v>
      </x:c>
      <x:c r="U133" s="2" t="str">
        <x:v>Biodiesel from waste oil: bearings, seals, filters, lubricants, sensors, converter parts, cables, fasteners, coatings and replaceable collector or heat-exchanger components.</x:v>
      </x:c>
      <x:c r="V133" s="2" t="str">
        <x:v>https://www.ctc-n.org/sites/default/files/resources/ctcn_taxonomy_0.pdf</x:v>
      </x:c>
      <x:c r="W133" s="2" t="str">
        <x:v>https://institutoagricoladepueblobello.edu.co/colegiapp/archivostemas/GUIA%209.%5B25%5D.pdf</x:v>
      </x:c>
      <x:c r="X133" s="2" t="str">
        <x:v>https://iiasa.ac.at/what-is-technology</x:v>
      </x:c>
      <x:c r="Y133" s="2" t="str">
        <x:v>https://www.ipcc.ch/report/ar6/wg3/chapter/chapter-6/; https://www.iea.org/data-and-statistics/data-tools/etp-clean-energy-technology-guide</x:v>
      </x:c>
      <x:c r="Z133" s="2" t="str">
        <x:v>Technology-specific analytical synthesis. The CTCN hierarchy is retained; classifications and component dependencies require validation against the selected design, site and supplier documentation before investment or policy use.</x:v>
      </x:c>
      <x:c r="AA133" s="2" t="str">
        <x:v>Physical deployment of Biodiesel from waste oil requires foundations, access, electrical or thermal network, substation, control and communications, drainage and construction or marine logistics; interfaces, foundations, access and environmental protection are sized to the specific resource and design load.</x:v>
      </x:c>
      <x:c r="AB133" s="2" t="str">
        <x:v>For Biodiesel from waste oil,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3" s="2" t="str">
        <x:v>Construction and operation use steel, concrete, copper, aluminium, polymers, glass and technology-specific materials such as silicon, magnets, coatings, catalysts or working fluids. For Biodiesel from waste oil, specifications must include durability, compatibility, recycled content and recoverability.</x:v>
      </x:c>
      <x:c r="AD133" s="2" t="str">
        <x:v>Maintenance of Biodiesel from waste oil depends on bearings, seals, filters, lubricants, sensors, converter parts, cables, fasteners, coatings and replaceable collector or heat-exchanger components; critical spares are selected from failure-mode, lead-time and safety analysis for its installed configuration.</x:v>
      </x:c>
      <x:c r="AE133" s="2" t="str">
        <x:v>The software stack for Biodiesel from waste oil requires databases, secure communications, version-controlled models, computing, backup and interfaces with field or operational systems.</x:v>
      </x:c>
      <x:c r="AF133" s="2" t="str">
        <x:v>For Biodiesel from waste oil, software-related energy is electricity for sensing, computing, storage, communication and cooling; it is normally secondary but must be included for data-intensive or continuous services.</x:v>
      </x:c>
      <x:c r="AG133" s="2" t="str">
        <x:v>The non-physical inputs are calibrated data, metadata, algorithms, boundary conditions, emission or hazard factors, manuals and validation records specific to Biodiesel from waste oil.</x:v>
      </x:c>
      <x:c r="AH133" s="2" t="str">
        <x:v>Software continuity for Biodiesel from waste oil requires licences where applicable, updates, cybersecurity patches, backups, calibration files, model validation and technical support.</x:v>
      </x:c>
      <x:c r="AI133" s="2" t="str">
        <x:v>Orgware depends on the institutions, laboratories, training providers, regulators, operators and community interfaces needed to govern Biodiesel from waste oil.</x:v>
      </x:c>
      <x:c r="AJ133" s="2" t="str">
        <x:v>The orgware supporting Biodiesel from waste oil has mainly indirect energy use from offices, meetings, training and information systems; travel and field supervision may be material at dispersed sites.</x:v>
      </x:c>
      <x:c r="AK133" s="2" t="str">
        <x:v>Its organisational inputs are permits, budgets, trained staff, competence records, contracts, procedures, safeguards, monitoring evidence and stakeholder agreements tailored to Biodiesel from waste oil.</x:v>
      </x:c>
      <x:c r="AL133" s="2" t="str">
        <x:v>Sustained implementation of Biodiesel from waste oil requires procurement and service contracts, audit protocols, training material, reporting templates, insurance or guarantees and periodic independent review.</x:v>
      </x:c>
      <x:c r="AM133" s="2" t="str">
        <x:v>Iron ore / steel inputs</x:v>
      </x:c>
      <x:c r="AN133" s="2" t="str">
        <x:v>Australia; Brazil; China</x:v>
      </x:c>
      <x:c r="AO133" s="2" t="str">
        <x:v>China; India; Japan</x:v>
      </x:c>
      <x:c r="AP133" s="2" t="str">
        <x:v>Biodiesel from waste oil: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3" s="2" t="str">
        <x:v>2024–2025</x:v>
      </x:c>
      <x:c r="AR133" s="2" t="str">
        <x:v>https://pubs.usgs.gov/periodicals/mcs2026/mcs2026.pdf</x:v>
      </x:c>
    </x:row>
    <x:row r="134" ht="240" customHeight="1">
      <x:c r="A134" s="2" t="str">
        <x:v>MIT-0127</x:v>
      </x:c>
      <x:c r="B134" s="2" t="str">
        <x:v>Mitigation</x:v>
      </x:c>
      <x:c r="C134" s="2" t="str">
        <x:v>Renewable energy</x:v>
      </x:c>
      <x:c r="D134" s="2" t="str">
        <x:v>Bioenergy</x:v>
      </x:c>
      <x:c r="E134" s="2" t="str">
        <x:v>Charcoal production for cooking and heating</x:v>
      </x:c>
      <x:c r="F134" s="2" t="str">
        <x:v>Charcoal production for cooking and heating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Charcoal production for cooking and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4" s="2" t="str">
        <x:v>Mixed: adaptable design, site-specific implementation</x:v>
      </x:c>
      <x:c r="H134" s="2" t="str">
        <x:v>Charcoal production for cooking and heating is adaptable in capacity and configuration but site-specific in final engineering. Its principle remains the same, but resource quality, climate, scale, interfaces and safety constraints must be recalculated for each deployment.</x:v>
      </x:c>
      <x:c r="I134" s="2" t="str">
        <x:v>Primarily hard, with a soft component</x:v>
      </x:c>
      <x:c r="J134" s="2" t="str">
        <x:v>Charcoal production for cooking and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4" s="2" t="str">
        <x:v>Equipment and operation</x:v>
      </x:c>
      <x:c r="L134" s="2" t="str">
        <x:v>Charcoal production for cooking and heating is embodied mainly as an equipment-and-operation system. The deliverable is accepted only when measurable service, quality, safety and climate-performance criteria are met under real conditions.</x:v>
      </x:c>
      <x:c r="M134" s="2" t="str">
        <x:v>Yes, subject to life-cycle safeguards</x:v>
      </x:c>
      <x:c r="N134" s="2" t="str">
        <x:v>Charcoal production for cooking and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4" s="2" t="str">
        <x:v>Charcoal production for cooking and heating: resource collector or prime mover, generator or heat exchanger, support structure, power conversion, protection, metering and connection equipment.</x:v>
      </x:c>
      <x:c r="P134" s="2" t="str">
        <x:v>Charcoal production for cooking and heating: resource assessment, energy-yield modelling, forecasting, maximum-power or process control, dispatch, condition monitoring and maintenance planning.</x:v>
      </x:c>
      <x:c r="Q134" s="2" t="str">
        <x:v>Charcoal production for cooking and heating: resource and land or sea rights, environmental licensing, grid code, safety, community participation, revenue contract and decommissioning plan.</x:v>
      </x:c>
      <x:c r="R134" s="2" t="str">
        <x:v>Charcoal production for cooking and heating: foundations, access, electrical or thermal network, substation, control and communications, drainage and construction or marine logistics.</x:v>
      </x:c>
      <x:c r="S134" s="2" t="str">
        <x:v>Charcoal production for cooking and heating: the renewable resource is the primary input; auxiliary electricity, start-up fuel, pumping or thermal energy may be required depending on the design.</x:v>
      </x:c>
      <x:c r="T134" s="2" t="str">
        <x:v>Charcoal production for cooking and heating: steel, concrete, copper, aluminium, polymers, glass and technology-specific materials such as silicon, magnets, coatings, catalysts or working fluids.</x:v>
      </x:c>
      <x:c r="U134" s="2" t="str">
        <x:v>Charcoal production for cooking and heating: bearings, seals, filters, lubricants, sensors, converter parts, cables, fasteners, coatings and replaceable collector or heat-exchanger components.</x:v>
      </x:c>
      <x:c r="V134" s="2" t="str">
        <x:v>https://www.ctc-n.org/sites/default/files/resources/ctcn_taxonomy_0.pdf</x:v>
      </x:c>
      <x:c r="W134" s="2" t="str">
        <x:v>https://institutoagricoladepueblobello.edu.co/colegiapp/archivostemas/GUIA%209.%5B25%5D.pdf</x:v>
      </x:c>
      <x:c r="X134" s="2" t="str">
        <x:v>https://iiasa.ac.at/what-is-technology</x:v>
      </x:c>
      <x:c r="Y134" s="2" t="str">
        <x:v>https://www.ipcc.ch/report/ar6/wg3/chapter/chapter-6/; https://www.iea.org/data-and-statistics/data-tools/etp-clean-energy-technology-guide</x:v>
      </x:c>
      <x:c r="Z134" s="2" t="str">
        <x:v>Technology-specific analytical synthesis. The CTCN hierarchy is retained; classifications and component dependencies require validation against the selected design, site and supplier documentation before investment or policy use.</x:v>
      </x:c>
      <x:c r="AA134" s="2" t="str">
        <x:v>Physical deployment of Charcoal production for cooking and heating requires foundations, access, electrical or thermal network, substation, control and communications, drainage and construction or marine logistics; interfaces, foundations, access and environmental protection are sized to the specific resource and design load.</x:v>
      </x:c>
      <x:c r="AB134" s="2" t="str">
        <x:v>For Charcoal production for cooking and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4" s="2" t="str">
        <x:v>Construction and operation use steel, concrete, copper, aluminium, polymers, glass and technology-specific materials such as silicon, magnets, coatings, catalysts or working fluids. For Charcoal production for cooking and heating, specifications must include durability, compatibility, recycled content and recoverability.</x:v>
      </x:c>
      <x:c r="AD134" s="2" t="str">
        <x:v>Maintenance of Charcoal production for cooking and heating depends on bearings, seals, filters, lubricants, sensors, converter parts, cables, fasteners, coatings and replaceable collector or heat-exchanger components; critical spares are selected from failure-mode, lead-time and safety analysis for its installed configuration.</x:v>
      </x:c>
      <x:c r="AE134" s="2" t="str">
        <x:v>The software stack for Charcoal production for cooking and heating requires databases, secure communications, version-controlled models, computing, backup and interfaces with field or operational systems.</x:v>
      </x:c>
      <x:c r="AF134" s="2" t="str">
        <x:v>For Charcoal production for cooking and heating, software-related energy is electricity for sensing, computing, storage, communication and cooling; it is normally secondary but must be included for data-intensive or continuous services.</x:v>
      </x:c>
      <x:c r="AG134" s="2" t="str">
        <x:v>The non-physical inputs are calibrated data, metadata, algorithms, boundary conditions, emission or hazard factors, manuals and validation records specific to Charcoal production for cooking and heating.</x:v>
      </x:c>
      <x:c r="AH134" s="2" t="str">
        <x:v>Software continuity for Charcoal production for cooking and heating requires licences where applicable, updates, cybersecurity patches, backups, calibration files, model validation and technical support.</x:v>
      </x:c>
      <x:c r="AI134" s="2" t="str">
        <x:v>Orgware depends on the institutions, laboratories, training providers, regulators, operators and community interfaces needed to govern Charcoal production for cooking and heating.</x:v>
      </x:c>
      <x:c r="AJ134" s="2" t="str">
        <x:v>The orgware supporting Charcoal production for cooking and heating has mainly indirect energy use from offices, meetings, training and information systems; travel and field supervision may be material at dispersed sites.</x:v>
      </x:c>
      <x:c r="AK134" s="2" t="str">
        <x:v>Its organisational inputs are permits, budgets, trained staff, competence records, contracts, procedures, safeguards, monitoring evidence and stakeholder agreements tailored to Charcoal production for cooking and heating.</x:v>
      </x:c>
      <x:c r="AL134" s="2" t="str">
        <x:v>Sustained implementation of Charcoal production for cooking and heating requires procurement and service contracts, audit protocols, training material, reporting templates, insurance or guarantees and periodic independent review.</x:v>
      </x:c>
      <x:c r="AM134" s="2" t="str">
        <x:v>Iron ore / steel inputs</x:v>
      </x:c>
      <x:c r="AN134" s="2" t="str">
        <x:v>Australia; Brazil; China</x:v>
      </x:c>
      <x:c r="AO134" s="2" t="str">
        <x:v>China; India; Japan</x:v>
      </x:c>
      <x:c r="AP134" s="2" t="str">
        <x:v>Charcoal production for cooking and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4" s="2" t="str">
        <x:v>2024–2025</x:v>
      </x:c>
      <x:c r="AR134" s="2" t="str">
        <x:v>https://pubs.usgs.gov/periodicals/mcs2026/mcs2026.pdf</x:v>
      </x:c>
    </x:row>
    <x:row r="135" ht="240" customHeight="1">
      <x:c r="A135" s="2" t="str">
        <x:v>MIT-0128</x:v>
      </x:c>
      <x:c r="B135" s="2" t="str">
        <x:v>Mitigation</x:v>
      </x:c>
      <x:c r="C135" s="2" t="str">
        <x:v>Renewable energy</x:v>
      </x:c>
      <x:c r="D135" s="2" t="str">
        <x:v>Bioenergy</x:v>
      </x:c>
      <x:c r="E135" s="2" t="str">
        <x:v>Household biogas</x:v>
      </x:c>
      <x:c r="F135" s="2" t="str">
        <x:v>Household biogas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Household biogas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5" s="2" t="str">
        <x:v>Mixed: adaptable design, site-specific implementation</x:v>
      </x:c>
      <x:c r="H135" s="2" t="str">
        <x:v>Household biogas is adaptable in capacity and configuration but site-specific in final engineering. Its principle remains the same, but resource quality, climate, scale, interfaces and safety constraints must be recalculated for each deployment.</x:v>
      </x:c>
      <x:c r="I135" s="2" t="str">
        <x:v>Primarily hard, with a soft component</x:v>
      </x:c>
      <x:c r="J135" s="2" t="str">
        <x:v>Household biogas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5" s="2" t="str">
        <x:v>Equipment and operation</x:v>
      </x:c>
      <x:c r="L135" s="2" t="str">
        <x:v>Household biogas is embodied mainly as an equipment-and-operation system. The deliverable is accepted only when measurable service, quality, safety and climate-performance criteria are met under real conditions.</x:v>
      </x:c>
      <x:c r="M135" s="2" t="str">
        <x:v>Yes, subject to life-cycle safeguards</x:v>
      </x:c>
      <x:c r="N135" s="2" t="str">
        <x:v>Household biogas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5" s="2" t="str">
        <x:v>Household biogas: resource collector or prime mover, generator or heat exchanger, support structure, power conversion, protection, metering and connection equipment.</x:v>
      </x:c>
      <x:c r="P135" s="2" t="str">
        <x:v>Household biogas: resource assessment, energy-yield modelling, forecasting, maximum-power or process control, dispatch, condition monitoring and maintenance planning.</x:v>
      </x:c>
      <x:c r="Q135" s="2" t="str">
        <x:v>Household biogas: resource and land or sea rights, environmental licensing, grid code, safety, community participation, revenue contract and decommissioning plan.</x:v>
      </x:c>
      <x:c r="R135" s="2" t="str">
        <x:v>Household biogas: foundations, access, electrical or thermal network, substation, control and communications, drainage and construction or marine logistics.</x:v>
      </x:c>
      <x:c r="S135" s="2" t="str">
        <x:v>Household biogas: the renewable resource is the primary input; auxiliary electricity, start-up fuel, pumping or thermal energy may be required depending on the design.</x:v>
      </x:c>
      <x:c r="T135" s="2" t="str">
        <x:v>Household biogas: steel, concrete, copper, aluminium, polymers, glass and technology-specific materials such as silicon, magnets, coatings, catalysts or working fluids.</x:v>
      </x:c>
      <x:c r="U135" s="2" t="str">
        <x:v>Household biogas: bearings, seals, filters, lubricants, sensors, converter parts, cables, fasteners, coatings and replaceable collector or heat-exchanger components.</x:v>
      </x:c>
      <x:c r="V135" s="2" t="str">
        <x:v>https://www.ctc-n.org/sites/default/files/resources/ctcn_taxonomy_0.pdf</x:v>
      </x:c>
      <x:c r="W135" s="2" t="str">
        <x:v>https://institutoagricoladepueblobello.edu.co/colegiapp/archivostemas/GUIA%209.%5B25%5D.pdf</x:v>
      </x:c>
      <x:c r="X135" s="2" t="str">
        <x:v>https://iiasa.ac.at/what-is-technology</x:v>
      </x:c>
      <x:c r="Y135" s="2" t="str">
        <x:v>https://www.ipcc.ch/report/ar6/wg3/chapter/chapter-6/; https://www.iea.org/data-and-statistics/data-tools/etp-clean-energy-technology-guide</x:v>
      </x:c>
      <x:c r="Z135" s="2" t="str">
        <x:v>Technology-specific analytical synthesis. The CTCN hierarchy is retained; classifications and component dependencies require validation against the selected design, site and supplier documentation before investment or policy use.</x:v>
      </x:c>
      <x:c r="AA135" s="2" t="str">
        <x:v>Physical deployment of Household biogas requires foundations, access, electrical or thermal network, substation, control and communications, drainage and construction or marine logistics; interfaces, foundations, access and environmental protection are sized to the specific resource and design load.</x:v>
      </x:c>
      <x:c r="AB135" s="2" t="str">
        <x:v>For Household biogas,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5" s="2" t="str">
        <x:v>Construction and operation use steel, concrete, copper, aluminium, polymers, glass and technology-specific materials such as silicon, magnets, coatings, catalysts or working fluids. For Household biogas, specifications must include durability, compatibility, recycled content and recoverability.</x:v>
      </x:c>
      <x:c r="AD135" s="2" t="str">
        <x:v>Maintenance of Household biogas depends on bearings, seals, filters, lubricants, sensors, converter parts, cables, fasteners, coatings and replaceable collector or heat-exchanger components; critical spares are selected from failure-mode, lead-time and safety analysis for its installed configuration.</x:v>
      </x:c>
      <x:c r="AE135" s="2" t="str">
        <x:v>The software stack for Household biogas requires databases, secure communications, version-controlled models, computing, backup and interfaces with field or operational systems.</x:v>
      </x:c>
      <x:c r="AF135" s="2" t="str">
        <x:v>For Household biogas, software-related energy is electricity for sensing, computing, storage, communication and cooling; it is normally secondary but must be included for data-intensive or continuous services.</x:v>
      </x:c>
      <x:c r="AG135" s="2" t="str">
        <x:v>The non-physical inputs are calibrated data, metadata, algorithms, boundary conditions, emission or hazard factors, manuals and validation records specific to Household biogas.</x:v>
      </x:c>
      <x:c r="AH135" s="2" t="str">
        <x:v>Software continuity for Household biogas requires licences where applicable, updates, cybersecurity patches, backups, calibration files, model validation and technical support.</x:v>
      </x:c>
      <x:c r="AI135" s="2" t="str">
        <x:v>Orgware depends on the institutions, laboratories, training providers, regulators, operators and community interfaces needed to govern Household biogas.</x:v>
      </x:c>
      <x:c r="AJ135" s="2" t="str">
        <x:v>The orgware supporting Household biogas has mainly indirect energy use from offices, meetings, training and information systems; travel and field supervision may be material at dispersed sites.</x:v>
      </x:c>
      <x:c r="AK135" s="2" t="str">
        <x:v>Its organisational inputs are permits, budgets, trained staff, competence records, contracts, procedures, safeguards, monitoring evidence and stakeholder agreements tailored to Household biogas.</x:v>
      </x:c>
      <x:c r="AL135" s="2" t="str">
        <x:v>Sustained implementation of Household biogas requires procurement and service contracts, audit protocols, training material, reporting templates, insurance or guarantees and periodic independent review.</x:v>
      </x:c>
      <x:c r="AM135" s="2" t="str">
        <x:v>Iron ore / steel inputs</x:v>
      </x:c>
      <x:c r="AN135" s="2" t="str">
        <x:v>Australia; Brazil; China</x:v>
      </x:c>
      <x:c r="AO135" s="2" t="str">
        <x:v>China; India; Japan</x:v>
      </x:c>
      <x:c r="AP135" s="2" t="str">
        <x:v>Household biogas: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5" s="2" t="str">
        <x:v>2024–2025</x:v>
      </x:c>
      <x:c r="AR135" s="2" t="str">
        <x:v>https://pubs.usgs.gov/periodicals/mcs2026/mcs2026.pdf</x:v>
      </x:c>
    </x:row>
    <x:row r="136" ht="240" customHeight="1">
      <x:c r="A136" s="2" t="str">
        <x:v>MIT-0129</x:v>
      </x:c>
      <x:c r="B136" s="2" t="str">
        <x:v>Mitigation</x:v>
      </x:c>
      <x:c r="C136" s="2" t="str">
        <x:v>Renewable energy</x:v>
      </x:c>
      <x:c r="D136" s="2" t="str">
        <x:v>Bioenergy</x:v>
      </x:c>
      <x:c r="E136" s="2" t="str">
        <x:v>Biodiesel from waste oil</x:v>
      </x:c>
      <x:c r="F136" s="2" t="str">
        <x:v>Biodiesel from waste oil is a mitigation technology in the Renewable energy sector and the Bioenergy technology group. It is defined as a combined hardware–software–orgware system that converts a renewable solar, wind, water, ocean, geothermal or chemical resource into electricity, heat or mechanical work while controlling variability and conversion losses. Biodiesel from waste oil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6" s="2" t="str">
        <x:v>Mixed: adaptable design, site-specific implementation</x:v>
      </x:c>
      <x:c r="H136" s="2" t="str">
        <x:v>Biodiesel from waste oil is adaptable in capacity and configuration but site-specific in final engineering. Its principle remains the same, but resource quality, climate, scale, interfaces and safety constraints must be recalculated for each deployment.</x:v>
      </x:c>
      <x:c r="I136" s="2" t="str">
        <x:v>Primarily hard, with a soft component</x:v>
      </x:c>
      <x:c r="J136" s="2" t="str">
        <x:v>Biodiesel from waste oil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6" s="2" t="str">
        <x:v>Product and equipment; complementary operation</x:v>
      </x:c>
      <x:c r="L136" s="2" t="str">
        <x:v>Biodiesel from waste oil is embodied mainly as a product/equipment package. The deliverable is accepted only when measurable service, quality, safety and climate-performance criteria are met under real conditions.</x:v>
      </x:c>
      <x:c r="M136" s="2" t="str">
        <x:v>Yes, subject to life-cycle safeguards</x:v>
      </x:c>
      <x:c r="N136" s="2" t="str">
        <x:v>Biodiesel from waste oil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6" s="2" t="str">
        <x:v>Biodiesel from waste oil: resource collector or prime mover, generator or heat exchanger, support structure, power conversion, protection, metering and connection equipment.</x:v>
      </x:c>
      <x:c r="P136" s="2" t="str">
        <x:v>Biodiesel from waste oil: resource assessment, energy-yield modelling, forecasting, maximum-power or process control, dispatch, condition monitoring and maintenance planning.</x:v>
      </x:c>
      <x:c r="Q136" s="2" t="str">
        <x:v>Biodiesel from waste oil: resource and land or sea rights, environmental licensing, grid code, safety, community participation, revenue contract and decommissioning plan.</x:v>
      </x:c>
      <x:c r="R136" s="2" t="str">
        <x:v>Biodiesel from waste oil: foundations, access, electrical or thermal network, substation, control and communications, drainage and construction or marine logistics.</x:v>
      </x:c>
      <x:c r="S136" s="2" t="str">
        <x:v>Biodiesel from waste oil: the renewable resource is the primary input; auxiliary electricity, start-up fuel, pumping or thermal energy may be required depending on the design.</x:v>
      </x:c>
      <x:c r="T136" s="2" t="str">
        <x:v>Biodiesel from waste oil: steel, concrete, copper, aluminium, polymers, glass and technology-specific materials such as silicon, magnets, coatings, catalysts or working fluids.</x:v>
      </x:c>
      <x:c r="U136" s="2" t="str">
        <x:v>Biodiesel from waste oil: bearings, seals, filters, lubricants, sensors, converter parts, cables, fasteners, coatings and replaceable collector or heat-exchanger components.</x:v>
      </x:c>
      <x:c r="V136" s="2" t="str">
        <x:v>https://www.ctc-n.org/sites/default/files/resources/ctcn_taxonomy_0.pdf</x:v>
      </x:c>
      <x:c r="W136" s="2" t="str">
        <x:v>https://institutoagricoladepueblobello.edu.co/colegiapp/archivostemas/GUIA%209.%5B25%5D.pdf</x:v>
      </x:c>
      <x:c r="X136" s="2" t="str">
        <x:v>https://iiasa.ac.at/what-is-technology</x:v>
      </x:c>
      <x:c r="Y136" s="2" t="str">
        <x:v>https://www.ipcc.ch/report/ar6/wg3/chapter/chapter-6/; https://www.iea.org/data-and-statistics/data-tools/etp-clean-energy-technology-guide</x:v>
      </x:c>
      <x:c r="Z136" s="2" t="str">
        <x:v>Technology-specific analytical synthesis. The CTCN hierarchy is retained; classifications and component dependencies require validation against the selected design, site and supplier documentation before investment or policy use.</x:v>
      </x:c>
      <x:c r="AA136" s="2" t="str">
        <x:v>Physical deployment of Biodiesel from waste oil requires foundations, access, electrical or thermal network, substation, control and communications, drainage and construction or marine logistics; interfaces, foundations, access and environmental protection are sized to the specific resource and design load.</x:v>
      </x:c>
      <x:c r="AB136" s="2" t="str">
        <x:v>For Biodiesel from waste oil,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6" s="2" t="str">
        <x:v>Construction and operation use steel, concrete, copper, aluminium, polymers, glass and technology-specific materials such as silicon, magnets, coatings, catalysts or working fluids. For Biodiesel from waste oil, specifications must include durability, compatibility, recycled content and recoverability.</x:v>
      </x:c>
      <x:c r="AD136" s="2" t="str">
        <x:v>Maintenance of Biodiesel from waste oil depends on bearings, seals, filters, lubricants, sensors, converter parts, cables, fasteners, coatings and replaceable collector or heat-exchanger components; critical spares are selected from failure-mode, lead-time and safety analysis for its installed configuration.</x:v>
      </x:c>
      <x:c r="AE136" s="2" t="str">
        <x:v>The software stack for Biodiesel from waste oil requires databases, secure communications, version-controlled models, computing, backup and interfaces with field or operational systems.</x:v>
      </x:c>
      <x:c r="AF136" s="2" t="str">
        <x:v>For Biodiesel from waste oil, software-related energy is electricity for sensing, computing, storage, communication and cooling; it is normally secondary but must be included for data-intensive or continuous services.</x:v>
      </x:c>
      <x:c r="AG136" s="2" t="str">
        <x:v>The non-physical inputs are calibrated data, metadata, algorithms, boundary conditions, emission or hazard factors, manuals and validation records specific to Biodiesel from waste oil.</x:v>
      </x:c>
      <x:c r="AH136" s="2" t="str">
        <x:v>Software continuity for Biodiesel from waste oil requires licences where applicable, updates, cybersecurity patches, backups, calibration files, model validation and technical support.</x:v>
      </x:c>
      <x:c r="AI136" s="2" t="str">
        <x:v>Orgware depends on the institutions, laboratories, training providers, regulators, operators and community interfaces needed to govern Biodiesel from waste oil.</x:v>
      </x:c>
      <x:c r="AJ136" s="2" t="str">
        <x:v>The orgware supporting Biodiesel from waste oil has mainly indirect energy use from offices, meetings, training and information systems; travel and field supervision may be material at dispersed sites.</x:v>
      </x:c>
      <x:c r="AK136" s="2" t="str">
        <x:v>Its organisational inputs are permits, budgets, trained staff, competence records, contracts, procedures, safeguards, monitoring evidence and stakeholder agreements tailored to Biodiesel from waste oil.</x:v>
      </x:c>
      <x:c r="AL136" s="2" t="str">
        <x:v>Sustained implementation of Biodiesel from waste oil requires procurement and service contracts, audit protocols, training material, reporting templates, insurance or guarantees and periodic independent review.</x:v>
      </x:c>
      <x:c r="AM136" s="2" t="str">
        <x:v>Iron ore / steel inputs</x:v>
      </x:c>
      <x:c r="AN136" s="2" t="str">
        <x:v>Australia; Brazil; China</x:v>
      </x:c>
      <x:c r="AO136" s="2" t="str">
        <x:v>China; India; Japan</x:v>
      </x:c>
      <x:c r="AP136" s="2" t="str">
        <x:v>Biodiesel from waste oil: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6" s="2" t="str">
        <x:v>2024–2025</x:v>
      </x:c>
      <x:c r="AR136" s="2" t="str">
        <x:v>https://pubs.usgs.gov/periodicals/mcs2026/mcs2026.pdf</x:v>
      </x:c>
    </x:row>
    <x:row r="137" ht="240" customHeight="1">
      <x:c r="A137" s="2" t="str">
        <x:v>MIT-0130</x:v>
      </x:c>
      <x:c r="B137" s="2" t="str">
        <x:v>Mitigation</x:v>
      </x:c>
      <x:c r="C137" s="2" t="str">
        <x:v>Renewable energy</x:v>
      </x:c>
      <x:c r="D137" s="2" t="str">
        <x:v>Geothermal</x:v>
      </x:c>
      <x:c r="E137" s="2" t="str">
        <x:v>Heat pumps</x:v>
      </x:c>
      <x:c r="F137" s="2" t="str">
        <x:v>Heat pumps is a mitigation technology in the Renewable energy sector and the Geothermal technology group. It is defined as a combined hardware–software–orgware system that converts a renewable solar, wind, water, ocean, geothermal or chemical resource into electricity, heat or mechanical work while controlling variability and conversion losses. Heat pumps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7" s="2" t="str">
        <x:v>Mixed: adaptable design, site-specific implementation</x:v>
      </x:c>
      <x:c r="H137" s="2" t="str">
        <x:v>Heat pumps is adaptable in capacity and configuration but site-specific in final engineering. Its principle remains the same, but resource quality, climate, scale, interfaces and safety constraints must be recalculated for each deployment.</x:v>
      </x:c>
      <x:c r="I137" s="2" t="str">
        <x:v>Primarily hard, with a soft component</x:v>
      </x:c>
      <x:c r="J137" s="2" t="str">
        <x:v>Heat pumps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7" s="2" t="str">
        <x:v>Equipment and operation</x:v>
      </x:c>
      <x:c r="L137" s="2" t="str">
        <x:v>Heat pumps is embodied mainly as an equipment-and-operation system. The deliverable is accepted only when measurable service, quality, safety and climate-performance criteria are met under real conditions.</x:v>
      </x:c>
      <x:c r="M137" s="2" t="str">
        <x:v>Yes, subject to life-cycle safeguards</x:v>
      </x:c>
      <x:c r="N137" s="2" t="str">
        <x:v>Heat pumps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7" s="2" t="str">
        <x:v>Heat pumps: resource collector or prime mover, generator or heat exchanger, support structure, power conversion, protection, metering and connection equipment.</x:v>
      </x:c>
      <x:c r="P137" s="2" t="str">
        <x:v>Heat pumps: resource assessment, energy-yield modelling, forecasting, maximum-power or process control, dispatch, condition monitoring and maintenance planning.</x:v>
      </x:c>
      <x:c r="Q137" s="2" t="str">
        <x:v>Heat pumps: resource and land or sea rights, environmental licensing, grid code, safety, community participation, revenue contract and decommissioning plan.</x:v>
      </x:c>
      <x:c r="R137" s="2" t="str">
        <x:v>Heat pumps: foundations, access, electrical or thermal network, substation, control and communications, drainage and construction or marine logistics.</x:v>
      </x:c>
      <x:c r="S137" s="2" t="str">
        <x:v>Heat pumps: the renewable resource is the primary input; auxiliary electricity, start-up fuel, pumping or thermal energy may be required depending on the design.</x:v>
      </x:c>
      <x:c r="T137" s="2" t="str">
        <x:v>Heat pumps: steel, concrete, copper, aluminium, polymers, glass and technology-specific materials such as silicon, magnets, coatings, catalysts or working fluids.</x:v>
      </x:c>
      <x:c r="U137" s="2" t="str">
        <x:v>Heat pumps: bearings, seals, filters, lubricants, sensors, converter parts, cables, fasteners, coatings and replaceable collector or heat-exchanger components.</x:v>
      </x:c>
      <x:c r="V137" s="2" t="str">
        <x:v>https://www.ctc-n.org/sites/default/files/resources/ctcn_taxonomy_0.pdf</x:v>
      </x:c>
      <x:c r="W137" s="2" t="str">
        <x:v>https://institutoagricoladepueblobello.edu.co/colegiapp/archivostemas/GUIA%209.%5B25%5D.pdf</x:v>
      </x:c>
      <x:c r="X137" s="2" t="str">
        <x:v>https://iiasa.ac.at/what-is-technology</x:v>
      </x:c>
      <x:c r="Y137" s="2" t="str">
        <x:v>https://www.ipcc.ch/report/ar6/wg3/chapter/chapter-6/; https://www.iea.org/data-and-statistics/data-tools/etp-clean-energy-technology-guide</x:v>
      </x:c>
      <x:c r="Z137" s="2" t="str">
        <x:v>Technology-specific analytical synthesis. The CTCN hierarchy is retained; classifications and component dependencies require validation against the selected design, site and supplier documentation before investment or policy use.</x:v>
      </x:c>
      <x:c r="AA137" s="2" t="str">
        <x:v>Physical deployment of Heat pumps requires foundations, access, electrical or thermal network, substation, control and communications, drainage and construction or marine logistics; interfaces, foundations, access and environmental protection are sized to the specific resource and design load.</x:v>
      </x:c>
      <x:c r="AB137" s="2" t="str">
        <x:v>For Heat pumps,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7" s="2" t="str">
        <x:v>Construction and operation use steel, concrete, copper, aluminium, polymers, glass and technology-specific materials such as silicon, magnets, coatings, catalysts or working fluids. For Heat pumps, specifications must include durability, compatibility, recycled content and recoverability.</x:v>
      </x:c>
      <x:c r="AD137" s="2" t="str">
        <x:v>Maintenance of Heat pumps depends on bearings, seals, filters, lubricants, sensors, converter parts, cables, fasteners, coatings and replaceable collector or heat-exchanger components; critical spares are selected from failure-mode, lead-time and safety analysis for its installed configuration.</x:v>
      </x:c>
      <x:c r="AE137" s="2" t="str">
        <x:v>The software stack for Heat pumps requires databases, secure communications, version-controlled models, computing, backup and interfaces with field or operational systems.</x:v>
      </x:c>
      <x:c r="AF137" s="2" t="str">
        <x:v>For Heat pumps, software-related energy is electricity for sensing, computing, storage, communication and cooling; it is normally secondary but must be included for data-intensive or continuous services.</x:v>
      </x:c>
      <x:c r="AG137" s="2" t="str">
        <x:v>The non-physical inputs are calibrated data, metadata, algorithms, boundary conditions, emission or hazard factors, manuals and validation records specific to Heat pumps.</x:v>
      </x:c>
      <x:c r="AH137" s="2" t="str">
        <x:v>Software continuity for Heat pumps requires licences where applicable, updates, cybersecurity patches, backups, calibration files, model validation and technical support.</x:v>
      </x:c>
      <x:c r="AI137" s="2" t="str">
        <x:v>Orgware depends on the institutions, laboratories, training providers, regulators, operators and community interfaces needed to govern Heat pumps.</x:v>
      </x:c>
      <x:c r="AJ137" s="2" t="str">
        <x:v>The orgware supporting Heat pumps has mainly indirect energy use from offices, meetings, training and information systems; travel and field supervision may be material at dispersed sites.</x:v>
      </x:c>
      <x:c r="AK137" s="2" t="str">
        <x:v>Its organisational inputs are permits, budgets, trained staff, competence records, contracts, procedures, safeguards, monitoring evidence and stakeholder agreements tailored to Heat pumps.</x:v>
      </x:c>
      <x:c r="AL137" s="2" t="str">
        <x:v>Sustained implementation of Heat pumps requires procurement and service contracts, audit protocols, training material, reporting templates, insurance or guarantees and periodic independent review.</x:v>
      </x:c>
      <x:c r="AM137" s="2" t="str">
        <x:v>Iron ore / steel inputs; Copper; Tin; Nickel; Chromium</x:v>
      </x:c>
      <x:c r="AN137" s="2" t="str">
        <x:v>Australia; Brazil; China; Chile; Democratic Republic of the Congo; Peru; Indonesia; Myanmar; Philippines; Russia; South Africa; Kazakhstan; Turkey</x:v>
      </x:c>
      <x:c r="AO137" s="2" t="str">
        <x:v>China; India; Japan; Chile; Democratic Republic of the Congo; Indonesia; Malaysia; South Africa; Kazakhstan</x:v>
      </x:c>
      <x:c r="AP137" s="2" t="str">
        <x:v>Heat pumps: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7" s="2" t="str">
        <x:v>2024–2025</x:v>
      </x:c>
      <x:c r="AR137" s="2" t="str">
        <x:v>https://pubs.usgs.gov/periodicals/mcs2026/mcs2026.pdf; https://www.iea.org/reports/global-critical-minerals-outlook-2025</x:v>
      </x:c>
    </x:row>
    <x:row r="138" ht="240" customHeight="1">
      <x:c r="A138" s="2" t="str">
        <x:v>MIT-0131</x:v>
      </x:c>
      <x:c r="B138" s="2" t="str">
        <x:v>Mitigation</x:v>
      </x:c>
      <x:c r="C138" s="2" t="str">
        <x:v>Renewable energy</x:v>
      </x:c>
      <x:c r="D138" s="2" t="str">
        <x:v>Geothermal</x:v>
      </x:c>
      <x:c r="E138" s="2" t="str">
        <x:v>Geothermal electricity</x:v>
      </x:c>
      <x:c r="F138" s="2" t="str">
        <x:v>Geothermal electricity is a mitigation technology in the Renewable energy sector and the Geothermal technology group. It is defined as a combined hardware–software–orgware system that converts a renewable solar, wind, water, ocean, geothermal or chemical resource into electricity, heat or mechanical work while controlling variability and conversion losses. Geothermal electricity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8" s="2" t="str">
        <x:v>Mixed: adaptable design, site-specific implementation</x:v>
      </x:c>
      <x:c r="H138" s="2" t="str">
        <x:v>Geothermal electricity is adaptable in capacity and configuration but site-specific in final engineering. Its principle remains the same, but resource quality, climate, scale, interfaces and safety constraints must be recalculated for each deployment.</x:v>
      </x:c>
      <x:c r="I138" s="2" t="str">
        <x:v>Primarily hard, with a soft component</x:v>
      </x:c>
      <x:c r="J138" s="2" t="str">
        <x:v>Geothermal electricity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8" s="2" t="str">
        <x:v>Equipment and operation</x:v>
      </x:c>
      <x:c r="L138" s="2" t="str">
        <x:v>Geothermal electricity is embodied mainly as an equipment-and-operation system. The deliverable is accepted only when measurable service, quality, safety and climate-performance criteria are met under real conditions.</x:v>
      </x:c>
      <x:c r="M138" s="2" t="str">
        <x:v>Yes, subject to life-cycle safeguards</x:v>
      </x:c>
      <x:c r="N138" s="2" t="str">
        <x:v>Geothermal electricity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8" s="2" t="str">
        <x:v>Geothermal electricity: resource collector or prime mover, generator or heat exchanger, support structure, power conversion, protection, metering and connection equipment.</x:v>
      </x:c>
      <x:c r="P138" s="2" t="str">
        <x:v>Geothermal electricity: resource assessment, energy-yield modelling, forecasting, maximum-power or process control, dispatch, condition monitoring and maintenance planning.</x:v>
      </x:c>
      <x:c r="Q138" s="2" t="str">
        <x:v>Geothermal electricity: resource and land or sea rights, environmental licensing, grid code, safety, community participation, revenue contract and decommissioning plan.</x:v>
      </x:c>
      <x:c r="R138" s="2" t="str">
        <x:v>Geothermal electricity: foundations, access, electrical or thermal network, substation, control and communications, drainage and construction or marine logistics.</x:v>
      </x:c>
      <x:c r="S138" s="2" t="str">
        <x:v>Geothermal electricity: the renewable resource is the primary input; auxiliary electricity, start-up fuel, pumping or thermal energy may be required depending on the design.</x:v>
      </x:c>
      <x:c r="T138" s="2" t="str">
        <x:v>Geothermal electricity: steel, concrete, copper, aluminium, polymers, glass and technology-specific materials such as silicon, magnets, coatings, catalysts or working fluids.</x:v>
      </x:c>
      <x:c r="U138" s="2" t="str">
        <x:v>Geothermal electricity: bearings, seals, filters, lubricants, sensors, converter parts, cables, fasteners, coatings and replaceable collector or heat-exchanger components.</x:v>
      </x:c>
      <x:c r="V138" s="2" t="str">
        <x:v>https://www.ctc-n.org/sites/default/files/resources/ctcn_taxonomy_0.pdf</x:v>
      </x:c>
      <x:c r="W138" s="2" t="str">
        <x:v>https://institutoagricoladepueblobello.edu.co/colegiapp/archivostemas/GUIA%209.%5B25%5D.pdf</x:v>
      </x:c>
      <x:c r="X138" s="2" t="str">
        <x:v>https://iiasa.ac.at/what-is-technology</x:v>
      </x:c>
      <x:c r="Y138" s="2" t="str">
        <x:v>https://www.ipcc.ch/report/ar6/wg3/chapter/chapter-6/; https://www.iea.org/data-and-statistics/data-tools/etp-clean-energy-technology-guide</x:v>
      </x:c>
      <x:c r="Z138" s="2" t="str">
        <x:v>Technology-specific analytical synthesis. The CTCN hierarchy is retained; classifications and component dependencies require validation against the selected design, site and supplier documentation before investment or policy use.</x:v>
      </x:c>
      <x:c r="AA138" s="2" t="str">
        <x:v>Physical deployment of Geothermal electricity requires foundations, access, electrical or thermal network, substation, control and communications, drainage and construction or marine logistics; interfaces, foundations, access and environmental protection are sized to the specific resource and design load.</x:v>
      </x:c>
      <x:c r="AB138" s="2" t="str">
        <x:v>For Geothermal electricity,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8" s="2" t="str">
        <x:v>Construction and operation use steel, concrete, copper, aluminium, polymers, glass and technology-specific materials such as silicon, magnets, coatings, catalysts or working fluids. For Geothermal electricity, specifications must include durability, compatibility, recycled content and recoverability.</x:v>
      </x:c>
      <x:c r="AD138" s="2" t="str">
        <x:v>Maintenance of Geothermal electricity depends on bearings, seals, filters, lubricants, sensors, converter parts, cables, fasteners, coatings and replaceable collector or heat-exchanger components; critical spares are selected from failure-mode, lead-time and safety analysis for its installed configuration.</x:v>
      </x:c>
      <x:c r="AE138" s="2" t="str">
        <x:v>The software stack for Geothermal electricity requires databases, secure communications, version-controlled models, computing, backup and interfaces with field or operational systems.</x:v>
      </x:c>
      <x:c r="AF138" s="2" t="str">
        <x:v>For Geothermal electricity, software-related energy is electricity for sensing, computing, storage, communication and cooling; it is normally secondary but must be included for data-intensive or continuous services.</x:v>
      </x:c>
      <x:c r="AG138" s="2" t="str">
        <x:v>The non-physical inputs are calibrated data, metadata, algorithms, boundary conditions, emission or hazard factors, manuals and validation records specific to Geothermal electricity.</x:v>
      </x:c>
      <x:c r="AH138" s="2" t="str">
        <x:v>Software continuity for Geothermal electricity requires licences where applicable, updates, cybersecurity patches, backups, calibration files, model validation and technical support.</x:v>
      </x:c>
      <x:c r="AI138" s="2" t="str">
        <x:v>Orgware depends on the institutions, laboratories, training providers, regulators, operators and community interfaces needed to govern Geothermal electricity.</x:v>
      </x:c>
      <x:c r="AJ138" s="2" t="str">
        <x:v>The orgware supporting Geothermal electricity has mainly indirect energy use from offices, meetings, training and information systems; travel and field supervision may be material at dispersed sites.</x:v>
      </x:c>
      <x:c r="AK138" s="2" t="str">
        <x:v>Its organisational inputs are permits, budgets, trained staff, competence records, contracts, procedures, safeguards, monitoring evidence and stakeholder agreements tailored to Geothermal electricity.</x:v>
      </x:c>
      <x:c r="AL138" s="2" t="str">
        <x:v>Sustained implementation of Geothermal electricity requires procurement and service contracts, audit protocols, training material, reporting templates, insurance or guarantees and periodic independent review.</x:v>
      </x:c>
      <x:c r="AM138" s="2" t="str">
        <x:v>Iron ore / steel inputs; Copper; Tin; Nickel; Chromium</x:v>
      </x:c>
      <x:c r="AN138" s="2" t="str">
        <x:v>Australia; Brazil; China; Chile; Democratic Republic of the Congo; Peru; Indonesia; Myanmar; Philippines; Russia; South Africa; Kazakhstan; Turkey</x:v>
      </x:c>
      <x:c r="AO138" s="2" t="str">
        <x:v>China; India; Japan; Chile; Democratic Republic of the Congo; Indonesia; Malaysia; South Africa; Kazakhstan</x:v>
      </x:c>
      <x:c r="AP138" s="2" t="str">
        <x:v>Geothermal electricity: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8" s="2" t="str">
        <x:v>2024–2025</x:v>
      </x:c>
      <x:c r="AR138" s="2" t="str">
        <x:v>https://pubs.usgs.gov/periodicals/mcs2026/mcs2026.pdf; https://www.iea.org/reports/global-critical-minerals-outlook-2025</x:v>
      </x:c>
    </x:row>
    <x:row r="139" ht="240" customHeight="1">
      <x:c r="A139" s="2" t="str">
        <x:v>MIT-0132</x:v>
      </x:c>
      <x:c r="B139" s="2" t="str">
        <x:v>Mitigation</x:v>
      </x:c>
      <x:c r="C139" s="2" t="str">
        <x:v>Renewable energy</x:v>
      </x:c>
      <x:c r="D139" s="2" t="str">
        <x:v>Geothermal</x:v>
      </x:c>
      <x:c r="E139" s="2" t="str">
        <x:v>Geothermal heating</x:v>
      </x:c>
      <x:c r="F139" s="2" t="str">
        <x:v>Geothermal heating is a mitigation technology in the Renewable energy sector and the Geothermal technology group. It is defined as a combined hardware–software–orgware system that converts a renewable solar, wind, water, ocean, geothermal or chemical resource into electricity, heat or mechanical work while controlling variability and conversion losses. Geothermal heating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9" s="2" t="str">
        <x:v>Mixed: adaptable design, site-specific implementation</x:v>
      </x:c>
      <x:c r="H139" s="2" t="str">
        <x:v>Geothermal heating is adaptable in capacity and configuration but site-specific in final engineering. Its principle remains the same, but resource quality, climate, scale, interfaces and safety constraints must be recalculated for each deployment.</x:v>
      </x:c>
      <x:c r="I139" s="2" t="str">
        <x:v>Primarily hard, with a soft component</x:v>
      </x:c>
      <x:c r="J139" s="2" t="str">
        <x:v>Geothermal heating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9" s="2" t="str">
        <x:v>Equipment and operation</x:v>
      </x:c>
      <x:c r="L139" s="2" t="str">
        <x:v>Geothermal heating is embodied mainly as an equipment-and-operation system. The deliverable is accepted only when measurable service, quality, safety and climate-performance criteria are met under real conditions.</x:v>
      </x:c>
      <x:c r="M139" s="2" t="str">
        <x:v>Yes, subject to life-cycle safeguards</x:v>
      </x:c>
      <x:c r="N139" s="2" t="str">
        <x:v>Geothermal heating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9" s="2" t="str">
        <x:v>Geothermal heating: resource collector or prime mover, generator or heat exchanger, support structure, power conversion, protection, metering and connection equipment.</x:v>
      </x:c>
      <x:c r="P139" s="2" t="str">
        <x:v>Geothermal heating: resource assessment, energy-yield modelling, forecasting, maximum-power or process control, dispatch, condition monitoring and maintenance planning.</x:v>
      </x:c>
      <x:c r="Q139" s="2" t="str">
        <x:v>Geothermal heating: resource and land or sea rights, environmental licensing, grid code, safety, community participation, revenue contract and decommissioning plan.</x:v>
      </x:c>
      <x:c r="R139" s="2" t="str">
        <x:v>Geothermal heating: foundations, access, electrical or thermal network, substation, control and communications, drainage and construction or marine logistics.</x:v>
      </x:c>
      <x:c r="S139" s="2" t="str">
        <x:v>Geothermal heating: the renewable resource is the primary input; auxiliary electricity, start-up fuel, pumping or thermal energy may be required depending on the design.</x:v>
      </x:c>
      <x:c r="T139" s="2" t="str">
        <x:v>Geothermal heating: steel, concrete, copper, aluminium, polymers, glass and technology-specific materials such as silicon, magnets, coatings, catalysts or working fluids.</x:v>
      </x:c>
      <x:c r="U139" s="2" t="str">
        <x:v>Geothermal heating: bearings, seals, filters, lubricants, sensors, converter parts, cables, fasteners, coatings and replaceable collector or heat-exchanger components.</x:v>
      </x:c>
      <x:c r="V139" s="2" t="str">
        <x:v>https://www.ctc-n.org/sites/default/files/resources/ctcn_taxonomy_0.pdf</x:v>
      </x:c>
      <x:c r="W139" s="2" t="str">
        <x:v>https://institutoagricoladepueblobello.edu.co/colegiapp/archivostemas/GUIA%209.%5B25%5D.pdf</x:v>
      </x:c>
      <x:c r="X139" s="2" t="str">
        <x:v>https://iiasa.ac.at/what-is-technology</x:v>
      </x:c>
      <x:c r="Y139" s="2" t="str">
        <x:v>https://www.ipcc.ch/report/ar6/wg3/chapter/chapter-6/; https://www.iea.org/data-and-statistics/data-tools/etp-clean-energy-technology-guide</x:v>
      </x:c>
      <x:c r="Z139" s="2" t="str">
        <x:v>Technology-specific analytical synthesis. The CTCN hierarchy is retained; classifications and component dependencies require validation against the selected design, site and supplier documentation before investment or policy use.</x:v>
      </x:c>
      <x:c r="AA139" s="2" t="str">
        <x:v>Physical deployment of Geothermal heating requires foundations, access, electrical or thermal network, substation, control and communications, drainage and construction or marine logistics; interfaces, foundations, access and environmental protection are sized to the specific resource and design load.</x:v>
      </x:c>
      <x:c r="AB139" s="2" t="str">
        <x:v>For Geothermal heating,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9" s="2" t="str">
        <x:v>Construction and operation use steel, concrete, copper, aluminium, polymers, glass and technology-specific materials such as silicon, magnets, coatings, catalysts or working fluids. For Geothermal heating, specifications must include durability, compatibility, recycled content and recoverability.</x:v>
      </x:c>
      <x:c r="AD139" s="2" t="str">
        <x:v>Maintenance of Geothermal heating depends on bearings, seals, filters, lubricants, sensors, converter parts, cables, fasteners, coatings and replaceable collector or heat-exchanger components; critical spares are selected from failure-mode, lead-time and safety analysis for its installed configuration.</x:v>
      </x:c>
      <x:c r="AE139" s="2" t="str">
        <x:v>The software stack for Geothermal heating requires databases, secure communications, version-controlled models, computing, backup and interfaces with field or operational systems.</x:v>
      </x:c>
      <x:c r="AF139" s="2" t="str">
        <x:v>For Geothermal heating, software-related energy is electricity for sensing, computing, storage, communication and cooling; it is normally secondary but must be included for data-intensive or continuous services.</x:v>
      </x:c>
      <x:c r="AG139" s="2" t="str">
        <x:v>The non-physical inputs are calibrated data, metadata, algorithms, boundary conditions, emission or hazard factors, manuals and validation records specific to Geothermal heating.</x:v>
      </x:c>
      <x:c r="AH139" s="2" t="str">
        <x:v>Software continuity for Geothermal heating requires licences where applicable, updates, cybersecurity patches, backups, calibration files, model validation and technical support.</x:v>
      </x:c>
      <x:c r="AI139" s="2" t="str">
        <x:v>Orgware depends on the institutions, laboratories, training providers, regulators, operators and community interfaces needed to govern Geothermal heating.</x:v>
      </x:c>
      <x:c r="AJ139" s="2" t="str">
        <x:v>The orgware supporting Geothermal heating has mainly indirect energy use from offices, meetings, training and information systems; travel and field supervision may be material at dispersed sites.</x:v>
      </x:c>
      <x:c r="AK139" s="2" t="str">
        <x:v>Its organisational inputs are permits, budgets, trained staff, competence records, contracts, procedures, safeguards, monitoring evidence and stakeholder agreements tailored to Geothermal heating.</x:v>
      </x:c>
      <x:c r="AL139" s="2" t="str">
        <x:v>Sustained implementation of Geothermal heating requires procurement and service contracts, audit protocols, training material, reporting templates, insurance or guarantees and periodic independent review.</x:v>
      </x:c>
      <x:c r="AM139" s="2" t="str">
        <x:v>Iron ore / steel inputs; Nickel; Chromium</x:v>
      </x:c>
      <x:c r="AN139" s="2" t="str">
        <x:v>Australia; Brazil; China; Indonesia; Philippines; Russia; South Africa; Kazakhstan; Turkey</x:v>
      </x:c>
      <x:c r="AO139" s="2" t="str">
        <x:v>China; India; Japan; Indonesia; South Africa; Kazakhstan</x:v>
      </x:c>
      <x:c r="AP139" s="2" t="str">
        <x:v>Geothermal heating: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9" s="2" t="str">
        <x:v>2024–2025</x:v>
      </x:c>
      <x:c r="AR139" s="2" t="str">
        <x:v>https://pubs.usgs.gov/periodicals/mcs2026/mcs2026.pdf; https://www.iea.org/reports/global-critical-minerals-outlook-2025</x:v>
      </x:c>
    </x:row>
    <x:row r="140" ht="240" customHeight="1">
      <x:c r="A140" s="2" t="str">
        <x:v>MIT-0133</x:v>
      </x:c>
      <x:c r="B140" s="2" t="str">
        <x:v>Mitigation</x:v>
      </x:c>
      <x:c r="C140" s="2" t="str">
        <x:v>Waste Management</x:v>
      </x:c>
      <x:c r="D140" s="2" t="str">
        <x:v>Solid waste</x:v>
      </x:c>
      <x:c r="E140" s="2" t="str">
        <x:v>Landfill aeration</x:v>
      </x:c>
      <x:c r="F140" s="2" t="str">
        <x:v>Landfill aeration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Landfill aeration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0" s="2" t="str">
        <x:v>Primarily fixed</x:v>
      </x:c>
      <x:c r="H140" s="2" t="str">
        <x:v>Landfill aeration is tied to long-lived, site-specific assets and design loads. Its principle remains the same, but resource quality, climate, scale, interfaces and safety constraints must be recalculated for each deployment.</x:v>
      </x:c>
      <x:c r="I140" s="2" t="str">
        <x:v>Primarily hard, with a soft component</x:v>
      </x:c>
      <x:c r="J140" s="2" t="str">
        <x:v>Landfill aeration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0" s="2" t="str">
        <x:v>Equipment and operation</x:v>
      </x:c>
      <x:c r="L140" s="2" t="str">
        <x:v>Landfill aeration is embodied mainly as an equipment-and-operation system. The deliverable is accepted only when measurable service, quality, safety and climate-performance criteria are met under real conditions.</x:v>
      </x:c>
      <x:c r="M140" s="2" t="str">
        <x:v>Yes, subject to life-cycle safeguards</x:v>
      </x:c>
      <x:c r="N140" s="2" t="str">
        <x:v>Landfill aeration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0" s="2" t="str">
        <x:v>Landfill aeration: collection and sorting equipment, reactors or digesters, aeration, gas handling, thermal conversion, pollution control and product conditioning.</x:v>
      </x:c>
      <x:c r="P140" s="2" t="str">
        <x:v>Landfill aeration: feedstock characterisation, mass balances, biological or thermal process control, methane accounting, quality assurance and logistics optimisation.</x:v>
      </x:c>
      <x:c r="Q140" s="2" t="str">
        <x:v>Landfill aeration: waste hierarchy, source separation, collection contracts, emission permits, digestate or product standards, occupational safety and informal-sector inclusion.</x:v>
      </x:c>
      <x:c r="R140" s="2" t="str">
        <x:v>Landfill aeration: collection network, transfer and treatment sites, weighbridge, drainage, electricity or heat connection, gas line and residue disposal.</x:v>
      </x:c>
      <x:c r="S140" s="2" t="str">
        <x:v>Landfill aeration: electricity, process heat or auxiliary fuel; recovered biogas, syngas, heat or electricity may offset external energy.</x:v>
      </x:c>
      <x:c r="T140" s="2" t="str">
        <x:v>Landfill aeration: steel, concrete, polymers, filters, catalysts or sorbents, biological inoculum and treatment chemicals according to the process.</x:v>
      </x:c>
      <x:c r="U140" s="2" t="str">
        <x:v>Landfill aeration: pumps, screens, blowers, mixers, seals, burners, analysers, filter media, reagents and personal protective equipment.</x:v>
      </x:c>
      <x:c r="V140" s="2" t="str">
        <x:v>https://www.ctc-n.org/sites/default/files/resources/ctcn_taxonomy_0.pdf</x:v>
      </x:c>
      <x:c r="W140" s="2" t="str">
        <x:v>https://institutoagricoladepueblobello.edu.co/colegiapp/archivostemas/GUIA%209.%5B25%5D.pdf</x:v>
      </x:c>
      <x:c r="X140" s="2" t="str">
        <x:v>https://iiasa.ac.at/what-is-technology</x:v>
      </x:c>
      <x:c r="Y140" s="2" t="str">
        <x:v>https://www.unep.org/resources/report/global-waste-management-outlook-2024</x:v>
      </x:c>
      <x:c r="Z140" s="2" t="str">
        <x:v>Technology-specific analytical synthesis. The CTCN hierarchy is retained; classifications and component dependencies require validation against the selected design, site and supplier documentation before investment or policy use.</x:v>
      </x:c>
      <x:c r="AA140" s="2" t="str">
        <x:v>Physical deployment of Landfill aeration requires collection network, transfer and treatment sites, weighbridge, drainage, electricity or heat connection, gas line and residue disposal; interfaces, foundations, access and environmental protection are sized to the specific resource and design load.</x:v>
      </x:c>
      <x:c r="AB140" s="2" t="str">
        <x:v>For Landfill aeration, the hardware energy balance comprises electricity, process heat or auxiliary fuel; recovered biogas, syngas, heat or electricity may offset external energy; metering must separate useful output, conversion losses and auxiliaries for the selected design.</x:v>
      </x:c>
      <x:c r="AC140" s="2" t="str">
        <x:v>Construction and operation use steel, concrete, polymers, filters, catalysts or sorbents, biological inoculum and treatment chemicals according to the process. For Landfill aeration, specifications must include durability, compatibility, recycled content and recoverability.</x:v>
      </x:c>
      <x:c r="AD140" s="2" t="str">
        <x:v>Maintenance of Landfill aeration depends on pumps, screens, blowers, mixers, seals, burners, analysers, filter media, reagents and personal protective equipment; critical spares are selected from failure-mode, lead-time and safety analysis for its installed configuration.</x:v>
      </x:c>
      <x:c r="AE140" s="2" t="str">
        <x:v>The software stack for Landfill aeration requires databases, secure communications, version-controlled models, computing, backup and interfaces with field or operational systems.</x:v>
      </x:c>
      <x:c r="AF140" s="2" t="str">
        <x:v>For Landfill aeration, software-related energy is electricity for sensing, computing, storage, communication and cooling; it is normally secondary but must be included for data-intensive or continuous services.</x:v>
      </x:c>
      <x:c r="AG140" s="2" t="str">
        <x:v>The non-physical inputs are calibrated data, metadata, algorithms, boundary conditions, emission or hazard factors, manuals and validation records specific to Landfill aeration.</x:v>
      </x:c>
      <x:c r="AH140" s="2" t="str">
        <x:v>Software continuity for Landfill aeration requires licences where applicable, updates, cybersecurity patches, backups, calibration files, model validation and technical support.</x:v>
      </x:c>
      <x:c r="AI140" s="2" t="str">
        <x:v>Orgware depends on the institutions, laboratories, training providers, regulators, operators and community interfaces needed to govern Landfill aeration.</x:v>
      </x:c>
      <x:c r="AJ140" s="2" t="str">
        <x:v>The orgware supporting Landfill aeration has mainly indirect energy use from offices, meetings, training and information systems; travel and field supervision may be material at dispersed sites.</x:v>
      </x:c>
      <x:c r="AK140" s="2" t="str">
        <x:v>Its organisational inputs are permits, budgets, trained staff, competence records, contracts, procedures, safeguards, monitoring evidence and stakeholder agreements tailored to Landfill aeration.</x:v>
      </x:c>
      <x:c r="AL140" s="2" t="str">
        <x:v>Sustained implementation of Landfill aeration requires procurement and service contracts, audit protocols, training material, reporting templates, insurance or guarantees and periodic independent review.</x:v>
      </x:c>
      <x:c r="AM140" s="2" t="str">
        <x:v>Iron ore / steel inputs</x:v>
      </x:c>
      <x:c r="AN140" s="2" t="str">
        <x:v>Australia; Brazil; China</x:v>
      </x:c>
      <x:c r="AO140" s="2" t="str">
        <x:v>China; India; Japan</x:v>
      </x:c>
      <x:c r="AP140" s="2" t="str">
        <x:v>Landfill aeration: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0" s="2" t="str">
        <x:v>2024–2025</x:v>
      </x:c>
      <x:c r="AR140" s="2" t="str">
        <x:v>https://pubs.usgs.gov/periodicals/mcs2026/mcs2026.pdf</x:v>
      </x:c>
    </x:row>
    <x:row r="141" ht="240" customHeight="1">
      <x:c r="A141" s="2" t="str">
        <x:v>MIT-0134</x:v>
      </x:c>
      <x:c r="B141" s="2" t="str">
        <x:v>Mitigation</x:v>
      </x:c>
      <x:c r="C141" s="2" t="str">
        <x:v>Waste Management</x:v>
      </x:c>
      <x:c r="D141" s="2" t="str">
        <x:v>Solid waste</x:v>
      </x:c>
      <x:c r="E141" s="2" t="str">
        <x:v>Gasification of waste</x:v>
      </x:c>
      <x:c r="F141" s="2" t="str">
        <x:v>Gasification of waste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Gasification of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1" s="2" t="str">
        <x:v>Mixed: adaptable design, site-specific implementation</x:v>
      </x:c>
      <x:c r="H141" s="2" t="str">
        <x:v>Gasification of waste is adaptable in capacity and configuration but site-specific in final engineering. Its principle remains the same, but resource quality, climate, scale, interfaces and safety constraints must be recalculated for each deployment.</x:v>
      </x:c>
      <x:c r="I141" s="2" t="str">
        <x:v>Primarily hard, with a soft component</x:v>
      </x:c>
      <x:c r="J141" s="2" t="str">
        <x:v>Gasification of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1" s="2" t="str">
        <x:v>Equipment and operation</x:v>
      </x:c>
      <x:c r="L141" s="2" t="str">
        <x:v>Gasification of waste is embodied mainly as an equipment-and-operation system. The deliverable is accepted only when measurable service, quality, safety and climate-performance criteria are met under real conditions.</x:v>
      </x:c>
      <x:c r="M141" s="2" t="str">
        <x:v>Yes, subject to life-cycle safeguards</x:v>
      </x:c>
      <x:c r="N141" s="2" t="str">
        <x:v>Gasification of waste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1" s="2" t="str">
        <x:v>Gasification of waste: collection and sorting equipment, reactors or digesters, aeration, gas handling, thermal conversion, pollution control and product conditioning.</x:v>
      </x:c>
      <x:c r="P141" s="2" t="str">
        <x:v>Gasification of waste: feedstock characterisation, mass balances, biological or thermal process control, methane accounting, quality assurance and logistics optimisation.</x:v>
      </x:c>
      <x:c r="Q141" s="2" t="str">
        <x:v>Gasification of waste: waste hierarchy, source separation, collection contracts, emission permits, digestate or product standards, occupational safety and informal-sector inclusion.</x:v>
      </x:c>
      <x:c r="R141" s="2" t="str">
        <x:v>Gasification of waste: collection network, transfer and treatment sites, weighbridge, drainage, electricity or heat connection, gas line and residue disposal.</x:v>
      </x:c>
      <x:c r="S141" s="2" t="str">
        <x:v>Gasification of waste: electricity, process heat or auxiliary fuel; recovered biogas, syngas, heat or electricity may offset external energy.</x:v>
      </x:c>
      <x:c r="T141" s="2" t="str">
        <x:v>Gasification of waste: steel, concrete, polymers, filters, catalysts or sorbents, biological inoculum and treatment chemicals according to the process.</x:v>
      </x:c>
      <x:c r="U141" s="2" t="str">
        <x:v>Gasification of waste: pumps, screens, blowers, mixers, seals, burners, analysers, filter media, reagents and personal protective equipment.</x:v>
      </x:c>
      <x:c r="V141" s="2" t="str">
        <x:v>https://www.ctc-n.org/sites/default/files/resources/ctcn_taxonomy_0.pdf</x:v>
      </x:c>
      <x:c r="W141" s="2" t="str">
        <x:v>https://institutoagricoladepueblobello.edu.co/colegiapp/archivostemas/GUIA%209.%5B25%5D.pdf</x:v>
      </x:c>
      <x:c r="X141" s="2" t="str">
        <x:v>https://iiasa.ac.at/what-is-technology</x:v>
      </x:c>
      <x:c r="Y141" s="2" t="str">
        <x:v>https://www.unep.org/resources/report/global-waste-management-outlook-2024</x:v>
      </x:c>
      <x:c r="Z141" s="2" t="str">
        <x:v>Technology-specific analytical synthesis. The CTCN hierarchy is retained; classifications and component dependencies require validation against the selected design, site and supplier documentation before investment or policy use.</x:v>
      </x:c>
      <x:c r="AA141" s="2" t="str">
        <x:v>Physical deployment of Gasification of waste requires collection network, transfer and treatment sites, weighbridge, drainage, electricity or heat connection, gas line and residue disposal; interfaces, foundations, access and environmental protection are sized to the specific resource and design load.</x:v>
      </x:c>
      <x:c r="AB141" s="2" t="str">
        <x:v>For Gasification of waste, the hardware energy balance comprises electricity, process heat or auxiliary fuel; recovered biogas, syngas, heat or electricity may offset external energy; metering must separate useful output, conversion losses and auxiliaries for the selected design.</x:v>
      </x:c>
      <x:c r="AC141" s="2" t="str">
        <x:v>Construction and operation use steel, concrete, polymers, filters, catalysts or sorbents, biological inoculum and treatment chemicals according to the process. For Gasification of waste, specifications must include durability, compatibility, recycled content and recoverability.</x:v>
      </x:c>
      <x:c r="AD141" s="2" t="str">
        <x:v>Maintenance of Gasification of waste depends on pumps, screens, blowers, mixers, seals, burners, analysers, filter media, reagents and personal protective equipment; critical spares are selected from failure-mode, lead-time and safety analysis for its installed configuration.</x:v>
      </x:c>
      <x:c r="AE141" s="2" t="str">
        <x:v>The software stack for Gasification of waste requires databases, secure communications, version-controlled models, computing, backup and interfaces with field or operational systems.</x:v>
      </x:c>
      <x:c r="AF141" s="2" t="str">
        <x:v>For Gasification of waste, software-related energy is electricity for sensing, computing, storage, communication and cooling; it is normally secondary but must be included for data-intensive or continuous services.</x:v>
      </x:c>
      <x:c r="AG141" s="2" t="str">
        <x:v>The non-physical inputs are calibrated data, metadata, algorithms, boundary conditions, emission or hazard factors, manuals and validation records specific to Gasification of waste.</x:v>
      </x:c>
      <x:c r="AH141" s="2" t="str">
        <x:v>Software continuity for Gasification of waste requires licences where applicable, updates, cybersecurity patches, backups, calibration files, model validation and technical support.</x:v>
      </x:c>
      <x:c r="AI141" s="2" t="str">
        <x:v>Orgware depends on the institutions, laboratories, training providers, regulators, operators and community interfaces needed to govern Gasification of waste.</x:v>
      </x:c>
      <x:c r="AJ141" s="2" t="str">
        <x:v>The orgware supporting Gasification of waste has mainly indirect energy use from offices, meetings, training and information systems; travel and field supervision may be material at dispersed sites.</x:v>
      </x:c>
      <x:c r="AK141" s="2" t="str">
        <x:v>Its organisational inputs are permits, budgets, trained staff, competence records, contracts, procedures, safeguards, monitoring evidence and stakeholder agreements tailored to Gasification of waste.</x:v>
      </x:c>
      <x:c r="AL141" s="2" t="str">
        <x:v>Sustained implementation of Gasification of waste requires procurement and service contracts, audit protocols, training material, reporting templates, insurance or guarantees and periodic independent review.</x:v>
      </x:c>
      <x:c r="AM141" s="2" t="str">
        <x:v>Iron ore / steel inputs</x:v>
      </x:c>
      <x:c r="AN141" s="2" t="str">
        <x:v>Australia; Brazil; China</x:v>
      </x:c>
      <x:c r="AO141" s="2" t="str">
        <x:v>China; India; Japan</x:v>
      </x:c>
      <x:c r="AP141" s="2" t="str">
        <x:v>Gasification of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1" s="2" t="str">
        <x:v>2024–2025</x:v>
      </x:c>
      <x:c r="AR141" s="2" t="str">
        <x:v>https://pubs.usgs.gov/periodicals/mcs2026/mcs2026.pdf</x:v>
      </x:c>
    </x:row>
    <x:row r="142" ht="240" customHeight="1">
      <x:c r="A142" s="2" t="str">
        <x:v>MIT-0135</x:v>
      </x:c>
      <x:c r="B142" s="2" t="str">
        <x:v>Mitigation</x:v>
      </x:c>
      <x:c r="C142" s="2" t="str">
        <x:v>Waste Management</x:v>
      </x:c>
      <x:c r="D142" s="2" t="str">
        <x:v>Solid waste</x:v>
      </x:c>
      <x:c r="E142" s="2" t="str">
        <x:v>Integrated solid waste management</x:v>
      </x:c>
      <x:c r="F142" s="2" t="str">
        <x:v>Integrated solid waste management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Integrated solid waste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2" s="2" t="str">
        <x:v>Flexible</x:v>
      </x:c>
      <x:c r="H142" s="2" t="str">
        <x:v>Integrated solid waste management is transferable through configurable methods, rules and operating parameters. Its principle remains the same, but resource quality, climate, scale, interfaces and safety constraints must be recalculated for each deployment.</x:v>
      </x:c>
      <x:c r="I142" s="2" t="str">
        <x:v>Primarily soft, with physical support</x:v>
      </x:c>
      <x:c r="J142" s="2" t="str">
        <x:v>Integrated solid waste management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2" s="2" t="str">
        <x:v>Operation</x:v>
      </x:c>
      <x:c r="L142" s="2" t="str">
        <x:v>Integrated solid waste management is embodied mainly as an operating practice. The deliverable is accepted only when measurable service, quality, safety and climate-performance criteria are met under real conditions.</x:v>
      </x:c>
      <x:c r="M142" s="2" t="str">
        <x:v>Yes, subject to life-cycle safeguards</x:v>
      </x:c>
      <x:c r="N142" s="2" t="str">
        <x:v>Integrated solid waste management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2" s="2" t="str">
        <x:v>Integrated solid waste management: collection and sorting equipment, reactors or digesters, aeration, gas handling, thermal conversion, pollution control and product conditioning.</x:v>
      </x:c>
      <x:c r="P142" s="2" t="str">
        <x:v>Integrated solid waste management: feedstock characterisation, mass balances, biological or thermal process control, methane accounting, quality assurance and logistics optimisation.</x:v>
      </x:c>
      <x:c r="Q142" s="2" t="str">
        <x:v>Integrated solid waste management: waste hierarchy, source separation, collection contracts, emission permits, digestate or product standards, occupational safety and informal-sector inclusion.</x:v>
      </x:c>
      <x:c r="R142" s="2" t="str">
        <x:v>Integrated solid waste management: collection network, transfer and treatment sites, weighbridge, drainage, electricity or heat connection, gas line and residue disposal.</x:v>
      </x:c>
      <x:c r="S142" s="2" t="str">
        <x:v>Integrated solid waste management: electricity, process heat or auxiliary fuel; recovered biogas, syngas, heat or electricity may offset external energy.</x:v>
      </x:c>
      <x:c r="T142" s="2" t="str">
        <x:v>Integrated solid waste management: steel, concrete, polymers, filters, catalysts or sorbents, biological inoculum and treatment chemicals according to the process.</x:v>
      </x:c>
      <x:c r="U142" s="2" t="str">
        <x:v>Integrated solid waste management: pumps, screens, blowers, mixers, seals, burners, analysers, filter media, reagents and personal protective equipment.</x:v>
      </x:c>
      <x:c r="V142" s="2" t="str">
        <x:v>https://www.ctc-n.org/sites/default/files/resources/ctcn_taxonomy_0.pdf</x:v>
      </x:c>
      <x:c r="W142" s="2" t="str">
        <x:v>https://institutoagricoladepueblobello.edu.co/colegiapp/archivostemas/GUIA%209.%5B25%5D.pdf</x:v>
      </x:c>
      <x:c r="X142" s="2" t="str">
        <x:v>https://iiasa.ac.at/what-is-technology</x:v>
      </x:c>
      <x:c r="Y142" s="2" t="str">
        <x:v>https://www.unep.org/resources/report/global-waste-management-outlook-2024</x:v>
      </x:c>
      <x:c r="Z142" s="2" t="str">
        <x:v>Technology-specific analytical synthesis. The CTCN hierarchy is retained; classifications and component dependencies require validation against the selected design, site and supplier documentation before investment or policy use.</x:v>
      </x:c>
      <x:c r="AA142" s="2" t="str">
        <x:v>Physical deployment of Integrated solid waste management requires collection network, transfer and treatment sites, weighbridge, drainage, electricity or heat connection, gas line and residue disposal; interfaces, foundations, access and environmental protection are sized to the specific resource and design load.</x:v>
      </x:c>
      <x:c r="AB142" s="2" t="str">
        <x:v>For Integrated solid waste management, the hardware energy balance comprises electricity, process heat or auxiliary fuel; recovered biogas, syngas, heat or electricity may offset external energy; metering must separate useful output, conversion losses and auxiliaries for the selected design.</x:v>
      </x:c>
      <x:c r="AC142" s="2" t="str">
        <x:v>Construction and operation use steel, concrete, polymers, filters, catalysts or sorbents, biological inoculum and treatment chemicals according to the process. For Integrated solid waste management, specifications must include durability, compatibility, recycled content and recoverability.</x:v>
      </x:c>
      <x:c r="AD142" s="2" t="str">
        <x:v>Maintenance of Integrated solid waste management depends on pumps, screens, blowers, mixers, seals, burners, analysers, filter media, reagents and personal protective equipment; critical spares are selected from failure-mode, lead-time and safety analysis for its installed configuration.</x:v>
      </x:c>
      <x:c r="AE142" s="2" t="str">
        <x:v>The software stack for Integrated solid waste management requires databases, secure communications, version-controlled models, computing, backup and interfaces with field or operational systems.</x:v>
      </x:c>
      <x:c r="AF142" s="2" t="str">
        <x:v>For Integrated solid waste management, software-related energy is electricity for sensing, computing, storage, communication and cooling; it is normally secondary but must be included for data-intensive or continuous services.</x:v>
      </x:c>
      <x:c r="AG142" s="2" t="str">
        <x:v>The non-physical inputs are calibrated data, metadata, algorithms, boundary conditions, emission or hazard factors, manuals and validation records specific to Integrated solid waste management.</x:v>
      </x:c>
      <x:c r="AH142" s="2" t="str">
        <x:v>Software continuity for Integrated solid waste management requires licences where applicable, updates, cybersecurity patches, backups, calibration files, model validation and technical support.</x:v>
      </x:c>
      <x:c r="AI142" s="2" t="str">
        <x:v>Orgware depends on the institutions, laboratories, training providers, regulators, operators and community interfaces needed to govern Integrated solid waste management.</x:v>
      </x:c>
      <x:c r="AJ142" s="2" t="str">
        <x:v>The orgware supporting Integrated solid waste management has mainly indirect energy use from offices, meetings, training and information systems; travel and field supervision may be material at dispersed sites.</x:v>
      </x:c>
      <x:c r="AK142" s="2" t="str">
        <x:v>Its organisational inputs are permits, budgets, trained staff, competence records, contracts, procedures, safeguards, monitoring evidence and stakeholder agreements tailored to Integrated solid waste management.</x:v>
      </x:c>
      <x:c r="AL142" s="2" t="str">
        <x:v>Sustained implementation of Integrated solid waste management requires procurement and service contracts, audit protocols, training material, reporting templates, insurance or guarantees and periodic independent review.</x:v>
      </x:c>
      <x:c r="AM142" s="2" t="str">
        <x:v>No critical or strategic raw material is identifiable at taxonomy level; site-specific bulk materials may still be required.</x:v>
      </x:c>
      <x:c r="AN142" s="2" t="str"/>
      <x:c r="AO142" s="2" t="str"/>
      <x:c r="AP142" s="2" t="str">
        <x:v>Integrated solid waste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2" s="2" t="str">
        <x:v>2024–2025</x:v>
      </x:c>
      <x:c r="AR142" s="2" t="str">
        <x:v>https://pubs.usgs.gov/periodicals/mcs2026/mcs2026.pdf; https://www.iea.org/reports/global-critical-minerals-outlook-2025</x:v>
      </x:c>
    </x:row>
    <x:row r="143" ht="240" customHeight="1">
      <x:c r="A143" s="2" t="str">
        <x:v>MIT-0136</x:v>
      </x:c>
      <x:c r="B143" s="2" t="str">
        <x:v>Mitigation</x:v>
      </x:c>
      <x:c r="C143" s="2" t="str">
        <x:v>Waste Management</x:v>
      </x:c>
      <x:c r="D143" s="2" t="str">
        <x:v>Solid waste</x:v>
      </x:c>
      <x:c r="E143" s="2" t="str">
        <x:v>Landfill biocovers</x:v>
      </x:c>
      <x:c r="F143" s="2" t="str">
        <x:v>Landfill biocovers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Landfill biocovers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3" s="2" t="str">
        <x:v>Primarily fixed</x:v>
      </x:c>
      <x:c r="H143" s="2" t="str">
        <x:v>Landfill biocovers is tied to long-lived, site-specific assets and design loads. Its principle remains the same, but resource quality, climate, scale, interfaces and safety constraints must be recalculated for each deployment.</x:v>
      </x:c>
      <x:c r="I143" s="2" t="str">
        <x:v>Primarily hard, with a soft component</x:v>
      </x:c>
      <x:c r="J143" s="2" t="str">
        <x:v>Landfill biocovers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3" s="2" t="str">
        <x:v>Equipment and operation</x:v>
      </x:c>
      <x:c r="L143" s="2" t="str">
        <x:v>Landfill biocovers is embodied mainly as an equipment-and-operation system. The deliverable is accepted only when measurable service, quality, safety and climate-performance criteria are met under real conditions.</x:v>
      </x:c>
      <x:c r="M143" s="2" t="str">
        <x:v>Yes, subject to life-cycle safeguards</x:v>
      </x:c>
      <x:c r="N143" s="2" t="str">
        <x:v>Landfill biocovers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3" s="2" t="str">
        <x:v>Landfill biocovers: collection and sorting equipment, reactors or digesters, aeration, gas handling, thermal conversion, pollution control and product conditioning.</x:v>
      </x:c>
      <x:c r="P143" s="2" t="str">
        <x:v>Landfill biocovers: feedstock characterisation, mass balances, biological or thermal process control, methane accounting, quality assurance and logistics optimisation.</x:v>
      </x:c>
      <x:c r="Q143" s="2" t="str">
        <x:v>Landfill biocovers: waste hierarchy, source separation, collection contracts, emission permits, digestate or product standards, occupational safety and informal-sector inclusion.</x:v>
      </x:c>
      <x:c r="R143" s="2" t="str">
        <x:v>Landfill biocovers: collection network, transfer and treatment sites, weighbridge, drainage, electricity or heat connection, gas line and residue disposal.</x:v>
      </x:c>
      <x:c r="S143" s="2" t="str">
        <x:v>Landfill biocovers: electricity, process heat or auxiliary fuel; recovered biogas, syngas, heat or electricity may offset external energy.</x:v>
      </x:c>
      <x:c r="T143" s="2" t="str">
        <x:v>Landfill biocovers: steel, concrete, polymers, filters, catalysts or sorbents, biological inoculum and treatment chemicals according to the process.</x:v>
      </x:c>
      <x:c r="U143" s="2" t="str">
        <x:v>Landfill biocovers: pumps, screens, blowers, mixers, seals, burners, analysers, filter media, reagents and personal protective equipment.</x:v>
      </x:c>
      <x:c r="V143" s="2" t="str">
        <x:v>https://www.ctc-n.org/sites/default/files/resources/ctcn_taxonomy_0.pdf</x:v>
      </x:c>
      <x:c r="W143" s="2" t="str">
        <x:v>https://institutoagricoladepueblobello.edu.co/colegiapp/archivostemas/GUIA%209.%5B25%5D.pdf</x:v>
      </x:c>
      <x:c r="X143" s="2" t="str">
        <x:v>https://iiasa.ac.at/what-is-technology</x:v>
      </x:c>
      <x:c r="Y143" s="2" t="str">
        <x:v>https://www.unep.org/resources/report/global-waste-management-outlook-2024</x:v>
      </x:c>
      <x:c r="Z143" s="2" t="str">
        <x:v>Technology-specific analytical synthesis. The CTCN hierarchy is retained; classifications and component dependencies require validation against the selected design, site and supplier documentation before investment or policy use.</x:v>
      </x:c>
      <x:c r="AA143" s="2" t="str">
        <x:v>Physical deployment of Landfill biocovers requires collection network, transfer and treatment sites, weighbridge, drainage, electricity or heat connection, gas line and residue disposal; interfaces, foundations, access and environmental protection are sized to the specific resource and design load.</x:v>
      </x:c>
      <x:c r="AB143" s="2" t="str">
        <x:v>For Landfill biocovers, the hardware energy balance comprises electricity, process heat or auxiliary fuel; recovered biogas, syngas, heat or electricity may offset external energy; metering must separate useful output, conversion losses and auxiliaries for the selected design.</x:v>
      </x:c>
      <x:c r="AC143" s="2" t="str">
        <x:v>Construction and operation use steel, concrete, polymers, filters, catalysts or sorbents, biological inoculum and treatment chemicals according to the process. For Landfill biocovers, specifications must include durability, compatibility, recycled content and recoverability.</x:v>
      </x:c>
      <x:c r="AD143" s="2" t="str">
        <x:v>Maintenance of Landfill biocovers depends on pumps, screens, blowers, mixers, seals, burners, analysers, filter media, reagents and personal protective equipment; critical spares are selected from failure-mode, lead-time and safety analysis for its installed configuration.</x:v>
      </x:c>
      <x:c r="AE143" s="2" t="str">
        <x:v>The software stack for Landfill biocovers requires databases, secure communications, version-controlled models, computing, backup and interfaces with field or operational systems.</x:v>
      </x:c>
      <x:c r="AF143" s="2" t="str">
        <x:v>For Landfill biocovers, software-related energy is electricity for sensing, computing, storage, communication and cooling; it is normally secondary but must be included for data-intensive or continuous services.</x:v>
      </x:c>
      <x:c r="AG143" s="2" t="str">
        <x:v>The non-physical inputs are calibrated data, metadata, algorithms, boundary conditions, emission or hazard factors, manuals and validation records specific to Landfill biocovers.</x:v>
      </x:c>
      <x:c r="AH143" s="2" t="str">
        <x:v>Software continuity for Landfill biocovers requires licences where applicable, updates, cybersecurity patches, backups, calibration files, model validation and technical support.</x:v>
      </x:c>
      <x:c r="AI143" s="2" t="str">
        <x:v>Orgware depends on the institutions, laboratories, training providers, regulators, operators and community interfaces needed to govern Landfill biocovers.</x:v>
      </x:c>
      <x:c r="AJ143" s="2" t="str">
        <x:v>The orgware supporting Landfill biocovers has mainly indirect energy use from offices, meetings, training and information systems; travel and field supervision may be material at dispersed sites.</x:v>
      </x:c>
      <x:c r="AK143" s="2" t="str">
        <x:v>Its organisational inputs are permits, budgets, trained staff, competence records, contracts, procedures, safeguards, monitoring evidence and stakeholder agreements tailored to Landfill biocovers.</x:v>
      </x:c>
      <x:c r="AL143" s="2" t="str">
        <x:v>Sustained implementation of Landfill biocovers requires procurement and service contracts, audit protocols, training material, reporting templates, insurance or guarantees and periodic independent review.</x:v>
      </x:c>
      <x:c r="AM143" s="2" t="str">
        <x:v>Iron ore / steel inputs</x:v>
      </x:c>
      <x:c r="AN143" s="2" t="str">
        <x:v>Australia; Brazil; China</x:v>
      </x:c>
      <x:c r="AO143" s="2" t="str">
        <x:v>China; India; Japan</x:v>
      </x:c>
      <x:c r="AP143" s="2" t="str">
        <x:v>Landfill biocovers: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3" s="2" t="str">
        <x:v>2024–2025</x:v>
      </x:c>
      <x:c r="AR143" s="2" t="str">
        <x:v>https://pubs.usgs.gov/periodicals/mcs2026/mcs2026.pdf</x:v>
      </x:c>
    </x:row>
    <x:row r="144" ht="240" customHeight="1">
      <x:c r="A144" s="2" t="str">
        <x:v>MIT-0137</x:v>
      </x:c>
      <x:c r="B144" s="2" t="str">
        <x:v>Mitigation</x:v>
      </x:c>
      <x:c r="C144" s="2" t="str">
        <x:v>Waste Management</x:v>
      </x:c>
      <x:c r="D144" s="2" t="str">
        <x:v>Solid waste</x:v>
      </x:c>
      <x:c r="E144" s="2" t="str">
        <x:v>Landfill composting</x:v>
      </x:c>
      <x:c r="F144" s="2" t="str">
        <x:v>Landfill composting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Landfill composting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4" s="2" t="str">
        <x:v>Primarily fixed</x:v>
      </x:c>
      <x:c r="H144" s="2" t="str">
        <x:v>Landfill composting is tied to long-lived, site-specific assets and design loads. Its principle remains the same, but resource quality, climate, scale, interfaces and safety constraints must be recalculated for each deployment.</x:v>
      </x:c>
      <x:c r="I144" s="2" t="str">
        <x:v>Primarily hard, with a soft component</x:v>
      </x:c>
      <x:c r="J144" s="2" t="str">
        <x:v>Landfill composting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4" s="2" t="str">
        <x:v>Equipment and operation</x:v>
      </x:c>
      <x:c r="L144" s="2" t="str">
        <x:v>Landfill composting is embodied mainly as an equipment-and-operation system. The deliverable is accepted only when measurable service, quality, safety and climate-performance criteria are met under real conditions.</x:v>
      </x:c>
      <x:c r="M144" s="2" t="str">
        <x:v>Yes, subject to life-cycle safeguards</x:v>
      </x:c>
      <x:c r="N144" s="2" t="str">
        <x:v>Landfill composting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4" s="2" t="str">
        <x:v>Landfill composting: collection and sorting equipment, reactors or digesters, aeration, gas handling, thermal conversion, pollution control and product conditioning.</x:v>
      </x:c>
      <x:c r="P144" s="2" t="str">
        <x:v>Landfill composting: feedstock characterisation, mass balances, biological or thermal process control, methane accounting, quality assurance and logistics optimisation.</x:v>
      </x:c>
      <x:c r="Q144" s="2" t="str">
        <x:v>Landfill composting: waste hierarchy, source separation, collection contracts, emission permits, digestate or product standards, occupational safety and informal-sector inclusion.</x:v>
      </x:c>
      <x:c r="R144" s="2" t="str">
        <x:v>Landfill composting: collection network, transfer and treatment sites, weighbridge, drainage, electricity or heat connection, gas line and residue disposal.</x:v>
      </x:c>
      <x:c r="S144" s="2" t="str">
        <x:v>Landfill composting: electricity, process heat or auxiliary fuel; recovered biogas, syngas, heat or electricity may offset external energy.</x:v>
      </x:c>
      <x:c r="T144" s="2" t="str">
        <x:v>Landfill composting: steel, concrete, polymers, filters, catalysts or sorbents, biological inoculum and treatment chemicals according to the process.</x:v>
      </x:c>
      <x:c r="U144" s="2" t="str">
        <x:v>Landfill composting: pumps, screens, blowers, mixers, seals, burners, analysers, filter media, reagents and personal protective equipment.</x:v>
      </x:c>
      <x:c r="V144" s="2" t="str">
        <x:v>https://www.ctc-n.org/sites/default/files/resources/ctcn_taxonomy_0.pdf</x:v>
      </x:c>
      <x:c r="W144" s="2" t="str">
        <x:v>https://institutoagricoladepueblobello.edu.co/colegiapp/archivostemas/GUIA%209.%5B25%5D.pdf</x:v>
      </x:c>
      <x:c r="X144" s="2" t="str">
        <x:v>https://iiasa.ac.at/what-is-technology</x:v>
      </x:c>
      <x:c r="Y144" s="2" t="str">
        <x:v>https://www.unep.org/resources/report/global-waste-management-outlook-2024</x:v>
      </x:c>
      <x:c r="Z144" s="2" t="str">
        <x:v>Technology-specific analytical synthesis. The CTCN hierarchy is retained; classifications and component dependencies require validation against the selected design, site and supplier documentation before investment or policy use.</x:v>
      </x:c>
      <x:c r="AA144" s="2" t="str">
        <x:v>Physical deployment of Landfill composting requires collection network, transfer and treatment sites, weighbridge, drainage, electricity or heat connection, gas line and residue disposal; interfaces, foundations, access and environmental protection are sized to the specific resource and design load.</x:v>
      </x:c>
      <x:c r="AB144" s="2" t="str">
        <x:v>For Landfill composting, the hardware energy balance comprises electricity, process heat or auxiliary fuel; recovered biogas, syngas, heat or electricity may offset external energy; metering must separate useful output, conversion losses and auxiliaries for the selected design.</x:v>
      </x:c>
      <x:c r="AC144" s="2" t="str">
        <x:v>Construction and operation use steel, concrete, polymers, filters, catalysts or sorbents, biological inoculum and treatment chemicals according to the process. For Landfill composting, specifications must include durability, compatibility, recycled content and recoverability.</x:v>
      </x:c>
      <x:c r="AD144" s="2" t="str">
        <x:v>Maintenance of Landfill composting depends on pumps, screens, blowers, mixers, seals, burners, analysers, filter media, reagents and personal protective equipment; critical spares are selected from failure-mode, lead-time and safety analysis for its installed configuration.</x:v>
      </x:c>
      <x:c r="AE144" s="2" t="str">
        <x:v>The software stack for Landfill composting requires databases, secure communications, version-controlled models, computing, backup and interfaces with field or operational systems.</x:v>
      </x:c>
      <x:c r="AF144" s="2" t="str">
        <x:v>For Landfill composting, software-related energy is electricity for sensing, computing, storage, communication and cooling; it is normally secondary but must be included for data-intensive or continuous services.</x:v>
      </x:c>
      <x:c r="AG144" s="2" t="str">
        <x:v>The non-physical inputs are calibrated data, metadata, algorithms, boundary conditions, emission or hazard factors, manuals and validation records specific to Landfill composting.</x:v>
      </x:c>
      <x:c r="AH144" s="2" t="str">
        <x:v>Software continuity for Landfill composting requires licences where applicable, updates, cybersecurity patches, backups, calibration files, model validation and technical support.</x:v>
      </x:c>
      <x:c r="AI144" s="2" t="str">
        <x:v>Orgware depends on the institutions, laboratories, training providers, regulators, operators and community interfaces needed to govern Landfill composting.</x:v>
      </x:c>
      <x:c r="AJ144" s="2" t="str">
        <x:v>The orgware supporting Landfill composting has mainly indirect energy use from offices, meetings, training and information systems; travel and field supervision may be material at dispersed sites.</x:v>
      </x:c>
      <x:c r="AK144" s="2" t="str">
        <x:v>Its organisational inputs are permits, budgets, trained staff, competence records, contracts, procedures, safeguards, monitoring evidence and stakeholder agreements tailored to Landfill composting.</x:v>
      </x:c>
      <x:c r="AL144" s="2" t="str">
        <x:v>Sustained implementation of Landfill composting requires procurement and service contracts, audit protocols, training material, reporting templates, insurance or guarantees and periodic independent review.</x:v>
      </x:c>
      <x:c r="AM144" s="2" t="str">
        <x:v>Iron ore / steel inputs</x:v>
      </x:c>
      <x:c r="AN144" s="2" t="str">
        <x:v>Australia; Brazil; China</x:v>
      </x:c>
      <x:c r="AO144" s="2" t="str">
        <x:v>China; India; Japan</x:v>
      </x:c>
      <x:c r="AP144" s="2" t="str">
        <x:v>Landfill composting: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4" s="2" t="str">
        <x:v>2024–2025</x:v>
      </x:c>
      <x:c r="AR144" s="2" t="str">
        <x:v>https://pubs.usgs.gov/periodicals/mcs2026/mcs2026.pdf</x:v>
      </x:c>
    </x:row>
    <x:row r="145" ht="240" customHeight="1">
      <x:c r="A145" s="2" t="str">
        <x:v>MIT-0138</x:v>
      </x:c>
      <x:c r="B145" s="2" t="str">
        <x:v>Mitigation</x:v>
      </x:c>
      <x:c r="C145" s="2" t="str">
        <x:v>Waste Management</x:v>
      </x:c>
      <x:c r="D145" s="2" t="str">
        <x:v>Solid waste</x:v>
      </x:c>
      <x:c r="E145" s="2" t="str">
        <x:v>Industrial solid waste</x:v>
      </x:c>
      <x:c r="F145" s="2" t="str">
        <x:v>Industrial solid waste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Industrial solid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5" s="2" t="str">
        <x:v>Mixed: adaptable design, site-specific implementation</x:v>
      </x:c>
      <x:c r="H145" s="2" t="str">
        <x:v>Industrial solid waste is adaptable in capacity and configuration but site-specific in final engineering. Its principle remains the same, but resource quality, climate, scale, interfaces and safety constraints must be recalculated for each deployment.</x:v>
      </x:c>
      <x:c r="I145" s="2" t="str">
        <x:v>Primarily hard, with a soft component</x:v>
      </x:c>
      <x:c r="J145" s="2" t="str">
        <x:v>Industrial solid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5" s="2" t="str">
        <x:v>Equipment and operation</x:v>
      </x:c>
      <x:c r="L145" s="2" t="str">
        <x:v>Industrial solid waste is embodied mainly as an equipment-and-operation system. The deliverable is accepted only when measurable service, quality, safety and climate-performance criteria are met under real conditions.</x:v>
      </x:c>
      <x:c r="M145" s="2" t="str">
        <x:v>Yes, subject to life-cycle safeguards</x:v>
      </x:c>
      <x:c r="N145" s="2" t="str">
        <x:v>Industrial solid waste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5" s="2" t="str">
        <x:v>Industrial solid waste: collection and sorting equipment, reactors or digesters, aeration, gas handling, thermal conversion, pollution control and product conditioning.</x:v>
      </x:c>
      <x:c r="P145" s="2" t="str">
        <x:v>Industrial solid waste: feedstock characterisation, mass balances, biological or thermal process control, methane accounting, quality assurance and logistics optimisation.</x:v>
      </x:c>
      <x:c r="Q145" s="2" t="str">
        <x:v>Industrial solid waste: waste hierarchy, source separation, collection contracts, emission permits, digestate or product standards, occupational safety and informal-sector inclusion.</x:v>
      </x:c>
      <x:c r="R145" s="2" t="str">
        <x:v>Industrial solid waste: collection network, transfer and treatment sites, weighbridge, drainage, electricity or heat connection, gas line and residue disposal.</x:v>
      </x:c>
      <x:c r="S145" s="2" t="str">
        <x:v>Industrial solid waste: electricity, process heat or auxiliary fuel; recovered biogas, syngas, heat or electricity may offset external energy.</x:v>
      </x:c>
      <x:c r="T145" s="2" t="str">
        <x:v>Industrial solid waste: steel, concrete, polymers, filters, catalysts or sorbents, biological inoculum and treatment chemicals according to the process.</x:v>
      </x:c>
      <x:c r="U145" s="2" t="str">
        <x:v>Industrial solid waste: pumps, screens, blowers, mixers, seals, burners, analysers, filter media, reagents and personal protective equipment.</x:v>
      </x:c>
      <x:c r="V145" s="2" t="str">
        <x:v>https://www.ctc-n.org/sites/default/files/resources/ctcn_taxonomy_0.pdf</x:v>
      </x:c>
      <x:c r="W145" s="2" t="str">
        <x:v>https://institutoagricoladepueblobello.edu.co/colegiapp/archivostemas/GUIA%209.%5B25%5D.pdf</x:v>
      </x:c>
      <x:c r="X145" s="2" t="str">
        <x:v>https://iiasa.ac.at/what-is-technology</x:v>
      </x:c>
      <x:c r="Y145" s="2" t="str">
        <x:v>https://www.unep.org/resources/report/global-waste-management-outlook-2024</x:v>
      </x:c>
      <x:c r="Z145" s="2" t="str">
        <x:v>Technology-specific analytical synthesis. The CTCN hierarchy is retained; classifications and component dependencies require validation against the selected design, site and supplier documentation before investment or policy use.</x:v>
      </x:c>
      <x:c r="AA145" s="2" t="str">
        <x:v>Physical deployment of Industrial solid waste requires collection network, transfer and treatment sites, weighbridge, drainage, electricity or heat connection, gas line and residue disposal; interfaces, foundations, access and environmental protection are sized to the specific resource and design load.</x:v>
      </x:c>
      <x:c r="AB145" s="2" t="str">
        <x:v>For Industrial solid waste, the hardware energy balance comprises electricity, process heat or auxiliary fuel; recovered biogas, syngas, heat or electricity may offset external energy; metering must separate useful output, conversion losses and auxiliaries for the selected design.</x:v>
      </x:c>
      <x:c r="AC145" s="2" t="str">
        <x:v>Construction and operation use steel, concrete, polymers, filters, catalysts or sorbents, biological inoculum and treatment chemicals according to the process. For Industrial solid waste, specifications must include durability, compatibility, recycled content and recoverability.</x:v>
      </x:c>
      <x:c r="AD145" s="2" t="str">
        <x:v>Maintenance of Industrial solid waste depends on pumps, screens, blowers, mixers, seals, burners, analysers, filter media, reagents and personal protective equipment; critical spares are selected from failure-mode, lead-time and safety analysis for its installed configuration.</x:v>
      </x:c>
      <x:c r="AE145" s="2" t="str">
        <x:v>The software stack for Industrial solid waste requires databases, secure communications, version-controlled models, computing, backup and interfaces with field or operational systems.</x:v>
      </x:c>
      <x:c r="AF145" s="2" t="str">
        <x:v>For Industrial solid waste, software-related energy is electricity for sensing, computing, storage, communication and cooling; it is normally secondary but must be included for data-intensive or continuous services.</x:v>
      </x:c>
      <x:c r="AG145" s="2" t="str">
        <x:v>The non-physical inputs are calibrated data, metadata, algorithms, boundary conditions, emission or hazard factors, manuals and validation records specific to Industrial solid waste.</x:v>
      </x:c>
      <x:c r="AH145" s="2" t="str">
        <x:v>Software continuity for Industrial solid waste requires licences where applicable, updates, cybersecurity patches, backups, calibration files, model validation and technical support.</x:v>
      </x:c>
      <x:c r="AI145" s="2" t="str">
        <x:v>Orgware depends on the institutions, laboratories, training providers, regulators, operators and community interfaces needed to govern Industrial solid waste.</x:v>
      </x:c>
      <x:c r="AJ145" s="2" t="str">
        <x:v>The orgware supporting Industrial solid waste has mainly indirect energy use from offices, meetings, training and information systems; travel and field supervision may be material at dispersed sites.</x:v>
      </x:c>
      <x:c r="AK145" s="2" t="str">
        <x:v>Its organisational inputs are permits, budgets, trained staff, competence records, contracts, procedures, safeguards, monitoring evidence and stakeholder agreements tailored to Industrial solid waste.</x:v>
      </x:c>
      <x:c r="AL145" s="2" t="str">
        <x:v>Sustained implementation of Industrial solid waste requires procurement and service contracts, audit protocols, training material, reporting templates, insurance or guarantees and periodic independent review.</x:v>
      </x:c>
      <x:c r="AM145" s="2" t="str">
        <x:v>Iron ore / steel inputs</x:v>
      </x:c>
      <x:c r="AN145" s="2" t="str">
        <x:v>Australia; Brazil; China</x:v>
      </x:c>
      <x:c r="AO145" s="2" t="str">
        <x:v>China; India; Japan</x:v>
      </x:c>
      <x:c r="AP145" s="2" t="str">
        <x:v>Industrial solid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5" s="2" t="str">
        <x:v>2024–2025</x:v>
      </x:c>
      <x:c r="AR145" s="2" t="str">
        <x:v>https://pubs.usgs.gov/periodicals/mcs2026/mcs2026.pdf</x:v>
      </x:c>
    </x:row>
    <x:row r="146" ht="240" customHeight="1">
      <x:c r="A146" s="2" t="str">
        <x:v>MIT-0139</x:v>
      </x:c>
      <x:c r="B146" s="2" t="str">
        <x:v>Mitigation</x:v>
      </x:c>
      <x:c r="C146" s="2" t="str">
        <x:v>Waste Management</x:v>
      </x:c>
      <x:c r="D146" s="2" t="str">
        <x:v>Solid waste</x:v>
      </x:c>
      <x:c r="E146" s="2" t="str">
        <x:v>Municipal solid waste</x:v>
      </x:c>
      <x:c r="F146" s="2" t="str">
        <x:v>Municipal solid waste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Municipal solid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6" s="2" t="str">
        <x:v>Mixed: adaptable design, site-specific implementation</x:v>
      </x:c>
      <x:c r="H146" s="2" t="str">
        <x:v>Municipal solid waste is adaptable in capacity and configuration but site-specific in final engineering. Its principle remains the same, but resource quality, climate, scale, interfaces and safety constraints must be recalculated for each deployment.</x:v>
      </x:c>
      <x:c r="I146" s="2" t="str">
        <x:v>Primarily hard, with a soft component</x:v>
      </x:c>
      <x:c r="J146" s="2" t="str">
        <x:v>Municipal solid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6" s="2" t="str">
        <x:v>Equipment and operation</x:v>
      </x:c>
      <x:c r="L146" s="2" t="str">
        <x:v>Municipal solid waste is embodied mainly as an equipment-and-operation system. The deliverable is accepted only when measurable service, quality, safety and climate-performance criteria are met under real conditions.</x:v>
      </x:c>
      <x:c r="M146" s="2" t="str">
        <x:v>Yes, subject to life-cycle safeguards</x:v>
      </x:c>
      <x:c r="N146" s="2" t="str">
        <x:v>Municipal solid waste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6" s="2" t="str">
        <x:v>Municipal solid waste: collection and sorting equipment, reactors or digesters, aeration, gas handling, thermal conversion, pollution control and product conditioning.</x:v>
      </x:c>
      <x:c r="P146" s="2" t="str">
        <x:v>Municipal solid waste: feedstock characterisation, mass balances, biological or thermal process control, methane accounting, quality assurance and logistics optimisation.</x:v>
      </x:c>
      <x:c r="Q146" s="2" t="str">
        <x:v>Municipal solid waste: waste hierarchy, source separation, collection contracts, emission permits, digestate or product standards, occupational safety and informal-sector inclusion.</x:v>
      </x:c>
      <x:c r="R146" s="2" t="str">
        <x:v>Municipal solid waste: collection network, transfer and treatment sites, weighbridge, drainage, electricity or heat connection, gas line and residue disposal.</x:v>
      </x:c>
      <x:c r="S146" s="2" t="str">
        <x:v>Municipal solid waste: electricity, process heat or auxiliary fuel; recovered biogas, syngas, heat or electricity may offset external energy.</x:v>
      </x:c>
      <x:c r="T146" s="2" t="str">
        <x:v>Municipal solid waste: steel, concrete, polymers, filters, catalysts or sorbents, biological inoculum and treatment chemicals according to the process.</x:v>
      </x:c>
      <x:c r="U146" s="2" t="str">
        <x:v>Municipal solid waste: pumps, screens, blowers, mixers, seals, burners, analysers, filter media, reagents and personal protective equipment.</x:v>
      </x:c>
      <x:c r="V146" s="2" t="str">
        <x:v>https://www.ctc-n.org/sites/default/files/resources/ctcn_taxonomy_0.pdf</x:v>
      </x:c>
      <x:c r="W146" s="2" t="str">
        <x:v>https://institutoagricoladepueblobello.edu.co/colegiapp/archivostemas/GUIA%209.%5B25%5D.pdf</x:v>
      </x:c>
      <x:c r="X146" s="2" t="str">
        <x:v>https://iiasa.ac.at/what-is-technology</x:v>
      </x:c>
      <x:c r="Y146" s="2" t="str">
        <x:v>https://www.unep.org/resources/report/global-waste-management-outlook-2024</x:v>
      </x:c>
      <x:c r="Z146" s="2" t="str">
        <x:v>Technology-specific analytical synthesis. The CTCN hierarchy is retained; classifications and component dependencies require validation against the selected design, site and supplier documentation before investment or policy use.</x:v>
      </x:c>
      <x:c r="AA146" s="2" t="str">
        <x:v>Physical deployment of Municipal solid waste requires collection network, transfer and treatment sites, weighbridge, drainage, electricity or heat connection, gas line and residue disposal; interfaces, foundations, access and environmental protection are sized to the specific resource and design load.</x:v>
      </x:c>
      <x:c r="AB146" s="2" t="str">
        <x:v>For Municipal solid waste, the hardware energy balance comprises electricity, process heat or auxiliary fuel; recovered biogas, syngas, heat or electricity may offset external energy; metering must separate useful output, conversion losses and auxiliaries for the selected design.</x:v>
      </x:c>
      <x:c r="AC146" s="2" t="str">
        <x:v>Construction and operation use steel, concrete, polymers, filters, catalysts or sorbents, biological inoculum and treatment chemicals according to the process. For Municipal solid waste, specifications must include durability, compatibility, recycled content and recoverability.</x:v>
      </x:c>
      <x:c r="AD146" s="2" t="str">
        <x:v>Maintenance of Municipal solid waste depends on pumps, screens, blowers, mixers, seals, burners, analysers, filter media, reagents and personal protective equipment; critical spares are selected from failure-mode, lead-time and safety analysis for its installed configuration.</x:v>
      </x:c>
      <x:c r="AE146" s="2" t="str">
        <x:v>The software stack for Municipal solid waste requires databases, secure communications, version-controlled models, computing, backup and interfaces with field or operational systems.</x:v>
      </x:c>
      <x:c r="AF146" s="2" t="str">
        <x:v>For Municipal solid waste, software-related energy is electricity for sensing, computing, storage, communication and cooling; it is normally secondary but must be included for data-intensive or continuous services.</x:v>
      </x:c>
      <x:c r="AG146" s="2" t="str">
        <x:v>The non-physical inputs are calibrated data, metadata, algorithms, boundary conditions, emission or hazard factors, manuals and validation records specific to Municipal solid waste.</x:v>
      </x:c>
      <x:c r="AH146" s="2" t="str">
        <x:v>Software continuity for Municipal solid waste requires licences where applicable, updates, cybersecurity patches, backups, calibration files, model validation and technical support.</x:v>
      </x:c>
      <x:c r="AI146" s="2" t="str">
        <x:v>Orgware depends on the institutions, laboratories, training providers, regulators, operators and community interfaces needed to govern Municipal solid waste.</x:v>
      </x:c>
      <x:c r="AJ146" s="2" t="str">
        <x:v>The orgware supporting Municipal solid waste has mainly indirect energy use from offices, meetings, training and information systems; travel and field supervision may be material at dispersed sites.</x:v>
      </x:c>
      <x:c r="AK146" s="2" t="str">
        <x:v>Its organisational inputs are permits, budgets, trained staff, competence records, contracts, procedures, safeguards, monitoring evidence and stakeholder agreements tailored to Municipal solid waste.</x:v>
      </x:c>
      <x:c r="AL146" s="2" t="str">
        <x:v>Sustained implementation of Municipal solid waste requires procurement and service contracts, audit protocols, training material, reporting templates, insurance or guarantees and periodic independent review.</x:v>
      </x:c>
      <x:c r="AM146" s="2" t="str">
        <x:v>Iron ore / steel inputs</x:v>
      </x:c>
      <x:c r="AN146" s="2" t="str">
        <x:v>Australia; Brazil; China</x:v>
      </x:c>
      <x:c r="AO146" s="2" t="str">
        <x:v>China; India; Japan</x:v>
      </x:c>
      <x:c r="AP146" s="2" t="str">
        <x:v>Municipal solid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6" s="2" t="str">
        <x:v>2024–2025</x:v>
      </x:c>
      <x:c r="AR146" s="2" t="str">
        <x:v>https://pubs.usgs.gov/periodicals/mcs2026/mcs2026.pdf</x:v>
      </x:c>
    </x:row>
    <x:row r="147" ht="240" customHeight="1">
      <x:c r="A147" s="2" t="str">
        <x:v>MIT-0140</x:v>
      </x:c>
      <x:c r="B147" s="2" t="str">
        <x:v>Mitigation</x:v>
      </x:c>
      <x:c r="C147" s="2" t="str">
        <x:v>Waste Management</x:v>
      </x:c>
      <x:c r="D147" s="2" t="str">
        <x:v>Solid waste</x:v>
      </x:c>
      <x:c r="E147" s="2" t="str">
        <x:v>Landfill gas power</x:v>
      </x:c>
      <x:c r="F147" s="2" t="str">
        <x:v>Landfill gas power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Landfill gas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7" s="2" t="str">
        <x:v>Primarily fixed</x:v>
      </x:c>
      <x:c r="H147" s="2" t="str">
        <x:v>Landfill gas power is tied to long-lived, site-specific assets and design loads. Its principle remains the same, but resource quality, climate, scale, interfaces and safety constraints must be recalculated for each deployment.</x:v>
      </x:c>
      <x:c r="I147" s="2" t="str">
        <x:v>Primarily hard, with a soft component</x:v>
      </x:c>
      <x:c r="J147" s="2" t="str">
        <x:v>Landfill gas power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7" s="2" t="str">
        <x:v>Equipment and operation</x:v>
      </x:c>
      <x:c r="L147" s="2" t="str">
        <x:v>Landfill gas power is embodied mainly as an equipment-and-operation system. The deliverable is accepted only when measurable service, quality, safety and climate-performance criteria are met under real conditions.</x:v>
      </x:c>
      <x:c r="M147" s="2" t="str">
        <x:v>Yes, subject to life-cycle safeguards</x:v>
      </x:c>
      <x:c r="N147" s="2" t="str">
        <x:v>Landfill gas power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7" s="2" t="str">
        <x:v>Landfill gas power: collection and sorting equipment, reactors or digesters, aeration, gas handling, thermal conversion, pollution control and product conditioning.</x:v>
      </x:c>
      <x:c r="P147" s="2" t="str">
        <x:v>Landfill gas power: feedstock characterisation, mass balances, biological or thermal process control, methane accounting, quality assurance and logistics optimisation.</x:v>
      </x:c>
      <x:c r="Q147" s="2" t="str">
        <x:v>Landfill gas power: waste hierarchy, source separation, collection contracts, emission permits, digestate or product standards, occupational safety and informal-sector inclusion.</x:v>
      </x:c>
      <x:c r="R147" s="2" t="str">
        <x:v>Landfill gas power: collection network, transfer and treatment sites, weighbridge, drainage, electricity or heat connection, gas line and residue disposal.</x:v>
      </x:c>
      <x:c r="S147" s="2" t="str">
        <x:v>Landfill gas power: electricity, process heat or auxiliary fuel; recovered biogas, syngas, heat or electricity may offset external energy.</x:v>
      </x:c>
      <x:c r="T147" s="2" t="str">
        <x:v>Landfill gas power: steel, concrete, polymers, filters, catalysts or sorbents, biological inoculum and treatment chemicals according to the process.</x:v>
      </x:c>
      <x:c r="U147" s="2" t="str">
        <x:v>Landfill gas power: pumps, screens, blowers, mixers, seals, burners, analysers, filter media, reagents and personal protective equipment.</x:v>
      </x:c>
      <x:c r="V147" s="2" t="str">
        <x:v>https://www.ctc-n.org/sites/default/files/resources/ctcn_taxonomy_0.pdf</x:v>
      </x:c>
      <x:c r="W147" s="2" t="str">
        <x:v>https://institutoagricoladepueblobello.edu.co/colegiapp/archivostemas/GUIA%209.%5B25%5D.pdf</x:v>
      </x:c>
      <x:c r="X147" s="2" t="str">
        <x:v>https://iiasa.ac.at/what-is-technology</x:v>
      </x:c>
      <x:c r="Y147" s="2" t="str">
        <x:v>https://www.unep.org/resources/report/global-waste-management-outlook-2024</x:v>
      </x:c>
      <x:c r="Z147" s="2" t="str">
        <x:v>Technology-specific analytical synthesis. The CTCN hierarchy is retained; classifications and component dependencies require validation against the selected design, site and supplier documentation before investment or policy use.</x:v>
      </x:c>
      <x:c r="AA147" s="2" t="str">
        <x:v>Physical deployment of Landfill gas power requires collection network, transfer and treatment sites, weighbridge, drainage, electricity or heat connection, gas line and residue disposal; interfaces, foundations, access and environmental protection are sized to the specific resource and design load.</x:v>
      </x:c>
      <x:c r="AB147" s="2" t="str">
        <x:v>For Landfill gas power, the hardware energy balance comprises electricity, process heat or auxiliary fuel; recovered biogas, syngas, heat or electricity may offset external energy; metering must separate useful output, conversion losses and auxiliaries for the selected design.</x:v>
      </x:c>
      <x:c r="AC147" s="2" t="str">
        <x:v>Construction and operation use steel, concrete, polymers, filters, catalysts or sorbents, biological inoculum and treatment chemicals according to the process. For Landfill gas power, specifications must include durability, compatibility, recycled content and recoverability.</x:v>
      </x:c>
      <x:c r="AD147" s="2" t="str">
        <x:v>Maintenance of Landfill gas power depends on pumps, screens, blowers, mixers, seals, burners, analysers, filter media, reagents and personal protective equipment; critical spares are selected from failure-mode, lead-time and safety analysis for its installed configuration.</x:v>
      </x:c>
      <x:c r="AE147" s="2" t="str">
        <x:v>The software stack for Landfill gas power requires databases, secure communications, version-controlled models, computing, backup and interfaces with field or operational systems.</x:v>
      </x:c>
      <x:c r="AF147" s="2" t="str">
        <x:v>For Landfill gas power, software-related energy is electricity for sensing, computing, storage, communication and cooling; it is normally secondary but must be included for data-intensive or continuous services.</x:v>
      </x:c>
      <x:c r="AG147" s="2" t="str">
        <x:v>The non-physical inputs are calibrated data, metadata, algorithms, boundary conditions, emission or hazard factors, manuals and validation records specific to Landfill gas power.</x:v>
      </x:c>
      <x:c r="AH147" s="2" t="str">
        <x:v>Software continuity for Landfill gas power requires licences where applicable, updates, cybersecurity patches, backups, calibration files, model validation and technical support.</x:v>
      </x:c>
      <x:c r="AI147" s="2" t="str">
        <x:v>Orgware depends on the institutions, laboratories, training providers, regulators, operators and community interfaces needed to govern Landfill gas power.</x:v>
      </x:c>
      <x:c r="AJ147" s="2" t="str">
        <x:v>The orgware supporting Landfill gas power has mainly indirect energy use from offices, meetings, training and information systems; travel and field supervision may be material at dispersed sites.</x:v>
      </x:c>
      <x:c r="AK147" s="2" t="str">
        <x:v>Its organisational inputs are permits, budgets, trained staff, competence records, contracts, procedures, safeguards, monitoring evidence and stakeholder agreements tailored to Landfill gas power.</x:v>
      </x:c>
      <x:c r="AL147" s="2" t="str">
        <x:v>Sustained implementation of Landfill gas power requires procurement and service contracts, audit protocols, training material, reporting templates, insurance or guarantees and periodic independent review.</x:v>
      </x:c>
      <x:c r="AM147" s="2" t="str">
        <x:v>Iron ore / steel inputs</x:v>
      </x:c>
      <x:c r="AN147" s="2" t="str">
        <x:v>Australia; Brazil; China</x:v>
      </x:c>
      <x:c r="AO147" s="2" t="str">
        <x:v>China; India; Japan</x:v>
      </x:c>
      <x:c r="AP147" s="2" t="str">
        <x:v>Landfill gas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7" s="2" t="str">
        <x:v>2024–2025</x:v>
      </x:c>
      <x:c r="AR147" s="2" t="str">
        <x:v>https://pubs.usgs.gov/periodicals/mcs2026/mcs2026.pdf</x:v>
      </x:c>
    </x:row>
    <x:row r="148" ht="240" customHeight="1">
      <x:c r="A148" s="2" t="str">
        <x:v>MIT-0141</x:v>
      </x:c>
      <x:c r="B148" s="2" t="str">
        <x:v>Mitigation</x:v>
      </x:c>
      <x:c r="C148" s="2" t="str">
        <x:v>Waste Management</x:v>
      </x:c>
      <x:c r="D148" s="2" t="str">
        <x:v>Solid waste</x:v>
      </x:c>
      <x:c r="E148" s="2" t="str">
        <x:v>Incineration of waste</x:v>
      </x:c>
      <x:c r="F148" s="2" t="str">
        <x:v>Incineration of waste is a mitigation technology in the Waste Management sector and the Solid waste technology group. It is defined as a combined hardware–software–orgware system that controls biological or thermochemical conversion of biomass, residues, solid waste or wastewater to avoid methane, recover materials and energy, or stabilise organic matter. Incineration of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48" s="2" t="str">
        <x:v>Mixed: adaptable design, site-specific implementation</x:v>
      </x:c>
      <x:c r="H148" s="2" t="str">
        <x:v>Incineration of waste is adaptable in capacity and configuration but site-specific in final engineering. Its principle remains the same, but resource quality, climate, scale, interfaces and safety constraints must be recalculated for each deployment.</x:v>
      </x:c>
      <x:c r="I148" s="2" t="str">
        <x:v>Primarily hard, with a soft component</x:v>
      </x:c>
      <x:c r="J148" s="2" t="str">
        <x:v>Incineration of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48" s="2" t="str">
        <x:v>Equipment and operation</x:v>
      </x:c>
      <x:c r="L148" s="2" t="str">
        <x:v>Incineration of waste is embodied mainly as an equipment-and-operation system. The deliverable is accepted only when measurable service, quality, safety and climate-performance criteria are met under real conditions.</x:v>
      </x:c>
      <x:c r="M148" s="2" t="str">
        <x:v>Conditional on performance and life cycle</x:v>
      </x:c>
      <x:c r="N148" s="2" t="str">
        <x:v>Incineration of waste is classified as conditional.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48" s="2" t="str">
        <x:v>Incineration of waste: collection and sorting equipment, reactors or digesters, aeration, gas handling, thermal conversion, pollution control and product conditioning.</x:v>
      </x:c>
      <x:c r="P148" s="2" t="str">
        <x:v>Incineration of waste: feedstock characterisation, mass balances, biological or thermal process control, methane accounting, quality assurance and logistics optimisation.</x:v>
      </x:c>
      <x:c r="Q148" s="2" t="str">
        <x:v>Incineration of waste: waste hierarchy, source separation, collection contracts, emission permits, digestate or product standards, occupational safety and informal-sector inclusion.</x:v>
      </x:c>
      <x:c r="R148" s="2" t="str">
        <x:v>Incineration of waste: collection network, transfer and treatment sites, weighbridge, drainage, electricity or heat connection, gas line and residue disposal.</x:v>
      </x:c>
      <x:c r="S148" s="2" t="str">
        <x:v>Incineration of waste: electricity, process heat or auxiliary fuel; recovered biogas, syngas, heat or electricity may offset external energy.</x:v>
      </x:c>
      <x:c r="T148" s="2" t="str">
        <x:v>Incineration of waste: steel, concrete, polymers, filters, catalysts or sorbents, biological inoculum and treatment chemicals according to the process.</x:v>
      </x:c>
      <x:c r="U148" s="2" t="str">
        <x:v>Incineration of waste: pumps, screens, blowers, mixers, seals, burners, analysers, filter media, reagents and personal protective equipment.</x:v>
      </x:c>
      <x:c r="V148" s="2" t="str">
        <x:v>https://www.ctc-n.org/sites/default/files/resources/ctcn_taxonomy_0.pdf</x:v>
      </x:c>
      <x:c r="W148" s="2" t="str">
        <x:v>https://institutoagricoladepueblobello.edu.co/colegiapp/archivostemas/GUIA%209.%5B25%5D.pdf</x:v>
      </x:c>
      <x:c r="X148" s="2" t="str">
        <x:v>https://iiasa.ac.at/what-is-technology</x:v>
      </x:c>
      <x:c r="Y148" s="2" t="str">
        <x:v>https://www.unep.org/resources/report/global-waste-management-outlook-2024</x:v>
      </x:c>
      <x:c r="Z148" s="2" t="str">
        <x:v>Technology-specific analytical synthesis. The CTCN hierarchy is retained; classifications and component dependencies require validation against the selected design, site and supplier documentation before investment or policy use.</x:v>
      </x:c>
      <x:c r="AA148" s="2" t="str">
        <x:v>Physical deployment of Incineration of waste requires collection network, transfer and treatment sites, weighbridge, drainage, electricity or heat connection, gas line and residue disposal; interfaces, foundations, access and environmental protection are sized to the specific resource and design load.</x:v>
      </x:c>
      <x:c r="AB148" s="2" t="str">
        <x:v>For Incineration of waste, the hardware energy balance comprises electricity, process heat or auxiliary fuel; recovered biogas, syngas, heat or electricity may offset external energy; metering must separate useful output, conversion losses and auxiliaries for the selected design.</x:v>
      </x:c>
      <x:c r="AC148" s="2" t="str">
        <x:v>Construction and operation use steel, concrete, polymers, filters, catalysts or sorbents, biological inoculum and treatment chemicals according to the process. For Incineration of waste, specifications must include durability, compatibility, recycled content and recoverability.</x:v>
      </x:c>
      <x:c r="AD148" s="2" t="str">
        <x:v>Maintenance of Incineration of waste depends on pumps, screens, blowers, mixers, seals, burners, analysers, filter media, reagents and personal protective equipment; critical spares are selected from failure-mode, lead-time and safety analysis for its installed configuration.</x:v>
      </x:c>
      <x:c r="AE148" s="2" t="str">
        <x:v>The software stack for Incineration of waste requires databases, secure communications, version-controlled models, computing, backup and interfaces with field or operational systems.</x:v>
      </x:c>
      <x:c r="AF148" s="2" t="str">
        <x:v>For Incineration of waste, software-related energy is electricity for sensing, computing, storage, communication and cooling; it is normally secondary but must be included for data-intensive or continuous services.</x:v>
      </x:c>
      <x:c r="AG148" s="2" t="str">
        <x:v>The non-physical inputs are calibrated data, metadata, algorithms, boundary conditions, emission or hazard factors, manuals and validation records specific to Incineration of waste.</x:v>
      </x:c>
      <x:c r="AH148" s="2" t="str">
        <x:v>Software continuity for Incineration of waste requires licences where applicable, updates, cybersecurity patches, backups, calibration files, model validation and technical support.</x:v>
      </x:c>
      <x:c r="AI148" s="2" t="str">
        <x:v>Orgware depends on the institutions, laboratories, training providers, regulators, operators and community interfaces needed to govern Incineration of waste.</x:v>
      </x:c>
      <x:c r="AJ148" s="2" t="str">
        <x:v>The orgware supporting Incineration of waste has mainly indirect energy use from offices, meetings, training and information systems; travel and field supervision may be material at dispersed sites.</x:v>
      </x:c>
      <x:c r="AK148" s="2" t="str">
        <x:v>Its organisational inputs are permits, budgets, trained staff, competence records, contracts, procedures, safeguards, monitoring evidence and stakeholder agreements tailored to Incineration of waste.</x:v>
      </x:c>
      <x:c r="AL148" s="2" t="str">
        <x:v>Sustained implementation of Incineration of waste requires procurement and service contracts, audit protocols, training material, reporting templates, insurance or guarantees and periodic independent review.</x:v>
      </x:c>
      <x:c r="AM148" s="2" t="str">
        <x:v>Iron ore / steel inputs</x:v>
      </x:c>
      <x:c r="AN148" s="2" t="str">
        <x:v>Australia; Brazil; China</x:v>
      </x:c>
      <x:c r="AO148" s="2" t="str">
        <x:v>China; India; Japan</x:v>
      </x:c>
      <x:c r="AP148" s="2" t="str">
        <x:v>Incineration of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8" s="2" t="str">
        <x:v>2024–2025</x:v>
      </x:c>
      <x:c r="AR148" s="2" t="str">
        <x:v>https://pubs.usgs.gov/periodicals/mcs2026/mcs2026.pdf</x:v>
      </x:c>
    </x:row>
    <x:row r="149" ht="240" customHeight="1">
      <x:c r="A149" s="2" t="str">
        <x:v>MIT-0142</x:v>
      </x:c>
      <x:c r="B149" s="2" t="str">
        <x:v>Mitigation</x:v>
      </x:c>
      <x:c r="C149" s="2" t="str">
        <x:v>Waste Management</x:v>
      </x:c>
      <x:c r="D149" s="2" t="str">
        <x:v>Solid waste</x:v>
      </x:c>
      <x:c r="E149" s="2" t="str">
        <x:v>Landfill gas flaring</x:v>
      </x:c>
      <x:c r="F149" s="2" t="str">
        <x:v>Landfill gas flaring is a mitigation technology in the Waste Management sector and the Solid waste technology group. It is defined as a combined hardware–software–orgware system that detects, separates, captures, conditions, transports or securely contains carbon-bearing gases so that methane or CO₂ does not reach the atmosphere. It captures associated gas for use or routes it to a correctly designed flare where controlled combustion converts methane and volatile hydrocarbons mainly to CO₂ and water.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149" s="2" t="str">
        <x:v>Primarily fixed</x:v>
      </x:c>
      <x:c r="H149" s="2" t="str">
        <x:v>Landfill gas flaring is tied to long-lived, site-specific assets and design loads. Its principle remains the same, but resource quality, climate, scale, interfaces and safety constraints must be recalculated for each deployment.</x:v>
      </x:c>
      <x:c r="I149" s="2" t="str">
        <x:v>Primarily hard, with a soft component</x:v>
      </x:c>
      <x:c r="J149" s="2" t="str">
        <x:v>Landfill gas flaring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149" s="2" t="str">
        <x:v>Equipment and operation</x:v>
      </x:c>
      <x:c r="L149" s="2" t="str">
        <x:v>Landfill gas flaring is embodied mainly as an equipment-and-operation system. The deliverable is accepted only when measurable service, quality, safety and climate-performance criteria are met under real conditions.</x:v>
      </x:c>
      <x:c r="M149" s="2" t="str">
        <x:v>Yes, subject to life-cycle safeguards</x:v>
      </x:c>
      <x:c r="N149" s="2" t="str">
        <x:v>Landfill gas flaring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149" s="2" t="str">
        <x:v>Landfill gas flaring: gas analysers; flow, pressure and temperature instrumentation; separators; compressors; valves; sealed piping; flare or injection equipment.</x:v>
      </x:c>
      <x:c r="P149" s="2" t="str">
        <x:v>Landfill gas flaring: mass and energy balances; leak detection and repair logic; process simulation; dispersion modelling; integrity and injection surveillance.</x:v>
      </x:c>
      <x:c r="Q149" s="2" t="str">
        <x:v>Landfill gas flaring: emission permits; measurement, reporting and verification; asset-integrity management; emergency procedures; long-term liability.</x:v>
      </x:c>
      <x:c r="R149" s="2" t="str">
        <x:v>Landfill gas flaring: process units, access roads, power supply, pipelines, compression or storage sites, laboratories and monitoring networks.</x:v>
      </x:c>
      <x:c r="S149" s="2" t="str">
        <x:v>Landfill gas flaring: electricity for compression, pumping, refrigeration and instrumentation; fuel or heat where oxidation or regeneration is required.</x:v>
      </x:c>
      <x:c r="T149" s="2" t="str">
        <x:v>Landfill gas flaring: pressure-grade steel, corrosion-resistant alloys, concrete, elastomeric seals, sorbents, solvents, membranes or catalysts according to the process.</x:v>
      </x:c>
      <x:c r="U149" s="2" t="str">
        <x:v>Landfill gas flaring: calibrated sensors, valve trim, seals, compressor parts, filters, reagents and certified sampling equipment.</x:v>
      </x:c>
      <x:c r="V149" s="2" t="str">
        <x:v>https://www.ctc-n.org/sites/default/files/resources/ctcn_taxonomy_0.pdf</x:v>
      </x:c>
      <x:c r="W149" s="2" t="str">
        <x:v>https://institutoagricoladepueblobello.edu.co/colegiapp/archivostemas/GUIA%209.%5B25%5D.pdf</x:v>
      </x:c>
      <x:c r="X149" s="2" t="str">
        <x:v>https://iiasa.ac.at/what-is-technology</x:v>
      </x:c>
      <x:c r="Y149" s="2" t="str">
        <x:v>https://www.unep.org/resources/report/global-waste-management-outlook-2024; https://www.ipcc.ch/report/ar6/wg3/chapter/chapter-11/</x:v>
      </x:c>
      <x:c r="Z149" s="2" t="str">
        <x:v>Technology-specific analytical synthesis. The CTCN hierarchy is retained; classifications and component dependencies require validation against the selected design, site and supplier documentation before investment or policy use.</x:v>
      </x:c>
      <x:c r="AA149" s="2" t="str">
        <x:v>Physical deployment of Landfill gas flaring requires process units, access roads, power supply, pipelines, compression or storage sites, laboratories and monitoring networks; interfaces, foundations, access and environmental protection are sized to the specific resource and design load.</x:v>
      </x:c>
      <x:c r="AB149" s="2" t="str">
        <x:v>For Landfill gas flaring, the hardware energy balance comprises electricity for compression, pumping, refrigeration and instrumentation; fuel or heat where oxidation or regeneration is required; metering must separate useful output, conversion losses and auxiliaries for the selected design.</x:v>
      </x:c>
      <x:c r="AC149" s="2" t="str">
        <x:v>Construction and operation use pressure-grade steel, corrosion-resistant alloys, concrete, elastomeric seals, sorbents, solvents, membranes or catalysts according to the process. For Landfill gas flaring, specifications must include durability, compatibility, recycled content and recoverability.</x:v>
      </x:c>
      <x:c r="AD149" s="2" t="str">
        <x:v>Maintenance of Landfill gas flaring depends on calibrated sensors, valve trim, seals, compressor parts, filters, reagents and certified sampling equipment; critical spares are selected from failure-mode, lead-time and safety analysis for its installed configuration.</x:v>
      </x:c>
      <x:c r="AE149" s="2" t="str">
        <x:v>The software stack for Landfill gas flaring requires databases, secure communications, version-controlled models, computing, backup and interfaces with field or operational systems.</x:v>
      </x:c>
      <x:c r="AF149" s="2" t="str">
        <x:v>For Landfill gas flaring, software-related energy is electricity for sensing, computing, storage, communication and cooling; it is normally secondary but must be included for data-intensive or continuous services.</x:v>
      </x:c>
      <x:c r="AG149" s="2" t="str">
        <x:v>The non-physical inputs are calibrated data, metadata, algorithms, boundary conditions, emission or hazard factors, manuals and validation records specific to Landfill gas flaring.</x:v>
      </x:c>
      <x:c r="AH149" s="2" t="str">
        <x:v>Software continuity for Landfill gas flaring requires licences where applicable, updates, cybersecurity patches, backups, calibration files, model validation and technical support.</x:v>
      </x:c>
      <x:c r="AI149" s="2" t="str">
        <x:v>Orgware depends on the institutions, laboratories, training providers, regulators, operators and community interfaces needed to govern Landfill gas flaring.</x:v>
      </x:c>
      <x:c r="AJ149" s="2" t="str">
        <x:v>The orgware supporting Landfill gas flaring has mainly indirect energy use from offices, meetings, training and information systems; travel and field supervision may be material at dispersed sites.</x:v>
      </x:c>
      <x:c r="AK149" s="2" t="str">
        <x:v>Its organisational inputs are permits, budgets, trained staff, competence records, contracts, procedures, safeguards, monitoring evidence and stakeholder agreements tailored to Landfill gas flaring.</x:v>
      </x:c>
      <x:c r="AL149" s="2" t="str">
        <x:v>Sustained implementation of Landfill gas flaring requires procurement and service contracts, audit protocols, training material, reporting templates, insurance or guarantees and periodic independent review.</x:v>
      </x:c>
      <x:c r="AM149" s="2" t="str">
        <x:v>Iron ore / steel inputs</x:v>
      </x:c>
      <x:c r="AN149" s="2" t="str">
        <x:v>Australia; Brazil; China</x:v>
      </x:c>
      <x:c r="AO149" s="2" t="str">
        <x:v>China; India; Japan</x:v>
      </x:c>
      <x:c r="AP149" s="2" t="str">
        <x:v>Landfill gas flaring: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9" s="2" t="str">
        <x:v>2024–2025</x:v>
      </x:c>
      <x:c r="AR149" s="2" t="str">
        <x:v>https://pubs.usgs.gov/periodicals/mcs2026/mcs2026.pdf</x:v>
      </x:c>
    </x:row>
    <x:row r="150" ht="240" customHeight="1">
      <x:c r="A150" s="2" t="str">
        <x:v>MIT-0143</x:v>
      </x:c>
      <x:c r="B150" s="2" t="str">
        <x:v>Mitigation</x:v>
      </x:c>
      <x:c r="C150" s="2" t="str">
        <x:v>Waste Management</x:v>
      </x:c>
      <x:c r="D150" s="2" t="str">
        <x:v>Recycling</x:v>
      </x:c>
      <x:c r="E150" s="2" t="str">
        <x:v>Recycling of Waste Electronic and Electrical Equipment</x:v>
      </x:c>
      <x:c r="F150" s="2" t="str">
        <x:v>Recycling of Waste Electronic and Electrical Equipment is a mitigation technology in the Waste Management sector and the Recycling technology group. It is defined as a combined hardware–software–orgware system that changes vehicle kilometres, modal share, occupancy, speed profiles, routing or logistics so that the same mobility service is delivered with less final energy and fewer tailpipe emissions. Recycling of Waste Electronic and Electrical Equipment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0" s="2" t="str">
        <x:v>Mixed: adaptable design, site-specific implementation</x:v>
      </x:c>
      <x:c r="H150" s="2" t="str">
        <x:v>Recycling of Waste Electronic and Electrical Equipment is adaptable in capacity and configuration but site-specific in final engineering. Its principle remains the same, but resource quality, climate, scale, interfaces and safety constraints must be recalculated for each deployment.</x:v>
      </x:c>
      <x:c r="I150" s="2" t="str">
        <x:v>Primarily hard, with a soft component</x:v>
      </x:c>
      <x:c r="J150" s="2" t="str">
        <x:v>Recycling of Waste Electronic and Electrical Equipment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0" s="2" t="str">
        <x:v>Equipment and operation</x:v>
      </x:c>
      <x:c r="L150" s="2" t="str">
        <x:v>Recycling of Waste Electronic and Electrical Equipment is embodied mainly as an equipment-and-operation system. The deliverable is accepted only when measurable service, quality, safety and climate-performance criteria are met under real conditions.</x:v>
      </x:c>
      <x:c r="M150" s="2" t="str">
        <x:v>Yes, subject to life-cycle safeguards</x:v>
      </x:c>
      <x:c r="N150" s="2" t="str">
        <x:v>Recycling of Waste Electronic and Electrical Equipment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0" s="2" t="str">
        <x:v>Recycling of Waste Electronic and Electrical Equipment: corridor and station infrastructure, signalling, ticketing, communications, fleet equipment, traffic sensors and user interfaces as applicable.</x:v>
      </x:c>
      <x:c r="P150" s="2" t="str">
        <x:v>Recycling of Waste Electronic and Electrical Equipment: network and timetable design, demand models, traffic control, fleet dispatch, logistics optimisation, safety analysis and service-performance analytics.</x:v>
      </x:c>
      <x:c r="Q150" s="2" t="str">
        <x:v>Recycling of Waste Electronic and Electrical Equipment: transport authority mandates, operating contracts, tariffs, enforcement, street-space allocation, accessibility rules and coordination with land-use planning.</x:v>
      </x:c>
      <x:c r="R150" s="2" t="str">
        <x:v>Recycling of Waste Electronic and Electrical Equipment: rights-of-way, stops or terminals, depots, interchanges, control centres, communications and safe pedestrian or cycling access.</x:v>
      </x:c>
      <x:c r="S150" s="2" t="str">
        <x:v>Recycling of Waste Electronic and Electrical Equipment: electricity for control and stations plus the energy used by the affected vehicle fleet; the net result is governed by modal shift and occupancy.</x:v>
      </x:c>
      <x:c r="T150" s="2" t="str">
        <x:v>Recycling of Waste Electronic and Electrical Equipment: concrete, steel, asphalt, copper, signalling electronics, pavement materials and vehicle-related materials where new infrastructure is built.</x:v>
      </x:c>
      <x:c r="U150" s="2" t="str">
        <x:v>Recycling of Waste Electronic and Electrical Equipment: signal modules, communications equipment, validators, sensors, pavement components, station equipment and fleet consumables.</x:v>
      </x:c>
      <x:c r="V150" s="2" t="str">
        <x:v>https://www.ctc-n.org/sites/default/files/resources/ctcn_taxonomy_0.pdf</x:v>
      </x:c>
      <x:c r="W150" s="2" t="str">
        <x:v>https://institutoagricoladepueblobello.edu.co/colegiapp/archivostemas/GUIA%209.%5B25%5D.pdf</x:v>
      </x:c>
      <x:c r="X150" s="2" t="str">
        <x:v>https://iiasa.ac.at/what-is-technology</x:v>
      </x:c>
      <x:c r="Y150" s="2" t="str">
        <x:v>https://www.unep.org/resources/report/global-waste-management-outlook-2024; https://www.ipcc.ch/report/ar6/wg3/chapter/chapter-10/; https://ppp.worldbank.org/print/pdf/node/7300</x:v>
      </x:c>
      <x:c r="Z150" s="2" t="str">
        <x:v>Technology-specific analytical synthesis. The CTCN hierarchy is retained; classifications and component dependencies require validation against the selected design, site and supplier documentation before investment or policy use.</x:v>
      </x:c>
      <x:c r="AA150" s="2" t="str">
        <x:v>Physical deployment of Recycling of Waste Electronic and Electrical Equipment requires rights-of-way, stops or terminals, depots, interchanges, control centres, communications and safe pedestrian or cycling access; interfaces, foundations, access and environmental protection are sized to the specific resource and design load.</x:v>
      </x:c>
      <x:c r="AB150" s="2" t="str">
        <x:v>For Recycling of Waste Electronic and Electrical Equipment,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0" s="2" t="str">
        <x:v>Construction and operation use concrete, steel, asphalt, copper, signalling electronics, pavement materials and vehicle-related materials where new infrastructure is built. For Recycling of Waste Electronic and Electrical Equipment, specifications must include durability, compatibility, recycled content and recoverability.</x:v>
      </x:c>
      <x:c r="AD150" s="2" t="str">
        <x:v>Maintenance of Recycling of Waste Electronic and Electrical Equipment depends on signal modules, communications equipment, validators, sensors, pavement components, station equipment and fleet consumables; critical spares are selected from failure-mode, lead-time and safety analysis for its installed configuration.</x:v>
      </x:c>
      <x:c r="AE150" s="2" t="str">
        <x:v>The software stack for Recycling of Waste Electronic and Electrical Equipment requires databases, secure communications, version-controlled models, computing, backup and interfaces with field or operational systems.</x:v>
      </x:c>
      <x:c r="AF150" s="2" t="str">
        <x:v>For Recycling of Waste Electronic and Electrical Equipment, software-related energy is electricity for sensing, computing, storage, communication and cooling; it is normally secondary but must be included for data-intensive or continuous services.</x:v>
      </x:c>
      <x:c r="AG150" s="2" t="str">
        <x:v>The non-physical inputs are calibrated data, metadata, algorithms, boundary conditions, emission or hazard factors, manuals and validation records specific to Recycling of Waste Electronic and Electrical Equipment.</x:v>
      </x:c>
      <x:c r="AH150" s="2" t="str">
        <x:v>Software continuity for Recycling of Waste Electronic and Electrical Equipment requires licences where applicable, updates, cybersecurity patches, backups, calibration files, model validation and technical support.</x:v>
      </x:c>
      <x:c r="AI150" s="2" t="str">
        <x:v>Orgware depends on the institutions, laboratories, training providers, regulators, operators and community interfaces needed to govern Recycling of Waste Electronic and Electrical Equipment.</x:v>
      </x:c>
      <x:c r="AJ150" s="2" t="str">
        <x:v>The orgware supporting Recycling of Waste Electronic and Electrical Equipment has mainly indirect energy use from offices, meetings, training and information systems; travel and field supervision may be material at dispersed sites.</x:v>
      </x:c>
      <x:c r="AK150" s="2" t="str">
        <x:v>Its organisational inputs are permits, budgets, trained staff, competence records, contracts, procedures, safeguards, monitoring evidence and stakeholder agreements tailored to Recycling of Waste Electronic and Electrical Equipment.</x:v>
      </x:c>
      <x:c r="AL150" s="2" t="str">
        <x:v>Sustained implementation of Recycling of Waste Electronic and Electrical Equipment requires procurement and service contracts, audit protocols, training material, reporting templates, insurance or guarantees and periodic independent review.</x:v>
      </x:c>
      <x:c r="AM150" s="2" t="str">
        <x:v>Iron ore / steel inputs; Copper; Tin</x:v>
      </x:c>
      <x:c r="AN150" s="2" t="str">
        <x:v>Australia; Brazil; China; Chile; Democratic Republic of the Congo; Peru; Indonesia; Myanmar</x:v>
      </x:c>
      <x:c r="AO150" s="2" t="str">
        <x:v>China; India; Japan; Chile; Democratic Republic of the Congo; Indonesia; Malaysia</x:v>
      </x:c>
      <x:c r="AP150" s="2" t="str">
        <x:v>Recycling of Waste Electronic and Electrical Equipment: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0" s="2" t="str">
        <x:v>2024–2025</x:v>
      </x:c>
      <x:c r="AR150" s="2" t="str">
        <x:v>https://pubs.usgs.gov/periodicals/mcs2026/mcs2026.pdf</x:v>
      </x:c>
    </x:row>
    <x:row r="151" ht="240" customHeight="1">
      <x:c r="A151" s="2" t="str">
        <x:v>MIT-0144</x:v>
      </x:c>
      <x:c r="B151" s="2" t="str">
        <x:v>Mitigation</x:v>
      </x:c>
      <x:c r="C151" s="2" t="str">
        <x:v>Waste Management</x:v>
      </x:c>
      <x:c r="D151" s="2" t="str">
        <x:v>Recycling</x:v>
      </x:c>
      <x:c r="E151" s="2" t="str">
        <x:v>Glass recycling</x:v>
      </x:c>
      <x:c r="F151" s="2" t="str">
        <x:v>Glass recycling is a mitigation technology in the Waste Management sector and the Recycling technology group. It is defined as a combined hardware–software–orgware system that changes vehicle kilometres, modal share, occupancy, speed profiles, routing or logistics so that the same mobility service is delivered with less final energy and fewer tailpipe emissions. Glass recycling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1" s="2" t="str">
        <x:v>Mixed: adaptable design, site-specific implementation</x:v>
      </x:c>
      <x:c r="H151" s="2" t="str">
        <x:v>Glass recycling is adaptable in capacity and configuration but site-specific in final engineering. Its principle remains the same, but resource quality, climate, scale, interfaces and safety constraints must be recalculated for each deployment.</x:v>
      </x:c>
      <x:c r="I151" s="2" t="str">
        <x:v>Primarily hard, with a soft component</x:v>
      </x:c>
      <x:c r="J151" s="2" t="str">
        <x:v>Glass recycling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1" s="2" t="str">
        <x:v>Equipment and operation</x:v>
      </x:c>
      <x:c r="L151" s="2" t="str">
        <x:v>Glass recycling is embodied mainly as an equipment-and-operation system. The deliverable is accepted only when measurable service, quality, safety and climate-performance criteria are met under real conditions.</x:v>
      </x:c>
      <x:c r="M151" s="2" t="str">
        <x:v>Yes, subject to life-cycle safeguards</x:v>
      </x:c>
      <x:c r="N151" s="2" t="str">
        <x:v>Glass recycling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1" s="2" t="str">
        <x:v>Glass recycling: corridor and station infrastructure, signalling, ticketing, communications, fleet equipment, traffic sensors and user interfaces as applicable.</x:v>
      </x:c>
      <x:c r="P151" s="2" t="str">
        <x:v>Glass recycling: network and timetable design, demand models, traffic control, fleet dispatch, logistics optimisation, safety analysis and service-performance analytics.</x:v>
      </x:c>
      <x:c r="Q151" s="2" t="str">
        <x:v>Glass recycling: transport authority mandates, operating contracts, tariffs, enforcement, street-space allocation, accessibility rules and coordination with land-use planning.</x:v>
      </x:c>
      <x:c r="R151" s="2" t="str">
        <x:v>Glass recycling: rights-of-way, stops or terminals, depots, interchanges, control centres, communications and safe pedestrian or cycling access.</x:v>
      </x:c>
      <x:c r="S151" s="2" t="str">
        <x:v>Glass recycling: electricity for control and stations plus the energy used by the affected vehicle fleet; the net result is governed by modal shift and occupancy.</x:v>
      </x:c>
      <x:c r="T151" s="2" t="str">
        <x:v>Glass recycling: concrete, steel, asphalt, copper, signalling electronics, pavement materials and vehicle-related materials where new infrastructure is built.</x:v>
      </x:c>
      <x:c r="U151" s="2" t="str">
        <x:v>Glass recycling: signal modules, communications equipment, validators, sensors, pavement components, station equipment and fleet consumables.</x:v>
      </x:c>
      <x:c r="V151" s="2" t="str">
        <x:v>https://www.ctc-n.org/sites/default/files/resources/ctcn_taxonomy_0.pdf</x:v>
      </x:c>
      <x:c r="W151" s="2" t="str">
        <x:v>https://institutoagricoladepueblobello.edu.co/colegiapp/archivostemas/GUIA%209.%5B25%5D.pdf</x:v>
      </x:c>
      <x:c r="X151" s="2" t="str">
        <x:v>https://iiasa.ac.at/what-is-technology</x:v>
      </x:c>
      <x:c r="Y151" s="2" t="str">
        <x:v>https://www.unep.org/resources/report/global-waste-management-outlook-2024; https://www.ipcc.ch/report/ar6/wg3/chapter/chapter-10/; https://ppp.worldbank.org/print/pdf/node/7300</x:v>
      </x:c>
      <x:c r="Z151" s="2" t="str">
        <x:v>Technology-specific analytical synthesis. The CTCN hierarchy is retained; classifications and component dependencies require validation against the selected design, site and supplier documentation before investment or policy use.</x:v>
      </x:c>
      <x:c r="AA151" s="2" t="str">
        <x:v>Physical deployment of Glass recycling requires rights-of-way, stops or terminals, depots, interchanges, control centres, communications and safe pedestrian or cycling access; interfaces, foundations, access and environmental protection are sized to the specific resource and design load.</x:v>
      </x:c>
      <x:c r="AB151" s="2" t="str">
        <x:v>For Glass recycling,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1" s="2" t="str">
        <x:v>Construction and operation use concrete, steel, asphalt, copper, signalling electronics, pavement materials and vehicle-related materials where new infrastructure is built. For Glass recycling, specifications must include durability, compatibility, recycled content and recoverability.</x:v>
      </x:c>
      <x:c r="AD151" s="2" t="str">
        <x:v>Maintenance of Glass recycling depends on signal modules, communications equipment, validators, sensors, pavement components, station equipment and fleet consumables; critical spares are selected from failure-mode, lead-time and safety analysis for its installed configuration.</x:v>
      </x:c>
      <x:c r="AE151" s="2" t="str">
        <x:v>The software stack for Glass recycling requires databases, secure communications, version-controlled models, computing, backup and interfaces with field or operational systems.</x:v>
      </x:c>
      <x:c r="AF151" s="2" t="str">
        <x:v>For Glass recycling, software-related energy is electricity for sensing, computing, storage, communication and cooling; it is normally secondary but must be included for data-intensive or continuous services.</x:v>
      </x:c>
      <x:c r="AG151" s="2" t="str">
        <x:v>The non-physical inputs are calibrated data, metadata, algorithms, boundary conditions, emission or hazard factors, manuals and validation records specific to Glass recycling.</x:v>
      </x:c>
      <x:c r="AH151" s="2" t="str">
        <x:v>Software continuity for Glass recycling requires licences where applicable, updates, cybersecurity patches, backups, calibration files, model validation and technical support.</x:v>
      </x:c>
      <x:c r="AI151" s="2" t="str">
        <x:v>Orgware depends on the institutions, laboratories, training providers, regulators, operators and community interfaces needed to govern Glass recycling.</x:v>
      </x:c>
      <x:c r="AJ151" s="2" t="str">
        <x:v>The orgware supporting Glass recycling has mainly indirect energy use from offices, meetings, training and information systems; travel and field supervision may be material at dispersed sites.</x:v>
      </x:c>
      <x:c r="AK151" s="2" t="str">
        <x:v>Its organisational inputs are permits, budgets, trained staff, competence records, contracts, procedures, safeguards, monitoring evidence and stakeholder agreements tailored to Glass recycling.</x:v>
      </x:c>
      <x:c r="AL151" s="2" t="str">
        <x:v>Sustained implementation of Glass recycling requires procurement and service contracts, audit protocols, training material, reporting templates, insurance or guarantees and periodic independent review.</x:v>
      </x:c>
      <x:c r="AM151" s="2" t="str">
        <x:v>Iron ore / steel inputs</x:v>
      </x:c>
      <x:c r="AN151" s="2" t="str">
        <x:v>Australia; Brazil; China</x:v>
      </x:c>
      <x:c r="AO151" s="2" t="str">
        <x:v>China; India; Japan</x:v>
      </x:c>
      <x:c r="AP151" s="2" t="str">
        <x:v>Glass recycling: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1" s="2" t="str">
        <x:v>2024–2025</x:v>
      </x:c>
      <x:c r="AR151" s="2" t="str">
        <x:v>https://pubs.usgs.gov/periodicals/mcs2026/mcs2026.pdf</x:v>
      </x:c>
    </x:row>
    <x:row r="152" ht="240" customHeight="1">
      <x:c r="A152" s="2" t="str">
        <x:v>MIT-0145</x:v>
      </x:c>
      <x:c r="B152" s="2" t="str">
        <x:v>Mitigation</x:v>
      </x:c>
      <x:c r="C152" s="2" t="str">
        <x:v>Waste Management</x:v>
      </x:c>
      <x:c r="D152" s="2" t="str">
        <x:v>Recycling</x:v>
      </x:c>
      <x:c r="E152" s="2" t="str">
        <x:v>Advanced paper recycling</x:v>
      </x:c>
      <x:c r="F152" s="2" t="str">
        <x:v>Advanced paper recycling is a mitigation technology in the Waste Management sector and the Recycling technology group. It is defined as a combined hardware–software–orgware system that changes vehicle kilometres, modal share, occupancy, speed profiles, routing or logistics so that the same mobility service is delivered with less final energy and fewer tailpipe emissions. Advanced paper recycling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2" s="2" t="str">
        <x:v>Mixed: adaptable design, site-specific implementation</x:v>
      </x:c>
      <x:c r="H152" s="2" t="str">
        <x:v>Advanced paper recycling is adaptable in capacity and configuration but site-specific in final engineering. Its principle remains the same, but resource quality, climate, scale, interfaces and safety constraints must be recalculated for each deployment.</x:v>
      </x:c>
      <x:c r="I152" s="2" t="str">
        <x:v>Primarily hard, with a soft component</x:v>
      </x:c>
      <x:c r="J152" s="2" t="str">
        <x:v>Advanced paper recycling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2" s="2" t="str">
        <x:v>Equipment and operation</x:v>
      </x:c>
      <x:c r="L152" s="2" t="str">
        <x:v>Advanced paper recycling is embodied mainly as an equipment-and-operation system. The deliverable is accepted only when measurable service, quality, safety and climate-performance criteria are met under real conditions.</x:v>
      </x:c>
      <x:c r="M152" s="2" t="str">
        <x:v>Yes, subject to life-cycle safeguards</x:v>
      </x:c>
      <x:c r="N152" s="2" t="str">
        <x:v>Advanced paper recycling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2" s="2" t="str">
        <x:v>Advanced paper recycling: corridor and station infrastructure, signalling, ticketing, communications, fleet equipment, traffic sensors and user interfaces as applicable.</x:v>
      </x:c>
      <x:c r="P152" s="2" t="str">
        <x:v>Advanced paper recycling: network and timetable design, demand models, traffic control, fleet dispatch, logistics optimisation, safety analysis and service-performance analytics.</x:v>
      </x:c>
      <x:c r="Q152" s="2" t="str">
        <x:v>Advanced paper recycling: transport authority mandates, operating contracts, tariffs, enforcement, street-space allocation, accessibility rules and coordination with land-use planning.</x:v>
      </x:c>
      <x:c r="R152" s="2" t="str">
        <x:v>Advanced paper recycling: rights-of-way, stops or terminals, depots, interchanges, control centres, communications and safe pedestrian or cycling access.</x:v>
      </x:c>
      <x:c r="S152" s="2" t="str">
        <x:v>Advanced paper recycling: electricity for control and stations plus the energy used by the affected vehicle fleet; the net result is governed by modal shift and occupancy.</x:v>
      </x:c>
      <x:c r="T152" s="2" t="str">
        <x:v>Advanced paper recycling: concrete, steel, asphalt, copper, signalling electronics, pavement materials and vehicle-related materials where new infrastructure is built.</x:v>
      </x:c>
      <x:c r="U152" s="2" t="str">
        <x:v>Advanced paper recycling: signal modules, communications equipment, validators, sensors, pavement components, station equipment and fleet consumables.</x:v>
      </x:c>
      <x:c r="V152" s="2" t="str">
        <x:v>https://www.ctc-n.org/sites/default/files/resources/ctcn_taxonomy_0.pdf</x:v>
      </x:c>
      <x:c r="W152" s="2" t="str">
        <x:v>https://institutoagricoladepueblobello.edu.co/colegiapp/archivostemas/GUIA%209.%5B25%5D.pdf</x:v>
      </x:c>
      <x:c r="X152" s="2" t="str">
        <x:v>https://iiasa.ac.at/what-is-technology</x:v>
      </x:c>
      <x:c r="Y152" s="2" t="str">
        <x:v>https://www.unep.org/resources/report/global-waste-management-outlook-2024; https://www.ipcc.ch/report/ar6/wg3/chapter/chapter-10/; https://ppp.worldbank.org/print/pdf/node/7300</x:v>
      </x:c>
      <x:c r="Z152" s="2" t="str">
        <x:v>Technology-specific analytical synthesis. The CTCN hierarchy is retained; classifications and component dependencies require validation against the selected design, site and supplier documentation before investment or policy use.</x:v>
      </x:c>
      <x:c r="AA152" s="2" t="str">
        <x:v>Physical deployment of Advanced paper recycling requires rights-of-way, stops or terminals, depots, interchanges, control centres, communications and safe pedestrian or cycling access; interfaces, foundations, access and environmental protection are sized to the specific resource and design load.</x:v>
      </x:c>
      <x:c r="AB152" s="2" t="str">
        <x:v>For Advanced paper recycling,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2" s="2" t="str">
        <x:v>Construction and operation use concrete, steel, asphalt, copper, signalling electronics, pavement materials and vehicle-related materials where new infrastructure is built. For Advanced paper recycling, specifications must include durability, compatibility, recycled content and recoverability.</x:v>
      </x:c>
      <x:c r="AD152" s="2" t="str">
        <x:v>Maintenance of Advanced paper recycling depends on signal modules, communications equipment, validators, sensors, pavement components, station equipment and fleet consumables; critical spares are selected from failure-mode, lead-time and safety analysis for its installed configuration.</x:v>
      </x:c>
      <x:c r="AE152" s="2" t="str">
        <x:v>The software stack for Advanced paper recycling requires databases, secure communications, version-controlled models, computing, backup and interfaces with field or operational systems.</x:v>
      </x:c>
      <x:c r="AF152" s="2" t="str">
        <x:v>For Advanced paper recycling, software-related energy is electricity for sensing, computing, storage, communication and cooling; it is normally secondary but must be included for data-intensive or continuous services.</x:v>
      </x:c>
      <x:c r="AG152" s="2" t="str">
        <x:v>The non-physical inputs are calibrated data, metadata, algorithms, boundary conditions, emission or hazard factors, manuals and validation records specific to Advanced paper recycling.</x:v>
      </x:c>
      <x:c r="AH152" s="2" t="str">
        <x:v>Software continuity for Advanced paper recycling requires licences where applicable, updates, cybersecurity patches, backups, calibration files, model validation and technical support.</x:v>
      </x:c>
      <x:c r="AI152" s="2" t="str">
        <x:v>Orgware depends on the institutions, laboratories, training providers, regulators, operators and community interfaces needed to govern Advanced paper recycling.</x:v>
      </x:c>
      <x:c r="AJ152" s="2" t="str">
        <x:v>The orgware supporting Advanced paper recycling has mainly indirect energy use from offices, meetings, training and information systems; travel and field supervision may be material at dispersed sites.</x:v>
      </x:c>
      <x:c r="AK152" s="2" t="str">
        <x:v>Its organisational inputs are permits, budgets, trained staff, competence records, contracts, procedures, safeguards, monitoring evidence and stakeholder agreements tailored to Advanced paper recycling.</x:v>
      </x:c>
      <x:c r="AL152" s="2" t="str">
        <x:v>Sustained implementation of Advanced paper recycling requires procurement and service contracts, audit protocols, training material, reporting templates, insurance or guarantees and periodic independent review.</x:v>
      </x:c>
      <x:c r="AM152" s="2" t="str">
        <x:v>Iron ore / steel inputs</x:v>
      </x:c>
      <x:c r="AN152" s="2" t="str">
        <x:v>Australia; Brazil; China</x:v>
      </x:c>
      <x:c r="AO152" s="2" t="str">
        <x:v>China; India; Japan</x:v>
      </x:c>
      <x:c r="AP152" s="2" t="str">
        <x:v>Advanced paper recycling: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2" s="2" t="str">
        <x:v>2024–2025</x:v>
      </x:c>
      <x:c r="AR152" s="2" t="str">
        <x:v>https://pubs.usgs.gov/periodicals/mcs2026/mcs2026.pdf</x:v>
      </x:c>
    </x:row>
    <x:row r="153" ht="240" customHeight="1">
      <x:c r="A153" s="2" t="str">
        <x:v>MIT-0146</x:v>
      </x:c>
      <x:c r="B153" s="2" t="str">
        <x:v>Mitigation</x:v>
      </x:c>
      <x:c r="C153" s="2" t="str">
        <x:v>Waste Management</x:v>
      </x:c>
      <x:c r="D153" s="2" t="str">
        <x:v>Recycling</x:v>
      </x:c>
      <x:c r="E153" s="2" t="str">
        <x:v>Product component and materials recycling</x:v>
      </x:c>
      <x:c r="F153" s="2" t="str">
        <x:v>Product component and materials recycling is a mitigation technology in the Waste Management sector and the Recycling technology group. It is defined as a combined hardware–software–orgware system that changes vehicle kilometres, modal share, occupancy, speed profiles, routing or logistics so that the same mobility service is delivered with less final energy and fewer tailpipe emissions. Product component and materials recycling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53" s="2" t="str">
        <x:v>Mixed: adaptable design, site-specific implementation</x:v>
      </x:c>
      <x:c r="H153" s="2" t="str">
        <x:v>Product component and materials recycling is adaptable in capacity and configuration but site-specific in final engineering. Its principle remains the same, but resource quality, climate, scale, interfaces and safety constraints must be recalculated for each deployment.</x:v>
      </x:c>
      <x:c r="I153" s="2" t="str">
        <x:v>Primarily hard, with a soft component</x:v>
      </x:c>
      <x:c r="J153" s="2" t="str">
        <x:v>Product component and materials recycling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53" s="2" t="str">
        <x:v>Product and equipment; complementary operation</x:v>
      </x:c>
      <x:c r="L153" s="2" t="str">
        <x:v>Product component and materials recycling is embodied mainly as a product/equipment package. The deliverable is accepted only when measurable service, quality, safety and climate-performance criteria are met under real conditions.</x:v>
      </x:c>
      <x:c r="M153" s="2" t="str">
        <x:v>Yes, subject to life-cycle safeguards</x:v>
      </x:c>
      <x:c r="N153" s="2" t="str">
        <x:v>Product component and materials recycling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53" s="2" t="str">
        <x:v>Product component and materials recycling: corridor and station infrastructure, signalling, ticketing, communications, fleet equipment, traffic sensors and user interfaces as applicable.</x:v>
      </x:c>
      <x:c r="P153" s="2" t="str">
        <x:v>Product component and materials recycling: network and timetable design, demand models, traffic control, fleet dispatch, logistics optimisation, safety analysis and service-performance analytics.</x:v>
      </x:c>
      <x:c r="Q153" s="2" t="str">
        <x:v>Product component and materials recycling: transport authority mandates, operating contracts, tariffs, enforcement, street-space allocation, accessibility rules and coordination with land-use planning.</x:v>
      </x:c>
      <x:c r="R153" s="2" t="str">
        <x:v>Product component and materials recycling: rights-of-way, stops or terminals, depots, interchanges, control centres, communications and safe pedestrian or cycling access.</x:v>
      </x:c>
      <x:c r="S153" s="2" t="str">
        <x:v>Product component and materials recycling: electricity for control and stations plus the energy used by the affected vehicle fleet; the net result is governed by modal shift and occupancy.</x:v>
      </x:c>
      <x:c r="T153" s="2" t="str">
        <x:v>Product component and materials recycling: concrete, steel, asphalt, copper, signalling electronics, pavement materials and vehicle-related materials where new infrastructure is built.</x:v>
      </x:c>
      <x:c r="U153" s="2" t="str">
        <x:v>Product component and materials recycling: signal modules, communications equipment, validators, sensors, pavement components, station equipment and fleet consumables.</x:v>
      </x:c>
      <x:c r="V153" s="2" t="str">
        <x:v>https://www.ctc-n.org/sites/default/files/resources/ctcn_taxonomy_0.pdf</x:v>
      </x:c>
      <x:c r="W153" s="2" t="str">
        <x:v>https://institutoagricoladepueblobello.edu.co/colegiapp/archivostemas/GUIA%209.%5B25%5D.pdf</x:v>
      </x:c>
      <x:c r="X153" s="2" t="str">
        <x:v>https://iiasa.ac.at/what-is-technology</x:v>
      </x:c>
      <x:c r="Y153" s="2" t="str">
        <x:v>https://www.unep.org/resources/report/global-waste-management-outlook-2024; https://www.ipcc.ch/report/ar6/wg3/chapter/chapter-10/; https://ppp.worldbank.org/print/pdf/node/7300</x:v>
      </x:c>
      <x:c r="Z153" s="2" t="str">
        <x:v>Technology-specific analytical synthesis. The CTCN hierarchy is retained; classifications and component dependencies require validation against the selected design, site and supplier documentation before investment or policy use.</x:v>
      </x:c>
      <x:c r="AA153" s="2" t="str">
        <x:v>Physical deployment of Product component and materials recycling requires rights-of-way, stops or terminals, depots, interchanges, control centres, communications and safe pedestrian or cycling access; interfaces, foundations, access and environmental protection are sized to the specific resource and design load.</x:v>
      </x:c>
      <x:c r="AB153" s="2" t="str">
        <x:v>For Product component and materials recycling,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53" s="2" t="str">
        <x:v>Construction and operation use concrete, steel, asphalt, copper, signalling electronics, pavement materials and vehicle-related materials where new infrastructure is built. For Product component and materials recycling, specifications must include durability, compatibility, recycled content and recoverability.</x:v>
      </x:c>
      <x:c r="AD153" s="2" t="str">
        <x:v>Maintenance of Product component and materials recycling depends on signal modules, communications equipment, validators, sensors, pavement components, station equipment and fleet consumables; critical spares are selected from failure-mode, lead-time and safety analysis for its installed configuration.</x:v>
      </x:c>
      <x:c r="AE153" s="2" t="str">
        <x:v>The software stack for Product component and materials recycling requires databases, secure communications, version-controlled models, computing, backup and interfaces with field or operational systems.</x:v>
      </x:c>
      <x:c r="AF153" s="2" t="str">
        <x:v>For Product component and materials recycling, software-related energy is electricity for sensing, computing, storage, communication and cooling; it is normally secondary but must be included for data-intensive or continuous services.</x:v>
      </x:c>
      <x:c r="AG153" s="2" t="str">
        <x:v>The non-physical inputs are calibrated data, metadata, algorithms, boundary conditions, emission or hazard factors, manuals and validation records specific to Product component and materials recycling.</x:v>
      </x:c>
      <x:c r="AH153" s="2" t="str">
        <x:v>Software continuity for Product component and materials recycling requires licences where applicable, updates, cybersecurity patches, backups, calibration files, model validation and technical support.</x:v>
      </x:c>
      <x:c r="AI153" s="2" t="str">
        <x:v>Orgware depends on the institutions, laboratories, training providers, regulators, operators and community interfaces needed to govern Product component and materials recycling.</x:v>
      </x:c>
      <x:c r="AJ153" s="2" t="str">
        <x:v>The orgware supporting Product component and materials recycling has mainly indirect energy use from offices, meetings, training and information systems; travel and field supervision may be material at dispersed sites.</x:v>
      </x:c>
      <x:c r="AK153" s="2" t="str">
        <x:v>Its organisational inputs are permits, budgets, trained staff, competence records, contracts, procedures, safeguards, monitoring evidence and stakeholder agreements tailored to Product component and materials recycling.</x:v>
      </x:c>
      <x:c r="AL153" s="2" t="str">
        <x:v>Sustained implementation of Product component and materials recycling requires procurement and service contracts, audit protocols, training material, reporting templates, insurance or guarantees and periodic independent review.</x:v>
      </x:c>
      <x:c r="AM153" s="2" t="str">
        <x:v>Iron ore / steel inputs</x:v>
      </x:c>
      <x:c r="AN153" s="2" t="str">
        <x:v>Australia; Brazil; China</x:v>
      </x:c>
      <x:c r="AO153" s="2" t="str">
        <x:v>China; India; Japan</x:v>
      </x:c>
      <x:c r="AP153" s="2" t="str">
        <x:v>Product component and materials recycling: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3" s="2" t="str">
        <x:v>2024–2025</x:v>
      </x:c>
      <x:c r="AR153" s="2" t="str">
        <x:v>https://pubs.usgs.gov/periodicals/mcs2026/mcs2026.pdf</x:v>
      </x:c>
    </x:row>
    <x:row r="154" ht="240" customHeight="1">
      <x:c r="A154" s="2" t="str">
        <x:v>MIT-0147</x:v>
      </x:c>
      <x:c r="B154" s="2" t="str">
        <x:v>Mitigation</x:v>
      </x:c>
      <x:c r="C154" s="2" t="str">
        <x:v>Waste Management</x:v>
      </x:c>
      <x:c r="D154" s="2" t="str">
        <x:v>Wastewater</x:v>
      </x:c>
      <x:c r="E154" s="2" t="str">
        <x:v>Wastewater management systems</x:v>
      </x:c>
      <x:c r="F154" s="2" t="str">
        <x:v>Wastewater management systems is a mitigation technology in the Waste Management sector and the Wastewater technology group. It is defined as a combined hardware–software–orgware system that controls biological or thermochemical conversion of biomass, residues, solid waste or wastewater to avoid methane, recover materials and energy, or stabilise organic matter. Wastewater management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54" s="2" t="str">
        <x:v>Flexible</x:v>
      </x:c>
      <x:c r="H154" s="2" t="str">
        <x:v>Wastewater management systems is transferable through configurable methods, rules and operating parameters. Its principle remains the same, but resource quality, climate, scale, interfaces and safety constraints must be recalculated for each deployment.</x:v>
      </x:c>
      <x:c r="I154" s="2" t="str">
        <x:v>Primarily soft, with physical support</x:v>
      </x:c>
      <x:c r="J154" s="2" t="str">
        <x:v>Wastewater management systems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54" s="2" t="str">
        <x:v>Operation</x:v>
      </x:c>
      <x:c r="L154" s="2" t="str">
        <x:v>Wastewater management systems is embodied mainly as an operating practice. The deliverable is accepted only when measurable service, quality, safety and climate-performance criteria are met under real conditions.</x:v>
      </x:c>
      <x:c r="M154" s="2" t="str">
        <x:v>Yes, subject to life-cycle safeguards</x:v>
      </x:c>
      <x:c r="N154" s="2" t="str">
        <x:v>Wastewater management systems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54" s="2" t="str">
        <x:v>Wastewater management systems: collection and sorting equipment, reactors or digesters, aeration, gas handling, thermal conversion, pollution control and product conditioning.</x:v>
      </x:c>
      <x:c r="P154" s="2" t="str">
        <x:v>Wastewater management systems: feedstock characterisation, mass balances, biological or thermal process control, methane accounting, quality assurance and logistics optimisation.</x:v>
      </x:c>
      <x:c r="Q154" s="2" t="str">
        <x:v>Wastewater management systems: waste hierarchy, source separation, collection contracts, emission permits, digestate or product standards, occupational safety and informal-sector inclusion.</x:v>
      </x:c>
      <x:c r="R154" s="2" t="str">
        <x:v>Wastewater management systems: collection network, transfer and treatment sites, weighbridge, drainage, electricity or heat connection, gas line and residue disposal.</x:v>
      </x:c>
      <x:c r="S154" s="2" t="str">
        <x:v>Wastewater management systems: electricity, process heat or auxiliary fuel; recovered biogas, syngas, heat or electricity may offset external energy.</x:v>
      </x:c>
      <x:c r="T154" s="2" t="str">
        <x:v>Wastewater management systems: steel, concrete, polymers, filters, catalysts or sorbents, biological inoculum and treatment chemicals according to the process.</x:v>
      </x:c>
      <x:c r="U154" s="2" t="str">
        <x:v>Wastewater management systems: pumps, screens, blowers, mixers, seals, burners, analysers, filter media, reagents and personal protective equipment.</x:v>
      </x:c>
      <x:c r="V154" s="2" t="str">
        <x:v>https://www.ctc-n.org/sites/default/files/resources/ctcn_taxonomy_0.pdf</x:v>
      </x:c>
      <x:c r="W154" s="2" t="str">
        <x:v>https://institutoagricoladepueblobello.edu.co/colegiapp/archivostemas/GUIA%209.%5B25%5D.pdf</x:v>
      </x:c>
      <x:c r="X154" s="2" t="str">
        <x:v>https://iiasa.ac.at/what-is-technology</x:v>
      </x:c>
      <x:c r="Y154" s="2" t="str">
        <x:v>https://www.unep.org/resources/report/global-waste-management-outlook-2024</x:v>
      </x:c>
      <x:c r="Z154" s="2" t="str">
        <x:v>Technology-specific analytical synthesis. The CTCN hierarchy is retained; classifications and component dependencies require validation against the selected design, site and supplier documentation before investment or policy use.</x:v>
      </x:c>
      <x:c r="AA154" s="2" t="str">
        <x:v>Physical deployment of Wastewater management systems requires collection network, transfer and treatment sites, weighbridge, drainage, electricity or heat connection, gas line and residue disposal; interfaces, foundations, access and environmental protection are sized to the specific resource and design load.</x:v>
      </x:c>
      <x:c r="AB154" s="2" t="str">
        <x:v>For Wastewater management systems, the hardware energy balance comprises electricity, process heat or auxiliary fuel; recovered biogas, syngas, heat or electricity may offset external energy; metering must separate useful output, conversion losses and auxiliaries for the selected design.</x:v>
      </x:c>
      <x:c r="AC154" s="2" t="str">
        <x:v>Construction and operation use steel, concrete, polymers, filters, catalysts or sorbents, biological inoculum and treatment chemicals according to the process. For Wastewater management systems, specifications must include durability, compatibility, recycled content and recoverability.</x:v>
      </x:c>
      <x:c r="AD154" s="2" t="str">
        <x:v>Maintenance of Wastewater management systems depends on pumps, screens, blowers, mixers, seals, burners, analysers, filter media, reagents and personal protective equipment; critical spares are selected from failure-mode, lead-time and safety analysis for its installed configuration.</x:v>
      </x:c>
      <x:c r="AE154" s="2" t="str">
        <x:v>The software stack for Wastewater management systems requires databases, secure communications, version-controlled models, computing, backup and interfaces with field or operational systems.</x:v>
      </x:c>
      <x:c r="AF154" s="2" t="str">
        <x:v>For Wastewater management systems, software-related energy is electricity for sensing, computing, storage, communication and cooling; it is normally secondary but must be included for data-intensive or continuous services.</x:v>
      </x:c>
      <x:c r="AG154" s="2" t="str">
        <x:v>The non-physical inputs are calibrated data, metadata, algorithms, boundary conditions, emission or hazard factors, manuals and validation records specific to Wastewater management systems.</x:v>
      </x:c>
      <x:c r="AH154" s="2" t="str">
        <x:v>Software continuity for Wastewater management systems requires licences where applicable, updates, cybersecurity patches, backups, calibration files, model validation and technical support.</x:v>
      </x:c>
      <x:c r="AI154" s="2" t="str">
        <x:v>Orgware depends on the institutions, laboratories, training providers, regulators, operators and community interfaces needed to govern Wastewater management systems.</x:v>
      </x:c>
      <x:c r="AJ154" s="2" t="str">
        <x:v>The orgware supporting Wastewater management systems has mainly indirect energy use from offices, meetings, training and information systems; travel and field supervision may be material at dispersed sites.</x:v>
      </x:c>
      <x:c r="AK154" s="2" t="str">
        <x:v>Its organisational inputs are permits, budgets, trained staff, competence records, contracts, procedures, safeguards, monitoring evidence and stakeholder agreements tailored to Wastewater management systems.</x:v>
      </x:c>
      <x:c r="AL154" s="2" t="str">
        <x:v>Sustained implementation of Wastewater management systems requires procurement and service contracts, audit protocols, training material, reporting templates, insurance or guarantees and periodic independent review.</x:v>
      </x:c>
      <x:c r="AM154" s="2" t="str">
        <x:v>Iron ore / steel inputs; Nickel; Chromium</x:v>
      </x:c>
      <x:c r="AN154" s="2" t="str">
        <x:v>Australia; Brazil; China; Indonesia; Philippines; Russia; South Africa; Kazakhstan; Turkey</x:v>
      </x:c>
      <x:c r="AO154" s="2" t="str">
        <x:v>China; India; Japan; Indonesia; South Africa; Kazakhstan</x:v>
      </x:c>
      <x:c r="AP154" s="2" t="str">
        <x:v>Wastewater management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4" s="2" t="str">
        <x:v>2024–2025</x:v>
      </x:c>
      <x:c r="AR154" s="2" t="str">
        <x:v>https://pubs.usgs.gov/periodicals/mcs2026/mcs2026.pdf; https://www.iea.org/reports/global-critical-minerals-outlook-2025</x:v>
      </x:c>
    </x:row>
    <x:row r="155" ht="240" customHeight="1">
      <x:c r="A155" s="2" t="str">
        <x:v>MIT-0148</x:v>
      </x:c>
      <x:c r="B155" s="2" t="str">
        <x:v>Mitigation</x:v>
      </x:c>
      <x:c r="C155" s="2" t="str">
        <x:v>Waste Management</x:v>
      </x:c>
      <x:c r="D155" s="2" t="str">
        <x:v>Wastewater</x:v>
      </x:c>
      <x:c r="E155" s="2" t="str">
        <x:v>Aerobic wastewater treatment</x:v>
      </x:c>
      <x:c r="F155" s="2" t="str">
        <x:v>Aerobic wastewater treatment is a mitigation technology in the Waste Management sector and the Wastewater technology group. It is defined as a combined hardware–software–orgware system that controls biological or thermochemical conversion of biomass, residues, solid waste or wastewater to avoid methane, recover materials and energy, or stabilise organic matter. Aerobic wastewater treatment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55" s="2" t="str">
        <x:v>Mixed: adaptable design, site-specific implementation</x:v>
      </x:c>
      <x:c r="H155" s="2" t="str">
        <x:v>Aerobic wastewater treatment is adaptable in capacity and configuration but site-specific in final engineering. Its principle remains the same, but resource quality, climate, scale, interfaces and safety constraints must be recalculated for each deployment.</x:v>
      </x:c>
      <x:c r="I155" s="2" t="str">
        <x:v>Primarily hard, with a soft component</x:v>
      </x:c>
      <x:c r="J155" s="2" t="str">
        <x:v>Aerobic wastewater treatment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55" s="2" t="str">
        <x:v>Equipment and operation</x:v>
      </x:c>
      <x:c r="L155" s="2" t="str">
        <x:v>Aerobic wastewater treatment is embodied mainly as an equipment-and-operation system. The deliverable is accepted only when measurable service, quality, safety and climate-performance criteria are met under real conditions.</x:v>
      </x:c>
      <x:c r="M155" s="2" t="str">
        <x:v>Yes, subject to life-cycle safeguards</x:v>
      </x:c>
      <x:c r="N155" s="2" t="str">
        <x:v>Aerobic wastewater treatment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55" s="2" t="str">
        <x:v>Aerobic wastewater treatment: collection and sorting equipment, reactors or digesters, aeration, gas handling, thermal conversion, pollution control and product conditioning.</x:v>
      </x:c>
      <x:c r="P155" s="2" t="str">
        <x:v>Aerobic wastewater treatment: feedstock characterisation, mass balances, biological or thermal process control, methane accounting, quality assurance and logistics optimisation.</x:v>
      </x:c>
      <x:c r="Q155" s="2" t="str">
        <x:v>Aerobic wastewater treatment: waste hierarchy, source separation, collection contracts, emission permits, digestate or product standards, occupational safety and informal-sector inclusion.</x:v>
      </x:c>
      <x:c r="R155" s="2" t="str">
        <x:v>Aerobic wastewater treatment: collection network, transfer and treatment sites, weighbridge, drainage, electricity or heat connection, gas line and residue disposal.</x:v>
      </x:c>
      <x:c r="S155" s="2" t="str">
        <x:v>Aerobic wastewater treatment: electricity, process heat or auxiliary fuel; recovered biogas, syngas, heat or electricity may offset external energy.</x:v>
      </x:c>
      <x:c r="T155" s="2" t="str">
        <x:v>Aerobic wastewater treatment: steel, concrete, polymers, filters, catalysts or sorbents, biological inoculum and treatment chemicals according to the process.</x:v>
      </x:c>
      <x:c r="U155" s="2" t="str">
        <x:v>Aerobic wastewater treatment: pumps, screens, blowers, mixers, seals, burners, analysers, filter media, reagents and personal protective equipment.</x:v>
      </x:c>
      <x:c r="V155" s="2" t="str">
        <x:v>https://www.ctc-n.org/sites/default/files/resources/ctcn_taxonomy_0.pdf</x:v>
      </x:c>
      <x:c r="W155" s="2" t="str">
        <x:v>https://institutoagricoladepueblobello.edu.co/colegiapp/archivostemas/GUIA%209.%5B25%5D.pdf</x:v>
      </x:c>
      <x:c r="X155" s="2" t="str">
        <x:v>https://iiasa.ac.at/what-is-technology</x:v>
      </x:c>
      <x:c r="Y155" s="2" t="str">
        <x:v>https://www.unep.org/resources/report/global-waste-management-outlook-2024</x:v>
      </x:c>
      <x:c r="Z155" s="2" t="str">
        <x:v>Technology-specific analytical synthesis. The CTCN hierarchy is retained; classifications and component dependencies require validation against the selected design, site and supplier documentation before investment or policy use.</x:v>
      </x:c>
      <x:c r="AA155" s="2" t="str">
        <x:v>Physical deployment of Aerobic wastewater treatment requires collection network, transfer and treatment sites, weighbridge, drainage, electricity or heat connection, gas line and residue disposal; interfaces, foundations, access and environmental protection are sized to the specific resource and design load.</x:v>
      </x:c>
      <x:c r="AB155" s="2" t="str">
        <x:v>For Aerobic wastewater treatment, the hardware energy balance comprises electricity, process heat or auxiliary fuel; recovered biogas, syngas, heat or electricity may offset external energy; metering must separate useful output, conversion losses and auxiliaries for the selected design.</x:v>
      </x:c>
      <x:c r="AC155" s="2" t="str">
        <x:v>Construction and operation use steel, concrete, polymers, filters, catalysts or sorbents, biological inoculum and treatment chemicals according to the process. For Aerobic wastewater treatment, specifications must include durability, compatibility, recycled content and recoverability.</x:v>
      </x:c>
      <x:c r="AD155" s="2" t="str">
        <x:v>Maintenance of Aerobic wastewater treatment depends on pumps, screens, blowers, mixers, seals, burners, analysers, filter media, reagents and personal protective equipment; critical spares are selected from failure-mode, lead-time and safety analysis for its installed configuration.</x:v>
      </x:c>
      <x:c r="AE155" s="2" t="str">
        <x:v>The software stack for Aerobic wastewater treatment requires databases, secure communications, version-controlled models, computing, backup and interfaces with field or operational systems.</x:v>
      </x:c>
      <x:c r="AF155" s="2" t="str">
        <x:v>For Aerobic wastewater treatment, software-related energy is electricity for sensing, computing, storage, communication and cooling; it is normally secondary but must be included for data-intensive or continuous services.</x:v>
      </x:c>
      <x:c r="AG155" s="2" t="str">
        <x:v>The non-physical inputs are calibrated data, metadata, algorithms, boundary conditions, emission or hazard factors, manuals and validation records specific to Aerobic wastewater treatment.</x:v>
      </x:c>
      <x:c r="AH155" s="2" t="str">
        <x:v>Software continuity for Aerobic wastewater treatment requires licences where applicable, updates, cybersecurity patches, backups, calibration files, model validation and technical support.</x:v>
      </x:c>
      <x:c r="AI155" s="2" t="str">
        <x:v>Orgware depends on the institutions, laboratories, training providers, regulators, operators and community interfaces needed to govern Aerobic wastewater treatment.</x:v>
      </x:c>
      <x:c r="AJ155" s="2" t="str">
        <x:v>The orgware supporting Aerobic wastewater treatment has mainly indirect energy use from offices, meetings, training and information systems; travel and field supervision may be material at dispersed sites.</x:v>
      </x:c>
      <x:c r="AK155" s="2" t="str">
        <x:v>Its organisational inputs are permits, budgets, trained staff, competence records, contracts, procedures, safeguards, monitoring evidence and stakeholder agreements tailored to Aerobic wastewater treatment.</x:v>
      </x:c>
      <x:c r="AL155" s="2" t="str">
        <x:v>Sustained implementation of Aerobic wastewater treatment requires procurement and service contracts, audit protocols, training material, reporting templates, insurance or guarantees and periodic independent review.</x:v>
      </x:c>
      <x:c r="AM155" s="2" t="str">
        <x:v>Iron ore / steel inputs; Nickel; Chromium</x:v>
      </x:c>
      <x:c r="AN155" s="2" t="str">
        <x:v>Australia; Brazil; China; Indonesia; Philippines; Russia; South Africa; Kazakhstan; Turkey</x:v>
      </x:c>
      <x:c r="AO155" s="2" t="str">
        <x:v>China; India; Japan; Indonesia; South Africa; Kazakhstan</x:v>
      </x:c>
      <x:c r="AP155" s="2" t="str">
        <x:v>Aerobic wastewater treatment: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5" s="2" t="str">
        <x:v>2024–2025</x:v>
      </x:c>
      <x:c r="AR155" s="2" t="str">
        <x:v>https://pubs.usgs.gov/periodicals/mcs2026/mcs2026.pdf; https://www.iea.org/reports/global-critical-minerals-outlook-2025</x:v>
      </x:c>
    </x:row>
    <x:row r="156" ht="240" customHeight="1">
      <x:c r="A156" s="2" t="str">
        <x:v>MIT-0149</x:v>
      </x:c>
      <x:c r="B156" s="2" t="str">
        <x:v>Mitigation</x:v>
      </x:c>
      <x:c r="C156" s="2" t="str">
        <x:v>Forestry</x:v>
      </x:c>
      <x:c r="D156" s="2" t="str">
        <x:v>Sustainable forest management</x:v>
      </x:c>
      <x:c r="E156" s="2" t="str">
        <x:v>Sustainable forest management</x:v>
      </x:c>
      <x:c r="F156" s="2" t="str">
        <x:v>Sustainable forest management is a mitigation technology in the Forestry sector and the Sustainable forest management technology group. It is defined as a combined hardware–software–orgware system that changes vegetation, soil, nutrient, water, crop or livestock management to protect carbon stocks, increase resilience and productivity, and reduce CO₂, CH₄ or N₂O emissions. Sustainable forest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56" s="2" t="str">
        <x:v>Flexible</x:v>
      </x:c>
      <x:c r="H156" s="2" t="str">
        <x:v>Sustainable forest management is transferable through configurable methods, rules and operating parameters. Its principle remains the same, but resource quality, climate, scale, interfaces and safety constraints must be recalculated for each deployment.</x:v>
      </x:c>
      <x:c r="I156" s="2" t="str">
        <x:v>Primarily soft, with physical support</x:v>
      </x:c>
      <x:c r="J156" s="2" t="str">
        <x:v>Sustainable forest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56" s="2" t="str">
        <x:v>Operation</x:v>
      </x:c>
      <x:c r="L156" s="2" t="str">
        <x:v>Sustainable forest management is embodied mainly as an operating practice. The deliverable is accepted only when measurable service, quality, safety and climate-performance criteria are met under real conditions.</x:v>
      </x:c>
      <x:c r="M156" s="2" t="str">
        <x:v>Yes, subject to life-cycle safeguards</x:v>
      </x:c>
      <x:c r="N156" s="2" t="str">
        <x:v>Sustainable forest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56" s="2" t="str">
        <x:v>Sustainable forest management: field or forest implements, planting and irrigation equipment, storage or livestock facilities, sampling tools, sensors and protective structures as required.</x:v>
      </x:c>
      <x:c r="P156" s="2" t="str">
        <x:v>Sustainable forest management: soil–crop–livestock knowledge, nutrient and water budgets, emission factors, carbon accounting, climate services, monitoring protocols and adaptive management.</x:v>
      </x:c>
      <x:c r="Q156" s="2" t="str">
        <x:v>Sustainable forest management: land tenure, extension, producer organisations, veterinary or phytosanitary services, incentives, safeguards, certification and monitoring arrangements.</x:v>
      </x:c>
      <x:c r="R156" s="2" t="str">
        <x:v>Sustainable forest management: nurseries or seed banks, field access, water and storage systems, laboratories, extension centres, monitoring plots and processing or market facilities.</x:v>
      </x:c>
      <x:c r="S156" s="2" t="str">
        <x:v>Sustainable forest management: human and mechanical work, electricity or fuel for machinery, pumping, cooling and processing; biological energy and solar radiation dominate field processes.</x:v>
      </x:c>
      <x:c r="T156" s="2" t="str">
        <x:v>Sustainable forest management: seed or planting stock, organic matter, fertilisers, soil amendments, water, fencing or structural materials, veterinary inputs and monitoring consumables.</x:v>
      </x:c>
      <x:c r="U156" s="2" t="str">
        <x:v>Sustainable forest management: seed, inoculants, filters, drip lines, nozzles, tool parts, sampling containers, sensor batteries, veterinary supplies and protective equipment.</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https://www.ipcc.ch/report/ar6/wg3/chapter/chapter-7/; https://openknowledge.fao.org/server/api/core/bitstreams/b21f2087-f398-4718-8461-b92afc82e617/content</x:v>
      </x:c>
      <x:c r="Z156" s="2" t="str">
        <x:v>Technology-specific analytical synthesis. The CTCN hierarchy is retained; classifications and component dependencies require validation against the selected design, site and supplier documentation before investment or policy use.</x:v>
      </x:c>
      <x:c r="AA156" s="2" t="str">
        <x:v>Physical deployment of Sustainable forest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56" s="2" t="str">
        <x:v>For Sustainable forest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56" s="2" t="str">
        <x:v>Construction and operation use seed or planting stock, organic matter, fertilisers, soil amendments, water, fencing or structural materials, veterinary inputs and monitoring consumables. For Sustainable forest management, specifications must include durability, compatibility, recycled content and recoverability.</x:v>
      </x:c>
      <x:c r="AD156" s="2" t="str">
        <x:v>Maintenance of Sustainable forest management depends on seed, inoculants, filters, drip lines, nozzles, tool parts, sampling containers, sensor batteries, veterinary supplies and protective equipment; critical spares are selected from failure-mode, lead-time and safety analysis for its installed configuration.</x:v>
      </x:c>
      <x:c r="AE156" s="2" t="str">
        <x:v>The software stack for Sustainable forest management requires databases, secure communications, version-controlled models, computing, backup and interfaces with field or operational systems.</x:v>
      </x:c>
      <x:c r="AF156" s="2" t="str">
        <x:v>For Sustainable forest management, software-related energy is electricity for sensing, computing, storage, communication and cooling; it is normally secondary but must be included for data-intensive or continuous services.</x:v>
      </x:c>
      <x:c r="AG156" s="2" t="str">
        <x:v>The non-physical inputs are calibrated data, metadata, algorithms, boundary conditions, emission or hazard factors, manuals and validation records specific to Sustainable forest management.</x:v>
      </x:c>
      <x:c r="AH156" s="2" t="str">
        <x:v>Software continuity for Sustainable forest management requires licences where applicable, updates, cybersecurity patches, backups, calibration files, model validation and technical support.</x:v>
      </x:c>
      <x:c r="AI156" s="2" t="str">
        <x:v>Orgware depends on the institutions, laboratories, training providers, regulators, operators and community interfaces needed to govern Sustainable forest management.</x:v>
      </x:c>
      <x:c r="AJ156" s="2" t="str">
        <x:v>The orgware supporting Sustainable forest management has mainly indirect energy use from offices, meetings, training and information systems; travel and field supervision may be material at dispersed sites.</x:v>
      </x:c>
      <x:c r="AK156" s="2" t="str">
        <x:v>Its organisational inputs are permits, budgets, trained staff, competence records, contracts, procedures, safeguards, monitoring evidence and stakeholder agreements tailored to Sustainable forest management.</x:v>
      </x:c>
      <x:c r="AL156" s="2" t="str">
        <x:v>Sustained implementation of Sustainable forest management requires procurement and service contracts, audit protocols, training material, reporting templates, insurance or guarantees and periodic independent review.</x:v>
      </x:c>
      <x:c r="AM156" s="2" t="str">
        <x:v>No critical or strategic raw material is identifiable at taxonomy level; site-specific bulk materials may still be required.</x:v>
      </x:c>
      <x:c r="AN156" s="2" t="str"/>
      <x:c r="AO156" s="2" t="str"/>
      <x:c r="AP156" s="2" t="str">
        <x:v>Sustainable forest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6" s="2" t="str">
        <x:v>2024–2025</x:v>
      </x:c>
      <x:c r="AR156" s="2" t="str">
        <x:v>https://pubs.usgs.gov/periodicals/mcs2026/mcs2026.pdf; https://www.iea.org/reports/global-critical-minerals-outlook-2025</x:v>
      </x:c>
    </x:row>
    <x:row r="157" ht="240" customHeight="1">
      <x:c r="A157" s="2" t="str">
        <x:v>MIT-0150</x:v>
      </x:c>
      <x:c r="B157" s="2" t="str">
        <x:v>Mitigation</x:v>
      </x:c>
      <x:c r="C157" s="2" t="str">
        <x:v>Forestry</x:v>
      </x:c>
      <x:c r="D157" s="2" t="str">
        <x:v>Mangroves conservation and rehabilitation</x:v>
      </x:c>
      <x:c r="E157" s="2" t="str">
        <x:v>Mangroves conservation and rehabilitation</x:v>
      </x:c>
      <x:c r="F157" s="2" t="str">
        <x:v>Mangroves conservation and rehabilitation is a mitigation technology in the Forestry sector and the Mangroves conservation and rehabilitation technology group. It is defined as a combined hardware–software–orgware system that changes vegetation, soil, nutrient, water, crop or livestock management to protect carbon stocks, increase resilience and productivity, and reduce CO₂, CH₄ or N₂O emissions.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57" s="2" t="str">
        <x:v>Mixed: adaptable design, site-specific implementation</x:v>
      </x:c>
      <x:c r="H157" s="2" t="str">
        <x:v>Mangroves conservation and rehabilitation is adaptable in capacity and configuration but site-specific in final engineering. Its principle remains the same, but resource quality, climate, scale, interfaces and safety constraints must be recalculated for each deployment.</x:v>
      </x:c>
      <x:c r="I157" s="2" t="str">
        <x:v>Primarily hard, with a soft component</x:v>
      </x:c>
      <x:c r="J157" s="2" t="str">
        <x:v>Mangroves conservation and rehabilitation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57" s="2" t="str">
        <x:v>Operation</x:v>
      </x:c>
      <x:c r="L157" s="2" t="str">
        <x:v>Mangroves conservation and rehabilitation is embodied mainly as an operating practice. The deliverable is accepted only when measurable service, quality, safety and climate-performance criteria are met under real conditions.</x:v>
      </x:c>
      <x:c r="M157" s="2" t="str">
        <x:v>Yes, subject to life-cycle safeguards</x:v>
      </x:c>
      <x:c r="N157" s="2" t="str">
        <x:v>Mangroves conservation and rehabilitation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57" s="2" t="str">
        <x:v>Mangroves conservation and rehabilitation: field or forest implements, planting and irrigation equipment, storage or livestock facilities, sampling tools, sensors and protective structures as required.</x:v>
      </x:c>
      <x:c r="P157" s="2" t="str">
        <x:v>Mangroves conservation and rehabilitation: soil–crop–livestock knowledge, nutrient and water budgets, emission factors, carbon accounting, climate services, monitoring protocols and adaptive management.</x:v>
      </x:c>
      <x:c r="Q157" s="2" t="str">
        <x:v>Mangroves conservation and rehabilitation: land tenure, extension, producer organisations, veterinary or phytosanitary services, incentives, safeguards, certification and monitoring arrangements.</x:v>
      </x:c>
      <x:c r="R157" s="2" t="str">
        <x:v>Mangroves conservation and rehabilitation: nurseries or seed banks, field access, water and storage systems, laboratories, extension centres, monitoring plots and processing or market facilities.</x:v>
      </x:c>
      <x:c r="S157" s="2" t="str">
        <x:v>Mangroves conservation and rehabilitation: human and mechanical work, electricity or fuel for machinery, pumping, cooling and processing; biological energy and solar radiation dominate field processes.</x:v>
      </x:c>
      <x:c r="T157" s="2" t="str">
        <x:v>Mangroves conservation and rehabilitation: seed or planting stock, organic matter, fertilisers, soil amendments, water, fencing or structural materials, veterinary inputs and monitoring consumables.</x:v>
      </x:c>
      <x:c r="U157" s="2" t="str">
        <x:v>Mangroves conservation and rehabilitation: seed, inoculants, filters, drip lines, nozzles, tool parts, sampling containers, sensor batteries, veterinary supplies and protective equipment.</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https://www.ipcc.ch/report/ar6/wg3/chapter/chapter-7/; https://openknowledge.fao.org/server/api/core/bitstreams/b21f2087-f398-4718-8461-b92afc82e617/content</x:v>
      </x:c>
      <x:c r="Z157" s="2" t="str">
        <x:v>Technology-specific analytical synthesis. The CTCN hierarchy is retained; classifications and component dependencies require validation against the selected design, site and supplier documentation before investment or policy use.</x:v>
      </x:c>
      <x:c r="AA157" s="2" t="str">
        <x:v>Physical deployment of Mangroves conservation and rehabilitation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57" s="2" t="str">
        <x:v>For Mangroves conservation and rehabilitation,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57" s="2" t="str">
        <x:v>Construction and operation use seed or planting stock, organic matter, fertilisers, soil amendments, water, fencing or structural materials, veterinary inputs and monitoring consumables. For Mangroves conservation and rehabilitation, specifications must include durability, compatibility, recycled content and recoverability.</x:v>
      </x:c>
      <x:c r="AD157" s="2" t="str">
        <x:v>Maintenance of Mangroves conservation and rehabilitation depends on seed, inoculants, filters, drip lines, nozzles, tool parts, sampling containers, sensor batteries, veterinary supplies and protective equipment; critical spares are selected from failure-mode, lead-time and safety analysis for its installed configuration.</x:v>
      </x:c>
      <x:c r="AE157" s="2" t="str">
        <x:v>The software stack for Mangroves conservation and rehabilitation requires databases, secure communications, version-controlled models, computing, backup and interfaces with field or operational systems.</x:v>
      </x:c>
      <x:c r="AF157" s="2" t="str">
        <x:v>For Mangroves conservation and rehabilitation, software-related energy is electricity for sensing, computing, storage, communication and cooling; it is normally secondary but must be included for data-intensive or continuous services.</x:v>
      </x:c>
      <x:c r="AG157" s="2" t="str">
        <x:v>The non-physical inputs are calibrated data, metadata, algorithms, boundary conditions, emission or hazard factors, manuals and validation records specific to Mangroves conservation and rehabilitation.</x:v>
      </x:c>
      <x:c r="AH157" s="2" t="str">
        <x:v>Software continuity for Mangroves conservation and rehabilitation requires licences where applicable, updates, cybersecurity patches, backups, calibration files, model validation and technical support.</x:v>
      </x:c>
      <x:c r="AI157" s="2" t="str">
        <x:v>Orgware depends on the institutions, laboratories, training providers, regulators, operators and community interfaces needed to govern Mangroves conservation and rehabilitation.</x:v>
      </x:c>
      <x:c r="AJ157" s="2" t="str">
        <x:v>The orgware supporting Mangroves conservation and rehabilitation has mainly indirect energy use from offices, meetings, training and information systems; travel and field supervision may be material at dispersed sites.</x:v>
      </x:c>
      <x:c r="AK157" s="2" t="str">
        <x:v>Its organisational inputs are permits, budgets, trained staff, competence records, contracts, procedures, safeguards, monitoring evidence and stakeholder agreements tailored to Mangroves conservation and rehabilitation.</x:v>
      </x:c>
      <x:c r="AL157" s="2" t="str">
        <x:v>Sustained implementation of Mangroves conservation and rehabilitation requires procurement and service contracts, audit protocols, training material, reporting templates, insurance or guarantees and periodic independent review.</x:v>
      </x:c>
      <x:c r="AM157" s="2" t="str">
        <x:v>No critical or strategic raw material is identifiable at taxonomy level; site-specific bulk materials may still be required.</x:v>
      </x:c>
      <x:c r="AN157" s="2" t="str"/>
      <x:c r="AO157" s="2" t="str"/>
      <x:c r="AP157" s="2" t="str">
        <x:v>Mangroves conservation and rehabilitation: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7" s="2" t="str">
        <x:v>2024–2025</x:v>
      </x:c>
      <x:c r="AR157" s="2" t="str">
        <x:v>https://pubs.usgs.gov/periodicals/mcs2026/mcs2026.pdf; https://www.iea.org/reports/global-critical-minerals-outlook-2025</x:v>
      </x:c>
    </x:row>
    <x:row r="158" ht="240" customHeight="1">
      <x:c r="A158" s="2" t="str">
        <x:v>MIT-0151</x:v>
      </x:c>
      <x:c r="B158" s="2" t="str">
        <x:v>Mitigation</x:v>
      </x:c>
      <x:c r="C158" s="2" t="str">
        <x:v>Forestry</x:v>
      </x:c>
      <x:c r="D158" s="2" t="str">
        <x:v>Forest management techniques for mitigation</x:v>
      </x:c>
      <x:c r="E158" s="2" t="str">
        <x:v>Forest management techniques for mitigation</x:v>
      </x:c>
      <x:c r="F158" s="2" t="str">
        <x:v>Forest management techniques for mitigation is a mitigation technology in the Forestry sector and the Forest management techniques for mitigation technology group. It is defined as a combined hardware–software–orgware system that changes vegetation, soil, nutrient, water, crop or livestock management to protect carbon stocks, increase resilience and productivity, and reduce CO₂, CH₄ or N₂O emissions. Forest management techniques for mitigation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58" s="2" t="str">
        <x:v>Flexible</x:v>
      </x:c>
      <x:c r="H158" s="2" t="str">
        <x:v>Forest management techniques for mitigation is transferable through configurable methods, rules and operating parameters. Its principle remains the same, but resource quality, climate, scale, interfaces and safety constraints must be recalculated for each deployment.</x:v>
      </x:c>
      <x:c r="I158" s="2" t="str">
        <x:v>Primarily soft, with physical support</x:v>
      </x:c>
      <x:c r="J158" s="2" t="str">
        <x:v>Forest management techniques for mitigation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58" s="2" t="str">
        <x:v>Operation</x:v>
      </x:c>
      <x:c r="L158" s="2" t="str">
        <x:v>Forest management techniques for mitigation is embodied mainly as an operating practice. The deliverable is accepted only when measurable service, quality, safety and climate-performance criteria are met under real conditions.</x:v>
      </x:c>
      <x:c r="M158" s="2" t="str">
        <x:v>Yes, subject to life-cycle safeguards</x:v>
      </x:c>
      <x:c r="N158" s="2" t="str">
        <x:v>Forest management techniques for mitigation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58" s="2" t="str">
        <x:v>Forest management techniques for mitigation: field or forest implements, planting and irrigation equipment, storage or livestock facilities, sampling tools, sensors and protective structures as required.</x:v>
      </x:c>
      <x:c r="P158" s="2" t="str">
        <x:v>Forest management techniques for mitigation: soil–crop–livestock knowledge, nutrient and water budgets, emission factors, carbon accounting, climate services, monitoring protocols and adaptive management.</x:v>
      </x:c>
      <x:c r="Q158" s="2" t="str">
        <x:v>Forest management techniques for mitigation: land tenure, extension, producer organisations, veterinary or phytosanitary services, incentives, safeguards, certification and monitoring arrangements.</x:v>
      </x:c>
      <x:c r="R158" s="2" t="str">
        <x:v>Forest management techniques for mitigation: nurseries or seed banks, field access, water and storage systems, laboratories, extension centres, monitoring plots and processing or market facilities.</x:v>
      </x:c>
      <x:c r="S158" s="2" t="str">
        <x:v>Forest management techniques for mitigation: human and mechanical work, electricity or fuel for machinery, pumping, cooling and processing; biological energy and solar radiation dominate field processes.</x:v>
      </x:c>
      <x:c r="T158" s="2" t="str">
        <x:v>Forest management techniques for mitigation: seed or planting stock, organic matter, fertilisers, soil amendments, water, fencing or structural materials, veterinary inputs and monitoring consumables.</x:v>
      </x:c>
      <x:c r="U158" s="2" t="str">
        <x:v>Forest management techniques for mitigation: seed, inoculants, filters, drip lines, nozzles, tool parts, sampling containers, sensor batteries, veterinary supplies and protective equipment.</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https://www.ipcc.ch/report/ar6/wg3/chapter/chapter-7/; https://openknowledge.fao.org/server/api/core/bitstreams/b21f2087-f398-4718-8461-b92afc82e617/content</x:v>
      </x:c>
      <x:c r="Z158" s="2" t="str">
        <x:v>Technology-specific analytical synthesis. The CTCN hierarchy is retained; classifications and component dependencies require validation against the selected design, site and supplier documentation before investment or policy use.</x:v>
      </x:c>
      <x:c r="AA158" s="2" t="str">
        <x:v>Physical deployment of Forest management techniques for mitigation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58" s="2" t="str">
        <x:v>For Forest management techniques for mitigation,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58" s="2" t="str">
        <x:v>Construction and operation use seed or planting stock, organic matter, fertilisers, soil amendments, water, fencing or structural materials, veterinary inputs and monitoring consumables. For Forest management techniques for mitigation, specifications must include durability, compatibility, recycled content and recoverability.</x:v>
      </x:c>
      <x:c r="AD158" s="2" t="str">
        <x:v>Maintenance of Forest management techniques for mitigation depends on seed, inoculants, filters, drip lines, nozzles, tool parts, sampling containers, sensor batteries, veterinary supplies and protective equipment; critical spares are selected from failure-mode, lead-time and safety analysis for its installed configuration.</x:v>
      </x:c>
      <x:c r="AE158" s="2" t="str">
        <x:v>The software stack for Forest management techniques for mitigation requires databases, secure communications, version-controlled models, computing, backup and interfaces with field or operational systems.</x:v>
      </x:c>
      <x:c r="AF158" s="2" t="str">
        <x:v>For Forest management techniques for mitigation, software-related energy is electricity for sensing, computing, storage, communication and cooling; it is normally secondary but must be included for data-intensive or continuous services.</x:v>
      </x:c>
      <x:c r="AG158" s="2" t="str">
        <x:v>The non-physical inputs are calibrated data, metadata, algorithms, boundary conditions, emission or hazard factors, manuals and validation records specific to Forest management techniques for mitigation.</x:v>
      </x:c>
      <x:c r="AH158" s="2" t="str">
        <x:v>Software continuity for Forest management techniques for mitigation requires licences where applicable, updates, cybersecurity patches, backups, calibration files, model validation and technical support.</x:v>
      </x:c>
      <x:c r="AI158" s="2" t="str">
        <x:v>Orgware depends on the institutions, laboratories, training providers, regulators, operators and community interfaces needed to govern Forest management techniques for mitigation.</x:v>
      </x:c>
      <x:c r="AJ158" s="2" t="str">
        <x:v>The orgware supporting Forest management techniques for mitigation has mainly indirect energy use from offices, meetings, training and information systems; travel and field supervision may be material at dispersed sites.</x:v>
      </x:c>
      <x:c r="AK158" s="2" t="str">
        <x:v>Its organisational inputs are permits, budgets, trained staff, competence records, contracts, procedures, safeguards, monitoring evidence and stakeholder agreements tailored to Forest management techniques for mitigation.</x:v>
      </x:c>
      <x:c r="AL158" s="2" t="str">
        <x:v>Sustained implementation of Forest management techniques for mitigation requires procurement and service contracts, audit protocols, training material, reporting templates, insurance or guarantees and periodic independent review.</x:v>
      </x:c>
      <x:c r="AM158" s="2" t="str">
        <x:v>No critical or strategic raw material is identifiable at taxonomy level; site-specific bulk materials may still be required.</x:v>
      </x:c>
      <x:c r="AN158" s="2" t="str"/>
      <x:c r="AO158" s="2" t="str"/>
      <x:c r="AP158" s="2" t="str">
        <x:v>Forest management techniques for mitigation: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8" s="2" t="str">
        <x:v>2024–2025</x:v>
      </x:c>
      <x:c r="AR158" s="2" t="str">
        <x:v>https://pubs.usgs.gov/periodicals/mcs2026/mcs2026.pdf; https://www.iea.org/reports/global-critical-minerals-outlook-2025</x:v>
      </x:c>
    </x:row>
    <x:row r="159" ht="240" customHeight="1">
      <x:c r="A159" s="2" t="str">
        <x:v>MIT-0152</x:v>
      </x:c>
      <x:c r="B159" s="2" t="str">
        <x:v>Mitigation</x:v>
      </x:c>
      <x:c r="C159" s="2" t="str">
        <x:v>Forestry</x:v>
      </x:c>
      <x:c r="D159" s="2" t="str">
        <x:v>Urban forestry</x:v>
      </x:c>
      <x:c r="E159" s="2" t="str">
        <x:v>Urban forestry</x:v>
      </x:c>
      <x:c r="F159" s="2" t="str">
        <x:v>Urban forestry is a mitigation technology in the Forestry sector and the Urban forestry technology group. It is defined as a combined hardware–software–orgware system that changes vegetation, soil, nutrient, water, crop or livestock management to protect carbon stocks, increase resilience and productivity, and reduce CO₂, CH₄ or N₂O emissions. Urban forestry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59" s="2" t="str">
        <x:v>Mixed: adaptable design, site-specific implementation</x:v>
      </x:c>
      <x:c r="H159" s="2" t="str">
        <x:v>Urban forestry is adaptable in capacity and configuration but site-specific in final engineering. Its principle remains the same, but resource quality, climate, scale, interfaces and safety constraints must be recalculated for each deployment.</x:v>
      </x:c>
      <x:c r="I159" s="2" t="str">
        <x:v>Primarily hard, with a soft component</x:v>
      </x:c>
      <x:c r="J159" s="2" t="str">
        <x:v>Urban forestry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59" s="2" t="str">
        <x:v>Operation</x:v>
      </x:c>
      <x:c r="L159" s="2" t="str">
        <x:v>Urban forestry is embodied mainly as an operating practice. The deliverable is accepted only when measurable service, quality, safety and climate-performance criteria are met under real conditions.</x:v>
      </x:c>
      <x:c r="M159" s="2" t="str">
        <x:v>Yes, subject to life-cycle safeguards</x:v>
      </x:c>
      <x:c r="N159" s="2" t="str">
        <x:v>Urban forestry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59" s="2" t="str">
        <x:v>Urban forestry: field or forest implements, planting and irrigation equipment, storage or livestock facilities, sampling tools, sensors and protective structures as required.</x:v>
      </x:c>
      <x:c r="P159" s="2" t="str">
        <x:v>Urban forestry: soil–crop–livestock knowledge, nutrient and water budgets, emission factors, carbon accounting, climate services, monitoring protocols and adaptive management.</x:v>
      </x:c>
      <x:c r="Q159" s="2" t="str">
        <x:v>Urban forestry: land tenure, extension, producer organisations, veterinary or phytosanitary services, incentives, safeguards, certification and monitoring arrangements.</x:v>
      </x:c>
      <x:c r="R159" s="2" t="str">
        <x:v>Urban forestry: nurseries or seed banks, field access, water and storage systems, laboratories, extension centres, monitoring plots and processing or market facilities.</x:v>
      </x:c>
      <x:c r="S159" s="2" t="str">
        <x:v>Urban forestry: human and mechanical work, electricity or fuel for machinery, pumping, cooling and processing; biological energy and solar radiation dominate field processes.</x:v>
      </x:c>
      <x:c r="T159" s="2" t="str">
        <x:v>Urban forestry: seed or planting stock, organic matter, fertilisers, soil amendments, water, fencing or structural materials, veterinary inputs and monitoring consumables.</x:v>
      </x:c>
      <x:c r="U159" s="2" t="str">
        <x:v>Urban forestry: seed, inoculants, filters, drip lines, nozzles, tool parts, sampling containers, sensor batteries, veterinary supplies and protective equipment.</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https://www.ipcc.ch/report/ar6/wg3/chapter/chapter-7/; https://openknowledge.fao.org/server/api/core/bitstreams/b21f2087-f398-4718-8461-b92afc82e617/content</x:v>
      </x:c>
      <x:c r="Z159" s="2" t="str">
        <x:v>Technology-specific analytical synthesis. The CTCN hierarchy is retained; classifications and component dependencies require validation against the selected design, site and supplier documentation before investment or policy use.</x:v>
      </x:c>
      <x:c r="AA159" s="2" t="str">
        <x:v>Physical deployment of Urban forestry requires nurseries or seed banks, field access, water and storage systems, laboratories, extension centres, monitoring plots and processing or market facilities; interfaces, foundations, access and environmental protection are sized to the specific resource and design load.</x:v>
      </x:c>
      <x:c r="AB159" s="2" t="str">
        <x:v>For Urban forestry,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59" s="2" t="str">
        <x:v>Construction and operation use seed or planting stock, organic matter, fertilisers, soil amendments, water, fencing or structural materials, veterinary inputs and monitoring consumables. For Urban forestry, specifications must include durability, compatibility, recycled content and recoverability.</x:v>
      </x:c>
      <x:c r="AD159" s="2" t="str">
        <x:v>Maintenance of Urban forestry depends on seed, inoculants, filters, drip lines, nozzles, tool parts, sampling containers, sensor batteries, veterinary supplies and protective equipment; critical spares are selected from failure-mode, lead-time and safety analysis for its installed configuration.</x:v>
      </x:c>
      <x:c r="AE159" s="2" t="str">
        <x:v>The software stack for Urban forestry requires databases, secure communications, version-controlled models, computing, backup and interfaces with field or operational systems.</x:v>
      </x:c>
      <x:c r="AF159" s="2" t="str">
        <x:v>For Urban forestry, software-related energy is electricity for sensing, computing, storage, communication and cooling; it is normally secondary but must be included for data-intensive or continuous services.</x:v>
      </x:c>
      <x:c r="AG159" s="2" t="str">
        <x:v>The non-physical inputs are calibrated data, metadata, algorithms, boundary conditions, emission or hazard factors, manuals and validation records specific to Urban forestry.</x:v>
      </x:c>
      <x:c r="AH159" s="2" t="str">
        <x:v>Software continuity for Urban forestry requires licences where applicable, updates, cybersecurity patches, backups, calibration files, model validation and technical support.</x:v>
      </x:c>
      <x:c r="AI159" s="2" t="str">
        <x:v>Orgware depends on the institutions, laboratories, training providers, regulators, operators and community interfaces needed to govern Urban forestry.</x:v>
      </x:c>
      <x:c r="AJ159" s="2" t="str">
        <x:v>The orgware supporting Urban forestry has mainly indirect energy use from offices, meetings, training and information systems; travel and field supervision may be material at dispersed sites.</x:v>
      </x:c>
      <x:c r="AK159" s="2" t="str">
        <x:v>Its organisational inputs are permits, budgets, trained staff, competence records, contracts, procedures, safeguards, monitoring evidence and stakeholder agreements tailored to Urban forestry.</x:v>
      </x:c>
      <x:c r="AL159" s="2" t="str">
        <x:v>Sustained implementation of Urban forestry requires procurement and service contracts, audit protocols, training material, reporting templates, insurance or guarantees and periodic independent review.</x:v>
      </x:c>
      <x:c r="AM159" s="2" t="str">
        <x:v>No critical or strategic raw material is identifiable at taxonomy level; site-specific bulk materials may still be required.</x:v>
      </x:c>
      <x:c r="AN159" s="2" t="str"/>
      <x:c r="AO159" s="2" t="str"/>
      <x:c r="AP159" s="2" t="str">
        <x:v>Urban forestry: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9" s="2" t="str">
        <x:v>2024–2025</x:v>
      </x:c>
      <x:c r="AR159" s="2" t="str">
        <x:v>https://pubs.usgs.gov/periodicals/mcs2026/mcs2026.pdf; https://www.iea.org/reports/global-critical-minerals-outlook-2025</x:v>
      </x:c>
    </x:row>
    <x:row r="160" ht="240" customHeight="1">
      <x:c r="A160" s="2" t="str">
        <x:v>MIT-0153</x:v>
      </x:c>
      <x:c r="B160" s="2" t="str">
        <x:v>Mitigation</x:v>
      </x:c>
      <x:c r="C160" s="2" t="str">
        <x:v>Forestry</x:v>
      </x:c>
      <x:c r="D160" s="2" t="str">
        <x:v>Afforestation</x:v>
      </x:c>
      <x:c r="E160" s="2" t="str">
        <x:v>Afforestation</x:v>
      </x:c>
      <x:c r="F160" s="2" t="str">
        <x:v>Afforestation is a mitigation technology in the Forestry sector and the Afforestation technology group. It is defined as a combined hardware–software–orgware system that changes vegetation, soil, nutrient, water, crop or livestock management to protect carbon stocks, increase resilience and productivity, and reduce CO₂, CH₄ or N₂O emissions. Afforestation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0" s="2" t="str">
        <x:v>Mixed: adaptable design, site-specific implementation</x:v>
      </x:c>
      <x:c r="H160" s="2" t="str">
        <x:v>Afforestation is adaptable in capacity and configuration but site-specific in final engineering. Its principle remains the same, but resource quality, climate, scale, interfaces and safety constraints must be recalculated for each deployment.</x:v>
      </x:c>
      <x:c r="I160" s="2" t="str">
        <x:v>Primarily hard, with a soft component</x:v>
      </x:c>
      <x:c r="J160" s="2" t="str">
        <x:v>Afforestation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0" s="2" t="str">
        <x:v>Operation</x:v>
      </x:c>
      <x:c r="L160" s="2" t="str">
        <x:v>Afforestation is embodied mainly as an operating practice. The deliverable is accepted only when measurable service, quality, safety and climate-performance criteria are met under real conditions.</x:v>
      </x:c>
      <x:c r="M160" s="2" t="str">
        <x:v>Yes, subject to life-cycle safeguards</x:v>
      </x:c>
      <x:c r="N160" s="2" t="str">
        <x:v>Afforestation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0" s="2" t="str">
        <x:v>Afforestation: field or forest implements, planting and irrigation equipment, storage or livestock facilities, sampling tools, sensors and protective structures as required.</x:v>
      </x:c>
      <x:c r="P160" s="2" t="str">
        <x:v>Afforestation: soil–crop–livestock knowledge, nutrient and water budgets, emission factors, carbon accounting, climate services, monitoring protocols and adaptive management.</x:v>
      </x:c>
      <x:c r="Q160" s="2" t="str">
        <x:v>Afforestation: land tenure, extension, producer organisations, veterinary or phytosanitary services, incentives, safeguards, certification and monitoring arrangements.</x:v>
      </x:c>
      <x:c r="R160" s="2" t="str">
        <x:v>Afforestation: nurseries or seed banks, field access, water and storage systems, laboratories, extension centres, monitoring plots and processing or market facilities.</x:v>
      </x:c>
      <x:c r="S160" s="2" t="str">
        <x:v>Afforestation: human and mechanical work, electricity or fuel for machinery, pumping, cooling and processing; biological energy and solar radiation dominate field processes.</x:v>
      </x:c>
      <x:c r="T160" s="2" t="str">
        <x:v>Afforestation: seed or planting stock, organic matter, fertilisers, soil amendments, water, fencing or structural materials, veterinary inputs and monitoring consumables.</x:v>
      </x:c>
      <x:c r="U160" s="2" t="str">
        <x:v>Afforestation: seed, inoculants, filters, drip lines, nozzles, tool parts, sampling containers, sensor batteries, veterinary supplies and protective equipment.</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https://www.ipcc.ch/report/ar6/wg3/chapter/chapter-7/; https://openknowledge.fao.org/server/api/core/bitstreams/b21f2087-f398-4718-8461-b92afc82e617/content</x:v>
      </x:c>
      <x:c r="Z160" s="2" t="str">
        <x:v>Technology-specific analytical synthesis. The CTCN hierarchy is retained; classifications and component dependencies require validation against the selected design, site and supplier documentation before investment or policy use.</x:v>
      </x:c>
      <x:c r="AA160" s="2" t="str">
        <x:v>Physical deployment of Afforestation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0" s="2" t="str">
        <x:v>For Afforestation,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0" s="2" t="str">
        <x:v>Construction and operation use seed or planting stock, organic matter, fertilisers, soil amendments, water, fencing or structural materials, veterinary inputs and monitoring consumables. For Afforestation, specifications must include durability, compatibility, recycled content and recoverability.</x:v>
      </x:c>
      <x:c r="AD160" s="2" t="str">
        <x:v>Maintenance of Afforestation depends on seed, inoculants, filters, drip lines, nozzles, tool parts, sampling containers, sensor batteries, veterinary supplies and protective equipment; critical spares are selected from failure-mode, lead-time and safety analysis for its installed configuration.</x:v>
      </x:c>
      <x:c r="AE160" s="2" t="str">
        <x:v>The software stack for Afforestation requires databases, secure communications, version-controlled models, computing, backup and interfaces with field or operational systems.</x:v>
      </x:c>
      <x:c r="AF160" s="2" t="str">
        <x:v>For Afforestation, software-related energy is electricity for sensing, computing, storage, communication and cooling; it is normally secondary but must be included for data-intensive or continuous services.</x:v>
      </x:c>
      <x:c r="AG160" s="2" t="str">
        <x:v>The non-physical inputs are calibrated data, metadata, algorithms, boundary conditions, emission or hazard factors, manuals and validation records specific to Afforestation.</x:v>
      </x:c>
      <x:c r="AH160" s="2" t="str">
        <x:v>Software continuity for Afforestation requires licences where applicable, updates, cybersecurity patches, backups, calibration files, model validation and technical support.</x:v>
      </x:c>
      <x:c r="AI160" s="2" t="str">
        <x:v>Orgware depends on the institutions, laboratories, training providers, regulators, operators and community interfaces needed to govern Afforestation.</x:v>
      </x:c>
      <x:c r="AJ160" s="2" t="str">
        <x:v>The orgware supporting Afforestation has mainly indirect energy use from offices, meetings, training and information systems; travel and field supervision may be material at dispersed sites.</x:v>
      </x:c>
      <x:c r="AK160" s="2" t="str">
        <x:v>Its organisational inputs are permits, budgets, trained staff, competence records, contracts, procedures, safeguards, monitoring evidence and stakeholder agreements tailored to Afforestation.</x:v>
      </x:c>
      <x:c r="AL160" s="2" t="str">
        <x:v>Sustained implementation of Afforestation requires procurement and service contracts, audit protocols, training material, reporting templates, insurance or guarantees and periodic independent review.</x:v>
      </x:c>
      <x:c r="AM160" s="2" t="str">
        <x:v>No critical or strategic raw material is identifiable at taxonomy level; site-specific bulk materials may still be required.</x:v>
      </x:c>
      <x:c r="AN160" s="2" t="str"/>
      <x:c r="AO160" s="2" t="str"/>
      <x:c r="AP160" s="2" t="str">
        <x:v>Afforestation: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0" s="2" t="str">
        <x:v>2024–2025</x:v>
      </x:c>
      <x:c r="AR160" s="2" t="str">
        <x:v>https://pubs.usgs.gov/periodicals/mcs2026/mcs2026.pdf; https://www.iea.org/reports/global-critical-minerals-outlook-2025</x:v>
      </x:c>
    </x:row>
    <x:row r="161" ht="240" customHeight="1">
      <x:c r="A161" s="2" t="str">
        <x:v>MIT-0154</x:v>
      </x:c>
      <x:c r="B161" s="2" t="str">
        <x:v>Mitigation</x:v>
      </x:c>
      <x:c r="C161" s="2" t="str">
        <x:v>Forestry</x:v>
      </x:c>
      <x:c r="D161" s="2" t="str">
        <x:v>Soil carbon measurement</x:v>
      </x:c>
      <x:c r="E161" s="2" t="str">
        <x:v>Soil carbon measurement</x:v>
      </x:c>
      <x:c r="F161" s="2" t="str">
        <x:v>Soil carbon measurement is a mitigation technology in the Forestry sector and the Soil carbon measurement technology group. It is defined as a combined hardware–software–orgware system that changes vegetation, soil, nutrient, water, crop or livestock management to protect carbon stocks, increase resilience and productivity, and reduce CO₂, CH₄ or N₂O emissions. Soil carbon measurement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1" s="2" t="str">
        <x:v>Mixed: adaptable design, site-specific implementation</x:v>
      </x:c>
      <x:c r="H161" s="2" t="str">
        <x:v>Soil carbon measurement is adaptable in capacity and configuration but site-specific in final engineering. Its principle remains the same, but resource quality, climate, scale, interfaces and safety constraints must be recalculated for each deployment.</x:v>
      </x:c>
      <x:c r="I161" s="2" t="str">
        <x:v>Primarily hard, with a soft component</x:v>
      </x:c>
      <x:c r="J161" s="2" t="str">
        <x:v>Soil carbon measurement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1" s="2" t="str">
        <x:v>Operation</x:v>
      </x:c>
      <x:c r="L161" s="2" t="str">
        <x:v>Soil carbon measurement is embodied mainly as an operating practice. The deliverable is accepted only when measurable service, quality, safety and climate-performance criteria are met under real conditions.</x:v>
      </x:c>
      <x:c r="M161" s="2" t="str">
        <x:v>Yes, subject to life-cycle safeguards</x:v>
      </x:c>
      <x:c r="N161" s="2" t="str">
        <x:v>Soil carbon measurement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1" s="2" t="str">
        <x:v>Soil carbon measurement: field or forest implements, planting and irrigation equipment, storage or livestock facilities, sampling tools, sensors and protective structures as required.</x:v>
      </x:c>
      <x:c r="P161" s="2" t="str">
        <x:v>Soil carbon measurement: soil–crop–livestock knowledge, nutrient and water budgets, emission factors, carbon accounting, climate services, monitoring protocols and adaptive management.</x:v>
      </x:c>
      <x:c r="Q161" s="2" t="str">
        <x:v>Soil carbon measurement: land tenure, extension, producer organisations, veterinary or phytosanitary services, incentives, safeguards, certification and monitoring arrangements.</x:v>
      </x:c>
      <x:c r="R161" s="2" t="str">
        <x:v>Soil carbon measurement: nurseries or seed banks, field access, water and storage systems, laboratories, extension centres, monitoring plots and processing or market facilities.</x:v>
      </x:c>
      <x:c r="S161" s="2" t="str">
        <x:v>Soil carbon measurement: human and mechanical work, electricity or fuel for machinery, pumping, cooling and processing; biological energy and solar radiation dominate field processes.</x:v>
      </x:c>
      <x:c r="T161" s="2" t="str">
        <x:v>Soil carbon measurement: seed or planting stock, organic matter, fertilisers, soil amendments, water, fencing or structural materials, veterinary inputs and monitoring consumables.</x:v>
      </x:c>
      <x:c r="U161" s="2" t="str">
        <x:v>Soil carbon measurement: seed, inoculants, filters, drip lines, nozzles, tool parts, sampling containers, sensor batteries, veterinary supplies and protective equipment.</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https://www.ipcc.ch/report/ar6/wg3/chapter/chapter-7/; https://openknowledge.fao.org/server/api/core/bitstreams/b21f2087-f398-4718-8461-b92afc82e617/content</x:v>
      </x:c>
      <x:c r="Z161" s="2" t="str">
        <x:v>Technology-specific analytical synthesis. The CTCN hierarchy is retained; classifications and component dependencies require validation against the selected design, site and supplier documentation before investment or policy use.</x:v>
      </x:c>
      <x:c r="AA161" s="2" t="str">
        <x:v>Physical deployment of Soil carbon measurement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1" s="2" t="str">
        <x:v>For Soil carbon measurement,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1" s="2" t="str">
        <x:v>Construction and operation use seed or planting stock, organic matter, fertilisers, soil amendments, water, fencing or structural materials, veterinary inputs and monitoring consumables. For Soil carbon measurement, specifications must include durability, compatibility, recycled content and recoverability.</x:v>
      </x:c>
      <x:c r="AD161" s="2" t="str">
        <x:v>Maintenance of Soil carbon measurement depends on seed, inoculants, filters, drip lines, nozzles, tool parts, sampling containers, sensor batteries, veterinary supplies and protective equipment; critical spares are selected from failure-mode, lead-time and safety analysis for its installed configuration.</x:v>
      </x:c>
      <x:c r="AE161" s="2" t="str">
        <x:v>The software stack for Soil carbon measurement requires databases, secure communications, version-controlled models, computing, backup and interfaces with field or operational systems.</x:v>
      </x:c>
      <x:c r="AF161" s="2" t="str">
        <x:v>For Soil carbon measurement, software-related energy is electricity for sensing, computing, storage, communication and cooling; it is normally secondary but must be included for data-intensive or continuous services.</x:v>
      </x:c>
      <x:c r="AG161" s="2" t="str">
        <x:v>The non-physical inputs are calibrated data, metadata, algorithms, boundary conditions, emission or hazard factors, manuals and validation records specific to Soil carbon measurement.</x:v>
      </x:c>
      <x:c r="AH161" s="2" t="str">
        <x:v>Software continuity for Soil carbon measurement requires licences where applicable, updates, cybersecurity patches, backups, calibration files, model validation and technical support.</x:v>
      </x:c>
      <x:c r="AI161" s="2" t="str">
        <x:v>Orgware depends on the institutions, laboratories, training providers, regulators, operators and community interfaces needed to govern Soil carbon measurement.</x:v>
      </x:c>
      <x:c r="AJ161" s="2" t="str">
        <x:v>The orgware supporting Soil carbon measurement has mainly indirect energy use from offices, meetings, training and information systems; travel and field supervision may be material at dispersed sites.</x:v>
      </x:c>
      <x:c r="AK161" s="2" t="str">
        <x:v>Its organisational inputs are permits, budgets, trained staff, competence records, contracts, procedures, safeguards, monitoring evidence and stakeholder agreements tailored to Soil carbon measurement.</x:v>
      </x:c>
      <x:c r="AL161" s="2" t="str">
        <x:v>Sustained implementation of Soil carbon measurement requires procurement and service contracts, audit protocols, training material, reporting templates, insurance or guarantees and periodic independent review.</x:v>
      </x:c>
      <x:c r="AM161" s="2" t="str">
        <x:v>Phosphate rock; Potash</x:v>
      </x:c>
      <x:c r="AN161" s="2" t="str">
        <x:v>China; Morocco; United States; Canada; Russia; Belarus</x:v>
      </x:c>
      <x:c r="AO161" s="2" t="str">
        <x:v>China; Morocco; United States; Canada; Russia; Belarus</x:v>
      </x:c>
      <x:c r="AP161" s="2" t="str">
        <x:v>Soil carbon measurement: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1" s="2" t="str">
        <x:v>2024–2025</x:v>
      </x:c>
      <x:c r="AR161" s="2" t="str">
        <x:v>https://pubs.usgs.gov/periodicals/mcs2026/mcs2026.pdf</x:v>
      </x:c>
    </x:row>
    <x:row r="162" ht="240" customHeight="1">
      <x:c r="A162" s="2" t="str">
        <x:v>MIT-0155</x:v>
      </x:c>
      <x:c r="B162" s="2" t="str">
        <x:v>Mitigation</x:v>
      </x:c>
      <x:c r="C162" s="2" t="str">
        <x:v>Forestry</x:v>
      </x:c>
      <x:c r="D162" s="2" t="str">
        <x:v>Carbon stock measurement, monitoring and verification</x:v>
      </x:c>
      <x:c r="E162" s="2" t="str">
        <x:v>Carbon stock measurement, monitoring and verification</x:v>
      </x:c>
      <x:c r="F162" s="2" t="str">
        <x:v>Carbon stock measurement, monitoring and verification is a mitigation technology in the Forestry sector and the Carbon stock measurement, monitoring and verification technology group. It is defined as a combined hardware–software–orgware system that changes vegetation, soil, nutrient, water, crop or livestock management to protect carbon stocks, increase resilience and productivity, and reduce CO₂, CH₄ or N₂O emissions. Carbon stock measurement, monitoring and verification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2" s="2" t="str">
        <x:v>Mixed: adaptable design, site-specific implementation</x:v>
      </x:c>
      <x:c r="H162" s="2" t="str">
        <x:v>Carbon stock measurement, monitoring and verification is adaptable in capacity and configuration but site-specific in final engineering. Its principle remains the same, but resource quality, climate, scale, interfaces and safety constraints must be recalculated for each deployment.</x:v>
      </x:c>
      <x:c r="I162" s="2" t="str">
        <x:v>Hard and soft</x:v>
      </x:c>
      <x:c r="J162" s="2" t="str">
        <x:v>Carbon stock measurement, monitoring and verification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2" s="2" t="str">
        <x:v>Operation and information service</x:v>
      </x:c>
      <x:c r="L162" s="2" t="str">
        <x:v>Carbon stock measurement, monitoring and verification is embodied mainly as an information and decision service. The deliverable is accepted only when measurable service, quality, safety and climate-performance criteria are met under real conditions.</x:v>
      </x:c>
      <x:c r="M162" s="2" t="str">
        <x:v>Yes, subject to life-cycle safeguards</x:v>
      </x:c>
      <x:c r="N162" s="2" t="str">
        <x:v>Carbon stock measurement, monitoring and verification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2" s="2" t="str">
        <x:v>Carbon stock measurement, monitoring and verification: field or forest implements, planting and irrigation equipment, storage or livestock facilities, sampling tools, sensors and protective structures as required.</x:v>
      </x:c>
      <x:c r="P162" s="2" t="str">
        <x:v>Carbon stock measurement, monitoring and verification: soil–crop–livestock knowledge, nutrient and water budgets, emission factors, carbon accounting, climate services, monitoring protocols and adaptive management.</x:v>
      </x:c>
      <x:c r="Q162" s="2" t="str">
        <x:v>Carbon stock measurement, monitoring and verification: land tenure, extension, producer organisations, veterinary or phytosanitary services, incentives, safeguards, certification and monitoring arrangements.</x:v>
      </x:c>
      <x:c r="R162" s="2" t="str">
        <x:v>Carbon stock measurement, monitoring and verification: nurseries or seed banks, field access, water and storage systems, laboratories, extension centres, monitoring plots and processing or market facilities.</x:v>
      </x:c>
      <x:c r="S162" s="2" t="str">
        <x:v>Carbon stock measurement, monitoring and verification: human and mechanical work, electricity or fuel for machinery, pumping, cooling and processing; biological energy and solar radiation dominate field processes.</x:v>
      </x:c>
      <x:c r="T162" s="2" t="str">
        <x:v>Carbon stock measurement, monitoring and verification: seed or planting stock, organic matter, fertilisers, soil amendments, water, fencing or structural materials, veterinary inputs and monitoring consumables.</x:v>
      </x:c>
      <x:c r="U162" s="2" t="str">
        <x:v>Carbon stock measurement, monitoring and verification: seed, inoculants, filters, drip lines, nozzles, tool parts, sampling containers, sensor batteries, veterinary supplies and protective equipment.</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https://www.ipcc.ch/report/ar6/wg3/chapter/chapter-7/; https://openknowledge.fao.org/server/api/core/bitstreams/b21f2087-f398-4718-8461-b92afc82e617/content</x:v>
      </x:c>
      <x:c r="Z162" s="2" t="str">
        <x:v>Technology-specific analytical synthesis. The CTCN hierarchy is retained; classifications and component dependencies require validation against the selected design, site and supplier documentation before investment or policy use.</x:v>
      </x:c>
      <x:c r="AA162" s="2" t="str">
        <x:v>Physical deployment of Carbon stock measurement, monitoring and verification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2" s="2" t="str">
        <x:v>For Carbon stock measurement, monitoring and verification,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2" s="2" t="str">
        <x:v>Construction and operation use seed or planting stock, organic matter, fertilisers, soil amendments, water, fencing or structural materials, veterinary inputs and monitoring consumables. For Carbon stock measurement, monitoring and verification, specifications must include durability, compatibility, recycled content and recoverability.</x:v>
      </x:c>
      <x:c r="AD162" s="2" t="str">
        <x:v>Maintenance of Carbon stock measurement, monitoring and verification depends on seed, inoculants, filters, drip lines, nozzles, tool parts, sampling containers, sensor batteries, veterinary supplies and protective equipment; critical spares are selected from failure-mode, lead-time and safety analysis for its installed configuration.</x:v>
      </x:c>
      <x:c r="AE162" s="2" t="str">
        <x:v>The software stack for Carbon stock measurement, monitoring and verification requires databases, secure communications, version-controlled models, computing, backup and interfaces with field or operational systems.</x:v>
      </x:c>
      <x:c r="AF162" s="2" t="str">
        <x:v>For Carbon stock measurement, monitoring and verification, software-related energy is electricity for sensing, computing, storage, communication and cooling; it is normally secondary but must be included for data-intensive or continuous services.</x:v>
      </x:c>
      <x:c r="AG162" s="2" t="str">
        <x:v>The non-physical inputs are calibrated data, metadata, algorithms, boundary conditions, emission or hazard factors, manuals and validation records specific to Carbon stock measurement, monitoring and verification.</x:v>
      </x:c>
      <x:c r="AH162" s="2" t="str">
        <x:v>Software continuity for Carbon stock measurement, monitoring and verification requires licences where applicable, updates, cybersecurity patches, backups, calibration files, model validation and technical support.</x:v>
      </x:c>
      <x:c r="AI162" s="2" t="str">
        <x:v>Orgware depends on the institutions, laboratories, training providers, regulators, operators and community interfaces needed to govern Carbon stock measurement, monitoring and verification.</x:v>
      </x:c>
      <x:c r="AJ162" s="2" t="str">
        <x:v>The orgware supporting Carbon stock measurement, monitoring and verification has mainly indirect energy use from offices, meetings, training and information systems; travel and field supervision may be material at dispersed sites.</x:v>
      </x:c>
      <x:c r="AK162" s="2" t="str">
        <x:v>Its organisational inputs are permits, budgets, trained staff, competence records, contracts, procedures, safeguards, monitoring evidence and stakeholder agreements tailored to Carbon stock measurement, monitoring and verification.</x:v>
      </x:c>
      <x:c r="AL162" s="2" t="str">
        <x:v>Sustained implementation of Carbon stock measurement, monitoring and verification requires procurement and service contracts, audit protocols, training material, reporting templates, insurance or guarantees and periodic independent review.</x:v>
      </x:c>
      <x:c r="AM162" s="2" t="str">
        <x:v>Copper; Tin</x:v>
      </x:c>
      <x:c r="AN162" s="2" t="str">
        <x:v>Chile; Democratic Republic of the Congo; Peru; China; Indonesia; Myanmar</x:v>
      </x:c>
      <x:c r="AO162" s="2" t="str">
        <x:v>China; Chile; Democratic Republic of the Congo; Indonesia; Malaysia</x:v>
      </x:c>
      <x:c r="AP162" s="2" t="str">
        <x:v>Carbon stock measurement, monitoring and verification: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2" s="2" t="str">
        <x:v>2024–2025</x:v>
      </x:c>
      <x:c r="AR162" s="2" t="str">
        <x:v>https://pubs.usgs.gov/periodicals/mcs2026/mcs2026.pdf</x:v>
      </x:c>
    </x:row>
    <x:row r="163" ht="240" customHeight="1">
      <x:c r="A163" s="2" t="str">
        <x:v>MIT-0156</x:v>
      </x:c>
      <x:c r="B163" s="2" t="str">
        <x:v>Mitigation</x:v>
      </x:c>
      <x:c r="C163" s="2" t="str">
        <x:v>Forestry</x:v>
      </x:c>
      <x:c r="D163" s="2" t="str">
        <x:v>Reforestation</x:v>
      </x:c>
      <x:c r="E163" s="2" t="str">
        <x:v>Reforestation</x:v>
      </x:c>
      <x:c r="F163" s="2" t="str">
        <x:v>Reforestation is a mitigation technology in the Forestry sector and the Reforestation technology group. It is defined as a combined hardware–software–orgware system that changes vegetation, soil, nutrient, water, crop or livestock management to protect carbon stocks, increase resilience and productivity, and reduce CO₂, CH₄ or N₂O emissions. Reforestation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3" s="2" t="str">
        <x:v>Mixed: adaptable design, site-specific implementation</x:v>
      </x:c>
      <x:c r="H163" s="2" t="str">
        <x:v>Reforestation is adaptable in capacity and configuration but site-specific in final engineering. Its principle remains the same, but resource quality, climate, scale, interfaces and safety constraints must be recalculated for each deployment.</x:v>
      </x:c>
      <x:c r="I163" s="2" t="str">
        <x:v>Primarily hard, with a soft component</x:v>
      </x:c>
      <x:c r="J163" s="2" t="str">
        <x:v>Reforestation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3" s="2" t="str">
        <x:v>Operation</x:v>
      </x:c>
      <x:c r="L163" s="2" t="str">
        <x:v>Reforestation is embodied mainly as an operating practice. The deliverable is accepted only when measurable service, quality, safety and climate-performance criteria are met under real conditions.</x:v>
      </x:c>
      <x:c r="M163" s="2" t="str">
        <x:v>Yes, subject to life-cycle safeguards</x:v>
      </x:c>
      <x:c r="N163" s="2" t="str">
        <x:v>Reforestation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3" s="2" t="str">
        <x:v>Reforestation: field or forest implements, planting and irrigation equipment, storage or livestock facilities, sampling tools, sensors and protective structures as required.</x:v>
      </x:c>
      <x:c r="P163" s="2" t="str">
        <x:v>Reforestation: soil–crop–livestock knowledge, nutrient and water budgets, emission factors, carbon accounting, climate services, monitoring protocols and adaptive management.</x:v>
      </x:c>
      <x:c r="Q163" s="2" t="str">
        <x:v>Reforestation: land tenure, extension, producer organisations, veterinary or phytosanitary services, incentives, safeguards, certification and monitoring arrangements.</x:v>
      </x:c>
      <x:c r="R163" s="2" t="str">
        <x:v>Reforestation: nurseries or seed banks, field access, water and storage systems, laboratories, extension centres, monitoring plots and processing or market facilities.</x:v>
      </x:c>
      <x:c r="S163" s="2" t="str">
        <x:v>Reforestation: human and mechanical work, electricity or fuel for machinery, pumping, cooling and processing; biological energy and solar radiation dominate field processes.</x:v>
      </x:c>
      <x:c r="T163" s="2" t="str">
        <x:v>Reforestation: seed or planting stock, organic matter, fertilisers, soil amendments, water, fencing or structural materials, veterinary inputs and monitoring consumables.</x:v>
      </x:c>
      <x:c r="U163" s="2" t="str">
        <x:v>Reforestation: seed, inoculants, filters, drip lines, nozzles, tool parts, sampling containers, sensor batteries, veterinary supplies and protective equipment.</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https://www.ipcc.ch/report/ar6/wg3/chapter/chapter-7/; https://openknowledge.fao.org/server/api/core/bitstreams/b21f2087-f398-4718-8461-b92afc82e617/content</x:v>
      </x:c>
      <x:c r="Z163" s="2" t="str">
        <x:v>Technology-specific analytical synthesis. The CTCN hierarchy is retained; classifications and component dependencies require validation against the selected design, site and supplier documentation before investment or policy use.</x:v>
      </x:c>
      <x:c r="AA163" s="2" t="str">
        <x:v>Physical deployment of Reforestation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3" s="2" t="str">
        <x:v>For Reforestation,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3" s="2" t="str">
        <x:v>Construction and operation use seed or planting stock, organic matter, fertilisers, soil amendments, water, fencing or structural materials, veterinary inputs and monitoring consumables. For Reforestation, specifications must include durability, compatibility, recycled content and recoverability.</x:v>
      </x:c>
      <x:c r="AD163" s="2" t="str">
        <x:v>Maintenance of Reforestation depends on seed, inoculants, filters, drip lines, nozzles, tool parts, sampling containers, sensor batteries, veterinary supplies and protective equipment; critical spares are selected from failure-mode, lead-time and safety analysis for its installed configuration.</x:v>
      </x:c>
      <x:c r="AE163" s="2" t="str">
        <x:v>The software stack for Reforestation requires databases, secure communications, version-controlled models, computing, backup and interfaces with field or operational systems.</x:v>
      </x:c>
      <x:c r="AF163" s="2" t="str">
        <x:v>For Reforestation, software-related energy is electricity for sensing, computing, storage, communication and cooling; it is normally secondary but must be included for data-intensive or continuous services.</x:v>
      </x:c>
      <x:c r="AG163" s="2" t="str">
        <x:v>The non-physical inputs are calibrated data, metadata, algorithms, boundary conditions, emission or hazard factors, manuals and validation records specific to Reforestation.</x:v>
      </x:c>
      <x:c r="AH163" s="2" t="str">
        <x:v>Software continuity for Reforestation requires licences where applicable, updates, cybersecurity patches, backups, calibration files, model validation and technical support.</x:v>
      </x:c>
      <x:c r="AI163" s="2" t="str">
        <x:v>Orgware depends on the institutions, laboratories, training providers, regulators, operators and community interfaces needed to govern Reforestation.</x:v>
      </x:c>
      <x:c r="AJ163" s="2" t="str">
        <x:v>The orgware supporting Reforestation has mainly indirect energy use from offices, meetings, training and information systems; travel and field supervision may be material at dispersed sites.</x:v>
      </x:c>
      <x:c r="AK163" s="2" t="str">
        <x:v>Its organisational inputs are permits, budgets, trained staff, competence records, contracts, procedures, safeguards, monitoring evidence and stakeholder agreements tailored to Reforestation.</x:v>
      </x:c>
      <x:c r="AL163" s="2" t="str">
        <x:v>Sustained implementation of Reforestation requires procurement and service contracts, audit protocols, training material, reporting templates, insurance or guarantees and periodic independent review.</x:v>
      </x:c>
      <x:c r="AM163" s="2" t="str">
        <x:v>No critical or strategic raw material is identifiable at taxonomy level; site-specific bulk materials may still be required.</x:v>
      </x:c>
      <x:c r="AN163" s="2" t="str"/>
      <x:c r="AO163" s="2" t="str"/>
      <x:c r="AP163" s="2" t="str">
        <x:v>Reforestation: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3" s="2" t="str">
        <x:v>2024–2025</x:v>
      </x:c>
      <x:c r="AR163" s="2" t="str">
        <x:v>https://pubs.usgs.gov/periodicals/mcs2026/mcs2026.pdf; https://www.iea.org/reports/global-critical-minerals-outlook-2025</x:v>
      </x:c>
    </x:row>
    <x:row r="164" ht="240" customHeight="1">
      <x:c r="A164" s="2" t="str">
        <x:v>MIT-0157</x:v>
      </x:c>
      <x:c r="B164" s="2" t="str">
        <x:v>Mitigation</x:v>
      </x:c>
      <x:c r="C164" s="2" t="str">
        <x:v>Forestry</x:v>
      </x:c>
      <x:c r="D164" s="2" t="str">
        <x:v>Biomass carbon measurement and monitoring</x:v>
      </x:c>
      <x:c r="E164" s="2" t="str">
        <x:v>Biomass carbon measurement and monitoring</x:v>
      </x:c>
      <x:c r="F164" s="2" t="str">
        <x:v>Biomass carbon measurement and monitoring is a mitigation technology in the Forestry sector and the Biomass carbon measurement and monitoring technology group. It is defined as a combined hardware–software–orgware system that controls biological or thermochemical conversion of biomass, residues, solid waste or wastewater to avoid methane, recover materials and energy, or stabilise organic matter. Biomass carbon measurement and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64" s="2" t="str">
        <x:v>Mixed: adaptable design, site-specific implementation</x:v>
      </x:c>
      <x:c r="H164" s="2" t="str">
        <x:v>Biomass carbon measurement and monitoring is adaptable in capacity and configuration but site-specific in final engineering. Its principle remains the same, but resource quality, climate, scale, interfaces and safety constraints must be recalculated for each deployment.</x:v>
      </x:c>
      <x:c r="I164" s="2" t="str">
        <x:v>Hard and soft</x:v>
      </x:c>
      <x:c r="J164" s="2" t="str">
        <x:v>Biomass carbon measurement and monitoring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64" s="2" t="str">
        <x:v>Operation and information service</x:v>
      </x:c>
      <x:c r="L164" s="2" t="str">
        <x:v>Biomass carbon measurement and monitoring is embodied mainly as an information and decision service. The deliverable is accepted only when measurable service, quality, safety and climate-performance criteria are met under real conditions.</x:v>
      </x:c>
      <x:c r="M164" s="2" t="str">
        <x:v>Yes, subject to life-cycle safeguards</x:v>
      </x:c>
      <x:c r="N164" s="2" t="str">
        <x:v>Biomass carbon measurement and monitoring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64" s="2" t="str">
        <x:v>Biomass carbon measurement and monitoring: collection and sorting equipment, reactors or digesters, aeration, gas handling, thermal conversion, pollution control and product conditioning.</x:v>
      </x:c>
      <x:c r="P164" s="2" t="str">
        <x:v>Biomass carbon measurement and monitoring: feedstock characterisation, mass balances, biological or thermal process control, methane accounting, quality assurance and logistics optimisation.</x:v>
      </x:c>
      <x:c r="Q164" s="2" t="str">
        <x:v>Biomass carbon measurement and monitoring: waste hierarchy, source separation, collection contracts, emission permits, digestate or product standards, occupational safety and informal-sector inclusion.</x:v>
      </x:c>
      <x:c r="R164" s="2" t="str">
        <x:v>Biomass carbon measurement and monitoring: collection network, transfer and treatment sites, weighbridge, drainage, electricity or heat connection, gas line and residue disposal.</x:v>
      </x:c>
      <x:c r="S164" s="2" t="str">
        <x:v>Biomass carbon measurement and monitoring: electricity, process heat or auxiliary fuel; recovered biogas, syngas, heat or electricity may offset external energy.</x:v>
      </x:c>
      <x:c r="T164" s="2" t="str">
        <x:v>Biomass carbon measurement and monitoring: steel, concrete, polymers, filters, catalysts or sorbents, biological inoculum and treatment chemicals according to the process.</x:v>
      </x:c>
      <x:c r="U164" s="2" t="str">
        <x:v>Biomass carbon measurement and monitoring: pumps, screens, blowers, mixers, seals, burners, analysers, filter media, reagents and personal protective equipment.</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https://www.ipcc.ch/report/ar6/wg3/chapter/chapter-7/; https://www.unep.org/resources/report/global-waste-management-outlook-2024</x:v>
      </x:c>
      <x:c r="Z164" s="2" t="str">
        <x:v>Technology-specific analytical synthesis. The CTCN hierarchy is retained; classifications and component dependencies require validation against the selected design, site and supplier documentation before investment or policy use.</x:v>
      </x:c>
      <x:c r="AA164" s="2" t="str">
        <x:v>Physical deployment of Biomass carbon measurement and monitoring requires collection network, transfer and treatment sites, weighbridge, drainage, electricity or heat connection, gas line and residue disposal; interfaces, foundations, access and environmental protection are sized to the specific resource and design load.</x:v>
      </x:c>
      <x:c r="AB164" s="2" t="str">
        <x:v>For Biomass carbon measurement and monitoring, the hardware energy balance comprises electricity, process heat or auxiliary fuel; recovered biogas, syngas, heat or electricity may offset external energy; metering must separate useful output, conversion losses and auxiliaries for the selected design.</x:v>
      </x:c>
      <x:c r="AC164" s="2" t="str">
        <x:v>Construction and operation use steel, concrete, polymers, filters, catalysts or sorbents, biological inoculum and treatment chemicals according to the process. For Biomass carbon measurement and monitoring, specifications must include durability, compatibility, recycled content and recoverability.</x:v>
      </x:c>
      <x:c r="AD164" s="2" t="str">
        <x:v>Maintenance of Biomass carbon measurement and monitoring depends on pumps, screens, blowers, mixers, seals, burners, analysers, filter media, reagents and personal protective equipment; critical spares are selected from failure-mode, lead-time and safety analysis for its installed configuration.</x:v>
      </x:c>
      <x:c r="AE164" s="2" t="str">
        <x:v>The software stack for Biomass carbon measurement and monitoring requires databases, secure communications, version-controlled models, computing, backup and interfaces with field or operational systems.</x:v>
      </x:c>
      <x:c r="AF164" s="2" t="str">
        <x:v>For Biomass carbon measurement and monitoring, software-related energy is electricity for sensing, computing, storage, communication and cooling; it is normally secondary but must be included for data-intensive or continuous services.</x:v>
      </x:c>
      <x:c r="AG164" s="2" t="str">
        <x:v>The non-physical inputs are calibrated data, metadata, algorithms, boundary conditions, emission or hazard factors, manuals and validation records specific to Biomass carbon measurement and monitoring.</x:v>
      </x:c>
      <x:c r="AH164" s="2" t="str">
        <x:v>Software continuity for Biomass carbon measurement and monitoring requires licences where applicable, updates, cybersecurity patches, backups, calibration files, model validation and technical support.</x:v>
      </x:c>
      <x:c r="AI164" s="2" t="str">
        <x:v>Orgware depends on the institutions, laboratories, training providers, regulators, operators and community interfaces needed to govern Biomass carbon measurement and monitoring.</x:v>
      </x:c>
      <x:c r="AJ164" s="2" t="str">
        <x:v>The orgware supporting Biomass carbon measurement and monitoring has mainly indirect energy use from offices, meetings, training and information systems; travel and field supervision may be material at dispersed sites.</x:v>
      </x:c>
      <x:c r="AK164" s="2" t="str">
        <x:v>Its organisational inputs are permits, budgets, trained staff, competence records, contracts, procedures, safeguards, monitoring evidence and stakeholder agreements tailored to Biomass carbon measurement and monitoring.</x:v>
      </x:c>
      <x:c r="AL164" s="2" t="str">
        <x:v>Sustained implementation of Biomass carbon measurement and monitoring requires procurement and service contracts, audit protocols, training material, reporting templates, insurance or guarantees and periodic independent review.</x:v>
      </x:c>
      <x:c r="AM164" s="2" t="str">
        <x:v>Iron ore / steel inputs; Copper; Tin</x:v>
      </x:c>
      <x:c r="AN164" s="2" t="str">
        <x:v>Australia; Brazil; China; Chile; Democratic Republic of the Congo; Peru; Indonesia; Myanmar</x:v>
      </x:c>
      <x:c r="AO164" s="2" t="str">
        <x:v>China; India; Japan; Chile; Democratic Republic of the Congo; Indonesia; Malaysia</x:v>
      </x:c>
      <x:c r="AP164" s="2" t="str">
        <x:v>Biomass carbon measurement and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4" s="2" t="str">
        <x:v>2024–2025</x:v>
      </x:c>
      <x:c r="AR164" s="2" t="str">
        <x:v>https://pubs.usgs.gov/periodicals/mcs2026/mcs2026.pdf</x:v>
      </x:c>
    </x:row>
    <x:row r="165" ht="240" customHeight="1">
      <x:c r="A165" s="2" t="str">
        <x:v>MIT-0158</x:v>
      </x:c>
      <x:c r="B165" s="2" t="str">
        <x:v>Mitigation</x:v>
      </x:c>
      <x:c r="C165" s="2" t="str">
        <x:v>Agriculture</x:v>
      </x:c>
      <x:c r="D165" s="2" t="str">
        <x:v>Grassland management</x:v>
      </x:c>
      <x:c r="E165" s="2" t="str">
        <x:v>Grassland management</x:v>
      </x:c>
      <x:c r="F165" s="2" t="str">
        <x:v>Grassland management is a mitigation technology in the Agriculture sector and the Grassland management technology group. It is defined as a combined hardware–software–orgware system that changes vegetation, soil, nutrient, water, crop or livestock management to protect carbon stocks, increase resilience and productivity, and reduce CO₂, CH₄ or N₂O emissions. Grassland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5" s="2" t="str">
        <x:v>Flexible</x:v>
      </x:c>
      <x:c r="H165" s="2" t="str">
        <x:v>Grassland management is transferable through configurable methods, rules and operating parameters. Its principle remains the same, but resource quality, climate, scale, interfaces and safety constraints must be recalculated for each deployment.</x:v>
      </x:c>
      <x:c r="I165" s="2" t="str">
        <x:v>Primarily soft, with physical support</x:v>
      </x:c>
      <x:c r="J165" s="2" t="str">
        <x:v>Grassland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5" s="2" t="str">
        <x:v>Operation</x:v>
      </x:c>
      <x:c r="L165" s="2" t="str">
        <x:v>Grassland management is embodied mainly as an operating practice. The deliverable is accepted only when measurable service, quality, safety and climate-performance criteria are met under real conditions.</x:v>
      </x:c>
      <x:c r="M165" s="2" t="str">
        <x:v>Yes, subject to life-cycle safeguards</x:v>
      </x:c>
      <x:c r="N165" s="2" t="str">
        <x:v>Grassland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5" s="2" t="str">
        <x:v>Grassland management: field or forest implements, planting and irrigation equipment, storage or livestock facilities, sampling tools, sensors and protective structures as required.</x:v>
      </x:c>
      <x:c r="P165" s="2" t="str">
        <x:v>Grassland management: soil–crop–livestock knowledge, nutrient and water budgets, emission factors, carbon accounting, climate services, monitoring protocols and adaptive management.</x:v>
      </x:c>
      <x:c r="Q165" s="2" t="str">
        <x:v>Grassland management: land tenure, extension, producer organisations, veterinary or phytosanitary services, incentives, safeguards, certification and monitoring arrangements.</x:v>
      </x:c>
      <x:c r="R165" s="2" t="str">
        <x:v>Grassland management: nurseries or seed banks, field access, water and storage systems, laboratories, extension centres, monitoring plots and processing or market facilities.</x:v>
      </x:c>
      <x:c r="S165" s="2" t="str">
        <x:v>Grassland management: human and mechanical work, electricity or fuel for machinery, pumping, cooling and processing; biological energy and solar radiation dominate field processes.</x:v>
      </x:c>
      <x:c r="T165" s="2" t="str">
        <x:v>Grassland management: seed or planting stock, organic matter, fertilisers, soil amendments, water, fencing or structural materials, veterinary inputs and monitoring consumables.</x:v>
      </x:c>
      <x:c r="U165" s="2" t="str">
        <x:v>Grassland management: seed, inoculants, filters, drip lines, nozzles, tool parts, sampling containers, sensor batteries, veterinary supplies and protective equipment.</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https://www.ipcc.ch/report/ar6/wg3/chapter/chapter-7/; https://openknowledge.fao.org/server/api/core/bitstreams/b21f2087-f398-4718-8461-b92afc82e617/content</x:v>
      </x:c>
      <x:c r="Z165" s="2" t="str">
        <x:v>Technology-specific analytical synthesis. The CTCN hierarchy is retained; classifications and component dependencies require validation against the selected design, site and supplier documentation before investment or policy use.</x:v>
      </x:c>
      <x:c r="AA165" s="2" t="str">
        <x:v>Physical deployment of Grassland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5" s="2" t="str">
        <x:v>For Grassland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5" s="2" t="str">
        <x:v>Construction and operation use seed or planting stock, organic matter, fertilisers, soil amendments, water, fencing or structural materials, veterinary inputs and monitoring consumables. For Grassland management, specifications must include durability, compatibility, recycled content and recoverability.</x:v>
      </x:c>
      <x:c r="AD165" s="2" t="str">
        <x:v>Maintenance of Grassland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165" s="2" t="str">
        <x:v>The software stack for Grassland management requires databases, secure communications, version-controlled models, computing, backup and interfaces with field or operational systems.</x:v>
      </x:c>
      <x:c r="AF165" s="2" t="str">
        <x:v>For Grassland management, software-related energy is electricity for sensing, computing, storage, communication and cooling; it is normally secondary but must be included for data-intensive or continuous services.</x:v>
      </x:c>
      <x:c r="AG165" s="2" t="str">
        <x:v>The non-physical inputs are calibrated data, metadata, algorithms, boundary conditions, emission or hazard factors, manuals and validation records specific to Grassland management.</x:v>
      </x:c>
      <x:c r="AH165" s="2" t="str">
        <x:v>Software continuity for Grassland management requires licences where applicable, updates, cybersecurity patches, backups, calibration files, model validation and technical support.</x:v>
      </x:c>
      <x:c r="AI165" s="2" t="str">
        <x:v>Orgware depends on the institutions, laboratories, training providers, regulators, operators and community interfaces needed to govern Grassland management.</x:v>
      </x:c>
      <x:c r="AJ165" s="2" t="str">
        <x:v>The orgware supporting Grassland management has mainly indirect energy use from offices, meetings, training and information systems; travel and field supervision may be material at dispersed sites.</x:v>
      </x:c>
      <x:c r="AK165" s="2" t="str">
        <x:v>Its organisational inputs are permits, budgets, trained staff, competence records, contracts, procedures, safeguards, monitoring evidence and stakeholder agreements tailored to Grassland management.</x:v>
      </x:c>
      <x:c r="AL165" s="2" t="str">
        <x:v>Sustained implementation of Grassland management requires procurement and service contracts, audit protocols, training material, reporting templates, insurance or guarantees and periodic independent review.</x:v>
      </x:c>
      <x:c r="AM165" s="2" t="str">
        <x:v>No critical or strategic raw material is identifiable at taxonomy level; site-specific bulk materials may still be required.</x:v>
      </x:c>
      <x:c r="AN165" s="2" t="str"/>
      <x:c r="AO165" s="2" t="str"/>
      <x:c r="AP165" s="2" t="str">
        <x:v>Grassland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5" s="2" t="str">
        <x:v>2024–2025</x:v>
      </x:c>
      <x:c r="AR165" s="2" t="str">
        <x:v>https://pubs.usgs.gov/periodicals/mcs2026/mcs2026.pdf</x:v>
      </x:c>
    </x:row>
    <x:row r="166" ht="240" customHeight="1">
      <x:c r="A166" s="2" t="str">
        <x:v>MIT-0159</x:v>
      </x:c>
      <x:c r="B166" s="2" t="str">
        <x:v>Mitigation</x:v>
      </x:c>
      <x:c r="C166" s="2" t="str">
        <x:v>Agriculture</x:v>
      </x:c>
      <x:c r="D166" s="2" t="str">
        <x:v>Demand efficiency</x:v>
      </x:c>
      <x:c r="E166" s="2" t="str">
        <x:v>Minimizing food waste</x:v>
      </x:c>
      <x:c r="F166" s="2" t="str">
        <x:v>Minimizing food waste is a mitigation technology in the Agriculture sector and the Demand efficiency technology group. It is defined as a combined hardware–software–orgware system that controls biological or thermochemical conversion of biomass, residues, solid waste or wastewater to avoid methane, recover materials and energy, or stabilise organic matter. Minimizing food waste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66" s="2" t="str">
        <x:v>Mixed: adaptable design, site-specific implementation</x:v>
      </x:c>
      <x:c r="H166" s="2" t="str">
        <x:v>Minimizing food waste is adaptable in capacity and configuration but site-specific in final engineering. Its principle remains the same, but resource quality, climate, scale, interfaces and safety constraints must be recalculated for each deployment.</x:v>
      </x:c>
      <x:c r="I166" s="2" t="str">
        <x:v>Primarily hard, with a soft component</x:v>
      </x:c>
      <x:c r="J166" s="2" t="str">
        <x:v>Minimizing food waste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66" s="2" t="str">
        <x:v>Equipment and operation</x:v>
      </x:c>
      <x:c r="L166" s="2" t="str">
        <x:v>Minimizing food waste is embodied mainly as an equipment-and-operation system. The deliverable is accepted only when measurable service, quality, safety and climate-performance criteria are met under real conditions.</x:v>
      </x:c>
      <x:c r="M166" s="2" t="str">
        <x:v>Yes, subject to life-cycle safeguards</x:v>
      </x:c>
      <x:c r="N166" s="2" t="str">
        <x:v>Minimizing food waste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66" s="2" t="str">
        <x:v>Minimizing food waste: collection and sorting equipment, reactors or digesters, aeration, gas handling, thermal conversion, pollution control and product conditioning.</x:v>
      </x:c>
      <x:c r="P166" s="2" t="str">
        <x:v>Minimizing food waste: feedstock characterisation, mass balances, biological or thermal process control, methane accounting, quality assurance and logistics optimisation.</x:v>
      </x:c>
      <x:c r="Q166" s="2" t="str">
        <x:v>Minimizing food waste: waste hierarchy, source separation, collection contracts, emission permits, digestate or product standards, occupational safety and informal-sector inclusion.</x:v>
      </x:c>
      <x:c r="R166" s="2" t="str">
        <x:v>Minimizing food waste: collection network, transfer and treatment sites, weighbridge, drainage, electricity or heat connection, gas line and residue disposal.</x:v>
      </x:c>
      <x:c r="S166" s="2" t="str">
        <x:v>Minimizing food waste: electricity, process heat or auxiliary fuel; recovered biogas, syngas, heat or electricity may offset external energy.</x:v>
      </x:c>
      <x:c r="T166" s="2" t="str">
        <x:v>Minimizing food waste: steel, concrete, polymers, filters, catalysts or sorbents, biological inoculum and treatment chemicals according to the process.</x:v>
      </x:c>
      <x:c r="U166" s="2" t="str">
        <x:v>Minimizing food waste: pumps, screens, blowers, mixers, seals, burners, analysers, filter media, reagents and personal protective equipment.</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https://www.ipcc.ch/report/ar6/wg3/chapter/chapter-7/; https://www.unep.org/resources/report/global-waste-management-outlook-2024</x:v>
      </x:c>
      <x:c r="Z166" s="2" t="str">
        <x:v>Technology-specific analytical synthesis. The CTCN hierarchy is retained; classifications and component dependencies require validation against the selected design, site and supplier documentation before investment or policy use.</x:v>
      </x:c>
      <x:c r="AA166" s="2" t="str">
        <x:v>Physical deployment of Minimizing food waste requires collection network, transfer and treatment sites, weighbridge, drainage, electricity or heat connection, gas line and residue disposal; interfaces, foundations, access and environmental protection are sized to the specific resource and design load.</x:v>
      </x:c>
      <x:c r="AB166" s="2" t="str">
        <x:v>For Minimizing food waste, the hardware energy balance comprises electricity, process heat or auxiliary fuel; recovered biogas, syngas, heat or electricity may offset external energy; metering must separate useful output, conversion losses and auxiliaries for the selected design.</x:v>
      </x:c>
      <x:c r="AC166" s="2" t="str">
        <x:v>Construction and operation use steel, concrete, polymers, filters, catalysts or sorbents, biological inoculum and treatment chemicals according to the process. For Minimizing food waste, specifications must include durability, compatibility, recycled content and recoverability.</x:v>
      </x:c>
      <x:c r="AD166" s="2" t="str">
        <x:v>Maintenance of Minimizing food waste depends on pumps, screens, blowers, mixers, seals, burners, analysers, filter media, reagents and personal protective equipment; critical spares are selected from failure-mode, lead-time and safety analysis for its installed configuration.</x:v>
      </x:c>
      <x:c r="AE166" s="2" t="str">
        <x:v>The software stack for Minimizing food waste requires databases, secure communications, version-controlled models, computing, backup and interfaces with field or operational systems.</x:v>
      </x:c>
      <x:c r="AF166" s="2" t="str">
        <x:v>For Minimizing food waste, software-related energy is electricity for sensing, computing, storage, communication and cooling; it is normally secondary but must be included for data-intensive or continuous services.</x:v>
      </x:c>
      <x:c r="AG166" s="2" t="str">
        <x:v>The non-physical inputs are calibrated data, metadata, algorithms, boundary conditions, emission or hazard factors, manuals and validation records specific to Minimizing food waste.</x:v>
      </x:c>
      <x:c r="AH166" s="2" t="str">
        <x:v>Software continuity for Minimizing food waste requires licences where applicable, updates, cybersecurity patches, backups, calibration files, model validation and technical support.</x:v>
      </x:c>
      <x:c r="AI166" s="2" t="str">
        <x:v>Orgware depends on the institutions, laboratories, training providers, regulators, operators and community interfaces needed to govern Minimizing food waste.</x:v>
      </x:c>
      <x:c r="AJ166" s="2" t="str">
        <x:v>The orgware supporting Minimizing food waste has mainly indirect energy use from offices, meetings, training and information systems; travel and field supervision may be material at dispersed sites.</x:v>
      </x:c>
      <x:c r="AK166" s="2" t="str">
        <x:v>Its organisational inputs are permits, budgets, trained staff, competence records, contracts, procedures, safeguards, monitoring evidence and stakeholder agreements tailored to Minimizing food waste.</x:v>
      </x:c>
      <x:c r="AL166" s="2" t="str">
        <x:v>Sustained implementation of Minimizing food waste requires procurement and service contracts, audit protocols, training material, reporting templates, insurance or guarantees and periodic independent review.</x:v>
      </x:c>
      <x:c r="AM166" s="2" t="str">
        <x:v>Iron ore / steel inputs</x:v>
      </x:c>
      <x:c r="AN166" s="2" t="str">
        <x:v>Australia; Brazil; China</x:v>
      </x:c>
      <x:c r="AO166" s="2" t="str">
        <x:v>China; India; Japan</x:v>
      </x:c>
      <x:c r="AP166" s="2" t="str">
        <x:v>Minimizing food waste: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6" s="2" t="str">
        <x:v>2024–2025</x:v>
      </x:c>
      <x:c r="AR166" s="2" t="str">
        <x:v>https://pubs.usgs.gov/periodicals/mcs2026/mcs2026.pdf</x:v>
      </x:c>
    </x:row>
    <x:row r="167" ht="240" customHeight="1">
      <x:c r="A167" s="2" t="str">
        <x:v>MIT-0160</x:v>
      </x:c>
      <x:c r="B167" s="2" t="str">
        <x:v>Mitigation</x:v>
      </x:c>
      <x:c r="C167" s="2" t="str">
        <x:v>Agriculture</x:v>
      </x:c>
      <x:c r="D167" s="2" t="str">
        <x:v>Demand efficiency</x:v>
      </x:c>
      <x:c r="E167" s="2" t="str">
        <x:v>Dietary changes</x:v>
      </x:c>
      <x:c r="F167" s="2" t="str">
        <x:v>Dietary changes is a mitigation technology in the Agriculture sector and the Demand efficiency technology group. It is defined as a combined hardware–software–orgware system that changes vegetation, soil, nutrient, water, crop or livestock management to protect carbon stocks, increase resilience and productivity, and reduce CO₂, CH₄ or N₂O emissions. Dietary changes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7" s="2" t="str">
        <x:v>Flexible</x:v>
      </x:c>
      <x:c r="H167" s="2" t="str">
        <x:v>Dietary changes is transferable through configurable methods, rules and operating parameters. Its principle remains the same, but resource quality, climate, scale, interfaces and safety constraints must be recalculated for each deployment.</x:v>
      </x:c>
      <x:c r="I167" s="2" t="str">
        <x:v>Primarily soft, with physical support</x:v>
      </x:c>
      <x:c r="J167" s="2" t="str">
        <x:v>Dietary changes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7" s="2" t="str">
        <x:v>Operation</x:v>
      </x:c>
      <x:c r="L167" s="2" t="str">
        <x:v>Dietary changes is embodied mainly as an operating practice. The deliverable is accepted only when measurable service, quality, safety and climate-performance criteria are met under real conditions.</x:v>
      </x:c>
      <x:c r="M167" s="2" t="str">
        <x:v>Yes, subject to life-cycle safeguards</x:v>
      </x:c>
      <x:c r="N167" s="2" t="str">
        <x:v>Dietary changes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7" s="2" t="str">
        <x:v>Dietary changes: field or forest implements, planting and irrigation equipment, storage or livestock facilities, sampling tools, sensors and protective structures as required.</x:v>
      </x:c>
      <x:c r="P167" s="2" t="str">
        <x:v>Dietary changes: soil–crop–livestock knowledge, nutrient and water budgets, emission factors, carbon accounting, climate services, monitoring protocols and adaptive management.</x:v>
      </x:c>
      <x:c r="Q167" s="2" t="str">
        <x:v>Dietary changes: land tenure, extension, producer organisations, veterinary or phytosanitary services, incentives, safeguards, certification and monitoring arrangements.</x:v>
      </x:c>
      <x:c r="R167" s="2" t="str">
        <x:v>Dietary changes: nurseries or seed banks, field access, water and storage systems, laboratories, extension centres, monitoring plots and processing or market facilities.</x:v>
      </x:c>
      <x:c r="S167" s="2" t="str">
        <x:v>Dietary changes: human and mechanical work, electricity or fuel for machinery, pumping, cooling and processing; biological energy and solar radiation dominate field processes.</x:v>
      </x:c>
      <x:c r="T167" s="2" t="str">
        <x:v>Dietary changes: seed or planting stock, organic matter, fertilisers, soil amendments, water, fencing or structural materials, veterinary inputs and monitoring consumables.</x:v>
      </x:c>
      <x:c r="U167" s="2" t="str">
        <x:v>Dietary changes: seed, inoculants, filters, drip lines, nozzles, tool parts, sampling containers, sensor batteries, veterinary supplies and protective equipment.</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https://www.ipcc.ch/report/ar6/wg3/chapter/chapter-7/; https://openknowledge.fao.org/server/api/core/bitstreams/b21f2087-f398-4718-8461-b92afc82e617/content</x:v>
      </x:c>
      <x:c r="Z167" s="2" t="str">
        <x:v>Technology-specific analytical synthesis. The CTCN hierarchy is retained; classifications and component dependencies require validation against the selected design, site and supplier documentation before investment or policy use.</x:v>
      </x:c>
      <x:c r="AA167" s="2" t="str">
        <x:v>Physical deployment of Dietary changes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7" s="2" t="str">
        <x:v>For Dietary changes,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7" s="2" t="str">
        <x:v>Construction and operation use seed or planting stock, organic matter, fertilisers, soil amendments, water, fencing or structural materials, veterinary inputs and monitoring consumables. For Dietary changes, specifications must include durability, compatibility, recycled content and recoverability.</x:v>
      </x:c>
      <x:c r="AD167" s="2" t="str">
        <x:v>Maintenance of Dietary changes depends on seed, inoculants, filters, drip lines, nozzles, tool parts, sampling containers, sensor batteries, veterinary supplies and protective equipment; critical spares are selected from failure-mode, lead-time and safety analysis for its installed configuration.</x:v>
      </x:c>
      <x:c r="AE167" s="2" t="str">
        <x:v>The software stack for Dietary changes requires databases, secure communications, version-controlled models, computing, backup and interfaces with field or operational systems.</x:v>
      </x:c>
      <x:c r="AF167" s="2" t="str">
        <x:v>For Dietary changes, software-related energy is electricity for sensing, computing, storage, communication and cooling; it is normally secondary but must be included for data-intensive or continuous services.</x:v>
      </x:c>
      <x:c r="AG167" s="2" t="str">
        <x:v>The non-physical inputs are calibrated data, metadata, algorithms, boundary conditions, emission or hazard factors, manuals and validation records specific to Dietary changes.</x:v>
      </x:c>
      <x:c r="AH167" s="2" t="str">
        <x:v>Software continuity for Dietary changes requires licences where applicable, updates, cybersecurity patches, backups, calibration files, model validation and technical support.</x:v>
      </x:c>
      <x:c r="AI167" s="2" t="str">
        <x:v>Orgware depends on the institutions, laboratories, training providers, regulators, operators and community interfaces needed to govern Dietary changes.</x:v>
      </x:c>
      <x:c r="AJ167" s="2" t="str">
        <x:v>The orgware supporting Dietary changes has mainly indirect energy use from offices, meetings, training and information systems; travel and field supervision may be material at dispersed sites.</x:v>
      </x:c>
      <x:c r="AK167" s="2" t="str">
        <x:v>Its organisational inputs are permits, budgets, trained staff, competence records, contracts, procedures, safeguards, monitoring evidence and stakeholder agreements tailored to Dietary changes.</x:v>
      </x:c>
      <x:c r="AL167" s="2" t="str">
        <x:v>Sustained implementation of Dietary changes requires procurement and service contracts, audit protocols, training material, reporting templates, insurance or guarantees and periodic independent review.</x:v>
      </x:c>
      <x:c r="AM167" s="2" t="str">
        <x:v>No critical or strategic raw material is identifiable at taxonomy level; site-specific bulk materials may still be required.</x:v>
      </x:c>
      <x:c r="AN167" s="2" t="str"/>
      <x:c r="AO167" s="2" t="str"/>
      <x:c r="AP167" s="2" t="str">
        <x:v>Dietary changes: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7" s="2" t="str">
        <x:v>2024–2025</x:v>
      </x:c>
      <x:c r="AR167" s="2" t="str">
        <x:v>https://pubs.usgs.gov/periodicals/mcs2026/mcs2026.pdf</x:v>
      </x:c>
    </x:row>
    <x:row r="168" ht="240" customHeight="1">
      <x:c r="A168" s="2" t="str">
        <x:v>MIT-0161</x:v>
      </x:c>
      <x:c r="B168" s="2" t="str">
        <x:v>Mitigation</x:v>
      </x:c>
      <x:c r="C168" s="2" t="str">
        <x:v>Agriculture</x:v>
      </x:c>
      <x:c r="D168" s="2" t="str">
        <x:v>Cropland</x:v>
      </x:c>
      <x:c r="E168" s="2" t="str">
        <x:v>Crop varieties with enhanced carbon sequestration</x:v>
      </x:c>
      <x:c r="F168" s="2" t="str">
        <x:v>Crop varieties with enhanced carbon sequestration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Crop varieties with enhanced carbon sequestration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8" s="2" t="str">
        <x:v>Mixed: adaptable design, site-specific implementation</x:v>
      </x:c>
      <x:c r="H168" s="2" t="str">
        <x:v>Crop varieties with enhanced carbon sequestration is adaptable in capacity and configuration but site-specific in final engineering. Its principle remains the same, but resource quality, climate, scale, interfaces and safety constraints must be recalculated for each deployment.</x:v>
      </x:c>
      <x:c r="I168" s="2" t="str">
        <x:v>Primarily hard, with a soft component</x:v>
      </x:c>
      <x:c r="J168" s="2" t="str">
        <x:v>Crop varieties with enhanced carbon sequestration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8" s="2" t="str">
        <x:v>Product and equipment; complementary operation</x:v>
      </x:c>
      <x:c r="L168" s="2" t="str">
        <x:v>Crop varieties with enhanced carbon sequestration is embodied mainly as a product/equipment package. The deliverable is accepted only when measurable service, quality, safety and climate-performance criteria are met under real conditions.</x:v>
      </x:c>
      <x:c r="M168" s="2" t="str">
        <x:v>Yes, subject to life-cycle safeguards</x:v>
      </x:c>
      <x:c r="N168" s="2" t="str">
        <x:v>Crop varieties with enhanced carbon sequestration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8" s="2" t="str">
        <x:v>Crop varieties with enhanced carbon sequestration: field or forest implements, planting and irrigation equipment, storage or livestock facilities, sampling tools, sensors and protective structures as required.</x:v>
      </x:c>
      <x:c r="P168" s="2" t="str">
        <x:v>Crop varieties with enhanced carbon sequestration: soil–crop–livestock knowledge, nutrient and water budgets, emission factors, carbon accounting, climate services, monitoring protocols and adaptive management.</x:v>
      </x:c>
      <x:c r="Q168" s="2" t="str">
        <x:v>Crop varieties with enhanced carbon sequestration: land tenure, extension, producer organisations, veterinary or phytosanitary services, incentives, safeguards, certification and monitoring arrangements.</x:v>
      </x:c>
      <x:c r="R168" s="2" t="str">
        <x:v>Crop varieties with enhanced carbon sequestration: nurseries or seed banks, field access, water and storage systems, laboratories, extension centres, monitoring plots and processing or market facilities.</x:v>
      </x:c>
      <x:c r="S168" s="2" t="str">
        <x:v>Crop varieties with enhanced carbon sequestration: human and mechanical work, electricity or fuel for machinery, pumping, cooling and processing; biological energy and solar radiation dominate field processes.</x:v>
      </x:c>
      <x:c r="T168" s="2" t="str">
        <x:v>Crop varieties with enhanced carbon sequestration: seed or planting stock, organic matter, fertilisers, soil amendments, water, fencing or structural materials, veterinary inputs and monitoring consumables.</x:v>
      </x:c>
      <x:c r="U168" s="2" t="str">
        <x:v>Crop varieties with enhanced carbon sequestration: seed, inoculants, filters, drip lines, nozzles, tool parts, sampling containers, sensor batteries, veterinary supplies and protective equipment.</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https://www.ipcc.ch/report/ar6/wg3/chapter/chapter-7/; https://openknowledge.fao.org/server/api/core/bitstreams/b21f2087-f398-4718-8461-b92afc82e617/content</x:v>
      </x:c>
      <x:c r="Z168" s="2" t="str">
        <x:v>Technology-specific analytical synthesis. The CTCN hierarchy is retained; classifications and component dependencies require validation against the selected design, site and supplier documentation before investment or policy use.</x:v>
      </x:c>
      <x:c r="AA168" s="2" t="str">
        <x:v>Physical deployment of Crop varieties with enhanced carbon sequestration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8" s="2" t="str">
        <x:v>For Crop varieties with enhanced carbon sequestration,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8" s="2" t="str">
        <x:v>Construction and operation use seed or planting stock, organic matter, fertilisers, soil amendments, water, fencing or structural materials, veterinary inputs and monitoring consumables. For Crop varieties with enhanced carbon sequestration, specifications must include durability, compatibility, recycled content and recoverability.</x:v>
      </x:c>
      <x:c r="AD168" s="2" t="str">
        <x:v>Maintenance of Crop varieties with enhanced carbon sequestration depends on seed, inoculants, filters, drip lines, nozzles, tool parts, sampling containers, sensor batteries, veterinary supplies and protective equipment; critical spares are selected from failure-mode, lead-time and safety analysis for its installed configuration.</x:v>
      </x:c>
      <x:c r="AE168" s="2" t="str">
        <x:v>The software stack for Crop varieties with enhanced carbon sequestration requires databases, secure communications, version-controlled models, computing, backup and interfaces with field or operational systems.</x:v>
      </x:c>
      <x:c r="AF168" s="2" t="str">
        <x:v>For Crop varieties with enhanced carbon sequestration, software-related energy is electricity for sensing, computing, storage, communication and cooling; it is normally secondary but must be included for data-intensive or continuous services.</x:v>
      </x:c>
      <x:c r="AG168" s="2" t="str">
        <x:v>The non-physical inputs are calibrated data, metadata, algorithms, boundary conditions, emission or hazard factors, manuals and validation records specific to Crop varieties with enhanced carbon sequestration.</x:v>
      </x:c>
      <x:c r="AH168" s="2" t="str">
        <x:v>Software continuity for Crop varieties with enhanced carbon sequestration requires licences where applicable, updates, cybersecurity patches, backups, calibration files, model validation and technical support.</x:v>
      </x:c>
      <x:c r="AI168" s="2" t="str">
        <x:v>Orgware depends on the institutions, laboratories, training providers, regulators, operators and community interfaces needed to govern Crop varieties with enhanced carbon sequestration.</x:v>
      </x:c>
      <x:c r="AJ168" s="2" t="str">
        <x:v>The orgware supporting Crop varieties with enhanced carbon sequestration has mainly indirect energy use from offices, meetings, training and information systems; travel and field supervision may be material at dispersed sites.</x:v>
      </x:c>
      <x:c r="AK168" s="2" t="str">
        <x:v>Its organisational inputs are permits, budgets, trained staff, competence records, contracts, procedures, safeguards, monitoring evidence and stakeholder agreements tailored to Crop varieties with enhanced carbon sequestration.</x:v>
      </x:c>
      <x:c r="AL168" s="2" t="str">
        <x:v>Sustained implementation of Crop varieties with enhanced carbon sequestration requires procurement and service contracts, audit protocols, training material, reporting templates, insurance or guarantees and periodic independent review.</x:v>
      </x:c>
      <x:c r="AM168" s="2" t="str">
        <x:v>Phosphate rock; Potash</x:v>
      </x:c>
      <x:c r="AN168" s="2" t="str">
        <x:v>China; Morocco; United States; Canada; Russia; Belarus</x:v>
      </x:c>
      <x:c r="AO168" s="2" t="str">
        <x:v>China; Morocco; United States; Canada; Russia; Belarus</x:v>
      </x:c>
      <x:c r="AP168" s="2" t="str">
        <x:v>Crop varieties with enhanced carbon sequestration: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8" s="2" t="str">
        <x:v>2024–2025</x:v>
      </x:c>
      <x:c r="AR168" s="2" t="str">
        <x:v>https://pubs.usgs.gov/periodicals/mcs2026/mcs2026.pdf</x:v>
      </x:c>
    </x:row>
    <x:row r="169" ht="240" customHeight="1">
      <x:c r="A169" s="2" t="str">
        <x:v>MIT-0162</x:v>
      </x:c>
      <x:c r="B169" s="2" t="str">
        <x:v>Mitigation</x:v>
      </x:c>
      <x:c r="C169" s="2" t="str">
        <x:v>Agriculture</x:v>
      </x:c>
      <x:c r="D169" s="2" t="str">
        <x:v>Cropland</x:v>
      </x:c>
      <x:c r="E169" s="2" t="str">
        <x:v>Nutrient management: mycorrhiza</x:v>
      </x:c>
      <x:c r="F169" s="2" t="str">
        <x:v>Nutrient management: mycorrhiza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Nutrient management: mycorrhiza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69" s="2" t="str">
        <x:v>Flexible</x:v>
      </x:c>
      <x:c r="H169" s="2" t="str">
        <x:v>Nutrient management: mycorrhiza is transferable through configurable methods, rules and operating parameters. Its principle remains the same, but resource quality, climate, scale, interfaces and safety constraints must be recalculated for each deployment.</x:v>
      </x:c>
      <x:c r="I169" s="2" t="str">
        <x:v>Primarily soft, with physical support</x:v>
      </x:c>
      <x:c r="J169" s="2" t="str">
        <x:v>Nutrient management: mycorrhiza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69" s="2" t="str">
        <x:v>Operation</x:v>
      </x:c>
      <x:c r="L169" s="2" t="str">
        <x:v>Nutrient management: mycorrhiza is embodied mainly as an operating practice. The deliverable is accepted only when measurable service, quality, safety and climate-performance criteria are met under real conditions.</x:v>
      </x:c>
      <x:c r="M169" s="2" t="str">
        <x:v>Yes, subject to life-cycle safeguards</x:v>
      </x:c>
      <x:c r="N169" s="2" t="str">
        <x:v>Nutrient management: mycorrhiza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69" s="2" t="str">
        <x:v>Nutrient management: mycorrhiza: field or forest implements, planting and irrigation equipment, storage or livestock facilities, sampling tools, sensors and protective structures as required.</x:v>
      </x:c>
      <x:c r="P169" s="2" t="str">
        <x:v>Nutrient management: mycorrhiza: soil–crop–livestock knowledge, nutrient and water budgets, emission factors, carbon accounting, climate services, monitoring protocols and adaptive management.</x:v>
      </x:c>
      <x:c r="Q169" s="2" t="str">
        <x:v>Nutrient management: mycorrhiza: land tenure, extension, producer organisations, veterinary or phytosanitary services, incentives, safeguards, certification and monitoring arrangements.</x:v>
      </x:c>
      <x:c r="R169" s="2" t="str">
        <x:v>Nutrient management: mycorrhiza: nurseries or seed banks, field access, water and storage systems, laboratories, extension centres, monitoring plots and processing or market facilities.</x:v>
      </x:c>
      <x:c r="S169" s="2" t="str">
        <x:v>Nutrient management: mycorrhiza: human and mechanical work, electricity or fuel for machinery, pumping, cooling and processing; biological energy and solar radiation dominate field processes.</x:v>
      </x:c>
      <x:c r="T169" s="2" t="str">
        <x:v>Nutrient management: mycorrhiza: seed or planting stock, organic matter, fertilisers, soil amendments, water, fencing or structural materials, veterinary inputs and monitoring consumables.</x:v>
      </x:c>
      <x:c r="U169" s="2" t="str">
        <x:v>Nutrient management: mycorrhiza: seed, inoculants, filters, drip lines, nozzles, tool parts, sampling containers, sensor batteries, veterinary supplies and protective equipment.</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https://www.ipcc.ch/report/ar6/wg3/chapter/chapter-7/; https://openknowledge.fao.org/server/api/core/bitstreams/b21f2087-f398-4718-8461-b92afc82e617/content</x:v>
      </x:c>
      <x:c r="Z169" s="2" t="str">
        <x:v>Technology-specific analytical synthesis. The CTCN hierarchy is retained; classifications and component dependencies require validation against the selected design, site and supplier documentation before investment or policy use.</x:v>
      </x:c>
      <x:c r="AA169" s="2" t="str">
        <x:v>Physical deployment of Nutrient management: mycorrhiza requires nurseries or seed banks, field access, water and storage systems, laboratories, extension centres, monitoring plots and processing or market facilities; interfaces, foundations, access and environmental protection are sized to the specific resource and design load.</x:v>
      </x:c>
      <x:c r="AB169" s="2" t="str">
        <x:v>For Nutrient management: mycorrhiza,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69" s="2" t="str">
        <x:v>Construction and operation use seed or planting stock, organic matter, fertilisers, soil amendments, water, fencing or structural materials, veterinary inputs and monitoring consumables. For Nutrient management: mycorrhiza, specifications must include durability, compatibility, recycled content and recoverability.</x:v>
      </x:c>
      <x:c r="AD169" s="2" t="str">
        <x:v>Maintenance of Nutrient management: mycorrhiza depends on seed, inoculants, filters, drip lines, nozzles, tool parts, sampling containers, sensor batteries, veterinary supplies and protective equipment; critical spares are selected from failure-mode, lead-time and safety analysis for its installed configuration.</x:v>
      </x:c>
      <x:c r="AE169" s="2" t="str">
        <x:v>The software stack for Nutrient management: mycorrhiza requires databases, secure communications, version-controlled models, computing, backup and interfaces with field or operational systems.</x:v>
      </x:c>
      <x:c r="AF169" s="2" t="str">
        <x:v>For Nutrient management: mycorrhiza, software-related energy is electricity for sensing, computing, storage, communication and cooling; it is normally secondary but must be included for data-intensive or continuous services.</x:v>
      </x:c>
      <x:c r="AG169" s="2" t="str">
        <x:v>The non-physical inputs are calibrated data, metadata, algorithms, boundary conditions, emission or hazard factors, manuals and validation records specific to Nutrient management: mycorrhiza.</x:v>
      </x:c>
      <x:c r="AH169" s="2" t="str">
        <x:v>Software continuity for Nutrient management: mycorrhiza requires licences where applicable, updates, cybersecurity patches, backups, calibration files, model validation and technical support.</x:v>
      </x:c>
      <x:c r="AI169" s="2" t="str">
        <x:v>Orgware depends on the institutions, laboratories, training providers, regulators, operators and community interfaces needed to govern Nutrient management: mycorrhiza.</x:v>
      </x:c>
      <x:c r="AJ169" s="2" t="str">
        <x:v>The orgware supporting Nutrient management: mycorrhiza has mainly indirect energy use from offices, meetings, training and information systems; travel and field supervision may be material at dispersed sites.</x:v>
      </x:c>
      <x:c r="AK169" s="2" t="str">
        <x:v>Its organisational inputs are permits, budgets, trained staff, competence records, contracts, procedures, safeguards, monitoring evidence and stakeholder agreements tailored to Nutrient management: mycorrhiza.</x:v>
      </x:c>
      <x:c r="AL169" s="2" t="str">
        <x:v>Sustained implementation of Nutrient management: mycorrhiza requires procurement and service contracts, audit protocols, training material, reporting templates, insurance or guarantees and periodic independent review.</x:v>
      </x:c>
      <x:c r="AM169" s="2" t="str">
        <x:v>Phosphate rock; Potash</x:v>
      </x:c>
      <x:c r="AN169" s="2" t="str">
        <x:v>China; Morocco; United States; Canada; Russia; Belarus</x:v>
      </x:c>
      <x:c r="AO169" s="2" t="str">
        <x:v>China; Morocco; United States; Canada; Russia; Belarus</x:v>
      </x:c>
      <x:c r="AP169" s="2" t="str">
        <x:v>Nutrient management: mycorrhiza: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9" s="2" t="str">
        <x:v>2024–2025</x:v>
      </x:c>
      <x:c r="AR169" s="2" t="str">
        <x:v>https://pubs.usgs.gov/periodicals/mcs2026/mcs2026.pdf</x:v>
      </x:c>
    </x:row>
    <x:row r="170" ht="240" customHeight="1">
      <x:c r="A170" s="2" t="str">
        <x:v>MIT-0163</x:v>
      </x:c>
      <x:c r="B170" s="2" t="str">
        <x:v>Mitigation</x:v>
      </x:c>
      <x:c r="C170" s="2" t="str">
        <x:v>Agriculture</x:v>
      </x:c>
      <x:c r="D170" s="2" t="str">
        <x:v>Cropland</x:v>
      </x:c>
      <x:c r="E170" s="2" t="str">
        <x:v>N2O reduction</x:v>
      </x:c>
      <x:c r="F170" s="2" t="str">
        <x:v>N2O reduction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It suppresses N₂O formation through process optimisation or destroys N₂O catalytically in the process or tail gas; performance is verified by continuous concentration and flow measurement.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0" s="2" t="str">
        <x:v>Mixed: adaptable design, site-specific implementation</x:v>
      </x:c>
      <x:c r="H170" s="2" t="str">
        <x:v>N2O reduction is adaptable in capacity and configuration but site-specific in final engineering. Its principle remains the same, but resource quality, climate, scale, interfaces and safety constraints must be recalculated for each deployment.</x:v>
      </x:c>
      <x:c r="I170" s="2" t="str">
        <x:v>Primarily hard, with a soft component</x:v>
      </x:c>
      <x:c r="J170" s="2" t="str">
        <x:v>N2O reduction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0" s="2" t="str">
        <x:v>Operation</x:v>
      </x:c>
      <x:c r="L170" s="2" t="str">
        <x:v>N2O reduction is embodied mainly as an operating practice. The deliverable is accepted only when measurable service, quality, safety and climate-performance criteria are met under real conditions.</x:v>
      </x:c>
      <x:c r="M170" s="2" t="str">
        <x:v>Yes, subject to life-cycle safeguards</x:v>
      </x:c>
      <x:c r="N170" s="2" t="str">
        <x:v>N2O reduction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0" s="2" t="str">
        <x:v>N2O reduction: field or forest implements, planting and irrigation equipment, storage or livestock facilities, sampling tools, sensors and protective structures as required.</x:v>
      </x:c>
      <x:c r="P170" s="2" t="str">
        <x:v>N2O reduction: soil–crop–livestock knowledge, nutrient and water budgets, emission factors, carbon accounting, climate services, monitoring protocols and adaptive management.</x:v>
      </x:c>
      <x:c r="Q170" s="2" t="str">
        <x:v>N2O reduction: land tenure, extension, producer organisations, veterinary or phytosanitary services, incentives, safeguards, certification and monitoring arrangements.</x:v>
      </x:c>
      <x:c r="R170" s="2" t="str">
        <x:v>N2O reduction: nurseries or seed banks, field access, water and storage systems, laboratories, extension centres, monitoring plots and processing or market facilities.</x:v>
      </x:c>
      <x:c r="S170" s="2" t="str">
        <x:v>N2O reduction: human and mechanical work, electricity or fuel for machinery, pumping, cooling and processing; biological energy and solar radiation dominate field processes.</x:v>
      </x:c>
      <x:c r="T170" s="2" t="str">
        <x:v>N2O reduction: seed or planting stock, organic matter, fertilisers, soil amendments, water, fencing or structural materials, veterinary inputs and monitoring consumables.</x:v>
      </x:c>
      <x:c r="U170" s="2" t="str">
        <x:v>N2O reduction: seed, inoculants, filters, drip lines, nozzles, tool parts, sampling containers, sensor batteries, veterinary supplies and protective equipment.</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https://www.ipcc.ch/report/ar6/wg3/chapter/chapter-7/; https://openknowledge.fao.org/server/api/core/bitstreams/b21f2087-f398-4718-8461-b92afc82e617/content</x:v>
      </x:c>
      <x:c r="Z170" s="2" t="str">
        <x:v>Technology-specific analytical synthesis. The CTCN hierarchy is retained; classifications and component dependencies require validation against the selected design, site and supplier documentation before investment or policy use.</x:v>
      </x:c>
      <x:c r="AA170" s="2" t="str">
        <x:v>Physical deployment of N2O reduction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0" s="2" t="str">
        <x:v>For N2O reduction,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0" s="2" t="str">
        <x:v>Construction and operation use seed or planting stock, organic matter, fertilisers, soil amendments, water, fencing or structural materials, veterinary inputs and monitoring consumables. For N2O reduction, specifications must include durability, compatibility, recycled content and recoverability.</x:v>
      </x:c>
      <x:c r="AD170" s="2" t="str">
        <x:v>Maintenance of N2O reduction depends on seed, inoculants, filters, drip lines, nozzles, tool parts, sampling containers, sensor batteries, veterinary supplies and protective equipment; critical spares are selected from failure-mode, lead-time and safety analysis for its installed configuration.</x:v>
      </x:c>
      <x:c r="AE170" s="2" t="str">
        <x:v>The software stack for N2O reduction requires databases, secure communications, version-controlled models, computing, backup and interfaces with field or operational systems.</x:v>
      </x:c>
      <x:c r="AF170" s="2" t="str">
        <x:v>For N2O reduction, software-related energy is electricity for sensing, computing, storage, communication and cooling; it is normally secondary but must be included for data-intensive or continuous services.</x:v>
      </x:c>
      <x:c r="AG170" s="2" t="str">
        <x:v>The non-physical inputs are calibrated data, metadata, algorithms, boundary conditions, emission or hazard factors, manuals and validation records specific to N2O reduction.</x:v>
      </x:c>
      <x:c r="AH170" s="2" t="str">
        <x:v>Software continuity for N2O reduction requires licences where applicable, updates, cybersecurity patches, backups, calibration files, model validation and technical support.</x:v>
      </x:c>
      <x:c r="AI170" s="2" t="str">
        <x:v>Orgware depends on the institutions, laboratories, training providers, regulators, operators and community interfaces needed to govern N2O reduction.</x:v>
      </x:c>
      <x:c r="AJ170" s="2" t="str">
        <x:v>The orgware supporting N2O reduction has mainly indirect energy use from offices, meetings, training and information systems; travel and field supervision may be material at dispersed sites.</x:v>
      </x:c>
      <x:c r="AK170" s="2" t="str">
        <x:v>Its organisational inputs are permits, budgets, trained staff, competence records, contracts, procedures, safeguards, monitoring evidence and stakeholder agreements tailored to N2O reduction.</x:v>
      </x:c>
      <x:c r="AL170" s="2" t="str">
        <x:v>Sustained implementation of N2O reduction requires procurement and service contracts, audit protocols, training material, reporting templates, insurance or guarantees and periodic independent review.</x:v>
      </x:c>
      <x:c r="AM170" s="2" t="str">
        <x:v>Phosphate rock; Potash</x:v>
      </x:c>
      <x:c r="AN170" s="2" t="str">
        <x:v>China; Morocco; United States; Canada; Russia; Belarus</x:v>
      </x:c>
      <x:c r="AO170" s="2" t="str">
        <x:v>China; Morocco; United States; Canada; Russia; Belarus</x:v>
      </x:c>
      <x:c r="AP170" s="2" t="str">
        <x:v>N2O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0" s="2" t="str">
        <x:v>2024–2025</x:v>
      </x:c>
      <x:c r="AR170" s="2" t="str">
        <x:v>https://pubs.usgs.gov/periodicals/mcs2026/mcs2026.pdf</x:v>
      </x:c>
    </x:row>
    <x:row r="171" ht="240" customHeight="1">
      <x:c r="A171" s="2" t="str">
        <x:v>MIT-0164</x:v>
      </x:c>
      <x:c r="B171" s="2" t="str">
        <x:v>Mitigation</x:v>
      </x:c>
      <x:c r="C171" s="2" t="str">
        <x:v>Agriculture</x:v>
      </x:c>
      <x:c r="D171" s="2" t="str">
        <x:v>Cropland</x:v>
      </x:c>
      <x:c r="E171" s="2" t="str">
        <x:v>Cropland management</x:v>
      </x:c>
      <x:c r="F171" s="2" t="str">
        <x:v>Cropland management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Cropland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1" s="2" t="str">
        <x:v>Flexible</x:v>
      </x:c>
      <x:c r="H171" s="2" t="str">
        <x:v>Cropland management is transferable through configurable methods, rules and operating parameters. Its principle remains the same, but resource quality, climate, scale, interfaces and safety constraints must be recalculated for each deployment.</x:v>
      </x:c>
      <x:c r="I171" s="2" t="str">
        <x:v>Primarily soft, with physical support</x:v>
      </x:c>
      <x:c r="J171" s="2" t="str">
        <x:v>Cropland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1" s="2" t="str">
        <x:v>Operation</x:v>
      </x:c>
      <x:c r="L171" s="2" t="str">
        <x:v>Cropland management is embodied mainly as an operating practice. The deliverable is accepted only when measurable service, quality, safety and climate-performance criteria are met under real conditions.</x:v>
      </x:c>
      <x:c r="M171" s="2" t="str">
        <x:v>Yes, subject to life-cycle safeguards</x:v>
      </x:c>
      <x:c r="N171" s="2" t="str">
        <x:v>Cropland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1" s="2" t="str">
        <x:v>Cropland management: field or forest implements, planting and irrigation equipment, storage or livestock facilities, sampling tools, sensors and protective structures as required.</x:v>
      </x:c>
      <x:c r="P171" s="2" t="str">
        <x:v>Cropland management: soil–crop–livestock knowledge, nutrient and water budgets, emission factors, carbon accounting, climate services, monitoring protocols and adaptive management.</x:v>
      </x:c>
      <x:c r="Q171" s="2" t="str">
        <x:v>Cropland management: land tenure, extension, producer organisations, veterinary or phytosanitary services, incentives, safeguards, certification and monitoring arrangements.</x:v>
      </x:c>
      <x:c r="R171" s="2" t="str">
        <x:v>Cropland management: nurseries or seed banks, field access, water and storage systems, laboratories, extension centres, monitoring plots and processing or market facilities.</x:v>
      </x:c>
      <x:c r="S171" s="2" t="str">
        <x:v>Cropland management: human and mechanical work, electricity or fuel for machinery, pumping, cooling and processing; biological energy and solar radiation dominate field processes.</x:v>
      </x:c>
      <x:c r="T171" s="2" t="str">
        <x:v>Cropland management: seed or planting stock, organic matter, fertilisers, soil amendments, water, fencing or structural materials, veterinary inputs and monitoring consumables.</x:v>
      </x:c>
      <x:c r="U171" s="2" t="str">
        <x:v>Cropland management: seed, inoculants, filters, drip lines, nozzles, tool parts, sampling containers, sensor batteries, veterinary supplies and protective equipment.</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https://www.ipcc.ch/report/ar6/wg3/chapter/chapter-7/; https://openknowledge.fao.org/server/api/core/bitstreams/b21f2087-f398-4718-8461-b92afc82e617/content</x:v>
      </x:c>
      <x:c r="Z171" s="2" t="str">
        <x:v>Technology-specific analytical synthesis. The CTCN hierarchy is retained; classifications and component dependencies require validation against the selected design, site and supplier documentation before investment or policy use.</x:v>
      </x:c>
      <x:c r="AA171" s="2" t="str">
        <x:v>Physical deployment of Cropland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1" s="2" t="str">
        <x:v>For Cropland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1" s="2" t="str">
        <x:v>Construction and operation use seed or planting stock, organic matter, fertilisers, soil amendments, water, fencing or structural materials, veterinary inputs and monitoring consumables. For Cropland management, specifications must include durability, compatibility, recycled content and recoverability.</x:v>
      </x:c>
      <x:c r="AD171" s="2" t="str">
        <x:v>Maintenance of Cropland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171" s="2" t="str">
        <x:v>The software stack for Cropland management requires databases, secure communications, version-controlled models, computing, backup and interfaces with field or operational systems.</x:v>
      </x:c>
      <x:c r="AF171" s="2" t="str">
        <x:v>For Cropland management, software-related energy is electricity for sensing, computing, storage, communication and cooling; it is normally secondary but must be included for data-intensive or continuous services.</x:v>
      </x:c>
      <x:c r="AG171" s="2" t="str">
        <x:v>The non-physical inputs are calibrated data, metadata, algorithms, boundary conditions, emission or hazard factors, manuals and validation records specific to Cropland management.</x:v>
      </x:c>
      <x:c r="AH171" s="2" t="str">
        <x:v>Software continuity for Cropland management requires licences where applicable, updates, cybersecurity patches, backups, calibration files, model validation and technical support.</x:v>
      </x:c>
      <x:c r="AI171" s="2" t="str">
        <x:v>Orgware depends on the institutions, laboratories, training providers, regulators, operators and community interfaces needed to govern Cropland management.</x:v>
      </x:c>
      <x:c r="AJ171" s="2" t="str">
        <x:v>The orgware supporting Cropland management has mainly indirect energy use from offices, meetings, training and information systems; travel and field supervision may be material at dispersed sites.</x:v>
      </x:c>
      <x:c r="AK171" s="2" t="str">
        <x:v>Its organisational inputs are permits, budgets, trained staff, competence records, contracts, procedures, safeguards, monitoring evidence and stakeholder agreements tailored to Cropland management.</x:v>
      </x:c>
      <x:c r="AL171" s="2" t="str">
        <x:v>Sustained implementation of Cropland management requires procurement and service contracts, audit protocols, training material, reporting templates, insurance or guarantees and periodic independent review.</x:v>
      </x:c>
      <x:c r="AM171" s="2" t="str">
        <x:v>Phosphate rock; Potash</x:v>
      </x:c>
      <x:c r="AN171" s="2" t="str">
        <x:v>China; Morocco; United States; Canada; Russia; Belarus</x:v>
      </x:c>
      <x:c r="AO171" s="2" t="str">
        <x:v>China; Morocco; United States; Canada; Russia; Belarus</x:v>
      </x:c>
      <x:c r="AP171" s="2" t="str">
        <x:v>Cropland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1" s="2" t="str">
        <x:v>2024–2025</x:v>
      </x:c>
      <x:c r="AR171" s="2" t="str">
        <x:v>https://pubs.usgs.gov/periodicals/mcs2026/mcs2026.pdf</x:v>
      </x:c>
    </x:row>
    <x:row r="172" ht="240" customHeight="1">
      <x:c r="A172" s="2" t="str">
        <x:v>MIT-0165</x:v>
      </x:c>
      <x:c r="B172" s="2" t="str">
        <x:v>Mitigation</x:v>
      </x:c>
      <x:c r="C172" s="2" t="str">
        <x:v>Agriculture</x:v>
      </x:c>
      <x:c r="D172" s="2" t="str">
        <x:v>Cropland</x:v>
      </x:c>
      <x:c r="E172" s="2" t="str">
        <x:v>Machinery</x:v>
      </x:c>
      <x:c r="F172" s="2" t="str">
        <x:v>Machinery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Machinery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2" s="2" t="str">
        <x:v>Mixed: adaptable design, site-specific implementation</x:v>
      </x:c>
      <x:c r="H172" s="2" t="str">
        <x:v>Machinery is adaptable in capacity and configuration but site-specific in final engineering. Its principle remains the same, but resource quality, climate, scale, interfaces and safety constraints must be recalculated for each deployment.</x:v>
      </x:c>
      <x:c r="I172" s="2" t="str">
        <x:v>Primarily hard, with a soft component</x:v>
      </x:c>
      <x:c r="J172" s="2" t="str">
        <x:v>Machinery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2" s="2" t="str">
        <x:v>Operation</x:v>
      </x:c>
      <x:c r="L172" s="2" t="str">
        <x:v>Machinery is embodied mainly as an operating practice. The deliverable is accepted only when measurable service, quality, safety and climate-performance criteria are met under real conditions.</x:v>
      </x:c>
      <x:c r="M172" s="2" t="str">
        <x:v>Yes, subject to life-cycle safeguards</x:v>
      </x:c>
      <x:c r="N172" s="2" t="str">
        <x:v>Machinery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2" s="2" t="str">
        <x:v>Machinery: field or forest implements, planting and irrigation equipment, storage or livestock facilities, sampling tools, sensors and protective structures as required.</x:v>
      </x:c>
      <x:c r="P172" s="2" t="str">
        <x:v>Machinery: soil–crop–livestock knowledge, nutrient and water budgets, emission factors, carbon accounting, climate services, monitoring protocols and adaptive management.</x:v>
      </x:c>
      <x:c r="Q172" s="2" t="str">
        <x:v>Machinery: land tenure, extension, producer organisations, veterinary or phytosanitary services, incentives, safeguards, certification and monitoring arrangements.</x:v>
      </x:c>
      <x:c r="R172" s="2" t="str">
        <x:v>Machinery: nurseries or seed banks, field access, water and storage systems, laboratories, extension centres, monitoring plots and processing or market facilities.</x:v>
      </x:c>
      <x:c r="S172" s="2" t="str">
        <x:v>Machinery: human and mechanical work, electricity or fuel for machinery, pumping, cooling and processing; biological energy and solar radiation dominate field processes.</x:v>
      </x:c>
      <x:c r="T172" s="2" t="str">
        <x:v>Machinery: seed or planting stock, organic matter, fertilisers, soil amendments, water, fencing or structural materials, veterinary inputs and monitoring consumables.</x:v>
      </x:c>
      <x:c r="U172" s="2" t="str">
        <x:v>Machinery: seed, inoculants, filters, drip lines, nozzles, tool parts, sampling containers, sensor batteries, veterinary supplies and protective equipment.</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https://www.ipcc.ch/report/ar6/wg3/chapter/chapter-7/; https://openknowledge.fao.org/server/api/core/bitstreams/b21f2087-f398-4718-8461-b92afc82e617/content</x:v>
      </x:c>
      <x:c r="Z172" s="2" t="str">
        <x:v>Technology-specific analytical synthesis. The CTCN hierarchy is retained; classifications and component dependencies require validation against the selected design, site and supplier documentation before investment or policy use.</x:v>
      </x:c>
      <x:c r="AA172" s="2" t="str">
        <x:v>Physical deployment of Machinery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2" s="2" t="str">
        <x:v>For Machinery,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2" s="2" t="str">
        <x:v>Construction and operation use seed or planting stock, organic matter, fertilisers, soil amendments, water, fencing or structural materials, veterinary inputs and monitoring consumables. For Machinery, specifications must include durability, compatibility, recycled content and recoverability.</x:v>
      </x:c>
      <x:c r="AD172" s="2" t="str">
        <x:v>Maintenance of Machinery depends on seed, inoculants, filters, drip lines, nozzles, tool parts, sampling containers, sensor batteries, veterinary supplies and protective equipment; critical spares are selected from failure-mode, lead-time and safety analysis for its installed configuration.</x:v>
      </x:c>
      <x:c r="AE172" s="2" t="str">
        <x:v>The software stack for Machinery requires databases, secure communications, version-controlled models, computing, backup and interfaces with field or operational systems.</x:v>
      </x:c>
      <x:c r="AF172" s="2" t="str">
        <x:v>For Machinery, software-related energy is electricity for sensing, computing, storage, communication and cooling; it is normally secondary but must be included for data-intensive or continuous services.</x:v>
      </x:c>
      <x:c r="AG172" s="2" t="str">
        <x:v>The non-physical inputs are calibrated data, metadata, algorithms, boundary conditions, emission or hazard factors, manuals and validation records specific to Machinery.</x:v>
      </x:c>
      <x:c r="AH172" s="2" t="str">
        <x:v>Software continuity for Machinery requires licences where applicable, updates, cybersecurity patches, backups, calibration files, model validation and technical support.</x:v>
      </x:c>
      <x:c r="AI172" s="2" t="str">
        <x:v>Orgware depends on the institutions, laboratories, training providers, regulators, operators and community interfaces needed to govern Machinery.</x:v>
      </x:c>
      <x:c r="AJ172" s="2" t="str">
        <x:v>The orgware supporting Machinery has mainly indirect energy use from offices, meetings, training and information systems; travel and field supervision may be material at dispersed sites.</x:v>
      </x:c>
      <x:c r="AK172" s="2" t="str">
        <x:v>Its organisational inputs are permits, budgets, trained staff, competence records, contracts, procedures, safeguards, monitoring evidence and stakeholder agreements tailored to Machinery.</x:v>
      </x:c>
      <x:c r="AL172" s="2" t="str">
        <x:v>Sustained implementation of Machinery requires procurement and service contracts, audit protocols, training material, reporting templates, insurance or guarantees and periodic independent review.</x:v>
      </x:c>
      <x:c r="AM172" s="2" t="str">
        <x:v>Phosphate rock; Potash</x:v>
      </x:c>
      <x:c r="AN172" s="2" t="str">
        <x:v>China; Morocco; United States; Canada; Russia; Belarus</x:v>
      </x:c>
      <x:c r="AO172" s="2" t="str">
        <x:v>China; Morocco; United States; Canada; Russia; Belarus</x:v>
      </x:c>
      <x:c r="AP172" s="2" t="str">
        <x:v>Machinery: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2" s="2" t="str">
        <x:v>2024–2025</x:v>
      </x:c>
      <x:c r="AR172" s="2" t="str">
        <x:v>https://pubs.usgs.gov/periodicals/mcs2026/mcs2026.pdf</x:v>
      </x:c>
    </x:row>
    <x:row r="173" ht="240" customHeight="1">
      <x:c r="A173" s="2" t="str">
        <x:v>MIT-0166</x:v>
      </x:c>
      <x:c r="B173" s="2" t="str">
        <x:v>Mitigation</x:v>
      </x:c>
      <x:c r="C173" s="2" t="str">
        <x:v>Agriculture</x:v>
      </x:c>
      <x:c r="D173" s="2" t="str">
        <x:v>Cropland</x:v>
      </x:c>
      <x:c r="E173" s="2" t="str">
        <x:v>Mineral fertilisers</x:v>
      </x:c>
      <x:c r="F173" s="2" t="str">
        <x:v>Mineral fertilisers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Mineral fertilisers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3" s="2" t="str">
        <x:v>Mixed: adaptable design, site-specific implementation</x:v>
      </x:c>
      <x:c r="H173" s="2" t="str">
        <x:v>Mineral fertilisers is adaptable in capacity and configuration but site-specific in final engineering. Its principle remains the same, but resource quality, climate, scale, interfaces and safety constraints must be recalculated for each deployment.</x:v>
      </x:c>
      <x:c r="I173" s="2" t="str">
        <x:v>Primarily hard, with a soft component</x:v>
      </x:c>
      <x:c r="J173" s="2" t="str">
        <x:v>Mineral fertilisers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3" s="2" t="str">
        <x:v>Product and equipment; complementary operation</x:v>
      </x:c>
      <x:c r="L173" s="2" t="str">
        <x:v>Mineral fertilisers is embodied mainly as a product/equipment package. The deliverable is accepted only when measurable service, quality, safety and climate-performance criteria are met under real conditions.</x:v>
      </x:c>
      <x:c r="M173" s="2" t="str">
        <x:v>Conditional on performance and life cycle</x:v>
      </x:c>
      <x:c r="N173" s="2" t="str">
        <x:v>Mineral fertilisers is classified as conditional.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3" s="2" t="str">
        <x:v>Mineral fertilisers: field or forest implements, planting and irrigation equipment, storage or livestock facilities, sampling tools, sensors and protective structures as required.</x:v>
      </x:c>
      <x:c r="P173" s="2" t="str">
        <x:v>Mineral fertilisers: soil–crop–livestock knowledge, nutrient and water budgets, emission factors, carbon accounting, climate services, monitoring protocols and adaptive management.</x:v>
      </x:c>
      <x:c r="Q173" s="2" t="str">
        <x:v>Mineral fertilisers: land tenure, extension, producer organisations, veterinary or phytosanitary services, incentives, safeguards, certification and monitoring arrangements.</x:v>
      </x:c>
      <x:c r="R173" s="2" t="str">
        <x:v>Mineral fertilisers: nurseries or seed banks, field access, water and storage systems, laboratories, extension centres, monitoring plots and processing or market facilities.</x:v>
      </x:c>
      <x:c r="S173" s="2" t="str">
        <x:v>Mineral fertilisers: human and mechanical work, electricity or fuel for machinery, pumping, cooling and processing; biological energy and solar radiation dominate field processes.</x:v>
      </x:c>
      <x:c r="T173" s="2" t="str">
        <x:v>Mineral fertilisers: seed or planting stock, organic matter, fertilisers, soil amendments, water, fencing or structural materials, veterinary inputs and monitoring consumables.</x:v>
      </x:c>
      <x:c r="U173" s="2" t="str">
        <x:v>Mineral fertilisers: seed, inoculants, filters, drip lines, nozzles, tool parts, sampling containers, sensor batteries, veterinary supplies and protective equipment.</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https://www.ipcc.ch/report/ar6/wg3/chapter/chapter-7/; https://openknowledge.fao.org/server/api/core/bitstreams/b21f2087-f398-4718-8461-b92afc82e617/content</x:v>
      </x:c>
      <x:c r="Z173" s="2" t="str">
        <x:v>Technology-specific analytical synthesis. The CTCN hierarchy is retained; classifications and component dependencies require validation against the selected design, site and supplier documentation before investment or policy use.</x:v>
      </x:c>
      <x:c r="AA173" s="2" t="str">
        <x:v>Physical deployment of Mineral fertilisers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3" s="2" t="str">
        <x:v>For Mineral fertilisers,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3" s="2" t="str">
        <x:v>Construction and operation use seed or planting stock, organic matter, fertilisers, soil amendments, water, fencing or structural materials, veterinary inputs and monitoring consumables. For Mineral fertilisers, specifications must include durability, compatibility, recycled content and recoverability.</x:v>
      </x:c>
      <x:c r="AD173" s="2" t="str">
        <x:v>Maintenance of Mineral fertilisers depends on seed, inoculants, filters, drip lines, nozzles, tool parts, sampling containers, sensor batteries, veterinary supplies and protective equipment; critical spares are selected from failure-mode, lead-time and safety analysis for its installed configuration.</x:v>
      </x:c>
      <x:c r="AE173" s="2" t="str">
        <x:v>The software stack for Mineral fertilisers requires databases, secure communications, version-controlled models, computing, backup and interfaces with field or operational systems.</x:v>
      </x:c>
      <x:c r="AF173" s="2" t="str">
        <x:v>For Mineral fertilisers, software-related energy is electricity for sensing, computing, storage, communication and cooling; it is normally secondary but must be included for data-intensive or continuous services.</x:v>
      </x:c>
      <x:c r="AG173" s="2" t="str">
        <x:v>The non-physical inputs are calibrated data, metadata, algorithms, boundary conditions, emission or hazard factors, manuals and validation records specific to Mineral fertilisers.</x:v>
      </x:c>
      <x:c r="AH173" s="2" t="str">
        <x:v>Software continuity for Mineral fertilisers requires licences where applicable, updates, cybersecurity patches, backups, calibration files, model validation and technical support.</x:v>
      </x:c>
      <x:c r="AI173" s="2" t="str">
        <x:v>Orgware depends on the institutions, laboratories, training providers, regulators, operators and community interfaces needed to govern Mineral fertilisers.</x:v>
      </x:c>
      <x:c r="AJ173" s="2" t="str">
        <x:v>The orgware supporting Mineral fertilisers has mainly indirect energy use from offices, meetings, training and information systems; travel and field supervision may be material at dispersed sites.</x:v>
      </x:c>
      <x:c r="AK173" s="2" t="str">
        <x:v>Its organisational inputs are permits, budgets, trained staff, competence records, contracts, procedures, safeguards, monitoring evidence and stakeholder agreements tailored to Mineral fertilisers.</x:v>
      </x:c>
      <x:c r="AL173" s="2" t="str">
        <x:v>Sustained implementation of Mineral fertilisers requires procurement and service contracts, audit protocols, training material, reporting templates, insurance or guarantees and periodic independent review.</x:v>
      </x:c>
      <x:c r="AM173" s="2" t="str">
        <x:v>Phosphate rock; Potash</x:v>
      </x:c>
      <x:c r="AN173" s="2" t="str">
        <x:v>China; Morocco; United States; Canada; Russia; Belarus</x:v>
      </x:c>
      <x:c r="AO173" s="2" t="str">
        <x:v>China; Morocco; United States; Canada; Russia; Belarus</x:v>
      </x:c>
      <x:c r="AP173" s="2" t="str">
        <x:v>Mineral fertilisers: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3" s="2" t="str">
        <x:v>2024–2025</x:v>
      </x:c>
      <x:c r="AR173" s="2" t="str">
        <x:v>https://pubs.usgs.gov/periodicals/mcs2026/mcs2026.pdf</x:v>
      </x:c>
    </x:row>
    <x:row r="174" ht="240" customHeight="1">
      <x:c r="A174" s="2" t="str">
        <x:v>MIT-0167</x:v>
      </x:c>
      <x:c r="B174" s="2" t="str">
        <x:v>Mitigation</x:v>
      </x:c>
      <x:c r="C174" s="2" t="str">
        <x:v>Agriculture</x:v>
      </x:c>
      <x:c r="D174" s="2" t="str">
        <x:v>Cropland</x:v>
      </x:c>
      <x:c r="E174" s="2" t="str">
        <x:v>Irrigation</x:v>
      </x:c>
      <x:c r="F174" s="2" t="str">
        <x:v>Irrigation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Irrigation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4" s="2" t="str">
        <x:v>Mixed: adaptable design, site-specific implementation</x:v>
      </x:c>
      <x:c r="H174" s="2" t="str">
        <x:v>Irrigation is adaptable in capacity and configuration but site-specific in final engineering. Its principle remains the same, but resource quality, climate, scale, interfaces and safety constraints must be recalculated for each deployment.</x:v>
      </x:c>
      <x:c r="I174" s="2" t="str">
        <x:v>Primarily hard, with a soft component</x:v>
      </x:c>
      <x:c r="J174" s="2" t="str">
        <x:v>Irrigation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4" s="2" t="str">
        <x:v>Operation</x:v>
      </x:c>
      <x:c r="L174" s="2" t="str">
        <x:v>Irrigation is embodied mainly as an operating practice. The deliverable is accepted only when measurable service, quality, safety and climate-performance criteria are met under real conditions.</x:v>
      </x:c>
      <x:c r="M174" s="2" t="str">
        <x:v>Yes, subject to life-cycle safeguards</x:v>
      </x:c>
      <x:c r="N174" s="2" t="str">
        <x:v>Irrigation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4" s="2" t="str">
        <x:v>Irrigation: field or forest implements, planting and irrigation equipment, storage or livestock facilities, sampling tools, sensors and protective structures as required.</x:v>
      </x:c>
      <x:c r="P174" s="2" t="str">
        <x:v>Irrigation: soil–crop–livestock knowledge, nutrient and water budgets, emission factors, carbon accounting, climate services, monitoring protocols and adaptive management.</x:v>
      </x:c>
      <x:c r="Q174" s="2" t="str">
        <x:v>Irrigation: land tenure, extension, producer organisations, veterinary or phytosanitary services, incentives, safeguards, certification and monitoring arrangements.</x:v>
      </x:c>
      <x:c r="R174" s="2" t="str">
        <x:v>Irrigation: nurseries or seed banks, field access, water and storage systems, laboratories, extension centres, monitoring plots and processing or market facilities.</x:v>
      </x:c>
      <x:c r="S174" s="2" t="str">
        <x:v>Irrigation: human and mechanical work, electricity or fuel for machinery, pumping, cooling and processing; biological energy and solar radiation dominate field processes.</x:v>
      </x:c>
      <x:c r="T174" s="2" t="str">
        <x:v>Irrigation: seed or planting stock, organic matter, fertilisers, soil amendments, water, fencing or structural materials, veterinary inputs and monitoring consumables.</x:v>
      </x:c>
      <x:c r="U174" s="2" t="str">
        <x:v>Irrigation: seed, inoculants, filters, drip lines, nozzles, tool parts, sampling containers, sensor batteries, veterinary supplies and protective equipment.</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https://www.ipcc.ch/report/ar6/wg3/chapter/chapter-7/; https://openknowledge.fao.org/server/api/core/bitstreams/b21f2087-f398-4718-8461-b92afc82e617/content</x:v>
      </x:c>
      <x:c r="Z174" s="2" t="str">
        <x:v>Technology-specific analytical synthesis. The CTCN hierarchy is retained; classifications and component dependencies require validation against the selected design, site and supplier documentation before investment or policy use.</x:v>
      </x:c>
      <x:c r="AA174" s="2" t="str">
        <x:v>Physical deployment of Irrigation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4" s="2" t="str">
        <x:v>For Irrigation,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4" s="2" t="str">
        <x:v>Construction and operation use seed or planting stock, organic matter, fertilisers, soil amendments, water, fencing or structural materials, veterinary inputs and monitoring consumables. For Irrigation, specifications must include durability, compatibility, recycled content and recoverability.</x:v>
      </x:c>
      <x:c r="AD174" s="2" t="str">
        <x:v>Maintenance of Irrigation depends on seed, inoculants, filters, drip lines, nozzles, tool parts, sampling containers, sensor batteries, veterinary supplies and protective equipment; critical spares are selected from failure-mode, lead-time and safety analysis for its installed configuration.</x:v>
      </x:c>
      <x:c r="AE174" s="2" t="str">
        <x:v>The software stack for Irrigation requires databases, secure communications, version-controlled models, computing, backup and interfaces with field or operational systems.</x:v>
      </x:c>
      <x:c r="AF174" s="2" t="str">
        <x:v>For Irrigation, software-related energy is electricity for sensing, computing, storage, communication and cooling; it is normally secondary but must be included for data-intensive or continuous services.</x:v>
      </x:c>
      <x:c r="AG174" s="2" t="str">
        <x:v>The non-physical inputs are calibrated data, metadata, algorithms, boundary conditions, emission or hazard factors, manuals and validation records specific to Irrigation.</x:v>
      </x:c>
      <x:c r="AH174" s="2" t="str">
        <x:v>Software continuity for Irrigation requires licences where applicable, updates, cybersecurity patches, backups, calibration files, model validation and technical support.</x:v>
      </x:c>
      <x:c r="AI174" s="2" t="str">
        <x:v>Orgware depends on the institutions, laboratories, training providers, regulators, operators and community interfaces needed to govern Irrigation.</x:v>
      </x:c>
      <x:c r="AJ174" s="2" t="str">
        <x:v>The orgware supporting Irrigation has mainly indirect energy use from offices, meetings, training and information systems; travel and field supervision may be material at dispersed sites.</x:v>
      </x:c>
      <x:c r="AK174" s="2" t="str">
        <x:v>Its organisational inputs are permits, budgets, trained staff, competence records, contracts, procedures, safeguards, monitoring evidence and stakeholder agreements tailored to Irrigation.</x:v>
      </x:c>
      <x:c r="AL174" s="2" t="str">
        <x:v>Sustained implementation of Irrigation requires procurement and service contracts, audit protocols, training material, reporting templates, insurance or guarantees and periodic independent review.</x:v>
      </x:c>
      <x:c r="AM174" s="2" t="str">
        <x:v>Phosphate rock; Potash</x:v>
      </x:c>
      <x:c r="AN174" s="2" t="str">
        <x:v>China; Morocco; United States; Canada; Russia; Belarus</x:v>
      </x:c>
      <x:c r="AO174" s="2" t="str">
        <x:v>China; Morocco; United States; Canada; Russia; Belarus</x:v>
      </x:c>
      <x:c r="AP174" s="2" t="str">
        <x:v>Irrigation: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4" s="2" t="str">
        <x:v>2024–2025</x:v>
      </x:c>
      <x:c r="AR174" s="2" t="str">
        <x:v>https://pubs.usgs.gov/periodicals/mcs2026/mcs2026.pdf</x:v>
      </x:c>
    </x:row>
    <x:row r="175" ht="240" customHeight="1">
      <x:c r="A175" s="2" t="str">
        <x:v>MIT-0168</x:v>
      </x:c>
      <x:c r="B175" s="2" t="str">
        <x:v>Mitigation</x:v>
      </x:c>
      <x:c r="C175" s="2" t="str">
        <x:v>Agriculture</x:v>
      </x:c>
      <x:c r="D175" s="2" t="str">
        <x:v>Cropland</x:v>
      </x:c>
      <x:c r="E175" s="2" t="str">
        <x:v>Rice cultivation</x:v>
      </x:c>
      <x:c r="F175" s="2" t="str">
        <x:v>Rice cultivation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Water and residue management alter anaerobic conditions in paddy soils; practices such as alternate wetting and drying can suppress methanogenesis while safeguarding yield and N₂O control.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5" s="2" t="str">
        <x:v>Mixed: adaptable design, site-specific implementation</x:v>
      </x:c>
      <x:c r="H175" s="2" t="str">
        <x:v>Rice cultivation is adaptable in capacity and configuration but site-specific in final engineering. Its principle remains the same, but resource quality, climate, scale, interfaces and safety constraints must be recalculated for each deployment.</x:v>
      </x:c>
      <x:c r="I175" s="2" t="str">
        <x:v>Primarily hard, with a soft component</x:v>
      </x:c>
      <x:c r="J175" s="2" t="str">
        <x:v>Rice cultivation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5" s="2" t="str">
        <x:v>Operation</x:v>
      </x:c>
      <x:c r="L175" s="2" t="str">
        <x:v>Rice cultivation is embodied mainly as an operating practice. The deliverable is accepted only when measurable service, quality, safety and climate-performance criteria are met under real conditions.</x:v>
      </x:c>
      <x:c r="M175" s="2" t="str">
        <x:v>Yes, subject to life-cycle safeguards</x:v>
      </x:c>
      <x:c r="N175" s="2" t="str">
        <x:v>Rice cultivation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5" s="2" t="str">
        <x:v>Rice cultivation: field or forest implements, planting and irrigation equipment, storage or livestock facilities, sampling tools, sensors and protective structures as required.</x:v>
      </x:c>
      <x:c r="P175" s="2" t="str">
        <x:v>Rice cultivation: soil–crop–livestock knowledge, nutrient and water budgets, emission factors, carbon accounting, climate services, monitoring protocols and adaptive management.</x:v>
      </x:c>
      <x:c r="Q175" s="2" t="str">
        <x:v>Rice cultivation: land tenure, extension, producer organisations, veterinary or phytosanitary services, incentives, safeguards, certification and monitoring arrangements.</x:v>
      </x:c>
      <x:c r="R175" s="2" t="str">
        <x:v>Rice cultivation: nurseries or seed banks, field access, water and storage systems, laboratories, extension centres, monitoring plots and processing or market facilities.</x:v>
      </x:c>
      <x:c r="S175" s="2" t="str">
        <x:v>Rice cultivation: human and mechanical work, electricity or fuel for machinery, pumping, cooling and processing; biological energy and solar radiation dominate field processes.</x:v>
      </x:c>
      <x:c r="T175" s="2" t="str">
        <x:v>Rice cultivation: seed or planting stock, organic matter, fertilisers, soil amendments, water, fencing or structural materials, veterinary inputs and monitoring consumables.</x:v>
      </x:c>
      <x:c r="U175" s="2" t="str">
        <x:v>Rice cultivation: seed, inoculants, filters, drip lines, nozzles, tool parts, sampling containers, sensor batteries, veterinary supplies and protective equipment.</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https://www.ipcc.ch/report/ar6/wg3/chapter/chapter-7/; https://openknowledge.fao.org/server/api/core/bitstreams/b21f2087-f398-4718-8461-b92afc82e617/content</x:v>
      </x:c>
      <x:c r="Z175" s="2" t="str">
        <x:v>Technology-specific analytical synthesis. The CTCN hierarchy is retained; classifications and component dependencies require validation against the selected design, site and supplier documentation before investment or policy use.</x:v>
      </x:c>
      <x:c r="AA175" s="2" t="str">
        <x:v>Physical deployment of Rice cultivation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5" s="2" t="str">
        <x:v>For Rice cultivation,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5" s="2" t="str">
        <x:v>Construction and operation use seed or planting stock, organic matter, fertilisers, soil amendments, water, fencing or structural materials, veterinary inputs and monitoring consumables. For Rice cultivation, specifications must include durability, compatibility, recycled content and recoverability.</x:v>
      </x:c>
      <x:c r="AD175" s="2" t="str">
        <x:v>Maintenance of Rice cultivation depends on seed, inoculants, filters, drip lines, nozzles, tool parts, sampling containers, sensor batteries, veterinary supplies and protective equipment; critical spares are selected from failure-mode, lead-time and safety analysis for its installed configuration.</x:v>
      </x:c>
      <x:c r="AE175" s="2" t="str">
        <x:v>The software stack for Rice cultivation requires databases, secure communications, version-controlled models, computing, backup and interfaces with field or operational systems.</x:v>
      </x:c>
      <x:c r="AF175" s="2" t="str">
        <x:v>For Rice cultivation, software-related energy is electricity for sensing, computing, storage, communication and cooling; it is normally secondary but must be included for data-intensive or continuous services.</x:v>
      </x:c>
      <x:c r="AG175" s="2" t="str">
        <x:v>The non-physical inputs are calibrated data, metadata, algorithms, boundary conditions, emission or hazard factors, manuals and validation records specific to Rice cultivation.</x:v>
      </x:c>
      <x:c r="AH175" s="2" t="str">
        <x:v>Software continuity for Rice cultivation requires licences where applicable, updates, cybersecurity patches, backups, calibration files, model validation and technical support.</x:v>
      </x:c>
      <x:c r="AI175" s="2" t="str">
        <x:v>Orgware depends on the institutions, laboratories, training providers, regulators, operators and community interfaces needed to govern Rice cultivation.</x:v>
      </x:c>
      <x:c r="AJ175" s="2" t="str">
        <x:v>The orgware supporting Rice cultivation has mainly indirect energy use from offices, meetings, training and information systems; travel and field supervision may be material at dispersed sites.</x:v>
      </x:c>
      <x:c r="AK175" s="2" t="str">
        <x:v>Its organisational inputs are permits, budgets, trained staff, competence records, contracts, procedures, safeguards, monitoring evidence and stakeholder agreements tailored to Rice cultivation.</x:v>
      </x:c>
      <x:c r="AL175" s="2" t="str">
        <x:v>Sustained implementation of Rice cultivation requires procurement and service contracts, audit protocols, training material, reporting templates, insurance or guarantees and periodic independent review.</x:v>
      </x:c>
      <x:c r="AM175" s="2" t="str">
        <x:v>Phosphate rock; Potash</x:v>
      </x:c>
      <x:c r="AN175" s="2" t="str">
        <x:v>China; Morocco; United States; Canada; Russia; Belarus</x:v>
      </x:c>
      <x:c r="AO175" s="2" t="str">
        <x:v>China; Morocco; United States; Canada; Russia; Belarus</x:v>
      </x:c>
      <x:c r="AP175" s="2" t="str">
        <x:v>Rice cultivation: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5" s="2" t="str">
        <x:v>2024–2025</x:v>
      </x:c>
      <x:c r="AR175" s="2" t="str">
        <x:v>https://pubs.usgs.gov/periodicals/mcs2026/mcs2026.pdf</x:v>
      </x:c>
    </x:row>
    <x:row r="176" ht="240" customHeight="1">
      <x:c r="A176" s="2" t="str">
        <x:v>MIT-0169</x:v>
      </x:c>
      <x:c r="B176" s="2" t="str">
        <x:v>Mitigation</x:v>
      </x:c>
      <x:c r="C176" s="2" t="str">
        <x:v>Agriculture</x:v>
      </x:c>
      <x:c r="D176" s="2" t="str">
        <x:v>Cropland</x:v>
      </x:c>
      <x:c r="E176" s="2" t="str">
        <x:v>CH4 reduction</x:v>
      </x:c>
      <x:c r="F176" s="2" t="str">
        <x:v>CH4 reduction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CH4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6" s="2" t="str">
        <x:v>Mixed: adaptable design, site-specific implementation</x:v>
      </x:c>
      <x:c r="H176" s="2" t="str">
        <x:v>CH4 reduction is adaptable in capacity and configuration but site-specific in final engineering. Its principle remains the same, but resource quality, climate, scale, interfaces and safety constraints must be recalculated for each deployment.</x:v>
      </x:c>
      <x:c r="I176" s="2" t="str">
        <x:v>Primarily hard, with a soft component</x:v>
      </x:c>
      <x:c r="J176" s="2" t="str">
        <x:v>CH4 reduction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6" s="2" t="str">
        <x:v>Operation</x:v>
      </x:c>
      <x:c r="L176" s="2" t="str">
        <x:v>CH4 reduction is embodied mainly as an operating practice. The deliverable is accepted only when measurable service, quality, safety and climate-performance criteria are met under real conditions.</x:v>
      </x:c>
      <x:c r="M176" s="2" t="str">
        <x:v>Yes, subject to life-cycle safeguards</x:v>
      </x:c>
      <x:c r="N176" s="2" t="str">
        <x:v>CH4 reduction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6" s="2" t="str">
        <x:v>CH4 reduction: field or forest implements, planting and irrigation equipment, storage or livestock facilities, sampling tools, sensors and protective structures as required.</x:v>
      </x:c>
      <x:c r="P176" s="2" t="str">
        <x:v>CH4 reduction: soil–crop–livestock knowledge, nutrient and water budgets, emission factors, carbon accounting, climate services, monitoring protocols and adaptive management.</x:v>
      </x:c>
      <x:c r="Q176" s="2" t="str">
        <x:v>CH4 reduction: land tenure, extension, producer organisations, veterinary or phytosanitary services, incentives, safeguards, certification and monitoring arrangements.</x:v>
      </x:c>
      <x:c r="R176" s="2" t="str">
        <x:v>CH4 reduction: nurseries or seed banks, field access, water and storage systems, laboratories, extension centres, monitoring plots and processing or market facilities.</x:v>
      </x:c>
      <x:c r="S176" s="2" t="str">
        <x:v>CH4 reduction: human and mechanical work, electricity or fuel for machinery, pumping, cooling and processing; biological energy and solar radiation dominate field processes.</x:v>
      </x:c>
      <x:c r="T176" s="2" t="str">
        <x:v>CH4 reduction: seed or planting stock, organic matter, fertilisers, soil amendments, water, fencing or structural materials, veterinary inputs and monitoring consumables.</x:v>
      </x:c>
      <x:c r="U176" s="2" t="str">
        <x:v>CH4 reduction: seed, inoculants, filters, drip lines, nozzles, tool parts, sampling containers, sensor batteries, veterinary supplies and protective equipment.</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https://www.ipcc.ch/report/ar6/wg3/chapter/chapter-7/; https://openknowledge.fao.org/server/api/core/bitstreams/b21f2087-f398-4718-8461-b92afc82e617/content</x:v>
      </x:c>
      <x:c r="Z176" s="2" t="str">
        <x:v>Technology-specific analytical synthesis. The CTCN hierarchy is retained; classifications and component dependencies require validation against the selected design, site and supplier documentation before investment or policy use.</x:v>
      </x:c>
      <x:c r="AA176" s="2" t="str">
        <x:v>Physical deployment of CH4 reduction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6" s="2" t="str">
        <x:v>For CH4 reduction,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6" s="2" t="str">
        <x:v>Construction and operation use seed or planting stock, organic matter, fertilisers, soil amendments, water, fencing or structural materials, veterinary inputs and monitoring consumables. For CH4 reduction, specifications must include durability, compatibility, recycled content and recoverability.</x:v>
      </x:c>
      <x:c r="AD176" s="2" t="str">
        <x:v>Maintenance of CH4 reduction depends on seed, inoculants, filters, drip lines, nozzles, tool parts, sampling containers, sensor batteries, veterinary supplies and protective equipment; critical spares are selected from failure-mode, lead-time and safety analysis for its installed configuration.</x:v>
      </x:c>
      <x:c r="AE176" s="2" t="str">
        <x:v>The software stack for CH4 reduction requires databases, secure communications, version-controlled models, computing, backup and interfaces with field or operational systems.</x:v>
      </x:c>
      <x:c r="AF176" s="2" t="str">
        <x:v>For CH4 reduction, software-related energy is electricity for sensing, computing, storage, communication and cooling; it is normally secondary but must be included for data-intensive or continuous services.</x:v>
      </x:c>
      <x:c r="AG176" s="2" t="str">
        <x:v>The non-physical inputs are calibrated data, metadata, algorithms, boundary conditions, emission or hazard factors, manuals and validation records specific to CH4 reduction.</x:v>
      </x:c>
      <x:c r="AH176" s="2" t="str">
        <x:v>Software continuity for CH4 reduction requires licences where applicable, updates, cybersecurity patches, backups, calibration files, model validation and technical support.</x:v>
      </x:c>
      <x:c r="AI176" s="2" t="str">
        <x:v>Orgware depends on the institutions, laboratories, training providers, regulators, operators and community interfaces needed to govern CH4 reduction.</x:v>
      </x:c>
      <x:c r="AJ176" s="2" t="str">
        <x:v>The orgware supporting CH4 reduction has mainly indirect energy use from offices, meetings, training and information systems; travel and field supervision may be material at dispersed sites.</x:v>
      </x:c>
      <x:c r="AK176" s="2" t="str">
        <x:v>Its organisational inputs are permits, budgets, trained staff, competence records, contracts, procedures, safeguards, monitoring evidence and stakeholder agreements tailored to CH4 reduction.</x:v>
      </x:c>
      <x:c r="AL176" s="2" t="str">
        <x:v>Sustained implementation of CH4 reduction requires procurement and service contracts, audit protocols, training material, reporting templates, insurance or guarantees and periodic independent review.</x:v>
      </x:c>
      <x:c r="AM176" s="2" t="str">
        <x:v>Phosphate rock; Potash</x:v>
      </x:c>
      <x:c r="AN176" s="2" t="str">
        <x:v>China; Morocco; United States; Canada; Russia; Belarus</x:v>
      </x:c>
      <x:c r="AO176" s="2" t="str">
        <x:v>China; Morocco; United States; Canada; Russia; Belarus</x:v>
      </x:c>
      <x:c r="AP176" s="2" t="str">
        <x:v>CH4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6" s="2" t="str">
        <x:v>2024–2025</x:v>
      </x:c>
      <x:c r="AR176" s="2" t="str">
        <x:v>https://pubs.usgs.gov/periodicals/mcs2026/mcs2026.pdf</x:v>
      </x:c>
    </x:row>
    <x:row r="177" ht="240" customHeight="1">
      <x:c r="A177" s="2" t="str">
        <x:v>MIT-0170</x:v>
      </x:c>
      <x:c r="B177" s="2" t="str">
        <x:v>Mitigation</x:v>
      </x:c>
      <x:c r="C177" s="2" t="str">
        <x:v>Agriculture</x:v>
      </x:c>
      <x:c r="D177" s="2" t="str">
        <x:v>Cropland</x:v>
      </x:c>
      <x:c r="E177" s="2" t="str">
        <x:v>Soil management</x:v>
      </x:c>
      <x:c r="F177" s="2" t="str">
        <x:v>Soil management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Soil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7" s="2" t="str">
        <x:v>Flexible</x:v>
      </x:c>
      <x:c r="H177" s="2" t="str">
        <x:v>Soil management is transferable through configurable methods, rules and operating parameters. Its principle remains the same, but resource quality, climate, scale, interfaces and safety constraints must be recalculated for each deployment.</x:v>
      </x:c>
      <x:c r="I177" s="2" t="str">
        <x:v>Primarily soft, with physical support</x:v>
      </x:c>
      <x:c r="J177" s="2" t="str">
        <x:v>Soil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7" s="2" t="str">
        <x:v>Operation</x:v>
      </x:c>
      <x:c r="L177" s="2" t="str">
        <x:v>Soil management is embodied mainly as an operating practice. The deliverable is accepted only when measurable service, quality, safety and climate-performance criteria are met under real conditions.</x:v>
      </x:c>
      <x:c r="M177" s="2" t="str">
        <x:v>Yes, subject to life-cycle safeguards</x:v>
      </x:c>
      <x:c r="N177" s="2" t="str">
        <x:v>Soil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7" s="2" t="str">
        <x:v>Soil management: field or forest implements, planting and irrigation equipment, storage or livestock facilities, sampling tools, sensors and protective structures as required.</x:v>
      </x:c>
      <x:c r="P177" s="2" t="str">
        <x:v>Soil management: soil–crop–livestock knowledge, nutrient and water budgets, emission factors, carbon accounting, climate services, monitoring protocols and adaptive management.</x:v>
      </x:c>
      <x:c r="Q177" s="2" t="str">
        <x:v>Soil management: land tenure, extension, producer organisations, veterinary or phytosanitary services, incentives, safeguards, certification and monitoring arrangements.</x:v>
      </x:c>
      <x:c r="R177" s="2" t="str">
        <x:v>Soil management: nurseries or seed banks, field access, water and storage systems, laboratories, extension centres, monitoring plots and processing or market facilities.</x:v>
      </x:c>
      <x:c r="S177" s="2" t="str">
        <x:v>Soil management: human and mechanical work, electricity or fuel for machinery, pumping, cooling and processing; biological energy and solar radiation dominate field processes.</x:v>
      </x:c>
      <x:c r="T177" s="2" t="str">
        <x:v>Soil management: seed or planting stock, organic matter, fertilisers, soil amendments, water, fencing or structural materials, veterinary inputs and monitoring consumables.</x:v>
      </x:c>
      <x:c r="U177" s="2" t="str">
        <x:v>Soil management: seed, inoculants, filters, drip lines, nozzles, tool parts, sampling containers, sensor batteries, veterinary supplies and protective equipment.</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https://www.ipcc.ch/report/ar6/wg3/chapter/chapter-7/; https://openknowledge.fao.org/server/api/core/bitstreams/b21f2087-f398-4718-8461-b92afc82e617/content</x:v>
      </x:c>
      <x:c r="Z177" s="2" t="str">
        <x:v>Technology-specific analytical synthesis. The CTCN hierarchy is retained; classifications and component dependencies require validation against the selected design, site and supplier documentation before investment or policy use.</x:v>
      </x:c>
      <x:c r="AA177" s="2" t="str">
        <x:v>Physical deployment of Soil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7" s="2" t="str">
        <x:v>For Soil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7" s="2" t="str">
        <x:v>Construction and operation use seed or planting stock, organic matter, fertilisers, soil amendments, water, fencing or structural materials, veterinary inputs and monitoring consumables. For Soil management, specifications must include durability, compatibility, recycled content and recoverability.</x:v>
      </x:c>
      <x:c r="AD177" s="2" t="str">
        <x:v>Maintenance of Soil management depends on seed, inoculants, filters, drip lines, nozzles, tool parts, sampling containers, sensor batteries, veterinary supplies and protective equipment; critical spares are selected from failure-mode, lead-time and safety analysis for its installed configuration.</x:v>
      </x:c>
      <x:c r="AE177" s="2" t="str">
        <x:v>The software stack for Soil management requires databases, secure communications, version-controlled models, computing, backup and interfaces with field or operational systems.</x:v>
      </x:c>
      <x:c r="AF177" s="2" t="str">
        <x:v>For Soil management, software-related energy is electricity for sensing, computing, storage, communication and cooling; it is normally secondary but must be included for data-intensive or continuous services.</x:v>
      </x:c>
      <x:c r="AG177" s="2" t="str">
        <x:v>The non-physical inputs are calibrated data, metadata, algorithms, boundary conditions, emission or hazard factors, manuals and validation records specific to Soil management.</x:v>
      </x:c>
      <x:c r="AH177" s="2" t="str">
        <x:v>Software continuity for Soil management requires licences where applicable, updates, cybersecurity patches, backups, calibration files, model validation and technical support.</x:v>
      </x:c>
      <x:c r="AI177" s="2" t="str">
        <x:v>Orgware depends on the institutions, laboratories, training providers, regulators, operators and community interfaces needed to govern Soil management.</x:v>
      </x:c>
      <x:c r="AJ177" s="2" t="str">
        <x:v>The orgware supporting Soil management has mainly indirect energy use from offices, meetings, training and information systems; travel and field supervision may be material at dispersed sites.</x:v>
      </x:c>
      <x:c r="AK177" s="2" t="str">
        <x:v>Its organisational inputs are permits, budgets, trained staff, competence records, contracts, procedures, safeguards, monitoring evidence and stakeholder agreements tailored to Soil management.</x:v>
      </x:c>
      <x:c r="AL177" s="2" t="str">
        <x:v>Sustained implementation of Soil management requires procurement and service contracts, audit protocols, training material, reporting templates, insurance or guarantees and periodic independent review.</x:v>
      </x:c>
      <x:c r="AM177" s="2" t="str">
        <x:v>Phosphate rock; Potash</x:v>
      </x:c>
      <x:c r="AN177" s="2" t="str">
        <x:v>China; Morocco; United States; Canada; Russia; Belarus</x:v>
      </x:c>
      <x:c r="AO177" s="2" t="str">
        <x:v>China; Morocco; United States; Canada; Russia; Belarus</x:v>
      </x:c>
      <x:c r="AP177" s="2" t="str">
        <x:v>Soil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7" s="2" t="str">
        <x:v>2024–2025</x:v>
      </x:c>
      <x:c r="AR177" s="2" t="str">
        <x:v>https://pubs.usgs.gov/periodicals/mcs2026/mcs2026.pdf</x:v>
      </x:c>
    </x:row>
    <x:row r="178" ht="240" customHeight="1">
      <x:c r="A178" s="2" t="str">
        <x:v>MIT-0171</x:v>
      </x:c>
      <x:c r="B178" s="2" t="str">
        <x:v>Mitigation</x:v>
      </x:c>
      <x:c r="C178" s="2" t="str">
        <x:v>Agriculture</x:v>
      </x:c>
      <x:c r="D178" s="2" t="str">
        <x:v>Cropland</x:v>
      </x:c>
      <x:c r="E178" s="2" t="str">
        <x:v>Restoration of organic soils</x:v>
      </x:c>
      <x:c r="F178" s="2" t="str">
        <x:v>Restoration of organic soils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Restoration of organic soils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8" s="2" t="str">
        <x:v>Mixed: adaptable design, site-specific implementation</x:v>
      </x:c>
      <x:c r="H178" s="2" t="str">
        <x:v>Restoration of organic soils is adaptable in capacity and configuration but site-specific in final engineering. Its principle remains the same, but resource quality, climate, scale, interfaces and safety constraints must be recalculated for each deployment.</x:v>
      </x:c>
      <x:c r="I178" s="2" t="str">
        <x:v>Primarily hard, with a soft component</x:v>
      </x:c>
      <x:c r="J178" s="2" t="str">
        <x:v>Restoration of organic soils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8" s="2" t="str">
        <x:v>Operation</x:v>
      </x:c>
      <x:c r="L178" s="2" t="str">
        <x:v>Restoration of organic soils is embodied mainly as an operating practice. The deliverable is accepted only when measurable service, quality, safety and climate-performance criteria are met under real conditions.</x:v>
      </x:c>
      <x:c r="M178" s="2" t="str">
        <x:v>Yes, subject to life-cycle safeguards</x:v>
      </x:c>
      <x:c r="N178" s="2" t="str">
        <x:v>Restoration of organic soils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8" s="2" t="str">
        <x:v>Restoration of organic soils: field or forest implements, planting and irrigation equipment, storage or livestock facilities, sampling tools, sensors and protective structures as required.</x:v>
      </x:c>
      <x:c r="P178" s="2" t="str">
        <x:v>Restoration of organic soils: soil–crop–livestock knowledge, nutrient and water budgets, emission factors, carbon accounting, climate services, monitoring protocols and adaptive management.</x:v>
      </x:c>
      <x:c r="Q178" s="2" t="str">
        <x:v>Restoration of organic soils: land tenure, extension, producer organisations, veterinary or phytosanitary services, incentives, safeguards, certification and monitoring arrangements.</x:v>
      </x:c>
      <x:c r="R178" s="2" t="str">
        <x:v>Restoration of organic soils: nurseries or seed banks, field access, water and storage systems, laboratories, extension centres, monitoring plots and processing or market facilities.</x:v>
      </x:c>
      <x:c r="S178" s="2" t="str">
        <x:v>Restoration of organic soils: human and mechanical work, electricity or fuel for machinery, pumping, cooling and processing; biological energy and solar radiation dominate field processes.</x:v>
      </x:c>
      <x:c r="T178" s="2" t="str">
        <x:v>Restoration of organic soils: seed or planting stock, organic matter, fertilisers, soil amendments, water, fencing or structural materials, veterinary inputs and monitoring consumables.</x:v>
      </x:c>
      <x:c r="U178" s="2" t="str">
        <x:v>Restoration of organic soils: seed, inoculants, filters, drip lines, nozzles, tool parts, sampling containers, sensor batteries, veterinary supplies and protective equipment.</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https://www.ipcc.ch/report/ar6/wg3/chapter/chapter-7/; https://openknowledge.fao.org/server/api/core/bitstreams/b21f2087-f398-4718-8461-b92afc82e617/content</x:v>
      </x:c>
      <x:c r="Z178" s="2" t="str">
        <x:v>Technology-specific analytical synthesis. The CTCN hierarchy is retained; classifications and component dependencies require validation against the selected design, site and supplier documentation before investment or policy use.</x:v>
      </x:c>
      <x:c r="AA178" s="2" t="str">
        <x:v>Physical deployment of Restoration of organic soils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8" s="2" t="str">
        <x:v>For Restoration of organic soils,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8" s="2" t="str">
        <x:v>Construction and operation use seed or planting stock, organic matter, fertilisers, soil amendments, water, fencing or structural materials, veterinary inputs and monitoring consumables. For Restoration of organic soils, specifications must include durability, compatibility, recycled content and recoverability.</x:v>
      </x:c>
      <x:c r="AD178" s="2" t="str">
        <x:v>Maintenance of Restoration of organic soils depends on seed, inoculants, filters, drip lines, nozzles, tool parts, sampling containers, sensor batteries, veterinary supplies and protective equipment; critical spares are selected from failure-mode, lead-time and safety analysis for its installed configuration.</x:v>
      </x:c>
      <x:c r="AE178" s="2" t="str">
        <x:v>The software stack for Restoration of organic soils requires databases, secure communications, version-controlled models, computing, backup and interfaces with field or operational systems.</x:v>
      </x:c>
      <x:c r="AF178" s="2" t="str">
        <x:v>For Restoration of organic soils, software-related energy is electricity for sensing, computing, storage, communication and cooling; it is normally secondary but must be included for data-intensive or continuous services.</x:v>
      </x:c>
      <x:c r="AG178" s="2" t="str">
        <x:v>The non-physical inputs are calibrated data, metadata, algorithms, boundary conditions, emission or hazard factors, manuals and validation records specific to Restoration of organic soils.</x:v>
      </x:c>
      <x:c r="AH178" s="2" t="str">
        <x:v>Software continuity for Restoration of organic soils requires licences where applicable, updates, cybersecurity patches, backups, calibration files, model validation and technical support.</x:v>
      </x:c>
      <x:c r="AI178" s="2" t="str">
        <x:v>Orgware depends on the institutions, laboratories, training providers, regulators, operators and community interfaces needed to govern Restoration of organic soils.</x:v>
      </x:c>
      <x:c r="AJ178" s="2" t="str">
        <x:v>The orgware supporting Restoration of organic soils has mainly indirect energy use from offices, meetings, training and information systems; travel and field supervision may be material at dispersed sites.</x:v>
      </x:c>
      <x:c r="AK178" s="2" t="str">
        <x:v>Its organisational inputs are permits, budgets, trained staff, competence records, contracts, procedures, safeguards, monitoring evidence and stakeholder agreements tailored to Restoration of organic soils.</x:v>
      </x:c>
      <x:c r="AL178" s="2" t="str">
        <x:v>Sustained implementation of Restoration of organic soils requires procurement and service contracts, audit protocols, training material, reporting templates, insurance or guarantees and periodic independent review.</x:v>
      </x:c>
      <x:c r="AM178" s="2" t="str">
        <x:v>Phosphate rock; Potash</x:v>
      </x:c>
      <x:c r="AN178" s="2" t="str">
        <x:v>China; Morocco; United States; Canada; Russia; Belarus</x:v>
      </x:c>
      <x:c r="AO178" s="2" t="str">
        <x:v>China; Morocco; United States; Canada; Russia; Belarus</x:v>
      </x:c>
      <x:c r="AP178" s="2" t="str">
        <x:v>Restoration of organic soils: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8" s="2" t="str">
        <x:v>2024–2025</x:v>
      </x:c>
      <x:c r="AR178" s="2" t="str">
        <x:v>https://pubs.usgs.gov/periodicals/mcs2026/mcs2026.pdf</x:v>
      </x:c>
    </x:row>
    <x:row r="179" ht="240" customHeight="1">
      <x:c r="A179" s="2" t="str">
        <x:v>MIT-0172</x:v>
      </x:c>
      <x:c r="B179" s="2" t="str">
        <x:v>Mitigation</x:v>
      </x:c>
      <x:c r="C179" s="2" t="str">
        <x:v>Agriculture</x:v>
      </x:c>
      <x:c r="D179" s="2" t="str">
        <x:v>Cropland</x:v>
      </x:c>
      <x:c r="E179" s="2" t="str">
        <x:v>Restoration of degraded lands</x:v>
      </x:c>
      <x:c r="F179" s="2" t="str">
        <x:v>Restoration of degraded lands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Restoration of degraded lands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79" s="2" t="str">
        <x:v>Mixed: adaptable design, site-specific implementation</x:v>
      </x:c>
      <x:c r="H179" s="2" t="str">
        <x:v>Restoration of degraded lands is adaptable in capacity and configuration but site-specific in final engineering. Its principle remains the same, but resource quality, climate, scale, interfaces and safety constraints must be recalculated for each deployment.</x:v>
      </x:c>
      <x:c r="I179" s="2" t="str">
        <x:v>Primarily hard, with a soft component</x:v>
      </x:c>
      <x:c r="J179" s="2" t="str">
        <x:v>Restoration of degraded lands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79" s="2" t="str">
        <x:v>Operation</x:v>
      </x:c>
      <x:c r="L179" s="2" t="str">
        <x:v>Restoration of degraded lands is embodied mainly as an operating practice. The deliverable is accepted only when measurable service, quality, safety and climate-performance criteria are met under real conditions.</x:v>
      </x:c>
      <x:c r="M179" s="2" t="str">
        <x:v>Yes, subject to life-cycle safeguards</x:v>
      </x:c>
      <x:c r="N179" s="2" t="str">
        <x:v>Restoration of degraded lands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79" s="2" t="str">
        <x:v>Restoration of degraded lands: field or forest implements, planting and irrigation equipment, storage or livestock facilities, sampling tools, sensors and protective structures as required.</x:v>
      </x:c>
      <x:c r="P179" s="2" t="str">
        <x:v>Restoration of degraded lands: soil–crop–livestock knowledge, nutrient and water budgets, emission factors, carbon accounting, climate services, monitoring protocols and adaptive management.</x:v>
      </x:c>
      <x:c r="Q179" s="2" t="str">
        <x:v>Restoration of degraded lands: land tenure, extension, producer organisations, veterinary or phytosanitary services, incentives, safeguards, certification and monitoring arrangements.</x:v>
      </x:c>
      <x:c r="R179" s="2" t="str">
        <x:v>Restoration of degraded lands: nurseries or seed banks, field access, water and storage systems, laboratories, extension centres, monitoring plots and processing or market facilities.</x:v>
      </x:c>
      <x:c r="S179" s="2" t="str">
        <x:v>Restoration of degraded lands: human and mechanical work, electricity or fuel for machinery, pumping, cooling and processing; biological energy and solar radiation dominate field processes.</x:v>
      </x:c>
      <x:c r="T179" s="2" t="str">
        <x:v>Restoration of degraded lands: seed or planting stock, organic matter, fertilisers, soil amendments, water, fencing or structural materials, veterinary inputs and monitoring consumables.</x:v>
      </x:c>
      <x:c r="U179" s="2" t="str">
        <x:v>Restoration of degraded lands: seed, inoculants, filters, drip lines, nozzles, tool parts, sampling containers, sensor batteries, veterinary supplies and protective equipment.</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https://www.ipcc.ch/report/ar6/wg3/chapter/chapter-7/; https://openknowledge.fao.org/server/api/core/bitstreams/b21f2087-f398-4718-8461-b92afc82e617/content</x:v>
      </x:c>
      <x:c r="Z179" s="2" t="str">
        <x:v>Technology-specific analytical synthesis. The CTCN hierarchy is retained; classifications and component dependencies require validation against the selected design, site and supplier documentation before investment or policy use.</x:v>
      </x:c>
      <x:c r="AA179" s="2" t="str">
        <x:v>Physical deployment of Restoration of degraded lands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79" s="2" t="str">
        <x:v>For Restoration of degraded lands,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79" s="2" t="str">
        <x:v>Construction and operation use seed or planting stock, organic matter, fertilisers, soil amendments, water, fencing or structural materials, veterinary inputs and monitoring consumables. For Restoration of degraded lands, specifications must include durability, compatibility, recycled content and recoverability.</x:v>
      </x:c>
      <x:c r="AD179" s="2" t="str">
        <x:v>Maintenance of Restoration of degraded lands depends on seed, inoculants, filters, drip lines, nozzles, tool parts, sampling containers, sensor batteries, veterinary supplies and protective equipment; critical spares are selected from failure-mode, lead-time and safety analysis for its installed configuration.</x:v>
      </x:c>
      <x:c r="AE179" s="2" t="str">
        <x:v>The software stack for Restoration of degraded lands requires databases, secure communications, version-controlled models, computing, backup and interfaces with field or operational systems.</x:v>
      </x:c>
      <x:c r="AF179" s="2" t="str">
        <x:v>For Restoration of degraded lands, software-related energy is electricity for sensing, computing, storage, communication and cooling; it is normally secondary but must be included for data-intensive or continuous services.</x:v>
      </x:c>
      <x:c r="AG179" s="2" t="str">
        <x:v>The non-physical inputs are calibrated data, metadata, algorithms, boundary conditions, emission or hazard factors, manuals and validation records specific to Restoration of degraded lands.</x:v>
      </x:c>
      <x:c r="AH179" s="2" t="str">
        <x:v>Software continuity for Restoration of degraded lands requires licences where applicable, updates, cybersecurity patches, backups, calibration files, model validation and technical support.</x:v>
      </x:c>
      <x:c r="AI179" s="2" t="str">
        <x:v>Orgware depends on the institutions, laboratories, training providers, regulators, operators and community interfaces needed to govern Restoration of degraded lands.</x:v>
      </x:c>
      <x:c r="AJ179" s="2" t="str">
        <x:v>The orgware supporting Restoration of degraded lands has mainly indirect energy use from offices, meetings, training and information systems; travel and field supervision may be material at dispersed sites.</x:v>
      </x:c>
      <x:c r="AK179" s="2" t="str">
        <x:v>Its organisational inputs are permits, budgets, trained staff, competence records, contracts, procedures, safeguards, monitoring evidence and stakeholder agreements tailored to Restoration of degraded lands.</x:v>
      </x:c>
      <x:c r="AL179" s="2" t="str">
        <x:v>Sustained implementation of Restoration of degraded lands requires procurement and service contracts, audit protocols, training material, reporting templates, insurance or guarantees and periodic independent review.</x:v>
      </x:c>
      <x:c r="AM179" s="2" t="str">
        <x:v>Phosphate rock; Potash</x:v>
      </x:c>
      <x:c r="AN179" s="2" t="str">
        <x:v>China; Morocco; United States; Canada; Russia; Belarus</x:v>
      </x:c>
      <x:c r="AO179" s="2" t="str">
        <x:v>China; Morocco; United States; Canada; Russia; Belarus</x:v>
      </x:c>
      <x:c r="AP179" s="2" t="str">
        <x:v>Restoration of degraded lands: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9" s="2" t="str">
        <x:v>2024–2025</x:v>
      </x:c>
      <x:c r="AR179" s="2" t="str">
        <x:v>https://pubs.usgs.gov/periodicals/mcs2026/mcs2026.pdf</x:v>
      </x:c>
    </x:row>
    <x:row r="180" ht="240" customHeight="1">
      <x:c r="A180" s="2" t="str">
        <x:v>MIT-0173</x:v>
      </x:c>
      <x:c r="B180" s="2" t="str">
        <x:v>Mitigation</x:v>
      </x:c>
      <x:c r="C180" s="2" t="str">
        <x:v>Agriculture</x:v>
      </x:c>
      <x:c r="D180" s="2" t="str">
        <x:v>Cropland</x:v>
      </x:c>
      <x:c r="E180" s="2" t="str">
        <x:v>Organic agriculture</x:v>
      </x:c>
      <x:c r="F180" s="2" t="str">
        <x:v>Organic agriculture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Organic agriculture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0" s="2" t="str">
        <x:v>Mixed: adaptable design, site-specific implementation</x:v>
      </x:c>
      <x:c r="H180" s="2" t="str">
        <x:v>Organic agriculture is adaptable in capacity and configuration but site-specific in final engineering. Its principle remains the same, but resource quality, climate, scale, interfaces and safety constraints must be recalculated for each deployment.</x:v>
      </x:c>
      <x:c r="I180" s="2" t="str">
        <x:v>Primarily hard, with a soft component</x:v>
      </x:c>
      <x:c r="J180" s="2" t="str">
        <x:v>Organic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0" s="2" t="str">
        <x:v>Operation</x:v>
      </x:c>
      <x:c r="L180" s="2" t="str">
        <x:v>Organic agriculture is embodied mainly as an operating practice. The deliverable is accepted only when measurable service, quality, safety and climate-performance criteria are met under real conditions.</x:v>
      </x:c>
      <x:c r="M180" s="2" t="str">
        <x:v>Yes, subject to life-cycle safeguards</x:v>
      </x:c>
      <x:c r="N180" s="2" t="str">
        <x:v>Organic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0" s="2" t="str">
        <x:v>Organic agriculture: field or forest implements, planting and irrigation equipment, storage or livestock facilities, sampling tools, sensors and protective structures as required.</x:v>
      </x:c>
      <x:c r="P180" s="2" t="str">
        <x:v>Organic agriculture: soil–crop–livestock knowledge, nutrient and water budgets, emission factors, carbon accounting, climate services, monitoring protocols and adaptive management.</x:v>
      </x:c>
      <x:c r="Q180" s="2" t="str">
        <x:v>Organic agriculture: land tenure, extension, producer organisations, veterinary or phytosanitary services, incentives, safeguards, certification and monitoring arrangements.</x:v>
      </x:c>
      <x:c r="R180" s="2" t="str">
        <x:v>Organic agriculture: nurseries or seed banks, field access, water and storage systems, laboratories, extension centres, monitoring plots and processing or market facilities.</x:v>
      </x:c>
      <x:c r="S180" s="2" t="str">
        <x:v>Organic agriculture: human and mechanical work, electricity or fuel for machinery, pumping, cooling and processing; biological energy and solar radiation dominate field processes.</x:v>
      </x:c>
      <x:c r="T180" s="2" t="str">
        <x:v>Organic agriculture: seed or planting stock, organic matter, fertilisers, soil amendments, water, fencing or structural materials, veterinary inputs and monitoring consumables.</x:v>
      </x:c>
      <x:c r="U180" s="2" t="str">
        <x:v>Organic agriculture: seed, inoculants, filters, drip lines, nozzles, tool parts, sampling containers, sensor batteries, veterinary supplies and protective equipment.</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https://www.ipcc.ch/report/ar6/wg3/chapter/chapter-7/; https://openknowledge.fao.org/server/api/core/bitstreams/b21f2087-f398-4718-8461-b92afc82e617/content</x:v>
      </x:c>
      <x:c r="Z180" s="2" t="str">
        <x:v>Technology-specific analytical synthesis. The CTCN hierarchy is retained; classifications and component dependencies require validation against the selected design, site and supplier documentation before investment or policy use.</x:v>
      </x:c>
      <x:c r="AA180" s="2" t="str">
        <x:v>Physical deployment of Organic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0" s="2" t="str">
        <x:v>For Organic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0" s="2" t="str">
        <x:v>Construction and operation use seed or planting stock, organic matter, fertilisers, soil amendments, water, fencing or structural materials, veterinary inputs and monitoring consumables. For Organic agriculture, specifications must include durability, compatibility, recycled content and recoverability.</x:v>
      </x:c>
      <x:c r="AD180" s="2" t="str">
        <x:v>Maintenance of Organic agriculture depends on seed, inoculants, filters, drip lines, nozzles, tool parts, sampling containers, sensor batteries, veterinary supplies and protective equipment; critical spares are selected from failure-mode, lead-time and safety analysis for its installed configuration.</x:v>
      </x:c>
      <x:c r="AE180" s="2" t="str">
        <x:v>The software stack for Organic agriculture requires databases, secure communications, version-controlled models, computing, backup and interfaces with field or operational systems.</x:v>
      </x:c>
      <x:c r="AF180" s="2" t="str">
        <x:v>For Organic agriculture, software-related energy is electricity for sensing, computing, storage, communication and cooling; it is normally secondary but must be included for data-intensive or continuous services.</x:v>
      </x:c>
      <x:c r="AG180" s="2" t="str">
        <x:v>The non-physical inputs are calibrated data, metadata, algorithms, boundary conditions, emission or hazard factors, manuals and validation records specific to Organic agriculture.</x:v>
      </x:c>
      <x:c r="AH180" s="2" t="str">
        <x:v>Software continuity for Organic agriculture requires licences where applicable, updates, cybersecurity patches, backups, calibration files, model validation and technical support.</x:v>
      </x:c>
      <x:c r="AI180" s="2" t="str">
        <x:v>Orgware depends on the institutions, laboratories, training providers, regulators, operators and community interfaces needed to govern Organic agriculture.</x:v>
      </x:c>
      <x:c r="AJ180" s="2" t="str">
        <x:v>The orgware supporting Organic agriculture has mainly indirect energy use from offices, meetings, training and information systems; travel and field supervision may be material at dispersed sites.</x:v>
      </x:c>
      <x:c r="AK180" s="2" t="str">
        <x:v>Its organisational inputs are permits, budgets, trained staff, competence records, contracts, procedures, safeguards, monitoring evidence and stakeholder agreements tailored to Organic agriculture.</x:v>
      </x:c>
      <x:c r="AL180" s="2" t="str">
        <x:v>Sustained implementation of Organic agriculture requires procurement and service contracts, audit protocols, training material, reporting templates, insurance or guarantees and periodic independent review.</x:v>
      </x:c>
      <x:c r="AM180" s="2" t="str">
        <x:v>Phosphate rock; Potash</x:v>
      </x:c>
      <x:c r="AN180" s="2" t="str">
        <x:v>China; Morocco; United States; Canada; Russia; Belarus</x:v>
      </x:c>
      <x:c r="AO180" s="2" t="str">
        <x:v>China; Morocco; United States; Canada; Russia; Belarus</x:v>
      </x:c>
      <x:c r="AP180" s="2" t="str">
        <x:v>Organic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0" s="2" t="str">
        <x:v>2024–2025</x:v>
      </x:c>
      <x:c r="AR180" s="2" t="str">
        <x:v>https://pubs.usgs.gov/periodicals/mcs2026/mcs2026.pdf</x:v>
      </x:c>
    </x:row>
    <x:row r="181" ht="240" customHeight="1">
      <x:c r="A181" s="2" t="str">
        <x:v>MIT-0174</x:v>
      </x:c>
      <x:c r="B181" s="2" t="str">
        <x:v>Mitigation</x:v>
      </x:c>
      <x:c r="C181" s="2" t="str">
        <x:v>Agriculture</x:v>
      </x:c>
      <x:c r="D181" s="2" t="str">
        <x:v>Cropland</x:v>
      </x:c>
      <x:c r="E181" s="2" t="str">
        <x:v>Reduction of energy use in traction</x:v>
      </x:c>
      <x:c r="F181" s="2" t="str">
        <x:v>Reduction of energy use in traction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Reduction of energy use in traction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1" s="2" t="str">
        <x:v>Mixed: adaptable design, site-specific implementation</x:v>
      </x:c>
      <x:c r="H181" s="2" t="str">
        <x:v>Reduction of energy use in traction is adaptable in capacity and configuration but site-specific in final engineering. Its principle remains the same, but resource quality, climate, scale, interfaces and safety constraints must be recalculated for each deployment.</x:v>
      </x:c>
      <x:c r="I181" s="2" t="str">
        <x:v>Primarily hard, with a soft component</x:v>
      </x:c>
      <x:c r="J181" s="2" t="str">
        <x:v>Reduction of energy use in traction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1" s="2" t="str">
        <x:v>Operation</x:v>
      </x:c>
      <x:c r="L181" s="2" t="str">
        <x:v>Reduction of energy use in traction is embodied mainly as an operating practice. The deliverable is accepted only when measurable service, quality, safety and climate-performance criteria are met under real conditions.</x:v>
      </x:c>
      <x:c r="M181" s="2" t="str">
        <x:v>Yes, subject to life-cycle safeguards</x:v>
      </x:c>
      <x:c r="N181" s="2" t="str">
        <x:v>Reduction of energy use in traction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1" s="2" t="str">
        <x:v>Reduction of energy use in traction: field or forest implements, planting and irrigation equipment, storage or livestock facilities, sampling tools, sensors and protective structures as required.</x:v>
      </x:c>
      <x:c r="P181" s="2" t="str">
        <x:v>Reduction of energy use in traction: soil–crop–livestock knowledge, nutrient and water budgets, emission factors, carbon accounting, climate services, monitoring protocols and adaptive management.</x:v>
      </x:c>
      <x:c r="Q181" s="2" t="str">
        <x:v>Reduction of energy use in traction: land tenure, extension, producer organisations, veterinary or phytosanitary services, incentives, safeguards, certification and monitoring arrangements.</x:v>
      </x:c>
      <x:c r="R181" s="2" t="str">
        <x:v>Reduction of energy use in traction: nurseries or seed banks, field access, water and storage systems, laboratories, extension centres, monitoring plots and processing or market facilities.</x:v>
      </x:c>
      <x:c r="S181" s="2" t="str">
        <x:v>Reduction of energy use in traction: human and mechanical work, electricity or fuel for machinery, pumping, cooling and processing; biological energy and solar radiation dominate field processes.</x:v>
      </x:c>
      <x:c r="T181" s="2" t="str">
        <x:v>Reduction of energy use in traction: seed or planting stock, organic matter, fertilisers, soil amendments, water, fencing or structural materials, veterinary inputs and monitoring consumables.</x:v>
      </x:c>
      <x:c r="U181" s="2" t="str">
        <x:v>Reduction of energy use in traction: seed, inoculants, filters, drip lines, nozzles, tool parts, sampling containers, sensor batteries, veterinary supplies and protective equipment.</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https://www.ipcc.ch/report/ar6/wg3/chapter/chapter-7/; https://openknowledge.fao.org/server/api/core/bitstreams/b21f2087-f398-4718-8461-b92afc82e617/content</x:v>
      </x:c>
      <x:c r="Z181" s="2" t="str">
        <x:v>Technology-specific analytical synthesis. The CTCN hierarchy is retained; classifications and component dependencies require validation against the selected design, site and supplier documentation before investment or policy use.</x:v>
      </x:c>
      <x:c r="AA181" s="2" t="str">
        <x:v>Physical deployment of Reduction of energy use in traction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1" s="2" t="str">
        <x:v>For Reduction of energy use in traction,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1" s="2" t="str">
        <x:v>Construction and operation use seed or planting stock, organic matter, fertilisers, soil amendments, water, fencing or structural materials, veterinary inputs and monitoring consumables. For Reduction of energy use in traction, specifications must include durability, compatibility, recycled content and recoverability.</x:v>
      </x:c>
      <x:c r="AD181" s="2" t="str">
        <x:v>Maintenance of Reduction of energy use in traction depends on seed, inoculants, filters, drip lines, nozzles, tool parts, sampling containers, sensor batteries, veterinary supplies and protective equipment; critical spares are selected from failure-mode, lead-time and safety analysis for its installed configuration.</x:v>
      </x:c>
      <x:c r="AE181" s="2" t="str">
        <x:v>The software stack for Reduction of energy use in traction requires databases, secure communications, version-controlled models, computing, backup and interfaces with field or operational systems.</x:v>
      </x:c>
      <x:c r="AF181" s="2" t="str">
        <x:v>For Reduction of energy use in traction, software-related energy is electricity for sensing, computing, storage, communication and cooling; it is normally secondary but must be included for data-intensive or continuous services.</x:v>
      </x:c>
      <x:c r="AG181" s="2" t="str">
        <x:v>The non-physical inputs are calibrated data, metadata, algorithms, boundary conditions, emission or hazard factors, manuals and validation records specific to Reduction of energy use in traction.</x:v>
      </x:c>
      <x:c r="AH181" s="2" t="str">
        <x:v>Software continuity for Reduction of energy use in traction requires licences where applicable, updates, cybersecurity patches, backups, calibration files, model validation and technical support.</x:v>
      </x:c>
      <x:c r="AI181" s="2" t="str">
        <x:v>Orgware depends on the institutions, laboratories, training providers, regulators, operators and community interfaces needed to govern Reduction of energy use in traction.</x:v>
      </x:c>
      <x:c r="AJ181" s="2" t="str">
        <x:v>The orgware supporting Reduction of energy use in traction has mainly indirect energy use from offices, meetings, training and information systems; travel and field supervision may be material at dispersed sites.</x:v>
      </x:c>
      <x:c r="AK181" s="2" t="str">
        <x:v>Its organisational inputs are permits, budgets, trained staff, competence records, contracts, procedures, safeguards, monitoring evidence and stakeholder agreements tailored to Reduction of energy use in traction.</x:v>
      </x:c>
      <x:c r="AL181" s="2" t="str">
        <x:v>Sustained implementation of Reduction of energy use in traction requires procurement and service contracts, audit protocols, training material, reporting templates, insurance or guarantees and periodic independent review.</x:v>
      </x:c>
      <x:c r="AM181" s="2" t="str">
        <x:v>Phosphate rock; Potash</x:v>
      </x:c>
      <x:c r="AN181" s="2" t="str">
        <x:v>China; Morocco; United States; Canada; Russia; Belarus</x:v>
      </x:c>
      <x:c r="AO181" s="2" t="str">
        <x:v>China; Morocco; United States; Canada; Russia; Belarus</x:v>
      </x:c>
      <x:c r="AP181" s="2" t="str">
        <x:v>Reduction of energy use in traction: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1" s="2" t="str">
        <x:v>2024–2025</x:v>
      </x:c>
      <x:c r="AR181" s="2" t="str">
        <x:v>https://pubs.usgs.gov/periodicals/mcs2026/mcs2026.pdf</x:v>
      </x:c>
    </x:row>
    <x:row r="182" ht="240" customHeight="1">
      <x:c r="A182" s="2" t="str">
        <x:v>MIT-0175</x:v>
      </x:c>
      <x:c r="B182" s="2" t="str">
        <x:v>Mitigation</x:v>
      </x:c>
      <x:c r="C182" s="2" t="str">
        <x:v>Agriculture</x:v>
      </x:c>
      <x:c r="D182" s="2" t="str">
        <x:v>Cropland</x:v>
      </x:c>
      <x:c r="E182" s="2" t="str">
        <x:v>Field burning of agricultural residues</x:v>
      </x:c>
      <x:c r="F182" s="2" t="str">
        <x:v>Field burning of agricultural residues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Field burning of agricultural residues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2" s="2" t="str">
        <x:v>Mixed: adaptable design, site-specific implementation</x:v>
      </x:c>
      <x:c r="H182" s="2" t="str">
        <x:v>Field burning of agricultural residues is adaptable in capacity and configuration but site-specific in final engineering. Its principle remains the same, but resource quality, climate, scale, interfaces and safety constraints must be recalculated for each deployment.</x:v>
      </x:c>
      <x:c r="I182" s="2" t="str">
        <x:v>Primarily hard, with a soft component</x:v>
      </x:c>
      <x:c r="J182" s="2" t="str">
        <x:v>Field burning of agricultural residues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2" s="2" t="str">
        <x:v>Operation</x:v>
      </x:c>
      <x:c r="L182" s="2" t="str">
        <x:v>Field burning of agricultural residues is embodied mainly as an operating practice. The deliverable is accepted only when measurable service, quality, safety and climate-performance criteria are met under real conditions.</x:v>
      </x:c>
      <x:c r="M182" s="2" t="str">
        <x:v>Conditional on performance and life cycle</x:v>
      </x:c>
      <x:c r="N182" s="2" t="str">
        <x:v>Field burning of agricultural residues is classified as conditional.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2" s="2" t="str">
        <x:v>Field burning of agricultural residues: field or forest implements, planting and irrigation equipment, storage or livestock facilities, sampling tools, sensors and protective structures as required.</x:v>
      </x:c>
      <x:c r="P182" s="2" t="str">
        <x:v>Field burning of agricultural residues: soil–crop–livestock knowledge, nutrient and water budgets, emission factors, carbon accounting, climate services, monitoring protocols and adaptive management.</x:v>
      </x:c>
      <x:c r="Q182" s="2" t="str">
        <x:v>Field burning of agricultural residues: land tenure, extension, producer organisations, veterinary or phytosanitary services, incentives, safeguards, certification and monitoring arrangements.</x:v>
      </x:c>
      <x:c r="R182" s="2" t="str">
        <x:v>Field burning of agricultural residues: nurseries or seed banks, field access, water and storage systems, laboratories, extension centres, monitoring plots and processing or market facilities.</x:v>
      </x:c>
      <x:c r="S182" s="2" t="str">
        <x:v>Field burning of agricultural residues: human and mechanical work, electricity or fuel for machinery, pumping, cooling and processing; biological energy and solar radiation dominate field processes.</x:v>
      </x:c>
      <x:c r="T182" s="2" t="str">
        <x:v>Field burning of agricultural residues: seed or planting stock, organic matter, fertilisers, soil amendments, water, fencing or structural materials, veterinary inputs and monitoring consumables.</x:v>
      </x:c>
      <x:c r="U182" s="2" t="str">
        <x:v>Field burning of agricultural residues: seed, inoculants, filters, drip lines, nozzles, tool parts, sampling containers, sensor batteries, veterinary supplies and protective equipment.</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https://www.ipcc.ch/report/ar6/wg3/chapter/chapter-7/; https://openknowledge.fao.org/server/api/core/bitstreams/b21f2087-f398-4718-8461-b92afc82e617/content</x:v>
      </x:c>
      <x:c r="Z182" s="2" t="str">
        <x:v>Technology-specific analytical synthesis. The CTCN hierarchy is retained; classifications and component dependencies require validation against the selected design, site and supplier documentation before investment or policy use.</x:v>
      </x:c>
      <x:c r="AA182" s="2" t="str">
        <x:v>Physical deployment of Field burning of agricultural residues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2" s="2" t="str">
        <x:v>For Field burning of agricultural residues,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2" s="2" t="str">
        <x:v>Construction and operation use seed or planting stock, organic matter, fertilisers, soil amendments, water, fencing or structural materials, veterinary inputs and monitoring consumables. For Field burning of agricultural residues, specifications must include durability, compatibility, recycled content and recoverability.</x:v>
      </x:c>
      <x:c r="AD182" s="2" t="str">
        <x:v>Maintenance of Field burning of agricultural residues depends on seed, inoculants, filters, drip lines, nozzles, tool parts, sampling containers, sensor batteries, veterinary supplies and protective equipment; critical spares are selected from failure-mode, lead-time and safety analysis for its installed configuration.</x:v>
      </x:c>
      <x:c r="AE182" s="2" t="str">
        <x:v>The software stack for Field burning of agricultural residues requires databases, secure communications, version-controlled models, computing, backup and interfaces with field or operational systems.</x:v>
      </x:c>
      <x:c r="AF182" s="2" t="str">
        <x:v>For Field burning of agricultural residues, software-related energy is electricity for sensing, computing, storage, communication and cooling; it is normally secondary but must be included for data-intensive or continuous services.</x:v>
      </x:c>
      <x:c r="AG182" s="2" t="str">
        <x:v>The non-physical inputs are calibrated data, metadata, algorithms, boundary conditions, emission or hazard factors, manuals and validation records specific to Field burning of agricultural residues.</x:v>
      </x:c>
      <x:c r="AH182" s="2" t="str">
        <x:v>Software continuity for Field burning of agricultural residues requires licences where applicable, updates, cybersecurity patches, backups, calibration files, model validation and technical support.</x:v>
      </x:c>
      <x:c r="AI182" s="2" t="str">
        <x:v>Orgware depends on the institutions, laboratories, training providers, regulators, operators and community interfaces needed to govern Field burning of agricultural residues.</x:v>
      </x:c>
      <x:c r="AJ182" s="2" t="str">
        <x:v>The orgware supporting Field burning of agricultural residues has mainly indirect energy use from offices, meetings, training and information systems; travel and field supervision may be material at dispersed sites.</x:v>
      </x:c>
      <x:c r="AK182" s="2" t="str">
        <x:v>Its organisational inputs are permits, budgets, trained staff, competence records, contracts, procedures, safeguards, monitoring evidence and stakeholder agreements tailored to Field burning of agricultural residues.</x:v>
      </x:c>
      <x:c r="AL182" s="2" t="str">
        <x:v>Sustained implementation of Field burning of agricultural residues requires procurement and service contracts, audit protocols, training material, reporting templates, insurance or guarantees and periodic independent review.</x:v>
      </x:c>
      <x:c r="AM182" s="2" t="str">
        <x:v>Phosphate rock; Potash</x:v>
      </x:c>
      <x:c r="AN182" s="2" t="str">
        <x:v>China; Morocco; United States; Canada; Russia; Belarus</x:v>
      </x:c>
      <x:c r="AO182" s="2" t="str">
        <x:v>China; Morocco; United States; Canada; Russia; Belarus</x:v>
      </x:c>
      <x:c r="AP182" s="2" t="str">
        <x:v>Field burning of agricultural residues: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2" s="2" t="str">
        <x:v>2024–2025</x:v>
      </x:c>
      <x:c r="AR182" s="2" t="str">
        <x:v>https://pubs.usgs.gov/periodicals/mcs2026/mcs2026.pdf</x:v>
      </x:c>
    </x:row>
    <x:row r="183" ht="240" customHeight="1">
      <x:c r="A183" s="2" t="str">
        <x:v>MIT-0176</x:v>
      </x:c>
      <x:c r="B183" s="2" t="str">
        <x:v>Mitigation</x:v>
      </x:c>
      <x:c r="C183" s="2" t="str">
        <x:v>Agriculture</x:v>
      </x:c>
      <x:c r="D183" s="2" t="str">
        <x:v>Cropland</x:v>
      </x:c>
      <x:c r="E183" s="2" t="str">
        <x:v>Precision agriculture</x:v>
      </x:c>
      <x:c r="F183" s="2" t="str">
        <x:v>Precision agriculture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Georeferenced sensing and variable-rate control apply water, seed, fertiliser or crop protection only where and when required, reducing over-application and improving input-use efficiency.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3" s="2" t="str">
        <x:v>Mixed: adaptable design, site-specific implementation</x:v>
      </x:c>
      <x:c r="H183" s="2" t="str">
        <x:v>Precision agriculture is adaptable in capacity and configuration but site-specific in final engineering. Its principle remains the same, but resource quality, climate, scale, interfaces and safety constraints must be recalculated for each deployment.</x:v>
      </x:c>
      <x:c r="I183" s="2" t="str">
        <x:v>Primarily hard, with a soft component</x:v>
      </x:c>
      <x:c r="J183" s="2" t="str">
        <x:v>Precision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3" s="2" t="str">
        <x:v>Operation</x:v>
      </x:c>
      <x:c r="L183" s="2" t="str">
        <x:v>Precision agriculture is embodied mainly as an operating practice. The deliverable is accepted only when measurable service, quality, safety and climate-performance criteria are met under real conditions.</x:v>
      </x:c>
      <x:c r="M183" s="2" t="str">
        <x:v>Yes, subject to life-cycle safeguards</x:v>
      </x:c>
      <x:c r="N183" s="2" t="str">
        <x:v>Precision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3" s="2" t="str">
        <x:v>Precision agriculture: field or forest implements, planting and irrigation equipment, storage or livestock facilities, sampling tools, sensors and protective structures as required.</x:v>
      </x:c>
      <x:c r="P183" s="2" t="str">
        <x:v>Precision agriculture: soil–crop–livestock knowledge, nutrient and water budgets, emission factors, carbon accounting, climate services, monitoring protocols and adaptive management.</x:v>
      </x:c>
      <x:c r="Q183" s="2" t="str">
        <x:v>Precision agriculture: land tenure, extension, producer organisations, veterinary or phytosanitary services, incentives, safeguards, certification and monitoring arrangements.</x:v>
      </x:c>
      <x:c r="R183" s="2" t="str">
        <x:v>Precision agriculture: nurseries or seed banks, field access, water and storage systems, laboratories, extension centres, monitoring plots and processing or market facilities.</x:v>
      </x:c>
      <x:c r="S183" s="2" t="str">
        <x:v>Precision agriculture: human and mechanical work, electricity or fuel for machinery, pumping, cooling and processing; biological energy and solar radiation dominate field processes.</x:v>
      </x:c>
      <x:c r="T183" s="2" t="str">
        <x:v>Precision agriculture: seed or planting stock, organic matter, fertilisers, soil amendments, water, fencing or structural materials, veterinary inputs and monitoring consumables.</x:v>
      </x:c>
      <x:c r="U183" s="2" t="str">
        <x:v>Precision agriculture: seed, inoculants, filters, drip lines, nozzles, tool parts, sampling containers, sensor batteries, veterinary supplies and protective equipment.</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https://www.ipcc.ch/report/ar6/wg3/chapter/chapter-7/; https://openknowledge.fao.org/server/api/core/bitstreams/b21f2087-f398-4718-8461-b92afc82e617/content</x:v>
      </x:c>
      <x:c r="Z183" s="2" t="str">
        <x:v>Technology-specific analytical synthesis. The CTCN hierarchy is retained; classifications and component dependencies require validation against the selected design, site and supplier documentation before investment or policy use.</x:v>
      </x:c>
      <x:c r="AA183" s="2" t="str">
        <x:v>Physical deployment of Precision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3" s="2" t="str">
        <x:v>For Precision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3" s="2" t="str">
        <x:v>Construction and operation use seed or planting stock, organic matter, fertilisers, soil amendments, water, fencing or structural materials, veterinary inputs and monitoring consumables. For Precision agriculture, specifications must include durability, compatibility, recycled content and recoverability.</x:v>
      </x:c>
      <x:c r="AD183" s="2" t="str">
        <x:v>Maintenance of Precision agriculture depends on seed, inoculants, filters, drip lines, nozzles, tool parts, sampling containers, sensor batteries, veterinary supplies and protective equipment; critical spares are selected from failure-mode, lead-time and safety analysis for its installed configuration.</x:v>
      </x:c>
      <x:c r="AE183" s="2" t="str">
        <x:v>The software stack for Precision agriculture requires databases, secure communications, version-controlled models, computing, backup and interfaces with field or operational systems.</x:v>
      </x:c>
      <x:c r="AF183" s="2" t="str">
        <x:v>For Precision agriculture, software-related energy is electricity for sensing, computing, storage, communication and cooling; it is normally secondary but must be included for data-intensive or continuous services.</x:v>
      </x:c>
      <x:c r="AG183" s="2" t="str">
        <x:v>The non-physical inputs are calibrated data, metadata, algorithms, boundary conditions, emission or hazard factors, manuals and validation records specific to Precision agriculture.</x:v>
      </x:c>
      <x:c r="AH183" s="2" t="str">
        <x:v>Software continuity for Precision agriculture requires licences where applicable, updates, cybersecurity patches, backups, calibration files, model validation and technical support.</x:v>
      </x:c>
      <x:c r="AI183" s="2" t="str">
        <x:v>Orgware depends on the institutions, laboratories, training providers, regulators, operators and community interfaces needed to govern Precision agriculture.</x:v>
      </x:c>
      <x:c r="AJ183" s="2" t="str">
        <x:v>The orgware supporting Precision agriculture has mainly indirect energy use from offices, meetings, training and information systems; travel and field supervision may be material at dispersed sites.</x:v>
      </x:c>
      <x:c r="AK183" s="2" t="str">
        <x:v>Its organisational inputs are permits, budgets, trained staff, competence records, contracts, procedures, safeguards, monitoring evidence and stakeholder agreements tailored to Precision agriculture.</x:v>
      </x:c>
      <x:c r="AL183" s="2" t="str">
        <x:v>Sustained implementation of Precision agriculture requires procurement and service contracts, audit protocols, training material, reporting templates, insurance or guarantees and periodic independent review.</x:v>
      </x:c>
      <x:c r="AM183" s="2" t="str">
        <x:v>Phosphate rock; Potash</x:v>
      </x:c>
      <x:c r="AN183" s="2" t="str">
        <x:v>China; Morocco; United States; Canada; Russia; Belarus</x:v>
      </x:c>
      <x:c r="AO183" s="2" t="str">
        <x:v>China; Morocco; United States; Canada; Russia; Belarus</x:v>
      </x:c>
      <x:c r="AP183" s="2" t="str">
        <x:v>Precision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3" s="2" t="str">
        <x:v>2024–2025</x:v>
      </x:c>
      <x:c r="AR183" s="2" t="str">
        <x:v>https://pubs.usgs.gov/periodicals/mcs2026/mcs2026.pdf</x:v>
      </x:c>
    </x:row>
    <x:row r="184" ht="240" customHeight="1">
      <x:c r="A184" s="2" t="str">
        <x:v>MIT-0177</x:v>
      </x:c>
      <x:c r="B184" s="2" t="str">
        <x:v>Mitigation</x:v>
      </x:c>
      <x:c r="C184" s="2" t="str">
        <x:v>Agriculture</x:v>
      </x:c>
      <x:c r="D184" s="2" t="str">
        <x:v>Cropland</x:v>
      </x:c>
      <x:c r="E184" s="2" t="str">
        <x:v>Conservation tillage</x:v>
      </x:c>
      <x:c r="F184" s="2" t="str">
        <x:v>Conservation tillage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It limits soil disturbance and retains crop residues, reducing oxidation and erosion while improving infiltration and, under suitable conditions, soil-carbon retention.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4" s="2" t="str">
        <x:v>Mixed: adaptable design, site-specific implementation</x:v>
      </x:c>
      <x:c r="H184" s="2" t="str">
        <x:v>Conservation tillage is adaptable in capacity and configuration but site-specific in final engineering. Its principle remains the same, but resource quality, climate, scale, interfaces and safety constraints must be recalculated for each deployment.</x:v>
      </x:c>
      <x:c r="I184" s="2" t="str">
        <x:v>Primarily hard, with a soft component</x:v>
      </x:c>
      <x:c r="J184" s="2" t="str">
        <x:v>Conservation tillage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4" s="2" t="str">
        <x:v>Operation</x:v>
      </x:c>
      <x:c r="L184" s="2" t="str">
        <x:v>Conservation tillage is embodied mainly as an operating practice. The deliverable is accepted only when measurable service, quality, safety and climate-performance criteria are met under real conditions.</x:v>
      </x:c>
      <x:c r="M184" s="2" t="str">
        <x:v>Yes, subject to life-cycle safeguards</x:v>
      </x:c>
      <x:c r="N184" s="2" t="str">
        <x:v>Conservation tillage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4" s="2" t="str">
        <x:v>Conservation tillage: field or forest implements, planting and irrigation equipment, storage or livestock facilities, sampling tools, sensors and protective structures as required.</x:v>
      </x:c>
      <x:c r="P184" s="2" t="str">
        <x:v>Conservation tillage: soil–crop–livestock knowledge, nutrient and water budgets, emission factors, carbon accounting, climate services, monitoring protocols and adaptive management.</x:v>
      </x:c>
      <x:c r="Q184" s="2" t="str">
        <x:v>Conservation tillage: land tenure, extension, producer organisations, veterinary or phytosanitary services, incentives, safeguards, certification and monitoring arrangements.</x:v>
      </x:c>
      <x:c r="R184" s="2" t="str">
        <x:v>Conservation tillage: nurseries or seed banks, field access, water and storage systems, laboratories, extension centres, monitoring plots and processing or market facilities.</x:v>
      </x:c>
      <x:c r="S184" s="2" t="str">
        <x:v>Conservation tillage: human and mechanical work, electricity or fuel for machinery, pumping, cooling and processing; biological energy and solar radiation dominate field processes.</x:v>
      </x:c>
      <x:c r="T184" s="2" t="str">
        <x:v>Conservation tillage: seed or planting stock, organic matter, fertilisers, soil amendments, water, fencing or structural materials, veterinary inputs and monitoring consumables.</x:v>
      </x:c>
      <x:c r="U184" s="2" t="str">
        <x:v>Conservation tillage: seed, inoculants, filters, drip lines, nozzles, tool parts, sampling containers, sensor batteries, veterinary supplies and protective equipment.</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https://www.ipcc.ch/report/ar6/wg3/chapter/chapter-7/; https://openknowledge.fao.org/server/api/core/bitstreams/b21f2087-f398-4718-8461-b92afc82e617/content</x:v>
      </x:c>
      <x:c r="Z184" s="2" t="str">
        <x:v>Technology-specific analytical synthesis. The CTCN hierarchy is retained; classifications and component dependencies require validation against the selected design, site and supplier documentation before investment or policy use.</x:v>
      </x:c>
      <x:c r="AA184" s="2" t="str">
        <x:v>Physical deployment of Conservation tillage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4" s="2" t="str">
        <x:v>For Conservation tillage,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4" s="2" t="str">
        <x:v>Construction and operation use seed or planting stock, organic matter, fertilisers, soil amendments, water, fencing or structural materials, veterinary inputs and monitoring consumables. For Conservation tillage, specifications must include durability, compatibility, recycled content and recoverability.</x:v>
      </x:c>
      <x:c r="AD184" s="2" t="str">
        <x:v>Maintenance of Conservation tillage depends on seed, inoculants, filters, drip lines, nozzles, tool parts, sampling containers, sensor batteries, veterinary supplies and protective equipment; critical spares are selected from failure-mode, lead-time and safety analysis for its installed configuration.</x:v>
      </x:c>
      <x:c r="AE184" s="2" t="str">
        <x:v>The software stack for Conservation tillage requires databases, secure communications, version-controlled models, computing, backup and interfaces with field or operational systems.</x:v>
      </x:c>
      <x:c r="AF184" s="2" t="str">
        <x:v>For Conservation tillage, software-related energy is electricity for sensing, computing, storage, communication and cooling; it is normally secondary but must be included for data-intensive or continuous services.</x:v>
      </x:c>
      <x:c r="AG184" s="2" t="str">
        <x:v>The non-physical inputs are calibrated data, metadata, algorithms, boundary conditions, emission or hazard factors, manuals and validation records specific to Conservation tillage.</x:v>
      </x:c>
      <x:c r="AH184" s="2" t="str">
        <x:v>Software continuity for Conservation tillage requires licences where applicable, updates, cybersecurity patches, backups, calibration files, model validation and technical support.</x:v>
      </x:c>
      <x:c r="AI184" s="2" t="str">
        <x:v>Orgware depends on the institutions, laboratories, training providers, regulators, operators and community interfaces needed to govern Conservation tillage.</x:v>
      </x:c>
      <x:c r="AJ184" s="2" t="str">
        <x:v>The orgware supporting Conservation tillage has mainly indirect energy use from offices, meetings, training and information systems; travel and field supervision may be material at dispersed sites.</x:v>
      </x:c>
      <x:c r="AK184" s="2" t="str">
        <x:v>Its organisational inputs are permits, budgets, trained staff, competence records, contracts, procedures, safeguards, monitoring evidence and stakeholder agreements tailored to Conservation tillage.</x:v>
      </x:c>
      <x:c r="AL184" s="2" t="str">
        <x:v>Sustained implementation of Conservation tillage requires procurement and service contracts, audit protocols, training material, reporting templates, insurance or guarantees and periodic independent review.</x:v>
      </x:c>
      <x:c r="AM184" s="2" t="str">
        <x:v>Phosphate rock; Potash</x:v>
      </x:c>
      <x:c r="AN184" s="2" t="str">
        <x:v>China; Morocco; United States; Canada; Russia; Belarus</x:v>
      </x:c>
      <x:c r="AO184" s="2" t="str">
        <x:v>China; Morocco; United States; Canada; Russia; Belarus</x:v>
      </x:c>
      <x:c r="AP184" s="2" t="str">
        <x:v>Conservation tillage: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4" s="2" t="str">
        <x:v>2024–2025</x:v>
      </x:c>
      <x:c r="AR184" s="2" t="str">
        <x:v>https://pubs.usgs.gov/periodicals/mcs2026/mcs2026.pdf</x:v>
      </x:c>
    </x:row>
    <x:row r="185" ht="240" customHeight="1">
      <x:c r="A185" s="2" t="str">
        <x:v>MIT-0178</x:v>
      </x:c>
      <x:c r="B185" s="2" t="str">
        <x:v>Mitigation</x:v>
      </x:c>
      <x:c r="C185" s="2" t="str">
        <x:v>Agriculture</x:v>
      </x:c>
      <x:c r="D185" s="2" t="str">
        <x:v>Cropland</x:v>
      </x:c>
      <x:c r="E185" s="2" t="str">
        <x:v>Peat carbon management</x:v>
      </x:c>
      <x:c r="F185" s="2" t="str">
        <x:v>Peat carbon management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Peat carbon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5" s="2" t="str">
        <x:v>Flexible</x:v>
      </x:c>
      <x:c r="H185" s="2" t="str">
        <x:v>Peat carbon management is transferable through configurable methods, rules and operating parameters. Its principle remains the same, but resource quality, climate, scale, interfaces and safety constraints must be recalculated for each deployment.</x:v>
      </x:c>
      <x:c r="I185" s="2" t="str">
        <x:v>Primarily soft, with physical support</x:v>
      </x:c>
      <x:c r="J185" s="2" t="str">
        <x:v>Peat carbon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5" s="2" t="str">
        <x:v>Operation</x:v>
      </x:c>
      <x:c r="L185" s="2" t="str">
        <x:v>Peat carbon management is embodied mainly as an operating practice. The deliverable is accepted only when measurable service, quality, safety and climate-performance criteria are met under real conditions.</x:v>
      </x:c>
      <x:c r="M185" s="2" t="str">
        <x:v>Yes, subject to life-cycle safeguards</x:v>
      </x:c>
      <x:c r="N185" s="2" t="str">
        <x:v>Peat carbon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5" s="2" t="str">
        <x:v>Peat carbon management: field or forest implements, planting and irrigation equipment, storage or livestock facilities, sampling tools, sensors and protective structures as required.</x:v>
      </x:c>
      <x:c r="P185" s="2" t="str">
        <x:v>Peat carbon management: soil–crop–livestock knowledge, nutrient and water budgets, emission factors, carbon accounting, climate services, monitoring protocols and adaptive management.</x:v>
      </x:c>
      <x:c r="Q185" s="2" t="str">
        <x:v>Peat carbon management: land tenure, extension, producer organisations, veterinary or phytosanitary services, incentives, safeguards, certification and monitoring arrangements.</x:v>
      </x:c>
      <x:c r="R185" s="2" t="str">
        <x:v>Peat carbon management: nurseries or seed banks, field access, water and storage systems, laboratories, extension centres, monitoring plots and processing or market facilities.</x:v>
      </x:c>
      <x:c r="S185" s="2" t="str">
        <x:v>Peat carbon management: human and mechanical work, electricity or fuel for machinery, pumping, cooling and processing; biological energy and solar radiation dominate field processes.</x:v>
      </x:c>
      <x:c r="T185" s="2" t="str">
        <x:v>Peat carbon management: seed or planting stock, organic matter, fertilisers, soil amendments, water, fencing or structural materials, veterinary inputs and monitoring consumables.</x:v>
      </x:c>
      <x:c r="U185" s="2" t="str">
        <x:v>Peat carbon management: seed, inoculants, filters, drip lines, nozzles, tool parts, sampling containers, sensor batteries, veterinary supplies and protective equipment.</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https://www.ipcc.ch/report/ar6/wg3/chapter/chapter-7/; https://openknowledge.fao.org/server/api/core/bitstreams/b21f2087-f398-4718-8461-b92afc82e617/content</x:v>
      </x:c>
      <x:c r="Z185" s="2" t="str">
        <x:v>Technology-specific analytical synthesis. The CTCN hierarchy is retained; classifications and component dependencies require validation against the selected design, site and supplier documentation before investment or policy use.</x:v>
      </x:c>
      <x:c r="AA185" s="2" t="str">
        <x:v>Physical deployment of Peat carbon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5" s="2" t="str">
        <x:v>For Peat carbon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5" s="2" t="str">
        <x:v>Construction and operation use seed or planting stock, organic matter, fertilisers, soil amendments, water, fencing or structural materials, veterinary inputs and monitoring consumables. For Peat carbon management, specifications must include durability, compatibility, recycled content and recoverability.</x:v>
      </x:c>
      <x:c r="AD185" s="2" t="str">
        <x:v>Maintenance of Peat carbon management depends on seed, inoculants, filters, drip lines, nozzles, tool parts, sampling containers, sensor batteries, veterinary supplies and protective equipment; critical spares are selected from failure-mode, lead-time and safety analysis for its installed configuration.</x:v>
      </x:c>
      <x:c r="AE185" s="2" t="str">
        <x:v>The software stack for Peat carbon management requires databases, secure communications, version-controlled models, computing, backup and interfaces with field or operational systems.</x:v>
      </x:c>
      <x:c r="AF185" s="2" t="str">
        <x:v>For Peat carbon management, software-related energy is electricity for sensing, computing, storage, communication and cooling; it is normally secondary but must be included for data-intensive or continuous services.</x:v>
      </x:c>
      <x:c r="AG185" s="2" t="str">
        <x:v>The non-physical inputs are calibrated data, metadata, algorithms, boundary conditions, emission or hazard factors, manuals and validation records specific to Peat carbon management.</x:v>
      </x:c>
      <x:c r="AH185" s="2" t="str">
        <x:v>Software continuity for Peat carbon management requires licences where applicable, updates, cybersecurity patches, backups, calibration files, model validation and technical support.</x:v>
      </x:c>
      <x:c r="AI185" s="2" t="str">
        <x:v>Orgware depends on the institutions, laboratories, training providers, regulators, operators and community interfaces needed to govern Peat carbon management.</x:v>
      </x:c>
      <x:c r="AJ185" s="2" t="str">
        <x:v>The orgware supporting Peat carbon management has mainly indirect energy use from offices, meetings, training and information systems; travel and field supervision may be material at dispersed sites.</x:v>
      </x:c>
      <x:c r="AK185" s="2" t="str">
        <x:v>Its organisational inputs are permits, budgets, trained staff, competence records, contracts, procedures, safeguards, monitoring evidence and stakeholder agreements tailored to Peat carbon management.</x:v>
      </x:c>
      <x:c r="AL185" s="2" t="str">
        <x:v>Sustained implementation of Peat carbon management requires procurement and service contracts, audit protocols, training material, reporting templates, insurance or guarantees and periodic independent review.</x:v>
      </x:c>
      <x:c r="AM185" s="2" t="str">
        <x:v>Phosphate rock; Potash</x:v>
      </x:c>
      <x:c r="AN185" s="2" t="str">
        <x:v>China; Morocco; United States; Canada; Russia; Belarus</x:v>
      </x:c>
      <x:c r="AO185" s="2" t="str">
        <x:v>China; Morocco; United States; Canada; Russia; Belarus</x:v>
      </x:c>
      <x:c r="AP185" s="2" t="str">
        <x:v>Peat carbon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5" s="2" t="str">
        <x:v>2024–2025</x:v>
      </x:c>
      <x:c r="AR185" s="2" t="str">
        <x:v>https://pubs.usgs.gov/periodicals/mcs2026/mcs2026.pdf</x:v>
      </x:c>
    </x:row>
    <x:row r="186" ht="240" customHeight="1">
      <x:c r="A186" s="2" t="str">
        <x:v>MIT-0179</x:v>
      </x:c>
      <x:c r="B186" s="2" t="str">
        <x:v>Mitigation</x:v>
      </x:c>
      <x:c r="C186" s="2" t="str">
        <x:v>Agriculture</x:v>
      </x:c>
      <x:c r="D186" s="2" t="str">
        <x:v>Cropland</x:v>
      </x:c>
      <x:c r="E186" s="2" t="str">
        <x:v>Biochar</x:v>
      </x:c>
      <x:c r="F186" s="2" t="str">
        <x:v>Biochar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Biomass is heated under limited oxygen to form a carbon-rich, relatively stable solid that can amend soil; net benefit depends on feedstock, pyrolysis conditions, avoided decay and permanence.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6" s="2" t="str">
        <x:v>Mixed: adaptable design, site-specific implementation</x:v>
      </x:c>
      <x:c r="H186" s="2" t="str">
        <x:v>Biochar is adaptable in capacity and configuration but site-specific in final engineering. Its principle remains the same, but resource quality, climate, scale, interfaces and safety constraints must be recalculated for each deployment.</x:v>
      </x:c>
      <x:c r="I186" s="2" t="str">
        <x:v>Primarily hard, with a soft component</x:v>
      </x:c>
      <x:c r="J186" s="2" t="str">
        <x:v>Biochar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6" s="2" t="str">
        <x:v>Product and equipment; complementary operation</x:v>
      </x:c>
      <x:c r="L186" s="2" t="str">
        <x:v>Biochar is embodied mainly as a product/equipment package. The deliverable is accepted only when measurable service, quality, safety and climate-performance criteria are met under real conditions.</x:v>
      </x:c>
      <x:c r="M186" s="2" t="str">
        <x:v>Yes, subject to life-cycle safeguards</x:v>
      </x:c>
      <x:c r="N186" s="2" t="str">
        <x:v>Biochar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6" s="2" t="str">
        <x:v>Biochar: field or forest implements, planting and irrigation equipment, storage or livestock facilities, sampling tools, sensors and protective structures as required.</x:v>
      </x:c>
      <x:c r="P186" s="2" t="str">
        <x:v>Biochar: soil–crop–livestock knowledge, nutrient and water budgets, emission factors, carbon accounting, climate services, monitoring protocols and adaptive management.</x:v>
      </x:c>
      <x:c r="Q186" s="2" t="str">
        <x:v>Biochar: land tenure, extension, producer organisations, veterinary or phytosanitary services, incentives, safeguards, certification and monitoring arrangements.</x:v>
      </x:c>
      <x:c r="R186" s="2" t="str">
        <x:v>Biochar: nurseries or seed banks, field access, water and storage systems, laboratories, extension centres, monitoring plots and processing or market facilities.</x:v>
      </x:c>
      <x:c r="S186" s="2" t="str">
        <x:v>Biochar: human and mechanical work, electricity or fuel for machinery, pumping, cooling and processing; biological energy and solar radiation dominate field processes.</x:v>
      </x:c>
      <x:c r="T186" s="2" t="str">
        <x:v>Biochar: seed or planting stock, organic matter, fertilisers, soil amendments, water, fencing or structural materials, veterinary inputs and monitoring consumables.</x:v>
      </x:c>
      <x:c r="U186" s="2" t="str">
        <x:v>Biochar: seed, inoculants, filters, drip lines, nozzles, tool parts, sampling containers, sensor batteries, veterinary supplies and protective equipment.</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https://www.ipcc.ch/report/ar6/wg3/chapter/chapter-7/; https://openknowledge.fao.org/server/api/core/bitstreams/b21f2087-f398-4718-8461-b92afc82e617/content</x:v>
      </x:c>
      <x:c r="Z186" s="2" t="str">
        <x:v>Technology-specific analytical synthesis. The CTCN hierarchy is retained; classifications and component dependencies require validation against the selected design, site and supplier documentation before investment or policy use.</x:v>
      </x:c>
      <x:c r="AA186" s="2" t="str">
        <x:v>Physical deployment of Biochar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6" s="2" t="str">
        <x:v>For Biochar,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6" s="2" t="str">
        <x:v>Construction and operation use seed or planting stock, organic matter, fertilisers, soil amendments, water, fencing or structural materials, veterinary inputs and monitoring consumables. For Biochar, specifications must include durability, compatibility, recycled content and recoverability.</x:v>
      </x:c>
      <x:c r="AD186" s="2" t="str">
        <x:v>Maintenance of Biochar depends on seed, inoculants, filters, drip lines, nozzles, tool parts, sampling containers, sensor batteries, veterinary supplies and protective equipment; critical spares are selected from failure-mode, lead-time and safety analysis for its installed configuration.</x:v>
      </x:c>
      <x:c r="AE186" s="2" t="str">
        <x:v>The software stack for Biochar requires databases, secure communications, version-controlled models, computing, backup and interfaces with field or operational systems.</x:v>
      </x:c>
      <x:c r="AF186" s="2" t="str">
        <x:v>For Biochar, software-related energy is electricity for sensing, computing, storage, communication and cooling; it is normally secondary but must be included for data-intensive or continuous services.</x:v>
      </x:c>
      <x:c r="AG186" s="2" t="str">
        <x:v>The non-physical inputs are calibrated data, metadata, algorithms, boundary conditions, emission or hazard factors, manuals and validation records specific to Biochar.</x:v>
      </x:c>
      <x:c r="AH186" s="2" t="str">
        <x:v>Software continuity for Biochar requires licences where applicable, updates, cybersecurity patches, backups, calibration files, model validation and technical support.</x:v>
      </x:c>
      <x:c r="AI186" s="2" t="str">
        <x:v>Orgware depends on the institutions, laboratories, training providers, regulators, operators and community interfaces needed to govern Biochar.</x:v>
      </x:c>
      <x:c r="AJ186" s="2" t="str">
        <x:v>The orgware supporting Biochar has mainly indirect energy use from offices, meetings, training and information systems; travel and field supervision may be material at dispersed sites.</x:v>
      </x:c>
      <x:c r="AK186" s="2" t="str">
        <x:v>Its organisational inputs are permits, budgets, trained staff, competence records, contracts, procedures, safeguards, monitoring evidence and stakeholder agreements tailored to Biochar.</x:v>
      </x:c>
      <x:c r="AL186" s="2" t="str">
        <x:v>Sustained implementation of Biochar requires procurement and service contracts, audit protocols, training material, reporting templates, insurance or guarantees and periodic independent review.</x:v>
      </x:c>
      <x:c r="AM186" s="2" t="str">
        <x:v>Phosphate rock; Potash</x:v>
      </x:c>
      <x:c r="AN186" s="2" t="str">
        <x:v>China; Morocco; United States; Canada; Russia; Belarus</x:v>
      </x:c>
      <x:c r="AO186" s="2" t="str">
        <x:v>China; Morocco; United States; Canada; Russia; Belarus</x:v>
      </x:c>
      <x:c r="AP186" s="2" t="str">
        <x:v>Biochar: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6" s="2" t="str">
        <x:v>2024–2025</x:v>
      </x:c>
      <x:c r="AR186" s="2" t="str">
        <x:v>https://pubs.usgs.gov/periodicals/mcs2026/mcs2026.pdf</x:v>
      </x:c>
    </x:row>
    <x:row r="187" ht="240" customHeight="1">
      <x:c r="A187" s="2" t="str">
        <x:v>MIT-0180</x:v>
      </x:c>
      <x:c r="B187" s="2" t="str">
        <x:v>Mitigation</x:v>
      </x:c>
      <x:c r="C187" s="2" t="str">
        <x:v>Agriculture</x:v>
      </x:c>
      <x:c r="D187" s="2" t="str">
        <x:v>Cropland</x:v>
      </x:c>
      <x:c r="E187" s="2" t="str">
        <x:v>Landscape multifunctionality</x:v>
      </x:c>
      <x:c r="F187" s="2" t="str">
        <x:v>Landscape multifunctionality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Landscape multifunctionality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7" s="2" t="str">
        <x:v>Mixed: adaptable design, site-specific implementation</x:v>
      </x:c>
      <x:c r="H187" s="2" t="str">
        <x:v>Landscape multifunctionality is adaptable in capacity and configuration but site-specific in final engineering. Its principle remains the same, but resource quality, climate, scale, interfaces and safety constraints must be recalculated for each deployment.</x:v>
      </x:c>
      <x:c r="I187" s="2" t="str">
        <x:v>Primarily hard, with a soft component</x:v>
      </x:c>
      <x:c r="J187" s="2" t="str">
        <x:v>Landscape multifunctionality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7" s="2" t="str">
        <x:v>Operation</x:v>
      </x:c>
      <x:c r="L187" s="2" t="str">
        <x:v>Landscape multifunctionality is embodied mainly as an operating practice. The deliverable is accepted only when measurable service, quality, safety and climate-performance criteria are met under real conditions.</x:v>
      </x:c>
      <x:c r="M187" s="2" t="str">
        <x:v>Yes, subject to life-cycle safeguards</x:v>
      </x:c>
      <x:c r="N187" s="2" t="str">
        <x:v>Landscape multifunctionality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7" s="2" t="str">
        <x:v>Landscape multifunctionality: field or forest implements, planting and irrigation equipment, storage or livestock facilities, sampling tools, sensors and protective structures as required.</x:v>
      </x:c>
      <x:c r="P187" s="2" t="str">
        <x:v>Landscape multifunctionality: soil–crop–livestock knowledge, nutrient and water budgets, emission factors, carbon accounting, climate services, monitoring protocols and adaptive management.</x:v>
      </x:c>
      <x:c r="Q187" s="2" t="str">
        <x:v>Landscape multifunctionality: land tenure, extension, producer organisations, veterinary or phytosanitary services, incentives, safeguards, certification and monitoring arrangements.</x:v>
      </x:c>
      <x:c r="R187" s="2" t="str">
        <x:v>Landscape multifunctionality: nurseries or seed banks, field access, water and storage systems, laboratories, extension centres, monitoring plots and processing or market facilities.</x:v>
      </x:c>
      <x:c r="S187" s="2" t="str">
        <x:v>Landscape multifunctionality: human and mechanical work, electricity or fuel for machinery, pumping, cooling and processing; biological energy and solar radiation dominate field processes.</x:v>
      </x:c>
      <x:c r="T187" s="2" t="str">
        <x:v>Landscape multifunctionality: seed or planting stock, organic matter, fertilisers, soil amendments, water, fencing or structural materials, veterinary inputs and monitoring consumables.</x:v>
      </x:c>
      <x:c r="U187" s="2" t="str">
        <x:v>Landscape multifunctionality: seed, inoculants, filters, drip lines, nozzles, tool parts, sampling containers, sensor batteries, veterinary supplies and protective equipment.</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https://www.ipcc.ch/report/ar6/wg3/chapter/chapter-7/; https://openknowledge.fao.org/server/api/core/bitstreams/b21f2087-f398-4718-8461-b92afc82e617/content</x:v>
      </x:c>
      <x:c r="Z187" s="2" t="str">
        <x:v>Technology-specific analytical synthesis. The CTCN hierarchy is retained; classifications and component dependencies require validation against the selected design, site and supplier documentation before investment or policy use.</x:v>
      </x:c>
      <x:c r="AA187" s="2" t="str">
        <x:v>Physical deployment of Landscape multifunctionality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7" s="2" t="str">
        <x:v>For Landscape multifunctionality,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7" s="2" t="str">
        <x:v>Construction and operation use seed or planting stock, organic matter, fertilisers, soil amendments, water, fencing or structural materials, veterinary inputs and monitoring consumables. For Landscape multifunctionality, specifications must include durability, compatibility, recycled content and recoverability.</x:v>
      </x:c>
      <x:c r="AD187" s="2" t="str">
        <x:v>Maintenance of Landscape multifunctionality depends on seed, inoculants, filters, drip lines, nozzles, tool parts, sampling containers, sensor batteries, veterinary supplies and protective equipment; critical spares are selected from failure-mode, lead-time and safety analysis for its installed configuration.</x:v>
      </x:c>
      <x:c r="AE187" s="2" t="str">
        <x:v>The software stack for Landscape multifunctionality requires databases, secure communications, version-controlled models, computing, backup and interfaces with field or operational systems.</x:v>
      </x:c>
      <x:c r="AF187" s="2" t="str">
        <x:v>For Landscape multifunctionality, software-related energy is electricity for sensing, computing, storage, communication and cooling; it is normally secondary but must be included for data-intensive or continuous services.</x:v>
      </x:c>
      <x:c r="AG187" s="2" t="str">
        <x:v>The non-physical inputs are calibrated data, metadata, algorithms, boundary conditions, emission or hazard factors, manuals and validation records specific to Landscape multifunctionality.</x:v>
      </x:c>
      <x:c r="AH187" s="2" t="str">
        <x:v>Software continuity for Landscape multifunctionality requires licences where applicable, updates, cybersecurity patches, backups, calibration files, model validation and technical support.</x:v>
      </x:c>
      <x:c r="AI187" s="2" t="str">
        <x:v>Orgware depends on the institutions, laboratories, training providers, regulators, operators and community interfaces needed to govern Landscape multifunctionality.</x:v>
      </x:c>
      <x:c r="AJ187" s="2" t="str">
        <x:v>The orgware supporting Landscape multifunctionality has mainly indirect energy use from offices, meetings, training and information systems; travel and field supervision may be material at dispersed sites.</x:v>
      </x:c>
      <x:c r="AK187" s="2" t="str">
        <x:v>Its organisational inputs are permits, budgets, trained staff, competence records, contracts, procedures, safeguards, monitoring evidence and stakeholder agreements tailored to Landscape multifunctionality.</x:v>
      </x:c>
      <x:c r="AL187" s="2" t="str">
        <x:v>Sustained implementation of Landscape multifunctionality requires procurement and service contracts, audit protocols, training material, reporting templates, insurance or guarantees and periodic independent review.</x:v>
      </x:c>
      <x:c r="AM187" s="2" t="str">
        <x:v>Phosphate rock; Potash</x:v>
      </x:c>
      <x:c r="AN187" s="2" t="str">
        <x:v>China; Morocco; United States; Canada; Russia; Belarus</x:v>
      </x:c>
      <x:c r="AO187" s="2" t="str">
        <x:v>China; Morocco; United States; Canada; Russia; Belarus</x:v>
      </x:c>
      <x:c r="AP187" s="2" t="str">
        <x:v>Landscape multifunctionality: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7" s="2" t="str">
        <x:v>2024–2025</x:v>
      </x:c>
      <x:c r="AR187" s="2" t="str">
        <x:v>https://pubs.usgs.gov/periodicals/mcs2026/mcs2026.pdf</x:v>
      </x:c>
    </x:row>
    <x:row r="188" ht="240" customHeight="1">
      <x:c r="A188" s="2" t="str">
        <x:v>MIT-0181</x:v>
      </x:c>
      <x:c r="B188" s="2" t="str">
        <x:v>Mitigation</x:v>
      </x:c>
      <x:c r="C188" s="2" t="str">
        <x:v>Agriculture</x:v>
      </x:c>
      <x:c r="D188" s="2" t="str">
        <x:v>Cropland</x:v>
      </x:c>
      <x:c r="E188" s="2" t="str">
        <x:v>Cover crop technology</x:v>
      </x:c>
      <x:c r="F188" s="2" t="str">
        <x:v>Cover crop technology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Cover crop technology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8" s="2" t="str">
        <x:v>Mixed: adaptable design, site-specific implementation</x:v>
      </x:c>
      <x:c r="H188" s="2" t="str">
        <x:v>Cover crop technology is adaptable in capacity and configuration but site-specific in final engineering. Its principle remains the same, but resource quality, climate, scale, interfaces and safety constraints must be recalculated for each deployment.</x:v>
      </x:c>
      <x:c r="I188" s="2" t="str">
        <x:v>Primarily hard, with a soft component</x:v>
      </x:c>
      <x:c r="J188" s="2" t="str">
        <x:v>Cover crop technology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8" s="2" t="str">
        <x:v>Operation</x:v>
      </x:c>
      <x:c r="L188" s="2" t="str">
        <x:v>Cover crop technology is embodied mainly as an operating practice. The deliverable is accepted only when measurable service, quality, safety and climate-performance criteria are met under real conditions.</x:v>
      </x:c>
      <x:c r="M188" s="2" t="str">
        <x:v>Yes, subject to life-cycle safeguards</x:v>
      </x:c>
      <x:c r="N188" s="2" t="str">
        <x:v>Cover crop technology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8" s="2" t="str">
        <x:v>Cover crop technology: field or forest implements, planting and irrigation equipment, storage or livestock facilities, sampling tools, sensors and protective structures as required.</x:v>
      </x:c>
      <x:c r="P188" s="2" t="str">
        <x:v>Cover crop technology: soil–crop–livestock knowledge, nutrient and water budgets, emission factors, carbon accounting, climate services, monitoring protocols and adaptive management.</x:v>
      </x:c>
      <x:c r="Q188" s="2" t="str">
        <x:v>Cover crop technology: land tenure, extension, producer organisations, veterinary or phytosanitary services, incentives, safeguards, certification and monitoring arrangements.</x:v>
      </x:c>
      <x:c r="R188" s="2" t="str">
        <x:v>Cover crop technology: nurseries or seed banks, field access, water and storage systems, laboratories, extension centres, monitoring plots and processing or market facilities.</x:v>
      </x:c>
      <x:c r="S188" s="2" t="str">
        <x:v>Cover crop technology: human and mechanical work, electricity or fuel for machinery, pumping, cooling and processing; biological energy and solar radiation dominate field processes.</x:v>
      </x:c>
      <x:c r="T188" s="2" t="str">
        <x:v>Cover crop technology: seed or planting stock, organic matter, fertilisers, soil amendments, water, fencing or structural materials, veterinary inputs and monitoring consumables.</x:v>
      </x:c>
      <x:c r="U188" s="2" t="str">
        <x:v>Cover crop technology: seed, inoculants, filters, drip lines, nozzles, tool parts, sampling containers, sensor batteries, veterinary supplies and protective equipment.</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https://www.ipcc.ch/report/ar6/wg3/chapter/chapter-7/; https://openknowledge.fao.org/server/api/core/bitstreams/b21f2087-f398-4718-8461-b92afc82e617/content</x:v>
      </x:c>
      <x:c r="Z188" s="2" t="str">
        <x:v>Technology-specific analytical synthesis. The CTCN hierarchy is retained; classifications and component dependencies require validation against the selected design, site and supplier documentation before investment or policy use.</x:v>
      </x:c>
      <x:c r="AA188" s="2" t="str">
        <x:v>Physical deployment of Cover crop technology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8" s="2" t="str">
        <x:v>For Cover crop technology,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8" s="2" t="str">
        <x:v>Construction and operation use seed or planting stock, organic matter, fertilisers, soil amendments, water, fencing or structural materials, veterinary inputs and monitoring consumables. For Cover crop technology, specifications must include durability, compatibility, recycled content and recoverability.</x:v>
      </x:c>
      <x:c r="AD188" s="2" t="str">
        <x:v>Maintenance of Cover crop technology depends on seed, inoculants, filters, drip lines, nozzles, tool parts, sampling containers, sensor batteries, veterinary supplies and protective equipment; critical spares are selected from failure-mode, lead-time and safety analysis for its installed configuration.</x:v>
      </x:c>
      <x:c r="AE188" s="2" t="str">
        <x:v>The software stack for Cover crop technology requires databases, secure communications, version-controlled models, computing, backup and interfaces with field or operational systems.</x:v>
      </x:c>
      <x:c r="AF188" s="2" t="str">
        <x:v>For Cover crop technology, software-related energy is electricity for sensing, computing, storage, communication and cooling; it is normally secondary but must be included for data-intensive or continuous services.</x:v>
      </x:c>
      <x:c r="AG188" s="2" t="str">
        <x:v>The non-physical inputs are calibrated data, metadata, algorithms, boundary conditions, emission or hazard factors, manuals and validation records specific to Cover crop technology.</x:v>
      </x:c>
      <x:c r="AH188" s="2" t="str">
        <x:v>Software continuity for Cover crop technology requires licences where applicable, updates, cybersecurity patches, backups, calibration files, model validation and technical support.</x:v>
      </x:c>
      <x:c r="AI188" s="2" t="str">
        <x:v>Orgware depends on the institutions, laboratories, training providers, regulators, operators and community interfaces needed to govern Cover crop technology.</x:v>
      </x:c>
      <x:c r="AJ188" s="2" t="str">
        <x:v>The orgware supporting Cover crop technology has mainly indirect energy use from offices, meetings, training and information systems; travel and field supervision may be material at dispersed sites.</x:v>
      </x:c>
      <x:c r="AK188" s="2" t="str">
        <x:v>Its organisational inputs are permits, budgets, trained staff, competence records, contracts, procedures, safeguards, monitoring evidence and stakeholder agreements tailored to Cover crop technology.</x:v>
      </x:c>
      <x:c r="AL188" s="2" t="str">
        <x:v>Sustained implementation of Cover crop technology requires procurement and service contracts, audit protocols, training material, reporting templates, insurance or guarantees and periodic independent review.</x:v>
      </x:c>
      <x:c r="AM188" s="2" t="str">
        <x:v>Phosphate rock; Potash</x:v>
      </x:c>
      <x:c r="AN188" s="2" t="str">
        <x:v>China; Morocco; United States; Canada; Russia; Belarus</x:v>
      </x:c>
      <x:c r="AO188" s="2" t="str">
        <x:v>China; Morocco; United States; Canada; Russia; Belarus</x:v>
      </x:c>
      <x:c r="AP188" s="2" t="str">
        <x:v>Cover crop technology: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8" s="2" t="str">
        <x:v>2024–2025</x:v>
      </x:c>
      <x:c r="AR188" s="2" t="str">
        <x:v>https://pubs.usgs.gov/periodicals/mcs2026/mcs2026.pdf</x:v>
      </x:c>
    </x:row>
    <x:row r="189" ht="240" customHeight="1">
      <x:c r="A189" s="2" t="str">
        <x:v>MIT-0182</x:v>
      </x:c>
      <x:c r="B189" s="2" t="str">
        <x:v>Mitigation</x:v>
      </x:c>
      <x:c r="C189" s="2" t="str">
        <x:v>Agriculture</x:v>
      </x:c>
      <x:c r="D189" s="2" t="str">
        <x:v>Cropland</x:v>
      </x:c>
      <x:c r="E189" s="2" t="str">
        <x:v>Manure coverage</x:v>
      </x:c>
      <x:c r="F189" s="2" t="str">
        <x:v>Manure coverage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89" s="2" t="str">
        <x:v>Mixed: adaptable design, site-specific implementation</x:v>
      </x:c>
      <x:c r="H189" s="2" t="str">
        <x:v>Manure coverage is adaptable in capacity and configuration but site-specific in final engineering. Its principle remains the same, but resource quality, climate, scale, interfaces and safety constraints must be recalculated for each deployment.</x:v>
      </x:c>
      <x:c r="I189" s="2" t="str">
        <x:v>Primarily hard, with a soft component</x:v>
      </x:c>
      <x:c r="J189" s="2" t="str">
        <x:v>Manure coverage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89" s="2" t="str">
        <x:v>Operation</x:v>
      </x:c>
      <x:c r="L189" s="2" t="str">
        <x:v>Manure coverage is embodied mainly as an operating practice. The deliverable is accepted only when measurable service, quality, safety and climate-performance criteria are met under real conditions.</x:v>
      </x:c>
      <x:c r="M189" s="2" t="str">
        <x:v>Yes, subject to life-cycle safeguards</x:v>
      </x:c>
      <x:c r="N189" s="2" t="str">
        <x:v>Manure coverage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89" s="2" t="str">
        <x:v>Manure coverage: field or forest implements, planting and irrigation equipment, storage or livestock facilities, sampling tools, sensors and protective structures as required.</x:v>
      </x:c>
      <x:c r="P189" s="2" t="str">
        <x:v>Manure coverage: soil–crop–livestock knowledge, nutrient and water budgets, emission factors, carbon accounting, climate services, monitoring protocols and adaptive management.</x:v>
      </x:c>
      <x:c r="Q189" s="2" t="str">
        <x:v>Manure coverage: land tenure, extension, producer organisations, veterinary or phytosanitary services, incentives, safeguards, certification and monitoring arrangements.</x:v>
      </x:c>
      <x:c r="R189" s="2" t="str">
        <x:v>Manure coverage: nurseries or seed banks, field access, water and storage systems, laboratories, extension centres, monitoring plots and processing or market facilities.</x:v>
      </x:c>
      <x:c r="S189" s="2" t="str">
        <x:v>Manure coverage: human and mechanical work, electricity or fuel for machinery, pumping, cooling and processing; biological energy and solar radiation dominate field processes.</x:v>
      </x:c>
      <x:c r="T189" s="2" t="str">
        <x:v>Manure coverage: seed or planting stock, organic matter, fertilisers, soil amendments, water, fencing or structural materials, veterinary inputs and monitoring consumables.</x:v>
      </x:c>
      <x:c r="U189" s="2" t="str">
        <x:v>Manure coverage: seed, inoculants, filters, drip lines, nozzles, tool parts, sampling containers, sensor batteries, veterinary supplies and protective equipment.</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https://www.ipcc.ch/report/ar6/wg3/chapter/chapter-7/; https://openknowledge.fao.org/server/api/core/bitstreams/b21f2087-f398-4718-8461-b92afc82e617/content</x:v>
      </x:c>
      <x:c r="Z189" s="2" t="str">
        <x:v>Technology-specific analytical synthesis. The CTCN hierarchy is retained; classifications and component dependencies require validation against the selected design, site and supplier documentation before investment or policy use.</x:v>
      </x:c>
      <x:c r="AA189" s="2" t="str">
        <x:v>Physical deployment of Manure coverage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89" s="2" t="str">
        <x:v>For Manure coverage,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89" s="2" t="str">
        <x:v>Construction and operation use seed or planting stock, organic matter, fertilisers, soil amendments, water, fencing or structural materials, veterinary inputs and monitoring consumables. For Manure coverage, specifications must include durability, compatibility, recycled content and recoverability.</x:v>
      </x:c>
      <x:c r="AD189" s="2" t="str">
        <x:v>Maintenance of Manure coverage depends on seed, inoculants, filters, drip lines, nozzles, tool parts, sampling containers, sensor batteries, veterinary supplies and protective equipment; critical spares are selected from failure-mode, lead-time and safety analysis for its installed configuration.</x:v>
      </x:c>
      <x:c r="AE189" s="2" t="str">
        <x:v>The software stack for Manure coverage requires databases, secure communications, version-controlled models, computing, backup and interfaces with field or operational systems.</x:v>
      </x:c>
      <x:c r="AF189" s="2" t="str">
        <x:v>For Manure coverage, software-related energy is electricity for sensing, computing, storage, communication and cooling; it is normally secondary but must be included for data-intensive or continuous services.</x:v>
      </x:c>
      <x:c r="AG189" s="2" t="str">
        <x:v>The non-physical inputs are calibrated data, metadata, algorithms, boundary conditions, emission or hazard factors, manuals and validation records specific to Manure coverage.</x:v>
      </x:c>
      <x:c r="AH189" s="2" t="str">
        <x:v>Software continuity for Manure coverage requires licences where applicable, updates, cybersecurity patches, backups, calibration files, model validation and technical support.</x:v>
      </x:c>
      <x:c r="AI189" s="2" t="str">
        <x:v>Orgware depends on the institutions, laboratories, training providers, regulators, operators and community interfaces needed to govern Manure coverage.</x:v>
      </x:c>
      <x:c r="AJ189" s="2" t="str">
        <x:v>The orgware supporting Manure coverage has mainly indirect energy use from offices, meetings, training and information systems; travel and field supervision may be material at dispersed sites.</x:v>
      </x:c>
      <x:c r="AK189" s="2" t="str">
        <x:v>Its organisational inputs are permits, budgets, trained staff, competence records, contracts, procedures, safeguards, monitoring evidence and stakeholder agreements tailored to Manure coverage.</x:v>
      </x:c>
      <x:c r="AL189" s="2" t="str">
        <x:v>Sustained implementation of Manure coverage requires procurement and service contracts, audit protocols, training material, reporting templates, insurance or guarantees and periodic independent review.</x:v>
      </x:c>
      <x:c r="AM189" s="2" t="str">
        <x:v>Phosphate rock; Potash</x:v>
      </x:c>
      <x:c r="AN189" s="2" t="str">
        <x:v>China; Morocco; United States; Canada; Russia; Belarus</x:v>
      </x:c>
      <x:c r="AO189" s="2" t="str">
        <x:v>China; Morocco; United States; Canada; Russia; Belarus</x:v>
      </x:c>
      <x:c r="AP189" s="2" t="str">
        <x:v>Manure coverage: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9" s="2" t="str">
        <x:v>2024–2025</x:v>
      </x:c>
      <x:c r="AR189" s="2" t="str">
        <x:v>https://pubs.usgs.gov/periodicals/mcs2026/mcs2026.pdf</x:v>
      </x:c>
    </x:row>
    <x:row r="190" ht="240" customHeight="1">
      <x:c r="A190" s="2" t="str">
        <x:v>MIT-0183</x:v>
      </x:c>
      <x:c r="B190" s="2" t="str">
        <x:v>Mitigation</x:v>
      </x:c>
      <x:c r="C190" s="2" t="str">
        <x:v>Agriculture</x:v>
      </x:c>
      <x:c r="D190" s="2" t="str">
        <x:v>Cropland</x:v>
      </x:c>
      <x:c r="E190" s="2" t="str">
        <x:v>Crop drying</x:v>
      </x:c>
      <x:c r="F190" s="2" t="str">
        <x:v>Crop drying is a mitigation technology in the Agriculture sector and the Cropland technology group. It is defined as a combined hardware–software–orgware system that changes vegetation, soil, nutrient, water, crop or livestock management to protect carbon stocks, increase resilience and productivity, and reduce CO₂, CH₄ or N₂O emissions. Crop drying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0" s="2" t="str">
        <x:v>Mixed: adaptable design, site-specific implementation</x:v>
      </x:c>
      <x:c r="H190" s="2" t="str">
        <x:v>Crop drying is adaptable in capacity and configuration but site-specific in final engineering. Its principle remains the same, but resource quality, climate, scale, interfaces and safety constraints must be recalculated for each deployment.</x:v>
      </x:c>
      <x:c r="I190" s="2" t="str">
        <x:v>Primarily hard, with a soft component</x:v>
      </x:c>
      <x:c r="J190" s="2" t="str">
        <x:v>Crop drying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0" s="2" t="str">
        <x:v>Operation</x:v>
      </x:c>
      <x:c r="L190" s="2" t="str">
        <x:v>Crop drying is embodied mainly as an operating practice. The deliverable is accepted only when measurable service, quality, safety and climate-performance criteria are met under real conditions.</x:v>
      </x:c>
      <x:c r="M190" s="2" t="str">
        <x:v>Yes, subject to life-cycle safeguards</x:v>
      </x:c>
      <x:c r="N190" s="2" t="str">
        <x:v>Crop drying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0" s="2" t="str">
        <x:v>Crop drying: field or forest implements, planting and irrigation equipment, storage or livestock facilities, sampling tools, sensors and protective structures as required.</x:v>
      </x:c>
      <x:c r="P190" s="2" t="str">
        <x:v>Crop drying: soil–crop–livestock knowledge, nutrient and water budgets, emission factors, carbon accounting, climate services, monitoring protocols and adaptive management.</x:v>
      </x:c>
      <x:c r="Q190" s="2" t="str">
        <x:v>Crop drying: land tenure, extension, producer organisations, veterinary or phytosanitary services, incentives, safeguards, certification and monitoring arrangements.</x:v>
      </x:c>
      <x:c r="R190" s="2" t="str">
        <x:v>Crop drying: nurseries or seed banks, field access, water and storage systems, laboratories, extension centres, monitoring plots and processing or market facilities.</x:v>
      </x:c>
      <x:c r="S190" s="2" t="str">
        <x:v>Crop drying: human and mechanical work, electricity or fuel for machinery, pumping, cooling and processing; biological energy and solar radiation dominate field processes.</x:v>
      </x:c>
      <x:c r="T190" s="2" t="str">
        <x:v>Crop drying: seed or planting stock, organic matter, fertilisers, soil amendments, water, fencing or structural materials, veterinary inputs and monitoring consumables.</x:v>
      </x:c>
      <x:c r="U190" s="2" t="str">
        <x:v>Crop drying: seed, inoculants, filters, drip lines, nozzles, tool parts, sampling containers, sensor batteries, veterinary supplies and protective equipment.</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https://www.ipcc.ch/report/ar6/wg3/chapter/chapter-7/; https://openknowledge.fao.org/server/api/core/bitstreams/b21f2087-f398-4718-8461-b92afc82e617/content</x:v>
      </x:c>
      <x:c r="Z190" s="2" t="str">
        <x:v>Technology-specific analytical synthesis. The CTCN hierarchy is retained; classifications and component dependencies require validation against the selected design, site and supplier documentation before investment or policy use.</x:v>
      </x:c>
      <x:c r="AA190" s="2" t="str">
        <x:v>Physical deployment of Crop drying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0" s="2" t="str">
        <x:v>For Crop drying,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0" s="2" t="str">
        <x:v>Construction and operation use seed or planting stock, organic matter, fertilisers, soil amendments, water, fencing or structural materials, veterinary inputs and monitoring consumables. For Crop drying, specifications must include durability, compatibility, recycled content and recoverability.</x:v>
      </x:c>
      <x:c r="AD190" s="2" t="str">
        <x:v>Maintenance of Crop drying depends on seed, inoculants, filters, drip lines, nozzles, tool parts, sampling containers, sensor batteries, veterinary supplies and protective equipment; critical spares are selected from failure-mode, lead-time and safety analysis for its installed configuration.</x:v>
      </x:c>
      <x:c r="AE190" s="2" t="str">
        <x:v>The software stack for Crop drying requires databases, secure communications, version-controlled models, computing, backup and interfaces with field or operational systems.</x:v>
      </x:c>
      <x:c r="AF190" s="2" t="str">
        <x:v>For Crop drying, software-related energy is electricity for sensing, computing, storage, communication and cooling; it is normally secondary but must be included for data-intensive or continuous services.</x:v>
      </x:c>
      <x:c r="AG190" s="2" t="str">
        <x:v>The non-physical inputs are calibrated data, metadata, algorithms, boundary conditions, emission or hazard factors, manuals and validation records specific to Crop drying.</x:v>
      </x:c>
      <x:c r="AH190" s="2" t="str">
        <x:v>Software continuity for Crop drying requires licences where applicable, updates, cybersecurity patches, backups, calibration files, model validation and technical support.</x:v>
      </x:c>
      <x:c r="AI190" s="2" t="str">
        <x:v>Orgware depends on the institutions, laboratories, training providers, regulators, operators and community interfaces needed to govern Crop drying.</x:v>
      </x:c>
      <x:c r="AJ190" s="2" t="str">
        <x:v>The orgware supporting Crop drying has mainly indirect energy use from offices, meetings, training and information systems; travel and field supervision may be material at dispersed sites.</x:v>
      </x:c>
      <x:c r="AK190" s="2" t="str">
        <x:v>Its organisational inputs are permits, budgets, trained staff, competence records, contracts, procedures, safeguards, monitoring evidence and stakeholder agreements tailored to Crop drying.</x:v>
      </x:c>
      <x:c r="AL190" s="2" t="str">
        <x:v>Sustained implementation of Crop drying requires procurement and service contracts, audit protocols, training material, reporting templates, insurance or guarantees and periodic independent review.</x:v>
      </x:c>
      <x:c r="AM190" s="2" t="str">
        <x:v>Phosphate rock; Potash</x:v>
      </x:c>
      <x:c r="AN190" s="2" t="str">
        <x:v>China; Morocco; United States; Canada; Russia; Belarus</x:v>
      </x:c>
      <x:c r="AO190" s="2" t="str">
        <x:v>China; Morocco; United States; Canada; Russia; Belarus</x:v>
      </x:c>
      <x:c r="AP190" s="2" t="str">
        <x:v>Crop drying: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0" s="2" t="str">
        <x:v>2024–2025</x:v>
      </x:c>
      <x:c r="AR190" s="2" t="str">
        <x:v>https://pubs.usgs.gov/periodicals/mcs2026/mcs2026.pdf</x:v>
      </x:c>
    </x:row>
    <x:row r="191" ht="240" customHeight="1">
      <x:c r="A191" s="2" t="str">
        <x:v>MIT-0184</x:v>
      </x:c>
      <x:c r="B191" s="2" t="str">
        <x:v>Mitigation</x:v>
      </x:c>
      <x:c r="C191" s="2" t="str">
        <x:v>Agriculture</x:v>
      </x:c>
      <x:c r="D191" s="2" t="str">
        <x:v>Wetland management</x:v>
      </x:c>
      <x:c r="E191" s="2" t="str">
        <x:v>Wetland management</x:v>
      </x:c>
      <x:c r="F191" s="2" t="str">
        <x:v>Wetland management is a mitigation technology in the Agriculture sector and the Wetland management technology group. It is defined as a combined hardware–software–orgware system that changes vegetation, soil, nutrient, water, crop or livestock management to protect carbon stocks, increase resilience and productivity, and reduce CO₂, CH₄ or N₂O emissions. Wetland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1" s="2" t="str">
        <x:v>Flexible</x:v>
      </x:c>
      <x:c r="H191" s="2" t="str">
        <x:v>Wetland management is transferable through configurable methods, rules and operating parameters. Its principle remains the same, but resource quality, climate, scale, interfaces and safety constraints must be recalculated for each deployment.</x:v>
      </x:c>
      <x:c r="I191" s="2" t="str">
        <x:v>Primarily soft, with physical support</x:v>
      </x:c>
      <x:c r="J191" s="2" t="str">
        <x:v>Wetland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1" s="2" t="str">
        <x:v>Operation</x:v>
      </x:c>
      <x:c r="L191" s="2" t="str">
        <x:v>Wetland management is embodied mainly as an operating practice. The deliverable is accepted only when measurable service, quality, safety and climate-performance criteria are met under real conditions.</x:v>
      </x:c>
      <x:c r="M191" s="2" t="str">
        <x:v>Yes, subject to life-cycle safeguards</x:v>
      </x:c>
      <x:c r="N191" s="2" t="str">
        <x:v>Wetland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1" s="2" t="str">
        <x:v>Wetland management: field or forest implements, planting and irrigation equipment, storage or livestock facilities, sampling tools, sensors and protective structures as required.</x:v>
      </x:c>
      <x:c r="P191" s="2" t="str">
        <x:v>Wetland management: soil–crop–livestock knowledge, nutrient and water budgets, emission factors, carbon accounting, climate services, monitoring protocols and adaptive management.</x:v>
      </x:c>
      <x:c r="Q191" s="2" t="str">
        <x:v>Wetland management: land tenure, extension, producer organisations, veterinary or phytosanitary services, incentives, safeguards, certification and monitoring arrangements.</x:v>
      </x:c>
      <x:c r="R191" s="2" t="str">
        <x:v>Wetland management: nurseries or seed banks, field access, water and storage systems, laboratories, extension centres, monitoring plots and processing or market facilities.</x:v>
      </x:c>
      <x:c r="S191" s="2" t="str">
        <x:v>Wetland management: human and mechanical work, electricity or fuel for machinery, pumping, cooling and processing; biological energy and solar radiation dominate field processes.</x:v>
      </x:c>
      <x:c r="T191" s="2" t="str">
        <x:v>Wetland management: seed or planting stock, organic matter, fertilisers, soil amendments, water, fencing or structural materials, veterinary inputs and monitoring consumables.</x:v>
      </x:c>
      <x:c r="U191" s="2" t="str">
        <x:v>Wetland management: seed, inoculants, filters, drip lines, nozzles, tool parts, sampling containers, sensor batteries, veterinary supplies and protective equipment.</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https://www.ipcc.ch/report/ar6/wg3/chapter/chapter-7/; https://openknowledge.fao.org/server/api/core/bitstreams/b21f2087-f398-4718-8461-b92afc82e617/content</x:v>
      </x:c>
      <x:c r="Z191" s="2" t="str">
        <x:v>Technology-specific analytical synthesis. The CTCN hierarchy is retained; classifications and component dependencies require validation against the selected design, site and supplier documentation before investment or policy use.</x:v>
      </x:c>
      <x:c r="AA191" s="2" t="str">
        <x:v>Physical deployment of Wetland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1" s="2" t="str">
        <x:v>For Wetland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1" s="2" t="str">
        <x:v>Construction and operation use seed or planting stock, organic matter, fertilisers, soil amendments, water, fencing or structural materials, veterinary inputs and monitoring consumables. For Wetland management, specifications must include durability, compatibility, recycled content and recoverability.</x:v>
      </x:c>
      <x:c r="AD191" s="2" t="str">
        <x:v>Maintenance of Wetland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191" s="2" t="str">
        <x:v>The software stack for Wetland management requires databases, secure communications, version-controlled models, computing, backup and interfaces with field or operational systems.</x:v>
      </x:c>
      <x:c r="AF191" s="2" t="str">
        <x:v>For Wetland management, software-related energy is electricity for sensing, computing, storage, communication and cooling; it is normally secondary but must be included for data-intensive or continuous services.</x:v>
      </x:c>
      <x:c r="AG191" s="2" t="str">
        <x:v>The non-physical inputs are calibrated data, metadata, algorithms, boundary conditions, emission or hazard factors, manuals and validation records specific to Wetland management.</x:v>
      </x:c>
      <x:c r="AH191" s="2" t="str">
        <x:v>Software continuity for Wetland management requires licences where applicable, updates, cybersecurity patches, backups, calibration files, model validation and technical support.</x:v>
      </x:c>
      <x:c r="AI191" s="2" t="str">
        <x:v>Orgware depends on the institutions, laboratories, training providers, regulators, operators and community interfaces needed to govern Wetland management.</x:v>
      </x:c>
      <x:c r="AJ191" s="2" t="str">
        <x:v>The orgware supporting Wetland management has mainly indirect energy use from offices, meetings, training and information systems; travel and field supervision may be material at dispersed sites.</x:v>
      </x:c>
      <x:c r="AK191" s="2" t="str">
        <x:v>Its organisational inputs are permits, budgets, trained staff, competence records, contracts, procedures, safeguards, monitoring evidence and stakeholder agreements tailored to Wetland management.</x:v>
      </x:c>
      <x:c r="AL191" s="2" t="str">
        <x:v>Sustained implementation of Wetland management requires procurement and service contracts, audit protocols, training material, reporting templates, insurance or guarantees and periodic independent review.</x:v>
      </x:c>
      <x:c r="AM191" s="2" t="str">
        <x:v>No critical or strategic raw material is identifiable at taxonomy level; site-specific bulk materials may still be required.</x:v>
      </x:c>
      <x:c r="AN191" s="2" t="str"/>
      <x:c r="AO191" s="2" t="str"/>
      <x:c r="AP191" s="2" t="str">
        <x:v>Wetland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1" s="2" t="str">
        <x:v>2024–2025</x:v>
      </x:c>
      <x:c r="AR191" s="2" t="str">
        <x:v>https://pubs.usgs.gov/periodicals/mcs2026/mcs2026.pdf</x:v>
      </x:c>
    </x:row>
    <x:row r="192" ht="240" customHeight="1">
      <x:c r="A192" s="2" t="str">
        <x:v>MIT-0185</x:v>
      </x:c>
      <x:c r="B192" s="2" t="str">
        <x:v>Mitigation</x:v>
      </x:c>
      <x:c r="C192" s="2" t="str">
        <x:v>Agriculture</x:v>
      </x:c>
      <x:c r="D192" s="2" t="str">
        <x:v>Soil carbon measurement</x:v>
      </x:c>
      <x:c r="E192" s="2" t="str">
        <x:v>Soil carbon measurement</x:v>
      </x:c>
      <x:c r="F192" s="2" t="str">
        <x:v>Soil carbon measurement is a mitigation technology in the Agriculture sector and the Soil carbon measurement technology group. It is defined as a combined hardware–software–orgware system that changes vegetation, soil, nutrient, water, crop or livestock management to protect carbon stocks, increase resilience and productivity, and reduce CO₂, CH₄ or N₂O emissions. Soil carbon measurement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2" s="2" t="str">
        <x:v>Mixed: adaptable design, site-specific implementation</x:v>
      </x:c>
      <x:c r="H192" s="2" t="str">
        <x:v>Soil carbon measurement is adaptable in capacity and configuration but site-specific in final engineering. Its principle remains the same, but resource quality, climate, scale, interfaces and safety constraints must be recalculated for each deployment.</x:v>
      </x:c>
      <x:c r="I192" s="2" t="str">
        <x:v>Primarily hard, with a soft component</x:v>
      </x:c>
      <x:c r="J192" s="2" t="str">
        <x:v>Soil carbon measurement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2" s="2" t="str">
        <x:v>Operation</x:v>
      </x:c>
      <x:c r="L192" s="2" t="str">
        <x:v>Soil carbon measurement is embodied mainly as an operating practice. The deliverable is accepted only when measurable service, quality, safety and climate-performance criteria are met under real conditions.</x:v>
      </x:c>
      <x:c r="M192" s="2" t="str">
        <x:v>Yes, subject to life-cycle safeguards</x:v>
      </x:c>
      <x:c r="N192" s="2" t="str">
        <x:v>Soil carbon measurement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2" s="2" t="str">
        <x:v>Soil carbon measurement: field or forest implements, planting and irrigation equipment, storage or livestock facilities, sampling tools, sensors and protective structures as required.</x:v>
      </x:c>
      <x:c r="P192" s="2" t="str">
        <x:v>Soil carbon measurement: soil–crop–livestock knowledge, nutrient and water budgets, emission factors, carbon accounting, climate services, monitoring protocols and adaptive management.</x:v>
      </x:c>
      <x:c r="Q192" s="2" t="str">
        <x:v>Soil carbon measurement: land tenure, extension, producer organisations, veterinary or phytosanitary services, incentives, safeguards, certification and monitoring arrangements.</x:v>
      </x:c>
      <x:c r="R192" s="2" t="str">
        <x:v>Soil carbon measurement: nurseries or seed banks, field access, water and storage systems, laboratories, extension centres, monitoring plots and processing or market facilities.</x:v>
      </x:c>
      <x:c r="S192" s="2" t="str">
        <x:v>Soil carbon measurement: human and mechanical work, electricity or fuel for machinery, pumping, cooling and processing; biological energy and solar radiation dominate field processes.</x:v>
      </x:c>
      <x:c r="T192" s="2" t="str">
        <x:v>Soil carbon measurement: seed or planting stock, organic matter, fertilisers, soil amendments, water, fencing or structural materials, veterinary inputs and monitoring consumables.</x:v>
      </x:c>
      <x:c r="U192" s="2" t="str">
        <x:v>Soil carbon measurement: seed, inoculants, filters, drip lines, nozzles, tool parts, sampling containers, sensor batteries, veterinary supplies and protective equipment.</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https://www.ipcc.ch/report/ar6/wg3/chapter/chapter-7/; https://openknowledge.fao.org/server/api/core/bitstreams/b21f2087-f398-4718-8461-b92afc82e617/content</x:v>
      </x:c>
      <x:c r="Z192" s="2" t="str">
        <x:v>Technology-specific analytical synthesis. The CTCN hierarchy is retained; classifications and component dependencies require validation against the selected design, site and supplier documentation before investment or policy use.</x:v>
      </x:c>
      <x:c r="AA192" s="2" t="str">
        <x:v>Physical deployment of Soil carbon measurement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2" s="2" t="str">
        <x:v>For Soil carbon measurement,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2" s="2" t="str">
        <x:v>Construction and operation use seed or planting stock, organic matter, fertilisers, soil amendments, water, fencing or structural materials, veterinary inputs and monitoring consumables. For Soil carbon measurement, specifications must include durability, compatibility, recycled content and recoverability.</x:v>
      </x:c>
      <x:c r="AD192" s="2" t="str">
        <x:v>Maintenance of Soil carbon measurement depends on seed, inoculants, filters, drip lines, nozzles, tool parts, sampling containers, sensor batteries, veterinary supplies and protective equipment; critical spares are selected from failure-mode, lead-time and safety analysis for its installed configuration.</x:v>
      </x:c>
      <x:c r="AE192" s="2" t="str">
        <x:v>The software stack for Soil carbon measurement requires databases, secure communications, version-controlled models, computing, backup and interfaces with field or operational systems.</x:v>
      </x:c>
      <x:c r="AF192" s="2" t="str">
        <x:v>For Soil carbon measurement, software-related energy is electricity for sensing, computing, storage, communication and cooling; it is normally secondary but must be included for data-intensive or continuous services.</x:v>
      </x:c>
      <x:c r="AG192" s="2" t="str">
        <x:v>The non-physical inputs are calibrated data, metadata, algorithms, boundary conditions, emission or hazard factors, manuals and validation records specific to Soil carbon measurement.</x:v>
      </x:c>
      <x:c r="AH192" s="2" t="str">
        <x:v>Software continuity for Soil carbon measurement requires licences where applicable, updates, cybersecurity patches, backups, calibration files, model validation and technical support.</x:v>
      </x:c>
      <x:c r="AI192" s="2" t="str">
        <x:v>Orgware depends on the institutions, laboratories, training providers, regulators, operators and community interfaces needed to govern Soil carbon measurement.</x:v>
      </x:c>
      <x:c r="AJ192" s="2" t="str">
        <x:v>The orgware supporting Soil carbon measurement has mainly indirect energy use from offices, meetings, training and information systems; travel and field supervision may be material at dispersed sites.</x:v>
      </x:c>
      <x:c r="AK192" s="2" t="str">
        <x:v>Its organisational inputs are permits, budgets, trained staff, competence records, contracts, procedures, safeguards, monitoring evidence and stakeholder agreements tailored to Soil carbon measurement.</x:v>
      </x:c>
      <x:c r="AL192" s="2" t="str">
        <x:v>Sustained implementation of Soil carbon measurement requires procurement and service contracts, audit protocols, training material, reporting templates, insurance or guarantees and periodic independent review.</x:v>
      </x:c>
      <x:c r="AM192" s="2" t="str">
        <x:v>Phosphate rock; Potash</x:v>
      </x:c>
      <x:c r="AN192" s="2" t="str">
        <x:v>China; Morocco; United States; Canada; Russia; Belarus</x:v>
      </x:c>
      <x:c r="AO192" s="2" t="str">
        <x:v>China; Morocco; United States; Canada; Russia; Belarus</x:v>
      </x:c>
      <x:c r="AP192" s="2" t="str">
        <x:v>Soil carbon measurement: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2" s="2" t="str">
        <x:v>2024–2025</x:v>
      </x:c>
      <x:c r="AR192" s="2" t="str">
        <x:v>https://pubs.usgs.gov/periodicals/mcs2026/mcs2026.pdf</x:v>
      </x:c>
    </x:row>
    <x:row r="193" ht="240" customHeight="1">
      <x:c r="A193" s="2" t="str">
        <x:v>MIT-0186</x:v>
      </x:c>
      <x:c r="B193" s="2" t="str">
        <x:v>Mitigation</x:v>
      </x:c>
      <x:c r="C193" s="2" t="str">
        <x:v>Agriculture</x:v>
      </x:c>
      <x:c r="D193" s="2" t="str">
        <x:v>Carbon stock measurement, monitoring and verification</x:v>
      </x:c>
      <x:c r="E193" s="2" t="str">
        <x:v>Carbon stock measurement, monitoring and verification</x:v>
      </x:c>
      <x:c r="F193" s="2" t="str">
        <x:v>Carbon stock measurement, monitoring and verification is a mitigation technology in the Agriculture sector and the Carbon stock measurement, monitoring and verification technology group. It is defined as a combined hardware–software–orgware system that changes vegetation, soil, nutrient, water, crop or livestock management to protect carbon stocks, increase resilience and productivity, and reduce CO₂, CH₄ or N₂O emissions. Carbon stock measurement, monitoring and verification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3" s="2" t="str">
        <x:v>Mixed: adaptable design, site-specific implementation</x:v>
      </x:c>
      <x:c r="H193" s="2" t="str">
        <x:v>Carbon stock measurement, monitoring and verification is adaptable in capacity and configuration but site-specific in final engineering. Its principle remains the same, but resource quality, climate, scale, interfaces and safety constraints must be recalculated for each deployment.</x:v>
      </x:c>
      <x:c r="I193" s="2" t="str">
        <x:v>Hard and soft</x:v>
      </x:c>
      <x:c r="J193" s="2" t="str">
        <x:v>Carbon stock measurement, monitoring and verification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3" s="2" t="str">
        <x:v>Operation and information service</x:v>
      </x:c>
      <x:c r="L193" s="2" t="str">
        <x:v>Carbon stock measurement, monitoring and verification is embodied mainly as an information and decision service. The deliverable is accepted only when measurable service, quality, safety and climate-performance criteria are met under real conditions.</x:v>
      </x:c>
      <x:c r="M193" s="2" t="str">
        <x:v>Yes, subject to life-cycle safeguards</x:v>
      </x:c>
      <x:c r="N193" s="2" t="str">
        <x:v>Carbon stock measurement, monitoring and verification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3" s="2" t="str">
        <x:v>Carbon stock measurement, monitoring and verification: field or forest implements, planting and irrigation equipment, storage or livestock facilities, sampling tools, sensors and protective structures as required.</x:v>
      </x:c>
      <x:c r="P193" s="2" t="str">
        <x:v>Carbon stock measurement, monitoring and verification: soil–crop–livestock knowledge, nutrient and water budgets, emission factors, carbon accounting, climate services, monitoring protocols and adaptive management.</x:v>
      </x:c>
      <x:c r="Q193" s="2" t="str">
        <x:v>Carbon stock measurement, monitoring and verification: land tenure, extension, producer organisations, veterinary or phytosanitary services, incentives, safeguards, certification and monitoring arrangements.</x:v>
      </x:c>
      <x:c r="R193" s="2" t="str">
        <x:v>Carbon stock measurement, monitoring and verification: nurseries or seed banks, field access, water and storage systems, laboratories, extension centres, monitoring plots and processing or market facilities.</x:v>
      </x:c>
      <x:c r="S193" s="2" t="str">
        <x:v>Carbon stock measurement, monitoring and verification: human and mechanical work, electricity or fuel for machinery, pumping, cooling and processing; biological energy and solar radiation dominate field processes.</x:v>
      </x:c>
      <x:c r="T193" s="2" t="str">
        <x:v>Carbon stock measurement, monitoring and verification: seed or planting stock, organic matter, fertilisers, soil amendments, water, fencing or structural materials, veterinary inputs and monitoring consumables.</x:v>
      </x:c>
      <x:c r="U193" s="2" t="str">
        <x:v>Carbon stock measurement, monitoring and verification: seed, inoculants, filters, drip lines, nozzles, tool parts, sampling containers, sensor batteries, veterinary supplies and protective equipment.</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https://www.ipcc.ch/report/ar6/wg3/chapter/chapter-7/; https://openknowledge.fao.org/server/api/core/bitstreams/b21f2087-f398-4718-8461-b92afc82e617/content</x:v>
      </x:c>
      <x:c r="Z193" s="2" t="str">
        <x:v>Technology-specific analytical synthesis. The CTCN hierarchy is retained; classifications and component dependencies require validation against the selected design, site and supplier documentation before investment or policy use.</x:v>
      </x:c>
      <x:c r="AA193" s="2" t="str">
        <x:v>Physical deployment of Carbon stock measurement, monitoring and verification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3" s="2" t="str">
        <x:v>For Carbon stock measurement, monitoring and verification,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3" s="2" t="str">
        <x:v>Construction and operation use seed or planting stock, organic matter, fertilisers, soil amendments, water, fencing or structural materials, veterinary inputs and monitoring consumables. For Carbon stock measurement, monitoring and verification, specifications must include durability, compatibility, recycled content and recoverability.</x:v>
      </x:c>
      <x:c r="AD193" s="2" t="str">
        <x:v>Maintenance of Carbon stock measurement, monitoring and verification depends on seed, inoculants, filters, drip lines, nozzles, tool parts, sampling containers, sensor batteries, veterinary supplies and protective equipment; critical spares are selected from failure-mode, lead-time and safety analysis for its installed configuration.</x:v>
      </x:c>
      <x:c r="AE193" s="2" t="str">
        <x:v>The software stack for Carbon stock measurement, monitoring and verification requires databases, secure communications, version-controlled models, computing, backup and interfaces with field or operational systems.</x:v>
      </x:c>
      <x:c r="AF193" s="2" t="str">
        <x:v>For Carbon stock measurement, monitoring and verification, software-related energy is electricity for sensing, computing, storage, communication and cooling; it is normally secondary but must be included for data-intensive or continuous services.</x:v>
      </x:c>
      <x:c r="AG193" s="2" t="str">
        <x:v>The non-physical inputs are calibrated data, metadata, algorithms, boundary conditions, emission or hazard factors, manuals and validation records specific to Carbon stock measurement, monitoring and verification.</x:v>
      </x:c>
      <x:c r="AH193" s="2" t="str">
        <x:v>Software continuity for Carbon stock measurement, monitoring and verification requires licences where applicable, updates, cybersecurity patches, backups, calibration files, model validation and technical support.</x:v>
      </x:c>
      <x:c r="AI193" s="2" t="str">
        <x:v>Orgware depends on the institutions, laboratories, training providers, regulators, operators and community interfaces needed to govern Carbon stock measurement, monitoring and verification.</x:v>
      </x:c>
      <x:c r="AJ193" s="2" t="str">
        <x:v>The orgware supporting Carbon stock measurement, monitoring and verification has mainly indirect energy use from offices, meetings, training and information systems; travel and field supervision may be material at dispersed sites.</x:v>
      </x:c>
      <x:c r="AK193" s="2" t="str">
        <x:v>Its organisational inputs are permits, budgets, trained staff, competence records, contracts, procedures, safeguards, monitoring evidence and stakeholder agreements tailored to Carbon stock measurement, monitoring and verification.</x:v>
      </x:c>
      <x:c r="AL193" s="2" t="str">
        <x:v>Sustained implementation of Carbon stock measurement, monitoring and verification requires procurement and service contracts, audit protocols, training material, reporting templates, insurance or guarantees and periodic independent review.</x:v>
      </x:c>
      <x:c r="AM193" s="2" t="str">
        <x:v>Copper; Tin</x:v>
      </x:c>
      <x:c r="AN193" s="2" t="str">
        <x:v>Chile; Democratic Republic of the Congo; Peru; China; Indonesia; Myanmar</x:v>
      </x:c>
      <x:c r="AO193" s="2" t="str">
        <x:v>China; Chile; Democratic Republic of the Congo; Indonesia; Malaysia</x:v>
      </x:c>
      <x:c r="AP193" s="2" t="str">
        <x:v>Carbon stock measurement, monitoring and verification: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3" s="2" t="str">
        <x:v>2024–2025</x:v>
      </x:c>
      <x:c r="AR193" s="2" t="str">
        <x:v>https://pubs.usgs.gov/periodicals/mcs2026/mcs2026.pdf</x:v>
      </x:c>
    </x:row>
    <x:row r="194" ht="240" customHeight="1">
      <x:c r="A194" s="2" t="str">
        <x:v>MIT-0187</x:v>
      </x:c>
      <x:c r="B194" s="2" t="str">
        <x:v>Mitigation</x:v>
      </x:c>
      <x:c r="C194" s="2" t="str">
        <x:v>Agriculture</x:v>
      </x:c>
      <x:c r="D194" s="2" t="str">
        <x:v>Improvement of Agri-food processes</x:v>
      </x:c>
      <x:c r="E194" s="2" t="str">
        <x:v>Improvement of Agri-food processes</x:v>
      </x:c>
      <x:c r="F194" s="2" t="str">
        <x:v>Improvement of Agri-food processes is a mitigation technology in the Agriculture sector and the Improvement of Agri-food processes technology group. It is defined as a combined hardware–software–orgware system that changes vegetation, soil, nutrient, water, crop or livestock management to protect carbon stocks, increase resilience and productivity, and reduce CO₂, CH₄ or N₂O emissions. Improvement of Agri-food processes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4" s="2" t="str">
        <x:v>Mixed: adaptable design, site-specific implementation</x:v>
      </x:c>
      <x:c r="H194" s="2" t="str">
        <x:v>Improvement of Agri-food processes is adaptable in capacity and configuration but site-specific in final engineering. Its principle remains the same, but resource quality, climate, scale, interfaces and safety constraints must be recalculated for each deployment.</x:v>
      </x:c>
      <x:c r="I194" s="2" t="str">
        <x:v>Primarily hard, with a soft component</x:v>
      </x:c>
      <x:c r="J194" s="2" t="str">
        <x:v>Improvement of Agri-food processes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4" s="2" t="str">
        <x:v>Operation</x:v>
      </x:c>
      <x:c r="L194" s="2" t="str">
        <x:v>Improvement of Agri-food processes is embodied mainly as an operating practice. The deliverable is accepted only when measurable service, quality, safety and climate-performance criteria are met under real conditions.</x:v>
      </x:c>
      <x:c r="M194" s="2" t="str">
        <x:v>Yes, subject to life-cycle safeguards</x:v>
      </x:c>
      <x:c r="N194" s="2" t="str">
        <x:v>Improvement of Agri-food processes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4" s="2" t="str">
        <x:v>Improvement of Agri-food processes: field or forest implements, planting and irrigation equipment, storage or livestock facilities, sampling tools, sensors and protective structures as required.</x:v>
      </x:c>
      <x:c r="P194" s="2" t="str">
        <x:v>Improvement of Agri-food processes: soil–crop–livestock knowledge, nutrient and water budgets, emission factors, carbon accounting, climate services, monitoring protocols and adaptive management.</x:v>
      </x:c>
      <x:c r="Q194" s="2" t="str">
        <x:v>Improvement of Agri-food processes: land tenure, extension, producer organisations, veterinary or phytosanitary services, incentives, safeguards, certification and monitoring arrangements.</x:v>
      </x:c>
      <x:c r="R194" s="2" t="str">
        <x:v>Improvement of Agri-food processes: nurseries or seed banks, field access, water and storage systems, laboratories, extension centres, monitoring plots and processing or market facilities.</x:v>
      </x:c>
      <x:c r="S194" s="2" t="str">
        <x:v>Improvement of Agri-food processes: human and mechanical work, electricity or fuel for machinery, pumping, cooling and processing; biological energy and solar radiation dominate field processes.</x:v>
      </x:c>
      <x:c r="T194" s="2" t="str">
        <x:v>Improvement of Agri-food processes: seed or planting stock, organic matter, fertilisers, soil amendments, water, fencing or structural materials, veterinary inputs and monitoring consumables.</x:v>
      </x:c>
      <x:c r="U194" s="2" t="str">
        <x:v>Improvement of Agri-food processes: seed, inoculants, filters, drip lines, nozzles, tool parts, sampling containers, sensor batteries, veterinary supplies and protective equipment.</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https://www.ipcc.ch/report/ar6/wg3/chapter/chapter-7/; https://openknowledge.fao.org/server/api/core/bitstreams/b21f2087-f398-4718-8461-b92afc82e617/content</x:v>
      </x:c>
      <x:c r="Z194" s="2" t="str">
        <x:v>Technology-specific analytical synthesis. The CTCN hierarchy is retained; classifications and component dependencies require validation against the selected design, site and supplier documentation before investment or policy use.</x:v>
      </x:c>
      <x:c r="AA194" s="2" t="str">
        <x:v>Physical deployment of Improvement of Agri-food processes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4" s="2" t="str">
        <x:v>For Improvement of Agri-food processes,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4" s="2" t="str">
        <x:v>Construction and operation use seed or planting stock, organic matter, fertilisers, soil amendments, water, fencing or structural materials, veterinary inputs and monitoring consumables. For Improvement of Agri-food processes, specifications must include durability, compatibility, recycled content and recoverability.</x:v>
      </x:c>
      <x:c r="AD194" s="2" t="str">
        <x:v>Maintenance of Improvement of Agri-food processes depends on seed, inoculants, filters, drip lines, nozzles, tool parts, sampling containers, sensor batteries, veterinary supplies and protective equipment; critical spares are selected from failure-mode, lead-time and safety analysis for its installed configuration.</x:v>
      </x:c>
      <x:c r="AE194" s="2" t="str">
        <x:v>The software stack for Improvement of Agri-food processes requires databases, secure communications, version-controlled models, computing, backup and interfaces with field or operational systems.</x:v>
      </x:c>
      <x:c r="AF194" s="2" t="str">
        <x:v>For Improvement of Agri-food processes, software-related energy is electricity for sensing, computing, storage, communication and cooling; it is normally secondary but must be included for data-intensive or continuous services.</x:v>
      </x:c>
      <x:c r="AG194" s="2" t="str">
        <x:v>The non-physical inputs are calibrated data, metadata, algorithms, boundary conditions, emission or hazard factors, manuals and validation records specific to Improvement of Agri-food processes.</x:v>
      </x:c>
      <x:c r="AH194" s="2" t="str">
        <x:v>Software continuity for Improvement of Agri-food processes requires licences where applicable, updates, cybersecurity patches, backups, calibration files, model validation and technical support.</x:v>
      </x:c>
      <x:c r="AI194" s="2" t="str">
        <x:v>Orgware depends on the institutions, laboratories, training providers, regulators, operators and community interfaces needed to govern Improvement of Agri-food processes.</x:v>
      </x:c>
      <x:c r="AJ194" s="2" t="str">
        <x:v>The orgware supporting Improvement of Agri-food processes has mainly indirect energy use from offices, meetings, training and information systems; travel and field supervision may be material at dispersed sites.</x:v>
      </x:c>
      <x:c r="AK194" s="2" t="str">
        <x:v>Its organisational inputs are permits, budgets, trained staff, competence records, contracts, procedures, safeguards, monitoring evidence and stakeholder agreements tailored to Improvement of Agri-food processes.</x:v>
      </x:c>
      <x:c r="AL194" s="2" t="str">
        <x:v>Sustained implementation of Improvement of Agri-food processes requires procurement and service contracts, audit protocols, training material, reporting templates, insurance or guarantees and periodic independent review.</x:v>
      </x:c>
      <x:c r="AM194" s="2" t="str">
        <x:v>No critical or strategic raw material is identifiable at taxonomy level; site-specific bulk materials may still be required.</x:v>
      </x:c>
      <x:c r="AN194" s="2" t="str"/>
      <x:c r="AO194" s="2" t="str"/>
      <x:c r="AP194" s="2" t="str">
        <x:v>Improvement of Agri-food processes: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4" s="2" t="str">
        <x:v>2024–2025</x:v>
      </x:c>
      <x:c r="AR194" s="2" t="str">
        <x:v>https://pubs.usgs.gov/periodicals/mcs2026/mcs2026.pdf</x:v>
      </x:c>
    </x:row>
    <x:row r="195" ht="240" customHeight="1">
      <x:c r="A195" s="2" t="str">
        <x:v>MIT-0188</x:v>
      </x:c>
      <x:c r="B195" s="2" t="str">
        <x:v>Mitigation</x:v>
      </x:c>
      <x:c r="C195" s="2" t="str">
        <x:v>Agriculture</x:v>
      </x:c>
      <x:c r="D195" s="2" t="str">
        <x:v>Livestock management</x:v>
      </x:c>
      <x:c r="E195" s="2" t="str">
        <x:v>Manure management</x:v>
      </x:c>
      <x:c r="F195" s="2" t="str">
        <x:v>Manure management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5" s="2" t="str">
        <x:v>Flexible</x:v>
      </x:c>
      <x:c r="H195" s="2" t="str">
        <x:v>Manure management is transferable through configurable methods, rules and operating parameters. Its principle remains the same, but resource quality, climate, scale, interfaces and safety constraints must be recalculated for each deployment.</x:v>
      </x:c>
      <x:c r="I195" s="2" t="str">
        <x:v>Primarily soft, with physical support</x:v>
      </x:c>
      <x:c r="J195" s="2" t="str">
        <x:v>Manure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5" s="2" t="str">
        <x:v>Operation</x:v>
      </x:c>
      <x:c r="L195" s="2" t="str">
        <x:v>Manure management is embodied mainly as an operating practice. The deliverable is accepted only when measurable service, quality, safety and climate-performance criteria are met under real conditions.</x:v>
      </x:c>
      <x:c r="M195" s="2" t="str">
        <x:v>Yes, subject to life-cycle safeguards</x:v>
      </x:c>
      <x:c r="N195" s="2" t="str">
        <x:v>Manure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5" s="2" t="str">
        <x:v>Manure management: field or forest implements, planting and irrigation equipment, storage or livestock facilities, sampling tools, sensors and protective structures as required.</x:v>
      </x:c>
      <x:c r="P195" s="2" t="str">
        <x:v>Manure management: soil–crop–livestock knowledge, nutrient and water budgets, emission factors, carbon accounting, climate services, monitoring protocols and adaptive management.</x:v>
      </x:c>
      <x:c r="Q195" s="2" t="str">
        <x:v>Manure management: land tenure, extension, producer organisations, veterinary or phytosanitary services, incentives, safeguards, certification and monitoring arrangements.</x:v>
      </x:c>
      <x:c r="R195" s="2" t="str">
        <x:v>Manure management: nurseries or seed banks, field access, water and storage systems, laboratories, extension centres, monitoring plots and processing or market facilities.</x:v>
      </x:c>
      <x:c r="S195" s="2" t="str">
        <x:v>Manure management: human and mechanical work, electricity or fuel for machinery, pumping, cooling and processing; biological energy and solar radiation dominate field processes.</x:v>
      </x:c>
      <x:c r="T195" s="2" t="str">
        <x:v>Manure management: seed or planting stock, organic matter, fertilisers, soil amendments, water, fencing or structural materials, veterinary inputs and monitoring consumables.</x:v>
      </x:c>
      <x:c r="U195" s="2" t="str">
        <x:v>Manure management: seed, inoculants, filters, drip lines, nozzles, tool parts, sampling containers, sensor batteries, veterinary supplies and protective equipment.</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https://www.ipcc.ch/report/ar6/wg3/chapter/chapter-7/; https://openknowledge.fao.org/server/api/core/bitstreams/b21f2087-f398-4718-8461-b92afc82e617/content</x:v>
      </x:c>
      <x:c r="Z195" s="2" t="str">
        <x:v>Technology-specific analytical synthesis. The CTCN hierarchy is retained; classifications and component dependencies require validation against the selected design, site and supplier documentation before investment or policy use.</x:v>
      </x:c>
      <x:c r="AA195" s="2" t="str">
        <x:v>Physical deployment of Manure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5" s="2" t="str">
        <x:v>For Manure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5" s="2" t="str">
        <x:v>Construction and operation use seed or planting stock, organic matter, fertilisers, soil amendments, water, fencing or structural materials, veterinary inputs and monitoring consumables. For Manure management, specifications must include durability, compatibility, recycled content and recoverability.</x:v>
      </x:c>
      <x:c r="AD195" s="2" t="str">
        <x:v>Maintenance of Manure management depends on seed, inoculants, filters, drip lines, nozzles, tool parts, sampling containers, sensor batteries, veterinary supplies and protective equipment; critical spares are selected from failure-mode, lead-time and safety analysis for its installed configuration.</x:v>
      </x:c>
      <x:c r="AE195" s="2" t="str">
        <x:v>The software stack for Manure management requires databases, secure communications, version-controlled models, computing, backup and interfaces with field or operational systems.</x:v>
      </x:c>
      <x:c r="AF195" s="2" t="str">
        <x:v>For Manure management, software-related energy is electricity for sensing, computing, storage, communication and cooling; it is normally secondary but must be included for data-intensive or continuous services.</x:v>
      </x:c>
      <x:c r="AG195" s="2" t="str">
        <x:v>The non-physical inputs are calibrated data, metadata, algorithms, boundary conditions, emission or hazard factors, manuals and validation records specific to Manure management.</x:v>
      </x:c>
      <x:c r="AH195" s="2" t="str">
        <x:v>Software continuity for Manure management requires licences where applicable, updates, cybersecurity patches, backups, calibration files, model validation and technical support.</x:v>
      </x:c>
      <x:c r="AI195" s="2" t="str">
        <x:v>Orgware depends on the institutions, laboratories, training providers, regulators, operators and community interfaces needed to govern Manure management.</x:v>
      </x:c>
      <x:c r="AJ195" s="2" t="str">
        <x:v>The orgware supporting Manure management has mainly indirect energy use from offices, meetings, training and information systems; travel and field supervision may be material at dispersed sites.</x:v>
      </x:c>
      <x:c r="AK195" s="2" t="str">
        <x:v>Its organisational inputs are permits, budgets, trained staff, competence records, contracts, procedures, safeguards, monitoring evidence and stakeholder agreements tailored to Manure management.</x:v>
      </x:c>
      <x:c r="AL195" s="2" t="str">
        <x:v>Sustained implementation of Manure management requires procurement and service contracts, audit protocols, training material, reporting templates, insurance or guarantees and periodic independent review.</x:v>
      </x:c>
      <x:c r="AM195" s="2" t="str">
        <x:v>No critical or strategic raw material is identifiable at taxonomy level; site-specific bulk materials may still be required.</x:v>
      </x:c>
      <x:c r="AN195" s="2" t="str"/>
      <x:c r="AO195" s="2" t="str"/>
      <x:c r="AP195" s="2" t="str">
        <x:v>Manure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5" s="2" t="str">
        <x:v>2024–2025</x:v>
      </x:c>
      <x:c r="AR195" s="2" t="str">
        <x:v>https://pubs.usgs.gov/periodicals/mcs2026/mcs2026.pdf; https://www.iea.org/reports/global-critical-minerals-outlook-2025</x:v>
      </x:c>
    </x:row>
    <x:row r="196" ht="240" customHeight="1">
      <x:c r="A196" s="2" t="str">
        <x:v>MIT-0189</x:v>
      </x:c>
      <x:c r="B196" s="2" t="str">
        <x:v>Mitigation</x:v>
      </x:c>
      <x:c r="C196" s="2" t="str">
        <x:v>Agriculture</x:v>
      </x:c>
      <x:c r="D196" s="2" t="str">
        <x:v>Livestock management</x:v>
      </x:c>
      <x:c r="E196" s="2" t="str">
        <x:v>Selective breeding via controlled mating</x:v>
      </x:c>
      <x:c r="F196" s="2" t="str">
        <x:v>Selective breeding via controlled mating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Selective breeding via controlled mating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6" s="2" t="str">
        <x:v>Flexible</x:v>
      </x:c>
      <x:c r="H196" s="2" t="str">
        <x:v>Selective breeding via controlled mating is transferable through configurable methods, rules and operating parameters. Its principle remains the same, but resource quality, climate, scale, interfaces and safety constraints must be recalculated for each deployment.</x:v>
      </x:c>
      <x:c r="I196" s="2" t="str">
        <x:v>Primarily soft, with physical support</x:v>
      </x:c>
      <x:c r="J196" s="2" t="str">
        <x:v>Selective breeding via controlled mating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6" s="2" t="str">
        <x:v>Operation</x:v>
      </x:c>
      <x:c r="L196" s="2" t="str">
        <x:v>Selective breeding via controlled mating is embodied mainly as an operating practice. The deliverable is accepted only when measurable service, quality, safety and climate-performance criteria are met under real conditions.</x:v>
      </x:c>
      <x:c r="M196" s="2" t="str">
        <x:v>Yes, subject to life-cycle safeguards</x:v>
      </x:c>
      <x:c r="N196" s="2" t="str">
        <x:v>Selective breeding via controlled mating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6" s="2" t="str">
        <x:v>Selective breeding via controlled mating: field or forest implements, planting and irrigation equipment, storage or livestock facilities, sampling tools, sensors and protective structures as required.</x:v>
      </x:c>
      <x:c r="P196" s="2" t="str">
        <x:v>Selective breeding via controlled mating: soil–crop–livestock knowledge, nutrient and water budgets, emission factors, carbon accounting, climate services, monitoring protocols and adaptive management.</x:v>
      </x:c>
      <x:c r="Q196" s="2" t="str">
        <x:v>Selective breeding via controlled mating: land tenure, extension, producer organisations, veterinary or phytosanitary services, incentives, safeguards, certification and monitoring arrangements.</x:v>
      </x:c>
      <x:c r="R196" s="2" t="str">
        <x:v>Selective breeding via controlled mating: nurseries or seed banks, field access, water and storage systems, laboratories, extension centres, monitoring plots and processing or market facilities.</x:v>
      </x:c>
      <x:c r="S196" s="2" t="str">
        <x:v>Selective breeding via controlled mating: human and mechanical work, electricity or fuel for machinery, pumping, cooling and processing; biological energy and solar radiation dominate field processes.</x:v>
      </x:c>
      <x:c r="T196" s="2" t="str">
        <x:v>Selective breeding via controlled mating: seed or planting stock, organic matter, fertilisers, soil amendments, water, fencing or structural materials, veterinary inputs and monitoring consumables.</x:v>
      </x:c>
      <x:c r="U196" s="2" t="str">
        <x:v>Selective breeding via controlled mating: seed, inoculants, filters, drip lines, nozzles, tool parts, sampling containers, sensor batteries, veterinary supplies and protective equipment.</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https://www.ipcc.ch/report/ar6/wg3/chapter/chapter-7/; https://openknowledge.fao.org/server/api/core/bitstreams/b21f2087-f398-4718-8461-b92afc82e617/content</x:v>
      </x:c>
      <x:c r="Z196" s="2" t="str">
        <x:v>Technology-specific analytical synthesis. The CTCN hierarchy is retained; classifications and component dependencies require validation against the selected design, site and supplier documentation before investment or policy use.</x:v>
      </x:c>
      <x:c r="AA196" s="2" t="str">
        <x:v>Physical deployment of Selective breeding via controlled mating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6" s="2" t="str">
        <x:v>For Selective breeding via controlled mating,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6" s="2" t="str">
        <x:v>Construction and operation use seed or planting stock, organic matter, fertilisers, soil amendments, water, fencing or structural materials, veterinary inputs and monitoring consumables. For Selective breeding via controlled mating, specifications must include durability, compatibility, recycled content and recoverability.</x:v>
      </x:c>
      <x:c r="AD196" s="2" t="str">
        <x:v>Maintenance of Selective breeding via controlled mating depends on seed, inoculants, filters, drip lines, nozzles, tool parts, sampling containers, sensor batteries, veterinary supplies and protective equipment; critical spares are selected from failure-mode, lead-time and safety analysis for its installed configuration.</x:v>
      </x:c>
      <x:c r="AE196" s="2" t="str">
        <x:v>The software stack for Selective breeding via controlled mating requires databases, secure communications, version-controlled models, computing, backup and interfaces with field or operational systems.</x:v>
      </x:c>
      <x:c r="AF196" s="2" t="str">
        <x:v>For Selective breeding via controlled mating, software-related energy is electricity for sensing, computing, storage, communication and cooling; it is normally secondary but must be included for data-intensive or continuous services.</x:v>
      </x:c>
      <x:c r="AG196" s="2" t="str">
        <x:v>The non-physical inputs are calibrated data, metadata, algorithms, boundary conditions, emission or hazard factors, manuals and validation records specific to Selective breeding via controlled mating.</x:v>
      </x:c>
      <x:c r="AH196" s="2" t="str">
        <x:v>Software continuity for Selective breeding via controlled mating requires licences where applicable, updates, cybersecurity patches, backups, calibration files, model validation and technical support.</x:v>
      </x:c>
      <x:c r="AI196" s="2" t="str">
        <x:v>Orgware depends on the institutions, laboratories, training providers, regulators, operators and community interfaces needed to govern Selective breeding via controlled mating.</x:v>
      </x:c>
      <x:c r="AJ196" s="2" t="str">
        <x:v>The orgware supporting Selective breeding via controlled mating has mainly indirect energy use from offices, meetings, training and information systems; travel and field supervision may be material at dispersed sites.</x:v>
      </x:c>
      <x:c r="AK196" s="2" t="str">
        <x:v>Its organisational inputs are permits, budgets, trained staff, competence records, contracts, procedures, safeguards, monitoring evidence and stakeholder agreements tailored to Selective breeding via controlled mating.</x:v>
      </x:c>
      <x:c r="AL196" s="2" t="str">
        <x:v>Sustained implementation of Selective breeding via controlled mating requires procurement and service contracts, audit protocols, training material, reporting templates, insurance or guarantees and periodic independent review.</x:v>
      </x:c>
      <x:c r="AM196" s="2" t="str">
        <x:v>Copper; Tin</x:v>
      </x:c>
      <x:c r="AN196" s="2" t="str">
        <x:v>Chile; Democratic Republic of the Congo; Peru; China; Indonesia; Myanmar</x:v>
      </x:c>
      <x:c r="AO196" s="2" t="str">
        <x:v>China; Chile; Democratic Republic of the Congo; Indonesia; Malaysia</x:v>
      </x:c>
      <x:c r="AP196" s="2" t="str">
        <x:v>Selective breeding via controlled mating: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6" s="2" t="str">
        <x:v>2024–2025</x:v>
      </x:c>
      <x:c r="AR196" s="2" t="str">
        <x:v>https://pubs.usgs.gov/periodicals/mcs2026/mcs2026.pdf</x:v>
      </x:c>
    </x:row>
    <x:row r="197" ht="240" customHeight="1">
      <x:c r="A197" s="2" t="str">
        <x:v>MIT-0190</x:v>
      </x:c>
      <x:c r="B197" s="2" t="str">
        <x:v>Mitigation</x:v>
      </x:c>
      <x:c r="C197" s="2" t="str">
        <x:v>Agriculture</x:v>
      </x:c>
      <x:c r="D197" s="2" t="str">
        <x:v>Livestock management</x:v>
      </x:c>
      <x:c r="E197" s="2" t="str">
        <x:v>Methane emission mitigation of ruminants</x:v>
      </x:c>
      <x:c r="F197" s="2" t="str">
        <x:v>Methane emission mitigation of ruminants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7" s="2" t="str">
        <x:v>Flexible</x:v>
      </x:c>
      <x:c r="H197" s="2" t="str">
        <x:v>Methane emission mitigation of ruminants is transferable through configurable methods, rules and operating parameters. Its principle remains the same, but resource quality, climate, scale, interfaces and safety constraints must be recalculated for each deployment.</x:v>
      </x:c>
      <x:c r="I197" s="2" t="str">
        <x:v>Primarily soft, with physical support</x:v>
      </x:c>
      <x:c r="J197" s="2" t="str">
        <x:v>Methane emission mitigation of ruminants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7" s="2" t="str">
        <x:v>Operation</x:v>
      </x:c>
      <x:c r="L197" s="2" t="str">
        <x:v>Methane emission mitigation of ruminants is embodied mainly as an operating practice. The deliverable is accepted only when measurable service, quality, safety and climate-performance criteria are met under real conditions.</x:v>
      </x:c>
      <x:c r="M197" s="2" t="str">
        <x:v>Yes, subject to life-cycle safeguards</x:v>
      </x:c>
      <x:c r="N197" s="2" t="str">
        <x:v>Methane emission mitigation of ruminants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7" s="2" t="str">
        <x:v>Methane emission mitigation of ruminants: field or forest implements, planting and irrigation equipment, storage or livestock facilities, sampling tools, sensors and protective structures as required.</x:v>
      </x:c>
      <x:c r="P197" s="2" t="str">
        <x:v>Methane emission mitigation of ruminants: soil–crop–livestock knowledge, nutrient and water budgets, emission factors, carbon accounting, climate services, monitoring protocols and adaptive management.</x:v>
      </x:c>
      <x:c r="Q197" s="2" t="str">
        <x:v>Methane emission mitigation of ruminants: land tenure, extension, producer organisations, veterinary or phytosanitary services, incentives, safeguards, certification and monitoring arrangements.</x:v>
      </x:c>
      <x:c r="R197" s="2" t="str">
        <x:v>Methane emission mitigation of ruminants: nurseries or seed banks, field access, water and storage systems, laboratories, extension centres, monitoring plots and processing or market facilities.</x:v>
      </x:c>
      <x:c r="S197" s="2" t="str">
        <x:v>Methane emission mitigation of ruminants: human and mechanical work, electricity or fuel for machinery, pumping, cooling and processing; biological energy and solar radiation dominate field processes.</x:v>
      </x:c>
      <x:c r="T197" s="2" t="str">
        <x:v>Methane emission mitigation of ruminants: seed or planting stock, organic matter, fertilisers, soil amendments, water, fencing or structural materials, veterinary inputs and monitoring consumables.</x:v>
      </x:c>
      <x:c r="U197" s="2" t="str">
        <x:v>Methane emission mitigation of ruminants: seed, inoculants, filters, drip lines, nozzles, tool parts, sampling containers, sensor batteries, veterinary supplies and protective equipment.</x:v>
      </x:c>
      <x:c r="V197" s="2" t="str">
        <x:v>https://www.ctc-n.org/sites/default/files/resources/ctcn_taxonomy_0.pdf</x:v>
      </x:c>
      <x:c r="W197" s="2" t="str">
        <x:v>https://institutoagricoladepueblobello.edu.co/colegiapp/archivostemas/GUIA%209.%5B25%5D.pdf</x:v>
      </x:c>
      <x:c r="X197" s="2" t="str">
        <x:v>https://iiasa.ac.at/what-is-technology</x:v>
      </x:c>
      <x:c r="Y197" s="2" t="str">
        <x:v>https://www.ipcc.ch/report/ar6/wg3/chapter/chapter-7/; https://openknowledge.fao.org/server/api/core/bitstreams/b21f2087-f398-4718-8461-b92afc82e617/content</x:v>
      </x:c>
      <x:c r="Z197" s="2" t="str">
        <x:v>Technology-specific analytical synthesis. The CTCN hierarchy is retained; classifications and component dependencies require validation against the selected design, site and supplier documentation before investment or policy use.</x:v>
      </x:c>
      <x:c r="AA197" s="2" t="str">
        <x:v>Physical deployment of Methane emission mitigation of ruminants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7" s="2" t="str">
        <x:v>For Methane emission mitigation of ruminants,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7" s="2" t="str">
        <x:v>Construction and operation use seed or planting stock, organic matter, fertilisers, soil amendments, water, fencing or structural materials, veterinary inputs and monitoring consumables. For Methane emission mitigation of ruminants, specifications must include durability, compatibility, recycled content and recoverability.</x:v>
      </x:c>
      <x:c r="AD197" s="2" t="str">
        <x:v>Maintenance of Methane emission mitigation of ruminants depends on seed, inoculants, filters, drip lines, nozzles, tool parts, sampling containers, sensor batteries, veterinary supplies and protective equipment; critical spares are selected from failure-mode, lead-time and safety analysis for its installed configuration.</x:v>
      </x:c>
      <x:c r="AE197" s="2" t="str">
        <x:v>The software stack for Methane emission mitigation of ruminants requires databases, secure communications, version-controlled models, computing, backup and interfaces with field or operational systems.</x:v>
      </x:c>
      <x:c r="AF197" s="2" t="str">
        <x:v>For Methane emission mitigation of ruminants, software-related energy is electricity for sensing, computing, storage, communication and cooling; it is normally secondary but must be included for data-intensive or continuous services.</x:v>
      </x:c>
      <x:c r="AG197" s="2" t="str">
        <x:v>The non-physical inputs are calibrated data, metadata, algorithms, boundary conditions, emission or hazard factors, manuals and validation records specific to Methane emission mitigation of ruminants.</x:v>
      </x:c>
      <x:c r="AH197" s="2" t="str">
        <x:v>Software continuity for Methane emission mitigation of ruminants requires licences where applicable, updates, cybersecurity patches, backups, calibration files, model validation and technical support.</x:v>
      </x:c>
      <x:c r="AI197" s="2" t="str">
        <x:v>Orgware depends on the institutions, laboratories, training providers, regulators, operators and community interfaces needed to govern Methane emission mitigation of ruminants.</x:v>
      </x:c>
      <x:c r="AJ197" s="2" t="str">
        <x:v>The orgware supporting Methane emission mitigation of ruminants has mainly indirect energy use from offices, meetings, training and information systems; travel and field supervision may be material at dispersed sites.</x:v>
      </x:c>
      <x:c r="AK197" s="2" t="str">
        <x:v>Its organisational inputs are permits, budgets, trained staff, competence records, contracts, procedures, safeguards, monitoring evidence and stakeholder agreements tailored to Methane emission mitigation of ruminants.</x:v>
      </x:c>
      <x:c r="AL197" s="2" t="str">
        <x:v>Sustained implementation of Methane emission mitigation of ruminants requires procurement and service contracts, audit protocols, training material, reporting templates, insurance or guarantees and periodic independent review.</x:v>
      </x:c>
      <x:c r="AM197" s="2" t="str">
        <x:v>No critical or strategic raw material is identifiable at taxonomy level; site-specific bulk materials may still be required.</x:v>
      </x:c>
      <x:c r="AN197" s="2" t="str"/>
      <x:c r="AO197" s="2" t="str"/>
      <x:c r="AP197" s="2" t="str">
        <x:v>Methane emission mitigation of ruminants: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7" s="2" t="str">
        <x:v>2024–2025</x:v>
      </x:c>
      <x:c r="AR197" s="2" t="str">
        <x:v>https://pubs.usgs.gov/periodicals/mcs2026/mcs2026.pdf</x:v>
      </x:c>
    </x:row>
    <x:row r="198" ht="240" customHeight="1">
      <x:c r="A198" s="2" t="str">
        <x:v>MIT-0191</x:v>
      </x:c>
      <x:c r="B198" s="2" t="str">
        <x:v>Mitigation</x:v>
      </x:c>
      <x:c r="C198" s="2" t="str">
        <x:v>Agriculture</x:v>
      </x:c>
      <x:c r="D198" s="2" t="str">
        <x:v>Livestock management</x:v>
      </x:c>
      <x:c r="E198" s="2" t="str">
        <x:v>Straw ammoniation and silage</x:v>
      </x:c>
      <x:c r="F198" s="2" t="str">
        <x:v>Straw ammoniation and silage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Straw ammoniation and silage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8" s="2" t="str">
        <x:v>Flexible</x:v>
      </x:c>
      <x:c r="H198" s="2" t="str">
        <x:v>Straw ammoniation and silage is transferable through configurable methods, rules and operating parameters. Its principle remains the same, but resource quality, climate, scale, interfaces and safety constraints must be recalculated for each deployment.</x:v>
      </x:c>
      <x:c r="I198" s="2" t="str">
        <x:v>Primarily soft, with physical support</x:v>
      </x:c>
      <x:c r="J198" s="2" t="str">
        <x:v>Straw ammoniation and silage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8" s="2" t="str">
        <x:v>Operation</x:v>
      </x:c>
      <x:c r="L198" s="2" t="str">
        <x:v>Straw ammoniation and silage is embodied mainly as an operating practice. The deliverable is accepted only when measurable service, quality, safety and climate-performance criteria are met under real conditions.</x:v>
      </x:c>
      <x:c r="M198" s="2" t="str">
        <x:v>Yes, subject to life-cycle safeguards</x:v>
      </x:c>
      <x:c r="N198" s="2" t="str">
        <x:v>Straw ammoniation and silage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8" s="2" t="str">
        <x:v>Straw ammoniation and silage: field or forest implements, planting and irrigation equipment, storage or livestock facilities, sampling tools, sensors and protective structures as required.</x:v>
      </x:c>
      <x:c r="P198" s="2" t="str">
        <x:v>Straw ammoniation and silage: soil–crop–livestock knowledge, nutrient and water budgets, emission factors, carbon accounting, climate services, monitoring protocols and adaptive management.</x:v>
      </x:c>
      <x:c r="Q198" s="2" t="str">
        <x:v>Straw ammoniation and silage: land tenure, extension, producer organisations, veterinary or phytosanitary services, incentives, safeguards, certification and monitoring arrangements.</x:v>
      </x:c>
      <x:c r="R198" s="2" t="str">
        <x:v>Straw ammoniation and silage: nurseries or seed banks, field access, water and storage systems, laboratories, extension centres, monitoring plots and processing or market facilities.</x:v>
      </x:c>
      <x:c r="S198" s="2" t="str">
        <x:v>Straw ammoniation and silage: human and mechanical work, electricity or fuel for machinery, pumping, cooling and processing; biological energy and solar radiation dominate field processes.</x:v>
      </x:c>
      <x:c r="T198" s="2" t="str">
        <x:v>Straw ammoniation and silage: seed or planting stock, organic matter, fertilisers, soil amendments, water, fencing or structural materials, veterinary inputs and monitoring consumables.</x:v>
      </x:c>
      <x:c r="U198" s="2" t="str">
        <x:v>Straw ammoniation and silage: seed, inoculants, filters, drip lines, nozzles, tool parts, sampling containers, sensor batteries, veterinary supplies and protective equipment.</x:v>
      </x:c>
      <x:c r="V198" s="2" t="str">
        <x:v>https://www.ctc-n.org/sites/default/files/resources/ctcn_taxonomy_0.pdf</x:v>
      </x:c>
      <x:c r="W198" s="2" t="str">
        <x:v>https://institutoagricoladepueblobello.edu.co/colegiapp/archivostemas/GUIA%209.%5B25%5D.pdf</x:v>
      </x:c>
      <x:c r="X198" s="2" t="str">
        <x:v>https://iiasa.ac.at/what-is-technology</x:v>
      </x:c>
      <x:c r="Y198" s="2" t="str">
        <x:v>https://www.ipcc.ch/report/ar6/wg3/chapter/chapter-7/; https://openknowledge.fao.org/server/api/core/bitstreams/b21f2087-f398-4718-8461-b92afc82e617/content</x:v>
      </x:c>
      <x:c r="Z198" s="2" t="str">
        <x:v>Technology-specific analytical synthesis. The CTCN hierarchy is retained; classifications and component dependencies require validation against the selected design, site and supplier documentation before investment or policy use.</x:v>
      </x:c>
      <x:c r="AA198" s="2" t="str">
        <x:v>Physical deployment of Straw ammoniation and silage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8" s="2" t="str">
        <x:v>For Straw ammoniation and silage,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8" s="2" t="str">
        <x:v>Construction and operation use seed or planting stock, organic matter, fertilisers, soil amendments, water, fencing or structural materials, veterinary inputs and monitoring consumables. For Straw ammoniation and silage, specifications must include durability, compatibility, recycled content and recoverability.</x:v>
      </x:c>
      <x:c r="AD198" s="2" t="str">
        <x:v>Maintenance of Straw ammoniation and silage depends on seed, inoculants, filters, drip lines, nozzles, tool parts, sampling containers, sensor batteries, veterinary supplies and protective equipment; critical spares are selected from failure-mode, lead-time and safety analysis for its installed configuration.</x:v>
      </x:c>
      <x:c r="AE198" s="2" t="str">
        <x:v>The software stack for Straw ammoniation and silage requires databases, secure communications, version-controlled models, computing, backup and interfaces with field or operational systems.</x:v>
      </x:c>
      <x:c r="AF198" s="2" t="str">
        <x:v>For Straw ammoniation and silage, software-related energy is electricity for sensing, computing, storage, communication and cooling; it is normally secondary but must be included for data-intensive or continuous services.</x:v>
      </x:c>
      <x:c r="AG198" s="2" t="str">
        <x:v>The non-physical inputs are calibrated data, metadata, algorithms, boundary conditions, emission or hazard factors, manuals and validation records specific to Straw ammoniation and silage.</x:v>
      </x:c>
      <x:c r="AH198" s="2" t="str">
        <x:v>Software continuity for Straw ammoniation and silage requires licences where applicable, updates, cybersecurity patches, backups, calibration files, model validation and technical support.</x:v>
      </x:c>
      <x:c r="AI198" s="2" t="str">
        <x:v>Orgware depends on the institutions, laboratories, training providers, regulators, operators and community interfaces needed to govern Straw ammoniation and silage.</x:v>
      </x:c>
      <x:c r="AJ198" s="2" t="str">
        <x:v>The orgware supporting Straw ammoniation and silage has mainly indirect energy use from offices, meetings, training and information systems; travel and field supervision may be material at dispersed sites.</x:v>
      </x:c>
      <x:c r="AK198" s="2" t="str">
        <x:v>Its organisational inputs are permits, budgets, trained staff, competence records, contracts, procedures, safeguards, monitoring evidence and stakeholder agreements tailored to Straw ammoniation and silage.</x:v>
      </x:c>
      <x:c r="AL198" s="2" t="str">
        <x:v>Sustained implementation of Straw ammoniation and silage requires procurement and service contracts, audit protocols, training material, reporting templates, insurance or guarantees and periodic independent review.</x:v>
      </x:c>
      <x:c r="AM198" s="2" t="str">
        <x:v>Platinum-group metals</x:v>
      </x:c>
      <x:c r="AN198" s="2" t="str">
        <x:v>South Africa; Russia; Zimbabwe</x:v>
      </x:c>
      <x:c r="AO198" s="2" t="str">
        <x:v>South Africa; Russia; Germany</x:v>
      </x:c>
      <x:c r="AP198" s="2" t="str">
        <x:v>Straw ammoniation and silage: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8" s="2" t="str">
        <x:v>2024–2025</x:v>
      </x:c>
      <x:c r="AR198" s="2" t="str">
        <x:v>https://pubs.usgs.gov/periodicals/mcs2026/mcs2026.pdf</x:v>
      </x:c>
    </x:row>
    <x:row r="199" ht="240" customHeight="1">
      <x:c r="A199" s="2" t="str">
        <x:v>MIT-0192</x:v>
      </x:c>
      <x:c r="B199" s="2" t="str">
        <x:v>Mitigation</x:v>
      </x:c>
      <x:c r="C199" s="2" t="str">
        <x:v>Agriculture</x:v>
      </x:c>
      <x:c r="D199" s="2" t="str">
        <x:v>Livestock management</x:v>
      </x:c>
      <x:c r="E199" s="2" t="str">
        <x:v>Temperature regulation for livestock</x:v>
      </x:c>
      <x:c r="F199" s="2" t="str">
        <x:v>Temperature regulation for livestock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Temperature regulation for livestock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99" s="2" t="str">
        <x:v>Flexible</x:v>
      </x:c>
      <x:c r="H199" s="2" t="str">
        <x:v>Temperature regulation for livestock is transferable through configurable methods, rules and operating parameters. Its principle remains the same, but resource quality, climate, scale, interfaces and safety constraints must be recalculated for each deployment.</x:v>
      </x:c>
      <x:c r="I199" s="2" t="str">
        <x:v>Primarily soft, with physical support</x:v>
      </x:c>
      <x:c r="J199" s="2" t="str">
        <x:v>Temperature regulation for livestock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99" s="2" t="str">
        <x:v>Operation</x:v>
      </x:c>
      <x:c r="L199" s="2" t="str">
        <x:v>Temperature regulation for livestock is embodied mainly as an operating practice. The deliverable is accepted only when measurable service, quality, safety and climate-performance criteria are met under real conditions.</x:v>
      </x:c>
      <x:c r="M199" s="2" t="str">
        <x:v>Yes, subject to life-cycle safeguards</x:v>
      </x:c>
      <x:c r="N199" s="2" t="str">
        <x:v>Temperature regulation for livestock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99" s="2" t="str">
        <x:v>Temperature regulation for livestock: field or forest implements, planting and irrigation equipment, storage or livestock facilities, sampling tools, sensors and protective structures as required.</x:v>
      </x:c>
      <x:c r="P199" s="2" t="str">
        <x:v>Temperature regulation for livestock: soil–crop–livestock knowledge, nutrient and water budgets, emission factors, carbon accounting, climate services, monitoring protocols and adaptive management.</x:v>
      </x:c>
      <x:c r="Q199" s="2" t="str">
        <x:v>Temperature regulation for livestock: land tenure, extension, producer organisations, veterinary or phytosanitary services, incentives, safeguards, certification and monitoring arrangements.</x:v>
      </x:c>
      <x:c r="R199" s="2" t="str">
        <x:v>Temperature regulation for livestock: nurseries or seed banks, field access, water and storage systems, laboratories, extension centres, monitoring plots and processing or market facilities.</x:v>
      </x:c>
      <x:c r="S199" s="2" t="str">
        <x:v>Temperature regulation for livestock: human and mechanical work, electricity or fuel for machinery, pumping, cooling and processing; biological energy and solar radiation dominate field processes.</x:v>
      </x:c>
      <x:c r="T199" s="2" t="str">
        <x:v>Temperature regulation for livestock: seed or planting stock, organic matter, fertilisers, soil amendments, water, fencing or structural materials, veterinary inputs and monitoring consumables.</x:v>
      </x:c>
      <x:c r="U199" s="2" t="str">
        <x:v>Temperature regulation for livestock: seed, inoculants, filters, drip lines, nozzles, tool parts, sampling containers, sensor batteries, veterinary supplies and protective equipment.</x:v>
      </x:c>
      <x:c r="V199" s="2" t="str">
        <x:v>https://www.ctc-n.org/sites/default/files/resources/ctcn_taxonomy_0.pdf</x:v>
      </x:c>
      <x:c r="W199" s="2" t="str">
        <x:v>https://institutoagricoladepueblobello.edu.co/colegiapp/archivostemas/GUIA%209.%5B25%5D.pdf</x:v>
      </x:c>
      <x:c r="X199" s="2" t="str">
        <x:v>https://iiasa.ac.at/what-is-technology</x:v>
      </x:c>
      <x:c r="Y199" s="2" t="str">
        <x:v>https://www.ipcc.ch/report/ar6/wg3/chapter/chapter-7/; https://openknowledge.fao.org/server/api/core/bitstreams/b21f2087-f398-4718-8461-b92afc82e617/content</x:v>
      </x:c>
      <x:c r="Z199" s="2" t="str">
        <x:v>Technology-specific analytical synthesis. The CTCN hierarchy is retained; classifications and component dependencies require validation against the selected design, site and supplier documentation before investment or policy use.</x:v>
      </x:c>
      <x:c r="AA199" s="2" t="str">
        <x:v>Physical deployment of Temperature regulation for livestock requires nurseries or seed banks, field access, water and storage systems, laboratories, extension centres, monitoring plots and processing or market facilities; interfaces, foundations, access and environmental protection are sized to the specific resource and design load.</x:v>
      </x:c>
      <x:c r="AB199" s="2" t="str">
        <x:v>For Temperature regulation for livestock,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99" s="2" t="str">
        <x:v>Construction and operation use seed or planting stock, organic matter, fertilisers, soil amendments, water, fencing or structural materials, veterinary inputs and monitoring consumables. For Temperature regulation for livestock, specifications must include durability, compatibility, recycled content and recoverability.</x:v>
      </x:c>
      <x:c r="AD199" s="2" t="str">
        <x:v>Maintenance of Temperature regulation for livestock depends on seed, inoculants, filters, drip lines, nozzles, tool parts, sampling containers, sensor batteries, veterinary supplies and protective equipment; critical spares are selected from failure-mode, lead-time and safety analysis for its installed configuration.</x:v>
      </x:c>
      <x:c r="AE199" s="2" t="str">
        <x:v>The software stack for Temperature regulation for livestock requires databases, secure communications, version-controlled models, computing, backup and interfaces with field or operational systems.</x:v>
      </x:c>
      <x:c r="AF199" s="2" t="str">
        <x:v>For Temperature regulation for livestock, software-related energy is electricity for sensing, computing, storage, communication and cooling; it is normally secondary but must be included for data-intensive or continuous services.</x:v>
      </x:c>
      <x:c r="AG199" s="2" t="str">
        <x:v>The non-physical inputs are calibrated data, metadata, algorithms, boundary conditions, emission or hazard factors, manuals and validation records specific to Temperature regulation for livestock.</x:v>
      </x:c>
      <x:c r="AH199" s="2" t="str">
        <x:v>Software continuity for Temperature regulation for livestock requires licences where applicable, updates, cybersecurity patches, backups, calibration files, model validation and technical support.</x:v>
      </x:c>
      <x:c r="AI199" s="2" t="str">
        <x:v>Orgware depends on the institutions, laboratories, training providers, regulators, operators and community interfaces needed to govern Temperature regulation for livestock.</x:v>
      </x:c>
      <x:c r="AJ199" s="2" t="str">
        <x:v>The orgware supporting Temperature regulation for livestock has mainly indirect energy use from offices, meetings, training and information systems; travel and field supervision may be material at dispersed sites.</x:v>
      </x:c>
      <x:c r="AK199" s="2" t="str">
        <x:v>Its organisational inputs are permits, budgets, trained staff, competence records, contracts, procedures, safeguards, monitoring evidence and stakeholder agreements tailored to Temperature regulation for livestock.</x:v>
      </x:c>
      <x:c r="AL199" s="2" t="str">
        <x:v>Sustained implementation of Temperature regulation for livestock requires procurement and service contracts, audit protocols, training material, reporting templates, insurance or guarantees and periodic independent review.</x:v>
      </x:c>
      <x:c r="AM199" s="2" t="str">
        <x:v>No critical or strategic raw material is identifiable at taxonomy level; site-specific bulk materials may still be required.</x:v>
      </x:c>
      <x:c r="AN199" s="2" t="str"/>
      <x:c r="AO199" s="2" t="str"/>
      <x:c r="AP199" s="2" t="str">
        <x:v>Temperature regulation for livestock: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9" s="2" t="str">
        <x:v>2024–2025</x:v>
      </x:c>
      <x:c r="AR199" s="2" t="str">
        <x:v>https://pubs.usgs.gov/periodicals/mcs2026/mcs2026.pdf</x:v>
      </x:c>
    </x:row>
    <x:row r="200" ht="240" customHeight="1">
      <x:c r="A200" s="2" t="str">
        <x:v>MIT-0193</x:v>
      </x:c>
      <x:c r="B200" s="2" t="str">
        <x:v>Mitigation</x:v>
      </x:c>
      <x:c r="C200" s="2" t="str">
        <x:v>Agriculture</x:v>
      </x:c>
      <x:c r="D200" s="2" t="str">
        <x:v>Livestock management</x:v>
      </x:c>
      <x:c r="E200" s="2" t="str">
        <x:v>Enteric fermentation</x:v>
      </x:c>
      <x:c r="F200" s="2" t="str">
        <x:v>Enteric fermentation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0" s="2" t="str">
        <x:v>Flexible</x:v>
      </x:c>
      <x:c r="H200" s="2" t="str">
        <x:v>Enteric fermentation is transferable through configurable methods, rules and operating parameters. Its principle remains the same, but resource quality, climate, scale, interfaces and safety constraints must be recalculated for each deployment.</x:v>
      </x:c>
      <x:c r="I200" s="2" t="str">
        <x:v>Primarily soft, with physical support</x:v>
      </x:c>
      <x:c r="J200" s="2" t="str">
        <x:v>Enteric fermentation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0" s="2" t="str">
        <x:v>Operation</x:v>
      </x:c>
      <x:c r="L200" s="2" t="str">
        <x:v>Enteric fermentation is embodied mainly as an operating practice. The deliverable is accepted only when measurable service, quality, safety and climate-performance criteria are met under real conditions.</x:v>
      </x:c>
      <x:c r="M200" s="2" t="str">
        <x:v>Yes, subject to life-cycle safeguards</x:v>
      </x:c>
      <x:c r="N200" s="2" t="str">
        <x:v>Enteric fermentation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0" s="2" t="str">
        <x:v>Enteric fermentation: field or forest implements, planting and irrigation equipment, storage or livestock facilities, sampling tools, sensors and protective structures as required.</x:v>
      </x:c>
      <x:c r="P200" s="2" t="str">
        <x:v>Enteric fermentation: soil–crop–livestock knowledge, nutrient and water budgets, emission factors, carbon accounting, climate services, monitoring protocols and adaptive management.</x:v>
      </x:c>
      <x:c r="Q200" s="2" t="str">
        <x:v>Enteric fermentation: land tenure, extension, producer organisations, veterinary or phytosanitary services, incentives, safeguards, certification and monitoring arrangements.</x:v>
      </x:c>
      <x:c r="R200" s="2" t="str">
        <x:v>Enteric fermentation: nurseries or seed banks, field access, water and storage systems, laboratories, extension centres, monitoring plots and processing or market facilities.</x:v>
      </x:c>
      <x:c r="S200" s="2" t="str">
        <x:v>Enteric fermentation: human and mechanical work, electricity or fuel for machinery, pumping, cooling and processing; biological energy and solar radiation dominate field processes.</x:v>
      </x:c>
      <x:c r="T200" s="2" t="str">
        <x:v>Enteric fermentation: seed or planting stock, organic matter, fertilisers, soil amendments, water, fencing or structural materials, veterinary inputs and monitoring consumables.</x:v>
      </x:c>
      <x:c r="U200" s="2" t="str">
        <x:v>Enteric fermentation: seed, inoculants, filters, drip lines, nozzles, tool parts, sampling containers, sensor batteries, veterinary supplies and protective equipment.</x:v>
      </x:c>
      <x:c r="V200" s="2" t="str">
        <x:v>https://www.ctc-n.org/sites/default/files/resources/ctcn_taxonomy_0.pdf</x:v>
      </x:c>
      <x:c r="W200" s="2" t="str">
        <x:v>https://institutoagricoladepueblobello.edu.co/colegiapp/archivostemas/GUIA%209.%5B25%5D.pdf</x:v>
      </x:c>
      <x:c r="X200" s="2" t="str">
        <x:v>https://iiasa.ac.at/what-is-technology</x:v>
      </x:c>
      <x:c r="Y200" s="2" t="str">
        <x:v>https://www.ipcc.ch/report/ar6/wg3/chapter/chapter-7/; https://openknowledge.fao.org/server/api/core/bitstreams/b21f2087-f398-4718-8461-b92afc82e617/content</x:v>
      </x:c>
      <x:c r="Z200" s="2" t="str">
        <x:v>Technology-specific analytical synthesis. The CTCN hierarchy is retained; classifications and component dependencies require validation against the selected design, site and supplier documentation before investment or policy use.</x:v>
      </x:c>
      <x:c r="AA200" s="2" t="str">
        <x:v>Physical deployment of Enteric fermentation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0" s="2" t="str">
        <x:v>For Enteric fermentation,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0" s="2" t="str">
        <x:v>Construction and operation use seed or planting stock, organic matter, fertilisers, soil amendments, water, fencing or structural materials, veterinary inputs and monitoring consumables. For Enteric fermentation, specifications must include durability, compatibility, recycled content and recoverability.</x:v>
      </x:c>
      <x:c r="AD200" s="2" t="str">
        <x:v>Maintenance of Enteric fermentation depends on seed, inoculants, filters, drip lines, nozzles, tool parts, sampling containers, sensor batteries, veterinary supplies and protective equipment; critical spares are selected from failure-mode, lead-time and safety analysis for its installed configuration.</x:v>
      </x:c>
      <x:c r="AE200" s="2" t="str">
        <x:v>The software stack for Enteric fermentation requires databases, secure communications, version-controlled models, computing, backup and interfaces with field or operational systems.</x:v>
      </x:c>
      <x:c r="AF200" s="2" t="str">
        <x:v>For Enteric fermentation, software-related energy is electricity for sensing, computing, storage, communication and cooling; it is normally secondary but must be included for data-intensive or continuous services.</x:v>
      </x:c>
      <x:c r="AG200" s="2" t="str">
        <x:v>The non-physical inputs are calibrated data, metadata, algorithms, boundary conditions, emission or hazard factors, manuals and validation records specific to Enteric fermentation.</x:v>
      </x:c>
      <x:c r="AH200" s="2" t="str">
        <x:v>Software continuity for Enteric fermentation requires licences where applicable, updates, cybersecurity patches, backups, calibration files, model validation and technical support.</x:v>
      </x:c>
      <x:c r="AI200" s="2" t="str">
        <x:v>Orgware depends on the institutions, laboratories, training providers, regulators, operators and community interfaces needed to govern Enteric fermentation.</x:v>
      </x:c>
      <x:c r="AJ200" s="2" t="str">
        <x:v>The orgware supporting Enteric fermentation has mainly indirect energy use from offices, meetings, training and information systems; travel and field supervision may be material at dispersed sites.</x:v>
      </x:c>
      <x:c r="AK200" s="2" t="str">
        <x:v>Its organisational inputs are permits, budgets, trained staff, competence records, contracts, procedures, safeguards, monitoring evidence and stakeholder agreements tailored to Enteric fermentation.</x:v>
      </x:c>
      <x:c r="AL200" s="2" t="str">
        <x:v>Sustained implementation of Enteric fermentation requires procurement and service contracts, audit protocols, training material, reporting templates, insurance or guarantees and periodic independent review.</x:v>
      </x:c>
      <x:c r="AM200" s="2" t="str">
        <x:v>No critical or strategic raw material is identifiable at taxonomy level; site-specific bulk materials may still be required.</x:v>
      </x:c>
      <x:c r="AN200" s="2" t="str"/>
      <x:c r="AO200" s="2" t="str"/>
      <x:c r="AP200" s="2" t="str">
        <x:v>Enteric fermentation: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0" s="2" t="str">
        <x:v>2024–2025</x:v>
      </x:c>
      <x:c r="AR200" s="2" t="str">
        <x:v>https://pubs.usgs.gov/periodicals/mcs2026/mcs2026.pdf</x:v>
      </x:c>
    </x:row>
    <x:row r="201" ht="240" customHeight="1">
      <x:c r="A201" s="2" t="str">
        <x:v>MIT-0194</x:v>
      </x:c>
      <x:c r="B201" s="2" t="str">
        <x:v>Mitigation</x:v>
      </x:c>
      <x:c r="C201" s="2" t="str">
        <x:v>Agriculture</x:v>
      </x:c>
      <x:c r="D201" s="2" t="str">
        <x:v>Livestock management</x:v>
      </x:c>
      <x:c r="E201" s="2" t="str">
        <x:v>Livestock disease management</x:v>
      </x:c>
      <x:c r="F201" s="2" t="str">
        <x:v>Livestock disease management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Livestock disease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1" s="2" t="str">
        <x:v>Flexible</x:v>
      </x:c>
      <x:c r="H201" s="2" t="str">
        <x:v>Livestock disease management is transferable through configurable methods, rules and operating parameters. Its principle remains the same, but resource quality, climate, scale, interfaces and safety constraints must be recalculated for each deployment.</x:v>
      </x:c>
      <x:c r="I201" s="2" t="str">
        <x:v>Primarily soft, with physical support</x:v>
      </x:c>
      <x:c r="J201" s="2" t="str">
        <x:v>Livestock disease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1" s="2" t="str">
        <x:v>Operation</x:v>
      </x:c>
      <x:c r="L201" s="2" t="str">
        <x:v>Livestock disease management is embodied mainly as an operating practice. The deliverable is accepted only when measurable service, quality, safety and climate-performance criteria are met under real conditions.</x:v>
      </x:c>
      <x:c r="M201" s="2" t="str">
        <x:v>Yes, subject to life-cycle safeguards</x:v>
      </x:c>
      <x:c r="N201" s="2" t="str">
        <x:v>Livestock disease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1" s="2" t="str">
        <x:v>Livestock disease management: field or forest implements, planting and irrigation equipment, storage or livestock facilities, sampling tools, sensors and protective structures as required.</x:v>
      </x:c>
      <x:c r="P201" s="2" t="str">
        <x:v>Livestock disease management: soil–crop–livestock knowledge, nutrient and water budgets, emission factors, carbon accounting, climate services, monitoring protocols and adaptive management.</x:v>
      </x:c>
      <x:c r="Q201" s="2" t="str">
        <x:v>Livestock disease management: land tenure, extension, producer organisations, veterinary or phytosanitary services, incentives, safeguards, certification and monitoring arrangements.</x:v>
      </x:c>
      <x:c r="R201" s="2" t="str">
        <x:v>Livestock disease management: nurseries or seed banks, field access, water and storage systems, laboratories, extension centres, monitoring plots and processing or market facilities.</x:v>
      </x:c>
      <x:c r="S201" s="2" t="str">
        <x:v>Livestock disease management: human and mechanical work, electricity or fuel for machinery, pumping, cooling and processing; biological energy and solar radiation dominate field processes.</x:v>
      </x:c>
      <x:c r="T201" s="2" t="str">
        <x:v>Livestock disease management: seed or planting stock, organic matter, fertilisers, soil amendments, water, fencing or structural materials, veterinary inputs and monitoring consumables.</x:v>
      </x:c>
      <x:c r="U201" s="2" t="str">
        <x:v>Livestock disease management: seed, inoculants, filters, drip lines, nozzles, tool parts, sampling containers, sensor batteries, veterinary supplies and protective equipment.</x:v>
      </x:c>
      <x:c r="V201" s="2" t="str">
        <x:v>https://www.ctc-n.org/sites/default/files/resources/ctcn_taxonomy_0.pdf</x:v>
      </x:c>
      <x:c r="W201" s="2" t="str">
        <x:v>https://institutoagricoladepueblobello.edu.co/colegiapp/archivostemas/GUIA%209.%5B25%5D.pdf</x:v>
      </x:c>
      <x:c r="X201" s="2" t="str">
        <x:v>https://iiasa.ac.at/what-is-technology</x:v>
      </x:c>
      <x:c r="Y201" s="2" t="str">
        <x:v>https://www.ipcc.ch/report/ar6/wg3/chapter/chapter-7/; https://openknowledge.fao.org/server/api/core/bitstreams/b21f2087-f398-4718-8461-b92afc82e617/content</x:v>
      </x:c>
      <x:c r="Z201" s="2" t="str">
        <x:v>Technology-specific analytical synthesis. The CTCN hierarchy is retained; classifications and component dependencies require validation against the selected design, site and supplier documentation before investment or policy use.</x:v>
      </x:c>
      <x:c r="AA201" s="2" t="str">
        <x:v>Physical deployment of Livestock disease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1" s="2" t="str">
        <x:v>For Livestock disease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1" s="2" t="str">
        <x:v>Construction and operation use seed or planting stock, organic matter, fertilisers, soil amendments, water, fencing or structural materials, veterinary inputs and monitoring consumables. For Livestock disease management, specifications must include durability, compatibility, recycled content and recoverability.</x:v>
      </x:c>
      <x:c r="AD201" s="2" t="str">
        <x:v>Maintenance of Livestock disease management depends on seed, inoculants, filters, drip lines, nozzles, tool parts, sampling containers, sensor batteries, veterinary supplies and protective equipment; critical spares are selected from failure-mode, lead-time and safety analysis for its installed configuration.</x:v>
      </x:c>
      <x:c r="AE201" s="2" t="str">
        <x:v>The software stack for Livestock disease management requires databases, secure communications, version-controlled models, computing, backup and interfaces with field or operational systems.</x:v>
      </x:c>
      <x:c r="AF201" s="2" t="str">
        <x:v>For Livestock disease management, software-related energy is electricity for sensing, computing, storage, communication and cooling; it is normally secondary but must be included for data-intensive or continuous services.</x:v>
      </x:c>
      <x:c r="AG201" s="2" t="str">
        <x:v>The non-physical inputs are calibrated data, metadata, algorithms, boundary conditions, emission or hazard factors, manuals and validation records specific to Livestock disease management.</x:v>
      </x:c>
      <x:c r="AH201" s="2" t="str">
        <x:v>Software continuity for Livestock disease management requires licences where applicable, updates, cybersecurity patches, backups, calibration files, model validation and technical support.</x:v>
      </x:c>
      <x:c r="AI201" s="2" t="str">
        <x:v>Orgware depends on the institutions, laboratories, training providers, regulators, operators and community interfaces needed to govern Livestock disease management.</x:v>
      </x:c>
      <x:c r="AJ201" s="2" t="str">
        <x:v>The orgware supporting Livestock disease management has mainly indirect energy use from offices, meetings, training and information systems; travel and field supervision may be material at dispersed sites.</x:v>
      </x:c>
      <x:c r="AK201" s="2" t="str">
        <x:v>Its organisational inputs are permits, budgets, trained staff, competence records, contracts, procedures, safeguards, monitoring evidence and stakeholder agreements tailored to Livestock disease management.</x:v>
      </x:c>
      <x:c r="AL201" s="2" t="str">
        <x:v>Sustained implementation of Livestock disease management requires procurement and service contracts, audit protocols, training material, reporting templates, insurance or guarantees and periodic independent review.</x:v>
      </x:c>
      <x:c r="AM201" s="2" t="str">
        <x:v>No critical or strategic raw material is identifiable at taxonomy level; site-specific bulk materials may still be required.</x:v>
      </x:c>
      <x:c r="AN201" s="2" t="str"/>
      <x:c r="AO201" s="2" t="str"/>
      <x:c r="AP201" s="2" t="str">
        <x:v>Livestock disease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1" s="2" t="str">
        <x:v>2024–2025</x:v>
      </x:c>
      <x:c r="AR201" s="2" t="str">
        <x:v>https://pubs.usgs.gov/periodicals/mcs2026/mcs2026.pdf</x:v>
      </x:c>
    </x:row>
    <x:row r="202" ht="240" customHeight="1">
      <x:c r="A202" s="2" t="str">
        <x:v>MIT-0195</x:v>
      </x:c>
      <x:c r="B202" s="2" t="str">
        <x:v>Mitigation</x:v>
      </x:c>
      <x:c r="C202" s="2" t="str">
        <x:v>Agriculture</x:v>
      </x:c>
      <x:c r="D202" s="2" t="str">
        <x:v>Livestock management</x:v>
      </x:c>
      <x:c r="E202" s="2" t="str">
        <x:v>Grazing land management</x:v>
      </x:c>
      <x:c r="F202" s="2" t="str">
        <x:v>Grazing land management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Grazing 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2" s="2" t="str">
        <x:v>Flexible</x:v>
      </x:c>
      <x:c r="H202" s="2" t="str">
        <x:v>Grazing land management is transferable through configurable methods, rules and operating parameters. Its principle remains the same, but resource quality, climate, scale, interfaces and safety constraints must be recalculated for each deployment.</x:v>
      </x:c>
      <x:c r="I202" s="2" t="str">
        <x:v>Primarily soft, with physical support</x:v>
      </x:c>
      <x:c r="J202" s="2" t="str">
        <x:v>Grazing 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2" s="2" t="str">
        <x:v>Operation</x:v>
      </x:c>
      <x:c r="L202" s="2" t="str">
        <x:v>Grazing land management is embodied mainly as an operating practice. The deliverable is accepted only when measurable service, quality, safety and climate-performance criteria are met under real conditions.</x:v>
      </x:c>
      <x:c r="M202" s="2" t="str">
        <x:v>Yes, subject to life-cycle safeguards</x:v>
      </x:c>
      <x:c r="N202" s="2" t="str">
        <x:v>Grazing 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2" s="2" t="str">
        <x:v>Grazing land management: field or forest implements, planting and irrigation equipment, storage or livestock facilities, sampling tools, sensors and protective structures as required.</x:v>
      </x:c>
      <x:c r="P202" s="2" t="str">
        <x:v>Grazing land management: soil–crop–livestock knowledge, nutrient and water budgets, emission factors, carbon accounting, climate services, monitoring protocols and adaptive management.</x:v>
      </x:c>
      <x:c r="Q202" s="2" t="str">
        <x:v>Grazing land management: land tenure, extension, producer organisations, veterinary or phytosanitary services, incentives, safeguards, certification and monitoring arrangements.</x:v>
      </x:c>
      <x:c r="R202" s="2" t="str">
        <x:v>Grazing land management: nurseries or seed banks, field access, water and storage systems, laboratories, extension centres, monitoring plots and processing or market facilities.</x:v>
      </x:c>
      <x:c r="S202" s="2" t="str">
        <x:v>Grazing land management: human and mechanical work, electricity or fuel for machinery, pumping, cooling and processing; biological energy and solar radiation dominate field processes.</x:v>
      </x:c>
      <x:c r="T202" s="2" t="str">
        <x:v>Grazing land management: seed or planting stock, organic matter, fertilisers, soil amendments, water, fencing or structural materials, veterinary inputs and monitoring consumables.</x:v>
      </x:c>
      <x:c r="U202" s="2" t="str">
        <x:v>Grazing land management: seed, inoculants, filters, drip lines, nozzles, tool parts, sampling containers, sensor batteries, veterinary supplies and protective equipment.</x:v>
      </x:c>
      <x:c r="V202" s="2" t="str">
        <x:v>https://www.ctc-n.org/sites/default/files/resources/ctcn_taxonomy_0.pdf</x:v>
      </x:c>
      <x:c r="W202" s="2" t="str">
        <x:v>https://institutoagricoladepueblobello.edu.co/colegiapp/archivostemas/GUIA%209.%5B25%5D.pdf</x:v>
      </x:c>
      <x:c r="X202" s="2" t="str">
        <x:v>https://iiasa.ac.at/what-is-technology</x:v>
      </x:c>
      <x:c r="Y202" s="2" t="str">
        <x:v>https://www.ipcc.ch/report/ar6/wg3/chapter/chapter-7/; https://openknowledge.fao.org/server/api/core/bitstreams/b21f2087-f398-4718-8461-b92afc82e617/content</x:v>
      </x:c>
      <x:c r="Z202" s="2" t="str">
        <x:v>Technology-specific analytical synthesis. The CTCN hierarchy is retained; classifications and component dependencies require validation against the selected design, site and supplier documentation before investment or policy use.</x:v>
      </x:c>
      <x:c r="AA202" s="2" t="str">
        <x:v>Physical deployment of Grazing 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2" s="2" t="str">
        <x:v>For Grazing 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2" s="2" t="str">
        <x:v>Construction and operation use seed or planting stock, organic matter, fertilisers, soil amendments, water, fencing or structural materials, veterinary inputs and monitoring consumables. For Grazing land management, specifications must include durability, compatibility, recycled content and recoverability.</x:v>
      </x:c>
      <x:c r="AD202" s="2" t="str">
        <x:v>Maintenance of Grazing 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202" s="2" t="str">
        <x:v>The software stack for Grazing land management requires databases, secure communications, version-controlled models, computing, backup and interfaces with field or operational systems.</x:v>
      </x:c>
      <x:c r="AF202" s="2" t="str">
        <x:v>For Grazing land management, software-related energy is electricity for sensing, computing, storage, communication and cooling; it is normally secondary but must be included for data-intensive or continuous services.</x:v>
      </x:c>
      <x:c r="AG202" s="2" t="str">
        <x:v>The non-physical inputs are calibrated data, metadata, algorithms, boundary conditions, emission or hazard factors, manuals and validation records specific to Grazing land management.</x:v>
      </x:c>
      <x:c r="AH202" s="2" t="str">
        <x:v>Software continuity for Grazing land management requires licences where applicable, updates, cybersecurity patches, backups, calibration files, model validation and technical support.</x:v>
      </x:c>
      <x:c r="AI202" s="2" t="str">
        <x:v>Orgware depends on the institutions, laboratories, training providers, regulators, operators and community interfaces needed to govern Grazing land management.</x:v>
      </x:c>
      <x:c r="AJ202" s="2" t="str">
        <x:v>The orgware supporting Grazing land management has mainly indirect energy use from offices, meetings, training and information systems; travel and field supervision may be material at dispersed sites.</x:v>
      </x:c>
      <x:c r="AK202" s="2" t="str">
        <x:v>Its organisational inputs are permits, budgets, trained staff, competence records, contracts, procedures, safeguards, monitoring evidence and stakeholder agreements tailored to Grazing land management.</x:v>
      </x:c>
      <x:c r="AL202" s="2" t="str">
        <x:v>Sustained implementation of Grazing land management requires procurement and service contracts, audit protocols, training material, reporting templates, insurance or guarantees and periodic independent review.</x:v>
      </x:c>
      <x:c r="AM202" s="2" t="str">
        <x:v>No critical or strategic raw material is identifiable at taxonomy level; site-specific bulk materials may still be required.</x:v>
      </x:c>
      <x:c r="AN202" s="2" t="str"/>
      <x:c r="AO202" s="2" t="str"/>
      <x:c r="AP202" s="2" t="str">
        <x:v>Grazing 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2" s="2" t="str">
        <x:v>2024–2025</x:v>
      </x:c>
      <x:c r="AR202" s="2" t="str">
        <x:v>https://pubs.usgs.gov/periodicals/mcs2026/mcs2026.pdf</x:v>
      </x:c>
    </x:row>
    <x:row r="203" ht="240" customHeight="1">
      <x:c r="A203" s="2" t="str">
        <x:v>MIT-0196</x:v>
      </x:c>
      <x:c r="B203" s="2" t="str">
        <x:v>Mitigation</x:v>
      </x:c>
      <x:c r="C203" s="2" t="str">
        <x:v>Agriculture</x:v>
      </x:c>
      <x:c r="D203" s="2" t="str">
        <x:v>Livestock management</x:v>
      </x:c>
      <x:c r="E203" s="2" t="str">
        <x:v>Fodder banks</x:v>
      </x:c>
      <x:c r="F203" s="2" t="str">
        <x:v>Fodder banks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Fodder banks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3" s="2" t="str">
        <x:v>Flexible</x:v>
      </x:c>
      <x:c r="H203" s="2" t="str">
        <x:v>Fodder banks is transferable through configurable methods, rules and operating parameters. Its principle remains the same, but resource quality, climate, scale, interfaces and safety constraints must be recalculated for each deployment.</x:v>
      </x:c>
      <x:c r="I203" s="2" t="str">
        <x:v>Primarily soft, with physical support</x:v>
      </x:c>
      <x:c r="J203" s="2" t="str">
        <x:v>Fodder banks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3" s="2" t="str">
        <x:v>Operation</x:v>
      </x:c>
      <x:c r="L203" s="2" t="str">
        <x:v>Fodder banks is embodied mainly as an operating practice. The deliverable is accepted only when measurable service, quality, safety and climate-performance criteria are met under real conditions.</x:v>
      </x:c>
      <x:c r="M203" s="2" t="str">
        <x:v>Yes, subject to life-cycle safeguards</x:v>
      </x:c>
      <x:c r="N203" s="2" t="str">
        <x:v>Fodder banks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3" s="2" t="str">
        <x:v>Fodder banks: field or forest implements, planting and irrigation equipment, storage or livestock facilities, sampling tools, sensors and protective structures as required.</x:v>
      </x:c>
      <x:c r="P203" s="2" t="str">
        <x:v>Fodder banks: soil–crop–livestock knowledge, nutrient and water budgets, emission factors, carbon accounting, climate services, monitoring protocols and adaptive management.</x:v>
      </x:c>
      <x:c r="Q203" s="2" t="str">
        <x:v>Fodder banks: land tenure, extension, producer organisations, veterinary or phytosanitary services, incentives, safeguards, certification and monitoring arrangements.</x:v>
      </x:c>
      <x:c r="R203" s="2" t="str">
        <x:v>Fodder banks: nurseries or seed banks, field access, water and storage systems, laboratories, extension centres, monitoring plots and processing or market facilities.</x:v>
      </x:c>
      <x:c r="S203" s="2" t="str">
        <x:v>Fodder banks: human and mechanical work, electricity or fuel for machinery, pumping, cooling and processing; biological energy and solar radiation dominate field processes.</x:v>
      </x:c>
      <x:c r="T203" s="2" t="str">
        <x:v>Fodder banks: seed or planting stock, organic matter, fertilisers, soil amendments, water, fencing or structural materials, veterinary inputs and monitoring consumables.</x:v>
      </x:c>
      <x:c r="U203" s="2" t="str">
        <x:v>Fodder banks: seed, inoculants, filters, drip lines, nozzles, tool parts, sampling containers, sensor batteries, veterinary supplies and protective equipment.</x:v>
      </x:c>
      <x:c r="V203" s="2" t="str">
        <x:v>https://www.ctc-n.org/sites/default/files/resources/ctcn_taxonomy_0.pdf</x:v>
      </x:c>
      <x:c r="W203" s="2" t="str">
        <x:v>https://institutoagricoladepueblobello.edu.co/colegiapp/archivostemas/GUIA%209.%5B25%5D.pdf</x:v>
      </x:c>
      <x:c r="X203" s="2" t="str">
        <x:v>https://iiasa.ac.at/what-is-technology</x:v>
      </x:c>
      <x:c r="Y203" s="2" t="str">
        <x:v>https://www.ipcc.ch/report/ar6/wg3/chapter/chapter-7/; https://openknowledge.fao.org/server/api/core/bitstreams/b21f2087-f398-4718-8461-b92afc82e617/content</x:v>
      </x:c>
      <x:c r="Z203" s="2" t="str">
        <x:v>Technology-specific analytical synthesis. The CTCN hierarchy is retained; classifications and component dependencies require validation against the selected design, site and supplier documentation before investment or policy use.</x:v>
      </x:c>
      <x:c r="AA203" s="2" t="str">
        <x:v>Physical deployment of Fodder banks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3" s="2" t="str">
        <x:v>For Fodder banks,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3" s="2" t="str">
        <x:v>Construction and operation use seed or planting stock, organic matter, fertilisers, soil amendments, water, fencing or structural materials, veterinary inputs and monitoring consumables. For Fodder banks, specifications must include durability, compatibility, recycled content and recoverability.</x:v>
      </x:c>
      <x:c r="AD203" s="2" t="str">
        <x:v>Maintenance of Fodder banks depends on seed, inoculants, filters, drip lines, nozzles, tool parts, sampling containers, sensor batteries, veterinary supplies and protective equipment; critical spares are selected from failure-mode, lead-time and safety analysis for its installed configuration.</x:v>
      </x:c>
      <x:c r="AE203" s="2" t="str">
        <x:v>The software stack for Fodder banks requires databases, secure communications, version-controlled models, computing, backup and interfaces with field or operational systems.</x:v>
      </x:c>
      <x:c r="AF203" s="2" t="str">
        <x:v>For Fodder banks, software-related energy is electricity for sensing, computing, storage, communication and cooling; it is normally secondary but must be included for data-intensive or continuous services.</x:v>
      </x:c>
      <x:c r="AG203" s="2" t="str">
        <x:v>The non-physical inputs are calibrated data, metadata, algorithms, boundary conditions, emission or hazard factors, manuals and validation records specific to Fodder banks.</x:v>
      </x:c>
      <x:c r="AH203" s="2" t="str">
        <x:v>Software continuity for Fodder banks requires licences where applicable, updates, cybersecurity patches, backups, calibration files, model validation and technical support.</x:v>
      </x:c>
      <x:c r="AI203" s="2" t="str">
        <x:v>Orgware depends on the institutions, laboratories, training providers, regulators, operators and community interfaces needed to govern Fodder banks.</x:v>
      </x:c>
      <x:c r="AJ203" s="2" t="str">
        <x:v>The orgware supporting Fodder banks has mainly indirect energy use from offices, meetings, training and information systems; travel and field supervision may be material at dispersed sites.</x:v>
      </x:c>
      <x:c r="AK203" s="2" t="str">
        <x:v>Its organisational inputs are permits, budgets, trained staff, competence records, contracts, procedures, safeguards, monitoring evidence and stakeholder agreements tailored to Fodder banks.</x:v>
      </x:c>
      <x:c r="AL203" s="2" t="str">
        <x:v>Sustained implementation of Fodder banks requires procurement and service contracts, audit protocols, training material, reporting templates, insurance or guarantees and periodic independent review.</x:v>
      </x:c>
      <x:c r="AM203" s="2" t="str">
        <x:v>Phosphate rock; Potash</x:v>
      </x:c>
      <x:c r="AN203" s="2" t="str">
        <x:v>China; Morocco; United States; Canada; Russia; Belarus</x:v>
      </x:c>
      <x:c r="AO203" s="2" t="str">
        <x:v>China; Morocco; United States; Canada; Russia; Belarus</x:v>
      </x:c>
      <x:c r="AP203" s="2" t="str">
        <x:v>Fodder banks: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3" s="2" t="str">
        <x:v>2024–2025</x:v>
      </x:c>
      <x:c r="AR203" s="2" t="str">
        <x:v>https://pubs.usgs.gov/periodicals/mcs2026/mcs2026.pdf</x:v>
      </x:c>
    </x:row>
    <x:row r="204" ht="240" customHeight="1">
      <x:c r="A204" s="2" t="str">
        <x:v>MIT-0197</x:v>
      </x:c>
      <x:c r="B204" s="2" t="str">
        <x:v>Mitigation</x:v>
      </x:c>
      <x:c r="C204" s="2" t="str">
        <x:v>Agriculture</x:v>
      </x:c>
      <x:c r="D204" s="2" t="str">
        <x:v>Livestock management</x:v>
      </x:c>
      <x:c r="E204" s="2" t="str">
        <x:v>Climate tolerant livestock</x:v>
      </x:c>
      <x:c r="F204" s="2" t="str">
        <x:v>Climate tolerant livestock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Climate tolerant livestock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4" s="2" t="str">
        <x:v>Flexible</x:v>
      </x:c>
      <x:c r="H204" s="2" t="str">
        <x:v>Climate tolerant livestock is transferable through configurable methods, rules and operating parameters. Its principle remains the same, but resource quality, climate, scale, interfaces and safety constraints must be recalculated for each deployment.</x:v>
      </x:c>
      <x:c r="I204" s="2" t="str">
        <x:v>Primarily soft, with physical support</x:v>
      </x:c>
      <x:c r="J204" s="2" t="str">
        <x:v>Climate tolerant livestock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4" s="2" t="str">
        <x:v>Operation</x:v>
      </x:c>
      <x:c r="L204" s="2" t="str">
        <x:v>Climate tolerant livestock is embodied mainly as an operating practice. The deliverable is accepted only when measurable service, quality, safety and climate-performance criteria are met under real conditions.</x:v>
      </x:c>
      <x:c r="M204" s="2" t="str">
        <x:v>Yes, subject to life-cycle safeguards</x:v>
      </x:c>
      <x:c r="N204" s="2" t="str">
        <x:v>Climate tolerant livestock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4" s="2" t="str">
        <x:v>Climate tolerant livestock: field or forest implements, planting and irrigation equipment, storage or livestock facilities, sampling tools, sensors and protective structures as required.</x:v>
      </x:c>
      <x:c r="P204" s="2" t="str">
        <x:v>Climate tolerant livestock: soil–crop–livestock knowledge, nutrient and water budgets, emission factors, carbon accounting, climate services, monitoring protocols and adaptive management.</x:v>
      </x:c>
      <x:c r="Q204" s="2" t="str">
        <x:v>Climate tolerant livestock: land tenure, extension, producer organisations, veterinary or phytosanitary services, incentives, safeguards, certification and monitoring arrangements.</x:v>
      </x:c>
      <x:c r="R204" s="2" t="str">
        <x:v>Climate tolerant livestock: nurseries or seed banks, field access, water and storage systems, laboratories, extension centres, monitoring plots and processing or market facilities.</x:v>
      </x:c>
      <x:c r="S204" s="2" t="str">
        <x:v>Climate tolerant livestock: human and mechanical work, electricity or fuel for machinery, pumping, cooling and processing; biological energy and solar radiation dominate field processes.</x:v>
      </x:c>
      <x:c r="T204" s="2" t="str">
        <x:v>Climate tolerant livestock: seed or planting stock, organic matter, fertilisers, soil amendments, water, fencing or structural materials, veterinary inputs and monitoring consumables.</x:v>
      </x:c>
      <x:c r="U204" s="2" t="str">
        <x:v>Climate tolerant livestock: seed, inoculants, filters, drip lines, nozzles, tool parts, sampling containers, sensor batteries, veterinary supplies and protective equipment.</x:v>
      </x:c>
      <x:c r="V204" s="2" t="str">
        <x:v>https://www.ctc-n.org/sites/default/files/resources/ctcn_taxonomy_0.pdf</x:v>
      </x:c>
      <x:c r="W204" s="2" t="str">
        <x:v>https://institutoagricoladepueblobello.edu.co/colegiapp/archivostemas/GUIA%209.%5B25%5D.pdf</x:v>
      </x:c>
      <x:c r="X204" s="2" t="str">
        <x:v>https://iiasa.ac.at/what-is-technology</x:v>
      </x:c>
      <x:c r="Y204" s="2" t="str">
        <x:v>https://www.ipcc.ch/report/ar6/wg3/chapter/chapter-7/; https://openknowledge.fao.org/server/api/core/bitstreams/b21f2087-f398-4718-8461-b92afc82e617/content</x:v>
      </x:c>
      <x:c r="Z204" s="2" t="str">
        <x:v>Technology-specific analytical synthesis. The CTCN hierarchy is retained; classifications and component dependencies require validation against the selected design, site and supplier documentation before investment or policy use.</x:v>
      </x:c>
      <x:c r="AA204" s="2" t="str">
        <x:v>Physical deployment of Climate tolerant livestock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4" s="2" t="str">
        <x:v>For Climate tolerant livestock,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4" s="2" t="str">
        <x:v>Construction and operation use seed or planting stock, organic matter, fertilisers, soil amendments, water, fencing or structural materials, veterinary inputs and monitoring consumables. For Climate tolerant livestock, specifications must include durability, compatibility, recycled content and recoverability.</x:v>
      </x:c>
      <x:c r="AD204" s="2" t="str">
        <x:v>Maintenance of Climate tolerant livestock depends on seed, inoculants, filters, drip lines, nozzles, tool parts, sampling containers, sensor batteries, veterinary supplies and protective equipment; critical spares are selected from failure-mode, lead-time and safety analysis for its installed configuration.</x:v>
      </x:c>
      <x:c r="AE204" s="2" t="str">
        <x:v>The software stack for Climate tolerant livestock requires databases, secure communications, version-controlled models, computing, backup and interfaces with field or operational systems.</x:v>
      </x:c>
      <x:c r="AF204" s="2" t="str">
        <x:v>For Climate tolerant livestock, software-related energy is electricity for sensing, computing, storage, communication and cooling; it is normally secondary but must be included for data-intensive or continuous services.</x:v>
      </x:c>
      <x:c r="AG204" s="2" t="str">
        <x:v>The non-physical inputs are calibrated data, metadata, algorithms, boundary conditions, emission or hazard factors, manuals and validation records specific to Climate tolerant livestock.</x:v>
      </x:c>
      <x:c r="AH204" s="2" t="str">
        <x:v>Software continuity for Climate tolerant livestock requires licences where applicable, updates, cybersecurity patches, backups, calibration files, model validation and technical support.</x:v>
      </x:c>
      <x:c r="AI204" s="2" t="str">
        <x:v>Orgware depends on the institutions, laboratories, training providers, regulators, operators and community interfaces needed to govern Climate tolerant livestock.</x:v>
      </x:c>
      <x:c r="AJ204" s="2" t="str">
        <x:v>The orgware supporting Climate tolerant livestock has mainly indirect energy use from offices, meetings, training and information systems; travel and field supervision may be material at dispersed sites.</x:v>
      </x:c>
      <x:c r="AK204" s="2" t="str">
        <x:v>Its organisational inputs are permits, budgets, trained staff, competence records, contracts, procedures, safeguards, monitoring evidence and stakeholder agreements tailored to Climate tolerant livestock.</x:v>
      </x:c>
      <x:c r="AL204" s="2" t="str">
        <x:v>Sustained implementation of Climate tolerant livestock requires procurement and service contracts, audit protocols, training material, reporting templates, insurance or guarantees and periodic independent review.</x:v>
      </x:c>
      <x:c r="AM204" s="2" t="str">
        <x:v>No critical or strategic raw material is identifiable at taxonomy level; site-specific bulk materials may still be required.</x:v>
      </x:c>
      <x:c r="AN204" s="2" t="str"/>
      <x:c r="AO204" s="2" t="str"/>
      <x:c r="AP204" s="2" t="str">
        <x:v>Climate tolerant livestock: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4" s="2" t="str">
        <x:v>2024–2025</x:v>
      </x:c>
      <x:c r="AR204" s="2" t="str">
        <x:v>https://pubs.usgs.gov/periodicals/mcs2026/mcs2026.pdf</x:v>
      </x:c>
    </x:row>
    <x:row r="205" ht="240" customHeight="1">
      <x:c r="A205" s="2" t="str">
        <x:v>MIT-0198</x:v>
      </x:c>
      <x:c r="B205" s="2" t="str">
        <x:v>Mitigation</x:v>
      </x:c>
      <x:c r="C205" s="2" t="str">
        <x:v>Agriculture</x:v>
      </x:c>
      <x:c r="D205" s="2" t="str">
        <x:v>Livestock management</x:v>
      </x:c>
      <x:c r="E205" s="2" t="str">
        <x:v>Domestic manure</x:v>
      </x:c>
      <x:c r="F205" s="2" t="str">
        <x:v>Domestic manure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5" s="2" t="str">
        <x:v>Flexible</x:v>
      </x:c>
      <x:c r="H205" s="2" t="str">
        <x:v>Domestic manure is transferable through configurable methods, rules and operating parameters. Its principle remains the same, but resource quality, climate, scale, interfaces and safety constraints must be recalculated for each deployment.</x:v>
      </x:c>
      <x:c r="I205" s="2" t="str">
        <x:v>Primarily soft, with physical support</x:v>
      </x:c>
      <x:c r="J205" s="2" t="str">
        <x:v>Domestic manure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5" s="2" t="str">
        <x:v>Operation</x:v>
      </x:c>
      <x:c r="L205" s="2" t="str">
        <x:v>Domestic manure is embodied mainly as an operating practice. The deliverable is accepted only when measurable service, quality, safety and climate-performance criteria are met under real conditions.</x:v>
      </x:c>
      <x:c r="M205" s="2" t="str">
        <x:v>Yes, subject to life-cycle safeguards</x:v>
      </x:c>
      <x:c r="N205" s="2" t="str">
        <x:v>Domestic manure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5" s="2" t="str">
        <x:v>Domestic manure: field or forest implements, planting and irrigation equipment, storage or livestock facilities, sampling tools, sensors and protective structures as required.</x:v>
      </x:c>
      <x:c r="P205" s="2" t="str">
        <x:v>Domestic manure: soil–crop–livestock knowledge, nutrient and water budgets, emission factors, carbon accounting, climate services, monitoring protocols and adaptive management.</x:v>
      </x:c>
      <x:c r="Q205" s="2" t="str">
        <x:v>Domestic manure: land tenure, extension, producer organisations, veterinary or phytosanitary services, incentives, safeguards, certification and monitoring arrangements.</x:v>
      </x:c>
      <x:c r="R205" s="2" t="str">
        <x:v>Domestic manure: nurseries or seed banks, field access, water and storage systems, laboratories, extension centres, monitoring plots and processing or market facilities.</x:v>
      </x:c>
      <x:c r="S205" s="2" t="str">
        <x:v>Domestic manure: human and mechanical work, electricity or fuel for machinery, pumping, cooling and processing; biological energy and solar radiation dominate field processes.</x:v>
      </x:c>
      <x:c r="T205" s="2" t="str">
        <x:v>Domestic manure: seed or planting stock, organic matter, fertilisers, soil amendments, water, fencing or structural materials, veterinary inputs and monitoring consumables.</x:v>
      </x:c>
      <x:c r="U205" s="2" t="str">
        <x:v>Domestic manure: seed, inoculants, filters, drip lines, nozzles, tool parts, sampling containers, sensor batteries, veterinary supplies and protective equipment.</x:v>
      </x:c>
      <x:c r="V205" s="2" t="str">
        <x:v>https://www.ctc-n.org/sites/default/files/resources/ctcn_taxonomy_0.pdf</x:v>
      </x:c>
      <x:c r="W205" s="2" t="str">
        <x:v>https://institutoagricoladepueblobello.edu.co/colegiapp/archivostemas/GUIA%209.%5B25%5D.pdf</x:v>
      </x:c>
      <x:c r="X205" s="2" t="str">
        <x:v>https://iiasa.ac.at/what-is-technology</x:v>
      </x:c>
      <x:c r="Y205" s="2" t="str">
        <x:v>https://www.ipcc.ch/report/ar6/wg3/chapter/chapter-7/; https://openknowledge.fao.org/server/api/core/bitstreams/b21f2087-f398-4718-8461-b92afc82e617/content</x:v>
      </x:c>
      <x:c r="Z205" s="2" t="str">
        <x:v>Technology-specific analytical synthesis. The CTCN hierarchy is retained; classifications and component dependencies require validation against the selected design, site and supplier documentation before investment or policy use.</x:v>
      </x:c>
      <x:c r="AA205" s="2" t="str">
        <x:v>Physical deployment of Domestic manure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5" s="2" t="str">
        <x:v>For Domestic manure,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5" s="2" t="str">
        <x:v>Construction and operation use seed or planting stock, organic matter, fertilisers, soil amendments, water, fencing or structural materials, veterinary inputs and monitoring consumables. For Domestic manure, specifications must include durability, compatibility, recycled content and recoverability.</x:v>
      </x:c>
      <x:c r="AD205" s="2" t="str">
        <x:v>Maintenance of Domestic manure depends on seed, inoculants, filters, drip lines, nozzles, tool parts, sampling containers, sensor batteries, veterinary supplies and protective equipment; critical spares are selected from failure-mode, lead-time and safety analysis for its installed configuration.</x:v>
      </x:c>
      <x:c r="AE205" s="2" t="str">
        <x:v>The software stack for Domestic manure requires databases, secure communications, version-controlled models, computing, backup and interfaces with field or operational systems.</x:v>
      </x:c>
      <x:c r="AF205" s="2" t="str">
        <x:v>For Domestic manure, software-related energy is electricity for sensing, computing, storage, communication and cooling; it is normally secondary but must be included for data-intensive or continuous services.</x:v>
      </x:c>
      <x:c r="AG205" s="2" t="str">
        <x:v>The non-physical inputs are calibrated data, metadata, algorithms, boundary conditions, emission or hazard factors, manuals and validation records specific to Domestic manure.</x:v>
      </x:c>
      <x:c r="AH205" s="2" t="str">
        <x:v>Software continuity for Domestic manure requires licences where applicable, updates, cybersecurity patches, backups, calibration files, model validation and technical support.</x:v>
      </x:c>
      <x:c r="AI205" s="2" t="str">
        <x:v>Orgware depends on the institutions, laboratories, training providers, regulators, operators and community interfaces needed to govern Domestic manure.</x:v>
      </x:c>
      <x:c r="AJ205" s="2" t="str">
        <x:v>The orgware supporting Domestic manure has mainly indirect energy use from offices, meetings, training and information systems; travel and field supervision may be material at dispersed sites.</x:v>
      </x:c>
      <x:c r="AK205" s="2" t="str">
        <x:v>Its organisational inputs are permits, budgets, trained staff, competence records, contracts, procedures, safeguards, monitoring evidence and stakeholder agreements tailored to Domestic manure.</x:v>
      </x:c>
      <x:c r="AL205" s="2" t="str">
        <x:v>Sustained implementation of Domestic manure requires procurement and service contracts, audit protocols, training material, reporting templates, insurance or guarantees and periodic independent review.</x:v>
      </x:c>
      <x:c r="AM205" s="2" t="str">
        <x:v>No critical or strategic raw material is identifiable at taxonomy level; site-specific bulk materials may still be required.</x:v>
      </x:c>
      <x:c r="AN205" s="2" t="str"/>
      <x:c r="AO205" s="2" t="str"/>
      <x:c r="AP205" s="2" t="str">
        <x:v>Domestic manure: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5" s="2" t="str">
        <x:v>2024–2025</x:v>
      </x:c>
      <x:c r="AR205" s="2" t="str">
        <x:v>https://pubs.usgs.gov/periodicals/mcs2026/mcs2026.pdf</x:v>
      </x:c>
    </x:row>
    <x:row r="206" ht="240" customHeight="1">
      <x:c r="A206" s="2" t="str">
        <x:v>MIT-0199</x:v>
      </x:c>
      <x:c r="B206" s="2" t="str">
        <x:v>Mitigation</x:v>
      </x:c>
      <x:c r="C206" s="2" t="str">
        <x:v>Agriculture</x:v>
      </x:c>
      <x:c r="D206" s="2" t="str">
        <x:v>Livestock management</x:v>
      </x:c>
      <x:c r="E206" s="2" t="str">
        <x:v>Pasture management</x:v>
      </x:c>
      <x:c r="F206" s="2" t="str">
        <x:v>Pasture management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Pasture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6" s="2" t="str">
        <x:v>Flexible</x:v>
      </x:c>
      <x:c r="H206" s="2" t="str">
        <x:v>Pasture management is transferable through configurable methods, rules and operating parameters. Its principle remains the same, but resource quality, climate, scale, interfaces and safety constraints must be recalculated for each deployment.</x:v>
      </x:c>
      <x:c r="I206" s="2" t="str">
        <x:v>Primarily soft, with physical support</x:v>
      </x:c>
      <x:c r="J206" s="2" t="str">
        <x:v>Pasture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6" s="2" t="str">
        <x:v>Operation</x:v>
      </x:c>
      <x:c r="L206" s="2" t="str">
        <x:v>Pasture management is embodied mainly as an operating practice. The deliverable is accepted only when measurable service, quality, safety and climate-performance criteria are met under real conditions.</x:v>
      </x:c>
      <x:c r="M206" s="2" t="str">
        <x:v>Yes, subject to life-cycle safeguards</x:v>
      </x:c>
      <x:c r="N206" s="2" t="str">
        <x:v>Pasture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6" s="2" t="str">
        <x:v>Pasture management: field or forest implements, planting and irrigation equipment, storage or livestock facilities, sampling tools, sensors and protective structures as required.</x:v>
      </x:c>
      <x:c r="P206" s="2" t="str">
        <x:v>Pasture management: soil–crop–livestock knowledge, nutrient and water budgets, emission factors, carbon accounting, climate services, monitoring protocols and adaptive management.</x:v>
      </x:c>
      <x:c r="Q206" s="2" t="str">
        <x:v>Pasture management: land tenure, extension, producer organisations, veterinary or phytosanitary services, incentives, safeguards, certification and monitoring arrangements.</x:v>
      </x:c>
      <x:c r="R206" s="2" t="str">
        <x:v>Pasture management: nurseries or seed banks, field access, water and storage systems, laboratories, extension centres, monitoring plots and processing or market facilities.</x:v>
      </x:c>
      <x:c r="S206" s="2" t="str">
        <x:v>Pasture management: human and mechanical work, electricity or fuel for machinery, pumping, cooling and processing; biological energy and solar radiation dominate field processes.</x:v>
      </x:c>
      <x:c r="T206" s="2" t="str">
        <x:v>Pasture management: seed or planting stock, organic matter, fertilisers, soil amendments, water, fencing or structural materials, veterinary inputs and monitoring consumables.</x:v>
      </x:c>
      <x:c r="U206" s="2" t="str">
        <x:v>Pasture management: seed, inoculants, filters, drip lines, nozzles, tool parts, sampling containers, sensor batteries, veterinary supplies and protective equipment.</x:v>
      </x:c>
      <x:c r="V206" s="2" t="str">
        <x:v>https://www.ctc-n.org/sites/default/files/resources/ctcn_taxonomy_0.pdf</x:v>
      </x:c>
      <x:c r="W206" s="2" t="str">
        <x:v>https://institutoagricoladepueblobello.edu.co/colegiapp/archivostemas/GUIA%209.%5B25%5D.pdf</x:v>
      </x:c>
      <x:c r="X206" s="2" t="str">
        <x:v>https://iiasa.ac.at/what-is-technology</x:v>
      </x:c>
      <x:c r="Y206" s="2" t="str">
        <x:v>https://www.ipcc.ch/report/ar6/wg3/chapter/chapter-7/; https://openknowledge.fao.org/server/api/core/bitstreams/b21f2087-f398-4718-8461-b92afc82e617/content</x:v>
      </x:c>
      <x:c r="Z206" s="2" t="str">
        <x:v>Technology-specific analytical synthesis. The CTCN hierarchy is retained; classifications and component dependencies require validation against the selected design, site and supplier documentation before investment or policy use.</x:v>
      </x:c>
      <x:c r="AA206" s="2" t="str">
        <x:v>Physical deployment of Pasture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6" s="2" t="str">
        <x:v>For Pasture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6" s="2" t="str">
        <x:v>Construction and operation use seed or planting stock, organic matter, fertilisers, soil amendments, water, fencing or structural materials, veterinary inputs and monitoring consumables. For Pasture management, specifications must include durability, compatibility, recycled content and recoverability.</x:v>
      </x:c>
      <x:c r="AD206" s="2" t="str">
        <x:v>Maintenance of Pasture management depends on seed, inoculants, filters, drip lines, nozzles, tool parts, sampling containers, sensor batteries, veterinary supplies and protective equipment; critical spares are selected from failure-mode, lead-time and safety analysis for its installed configuration.</x:v>
      </x:c>
      <x:c r="AE206" s="2" t="str">
        <x:v>The software stack for Pasture management requires databases, secure communications, version-controlled models, computing, backup and interfaces with field or operational systems.</x:v>
      </x:c>
      <x:c r="AF206" s="2" t="str">
        <x:v>For Pasture management, software-related energy is electricity for sensing, computing, storage, communication and cooling; it is normally secondary but must be included for data-intensive or continuous services.</x:v>
      </x:c>
      <x:c r="AG206" s="2" t="str">
        <x:v>The non-physical inputs are calibrated data, metadata, algorithms, boundary conditions, emission or hazard factors, manuals and validation records specific to Pasture management.</x:v>
      </x:c>
      <x:c r="AH206" s="2" t="str">
        <x:v>Software continuity for Pasture management requires licences where applicable, updates, cybersecurity patches, backups, calibration files, model validation and technical support.</x:v>
      </x:c>
      <x:c r="AI206" s="2" t="str">
        <x:v>Orgware depends on the institutions, laboratories, training providers, regulators, operators and community interfaces needed to govern Pasture management.</x:v>
      </x:c>
      <x:c r="AJ206" s="2" t="str">
        <x:v>The orgware supporting Pasture management has mainly indirect energy use from offices, meetings, training and information systems; travel and field supervision may be material at dispersed sites.</x:v>
      </x:c>
      <x:c r="AK206" s="2" t="str">
        <x:v>Its organisational inputs are permits, budgets, trained staff, competence records, contracts, procedures, safeguards, monitoring evidence and stakeholder agreements tailored to Pasture management.</x:v>
      </x:c>
      <x:c r="AL206" s="2" t="str">
        <x:v>Sustained implementation of Pasture management requires procurement and service contracts, audit protocols, training material, reporting templates, insurance or guarantees and periodic independent review.</x:v>
      </x:c>
      <x:c r="AM206" s="2" t="str">
        <x:v>Phosphate rock; Potash</x:v>
      </x:c>
      <x:c r="AN206" s="2" t="str">
        <x:v>China; Morocco; United States; Canada; Russia; Belarus</x:v>
      </x:c>
      <x:c r="AO206" s="2" t="str">
        <x:v>China; Morocco; United States; Canada; Russia; Belarus</x:v>
      </x:c>
      <x:c r="AP206" s="2" t="str">
        <x:v>Pasture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6" s="2" t="str">
        <x:v>2024–2025</x:v>
      </x:c>
      <x:c r="AR206" s="2" t="str">
        <x:v>https://pubs.usgs.gov/periodicals/mcs2026/mcs2026.pdf</x:v>
      </x:c>
    </x:row>
    <x:row r="207" ht="240" customHeight="1">
      <x:c r="A207" s="2" t="str">
        <x:v>MIT-0200</x:v>
      </x:c>
      <x:c r="B207" s="2" t="str">
        <x:v>Mitigation</x:v>
      </x:c>
      <x:c r="C207" s="2" t="str">
        <x:v>Agriculture</x:v>
      </x:c>
      <x:c r="D207" s="2" t="str">
        <x:v>Livestock management</x:v>
      </x:c>
      <x:c r="E207" s="2" t="str">
        <x:v>Livestock feed optimisation</x:v>
      </x:c>
      <x:c r="F207" s="2" t="str">
        <x:v>Livestock feed optimisation is a mitigation technology in the Agriculture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07" s="2" t="str">
        <x:v>Flexible</x:v>
      </x:c>
      <x:c r="H207" s="2" t="str">
        <x:v>Livestock feed optimisation is transferable through configurable methods, rules and operating parameters. Its principle remains the same, but resource quality, climate, scale, interfaces and safety constraints must be recalculated for each deployment.</x:v>
      </x:c>
      <x:c r="I207" s="2" t="str">
        <x:v>Primarily soft, with physical support</x:v>
      </x:c>
      <x:c r="J207" s="2" t="str">
        <x:v>Livestock feed optimisation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07" s="2" t="str">
        <x:v>Operation</x:v>
      </x:c>
      <x:c r="L207" s="2" t="str">
        <x:v>Livestock feed optimisation is embodied mainly as an operating practice. The deliverable is accepted only when measurable service, quality, safety and climate-performance criteria are met under real conditions.</x:v>
      </x:c>
      <x:c r="M207" s="2" t="str">
        <x:v>Yes, subject to life-cycle safeguards</x:v>
      </x:c>
      <x:c r="N207" s="2" t="str">
        <x:v>Livestock feed optimisation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07" s="2" t="str">
        <x:v>Livestock feed optimisation: field or forest implements, planting and irrigation equipment, storage or livestock facilities, sampling tools, sensors and protective structures as required.</x:v>
      </x:c>
      <x:c r="P207" s="2" t="str">
        <x:v>Livestock feed optimisation: soil–crop–livestock knowledge, nutrient and water budgets, emission factors, carbon accounting, climate services, monitoring protocols and adaptive management.</x:v>
      </x:c>
      <x:c r="Q207" s="2" t="str">
        <x:v>Livestock feed optimisation: land tenure, extension, producer organisations, veterinary or phytosanitary services, incentives, safeguards, certification and monitoring arrangements.</x:v>
      </x:c>
      <x:c r="R207" s="2" t="str">
        <x:v>Livestock feed optimisation: nurseries or seed banks, field access, water and storage systems, laboratories, extension centres, monitoring plots and processing or market facilities.</x:v>
      </x:c>
      <x:c r="S207" s="2" t="str">
        <x:v>Livestock feed optimisation: human and mechanical work, electricity or fuel for machinery, pumping, cooling and processing; biological energy and solar radiation dominate field processes.</x:v>
      </x:c>
      <x:c r="T207" s="2" t="str">
        <x:v>Livestock feed optimisation: seed or planting stock, organic matter, fertilisers, soil amendments, water, fencing or structural materials, veterinary inputs and monitoring consumables.</x:v>
      </x:c>
      <x:c r="U207" s="2" t="str">
        <x:v>Livestock feed optimisation: seed, inoculants, filters, drip lines, nozzles, tool parts, sampling containers, sensor batteries, veterinary supplies and protective equipment.</x:v>
      </x:c>
      <x:c r="V207" s="2" t="str">
        <x:v>https://www.ctc-n.org/sites/default/files/resources/ctcn_taxonomy_0.pdf</x:v>
      </x:c>
      <x:c r="W207" s="2" t="str">
        <x:v>https://institutoagricoladepueblobello.edu.co/colegiapp/archivostemas/GUIA%209.%5B25%5D.pdf</x:v>
      </x:c>
      <x:c r="X207" s="2" t="str">
        <x:v>https://iiasa.ac.at/what-is-technology</x:v>
      </x:c>
      <x:c r="Y207" s="2" t="str">
        <x:v>https://www.ipcc.ch/report/ar6/wg3/chapter/chapter-7/; https://openknowledge.fao.org/server/api/core/bitstreams/b21f2087-f398-4718-8461-b92afc82e617/content</x:v>
      </x:c>
      <x:c r="Z207" s="2" t="str">
        <x:v>Technology-specific analytical synthesis. The CTCN hierarchy is retained; classifications and component dependencies require validation against the selected design, site and supplier documentation before investment or policy use.</x:v>
      </x:c>
      <x:c r="AA207" s="2" t="str">
        <x:v>Physical deployment of Livestock feed optimisation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207" s="2" t="str">
        <x:v>For Livestock feed optimisation,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07" s="2" t="str">
        <x:v>Construction and operation use seed or planting stock, organic matter, fertilisers, soil amendments, water, fencing or structural materials, veterinary inputs and monitoring consumables. For Livestock feed optimisation, specifications must include durability, compatibility, recycled content and recoverability.</x:v>
      </x:c>
      <x:c r="AD207" s="2" t="str">
        <x:v>Maintenance of Livestock feed optimisation depends on seed, inoculants, filters, drip lines, nozzles, tool parts, sampling containers, sensor batteries, veterinary supplies and protective equipment; critical spares are selected from failure-mode, lead-time and safety analysis for its installed configuration.</x:v>
      </x:c>
      <x:c r="AE207" s="2" t="str">
        <x:v>The software stack for Livestock feed optimisation requires databases, secure communications, version-controlled models, computing, backup and interfaces with field or operational systems.</x:v>
      </x:c>
      <x:c r="AF207" s="2" t="str">
        <x:v>For Livestock feed optimisation, software-related energy is electricity for sensing, computing, storage, communication and cooling; it is normally secondary but must be included for data-intensive or continuous services.</x:v>
      </x:c>
      <x:c r="AG207" s="2" t="str">
        <x:v>The non-physical inputs are calibrated data, metadata, algorithms, boundary conditions, emission or hazard factors, manuals and validation records specific to Livestock feed optimisation.</x:v>
      </x:c>
      <x:c r="AH207" s="2" t="str">
        <x:v>Software continuity for Livestock feed optimisation requires licences where applicable, updates, cybersecurity patches, backups, calibration files, model validation and technical support.</x:v>
      </x:c>
      <x:c r="AI207" s="2" t="str">
        <x:v>Orgware depends on the institutions, laboratories, training providers, regulators, operators and community interfaces needed to govern Livestock feed optimisation.</x:v>
      </x:c>
      <x:c r="AJ207" s="2" t="str">
        <x:v>The orgware supporting Livestock feed optimisation has mainly indirect energy use from offices, meetings, training and information systems; travel and field supervision may be material at dispersed sites.</x:v>
      </x:c>
      <x:c r="AK207" s="2" t="str">
        <x:v>Its organisational inputs are permits, budgets, trained staff, competence records, contracts, procedures, safeguards, monitoring evidence and stakeholder agreements tailored to Livestock feed optimisation.</x:v>
      </x:c>
      <x:c r="AL207" s="2" t="str">
        <x:v>Sustained implementation of Livestock feed optimisation requires procurement and service contracts, audit protocols, training material, reporting templates, insurance or guarantees and periodic independent review.</x:v>
      </x:c>
      <x:c r="AM207" s="2" t="str">
        <x:v>No critical or strategic raw material is identifiable at taxonomy level; site-specific bulk materials may still be required.</x:v>
      </x:c>
      <x:c r="AN207" s="2" t="str"/>
      <x:c r="AO207" s="2" t="str"/>
      <x:c r="AP207" s="2" t="str">
        <x:v>Livestock feed optimisation: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7" s="2" t="str">
        <x:v>2024–2025</x:v>
      </x:c>
      <x:c r="AR207" s="2" t="str">
        <x:v>https://pubs.usgs.gov/periodicals/mcs2026/mcs2026.pdf</x:v>
      </x:c>
    </x:row>
    <x:row r="208" ht="240" customHeight="1">
      <x:c r="A208" s="2" t="str">
        <x:v>MIT-0201</x:v>
      </x:c>
      <x:c r="B208" s="2" t="str">
        <x:v>Mitigation</x:v>
      </x:c>
      <x:c r="C208" s="2" t="str">
        <x:v>Agriculture</x:v>
      </x:c>
      <x:c r="D208" s="2" t="str">
        <x:v>Biomass carbon measurement and monitoring</x:v>
      </x:c>
      <x:c r="E208" s="2" t="str">
        <x:v>Biomass carbon measurement and monitoring</x:v>
      </x:c>
      <x:c r="F208" s="2" t="str">
        <x:v>Biomass carbon measurement and monitoring is a mitigation technology in the Agriculture sector and the Biomass carbon measurement and monitoring technology group. It is defined as a combined hardware–software–orgware system that controls biological or thermochemical conversion of biomass, residues, solid waste or wastewater to avoid methane, recover materials and energy, or stabilise organic matter. Biomass carbon measurement and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208" s="2" t="str">
        <x:v>Mixed: adaptable design, site-specific implementation</x:v>
      </x:c>
      <x:c r="H208" s="2" t="str">
        <x:v>Biomass carbon measurement and monitoring is adaptable in capacity and configuration but site-specific in final engineering. Its principle remains the same, but resource quality, climate, scale, interfaces and safety constraints must be recalculated for each deployment.</x:v>
      </x:c>
      <x:c r="I208" s="2" t="str">
        <x:v>Hard and soft</x:v>
      </x:c>
      <x:c r="J208" s="2" t="str">
        <x:v>Biomass carbon measurement and monitoring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208" s="2" t="str">
        <x:v>Operation and information service</x:v>
      </x:c>
      <x:c r="L208" s="2" t="str">
        <x:v>Biomass carbon measurement and monitoring is embodied mainly as an information and decision service. The deliverable is accepted only when measurable service, quality, safety and climate-performance criteria are met under real conditions.</x:v>
      </x:c>
      <x:c r="M208" s="2" t="str">
        <x:v>Yes, subject to life-cycle safeguards</x:v>
      </x:c>
      <x:c r="N208" s="2" t="str">
        <x:v>Biomass carbon measurement and monitoring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208" s="2" t="str">
        <x:v>Biomass carbon measurement and monitoring: collection and sorting equipment, reactors or digesters, aeration, gas handling, thermal conversion, pollution control and product conditioning.</x:v>
      </x:c>
      <x:c r="P208" s="2" t="str">
        <x:v>Biomass carbon measurement and monitoring: feedstock characterisation, mass balances, biological or thermal process control, methane accounting, quality assurance and logistics optimisation.</x:v>
      </x:c>
      <x:c r="Q208" s="2" t="str">
        <x:v>Biomass carbon measurement and monitoring: waste hierarchy, source separation, collection contracts, emission permits, digestate or product standards, occupational safety and informal-sector inclusion.</x:v>
      </x:c>
      <x:c r="R208" s="2" t="str">
        <x:v>Biomass carbon measurement and monitoring: collection network, transfer and treatment sites, weighbridge, drainage, electricity or heat connection, gas line and residue disposal.</x:v>
      </x:c>
      <x:c r="S208" s="2" t="str">
        <x:v>Biomass carbon measurement and monitoring: electricity, process heat or auxiliary fuel; recovered biogas, syngas, heat or electricity may offset external energy.</x:v>
      </x:c>
      <x:c r="T208" s="2" t="str">
        <x:v>Biomass carbon measurement and monitoring: steel, concrete, polymers, filters, catalysts or sorbents, biological inoculum and treatment chemicals according to the process.</x:v>
      </x:c>
      <x:c r="U208" s="2" t="str">
        <x:v>Biomass carbon measurement and monitoring: pumps, screens, blowers, mixers, seals, burners, analysers, filter media, reagents and personal protective equipment.</x:v>
      </x:c>
      <x:c r="V208" s="2" t="str">
        <x:v>https://www.ctc-n.org/sites/default/files/resources/ctcn_taxonomy_0.pdf</x:v>
      </x:c>
      <x:c r="W208" s="2" t="str">
        <x:v>https://institutoagricoladepueblobello.edu.co/colegiapp/archivostemas/GUIA%209.%5B25%5D.pdf</x:v>
      </x:c>
      <x:c r="X208" s="2" t="str">
        <x:v>https://iiasa.ac.at/what-is-technology</x:v>
      </x:c>
      <x:c r="Y208" s="2" t="str">
        <x:v>https://www.ipcc.ch/report/ar6/wg3/chapter/chapter-7/; https://www.unep.org/resources/report/global-waste-management-outlook-2024</x:v>
      </x:c>
      <x:c r="Z208" s="2" t="str">
        <x:v>Technology-specific analytical synthesis. The CTCN hierarchy is retained; classifications and component dependencies require validation against the selected design, site and supplier documentation before investment or policy use.</x:v>
      </x:c>
      <x:c r="AA208" s="2" t="str">
        <x:v>Physical deployment of Biomass carbon measurement and monitoring requires collection network, transfer and treatment sites, weighbridge, drainage, electricity or heat connection, gas line and residue disposal; interfaces, foundations, access and environmental protection are sized to the specific resource and design load.</x:v>
      </x:c>
      <x:c r="AB208" s="2" t="str">
        <x:v>For Biomass carbon measurement and monitoring, the hardware energy balance comprises electricity, process heat or auxiliary fuel; recovered biogas, syngas, heat or electricity may offset external energy; metering must separate useful output, conversion losses and auxiliaries for the selected design.</x:v>
      </x:c>
      <x:c r="AC208" s="2" t="str">
        <x:v>Construction and operation use steel, concrete, polymers, filters, catalysts or sorbents, biological inoculum and treatment chemicals according to the process. For Biomass carbon measurement and monitoring, specifications must include durability, compatibility, recycled content and recoverability.</x:v>
      </x:c>
      <x:c r="AD208" s="2" t="str">
        <x:v>Maintenance of Biomass carbon measurement and monitoring depends on pumps, screens, blowers, mixers, seals, burners, analysers, filter media, reagents and personal protective equipment; critical spares are selected from failure-mode, lead-time and safety analysis for its installed configuration.</x:v>
      </x:c>
      <x:c r="AE208" s="2" t="str">
        <x:v>The software stack for Biomass carbon measurement and monitoring requires databases, secure communications, version-controlled models, computing, backup and interfaces with field or operational systems.</x:v>
      </x:c>
      <x:c r="AF208" s="2" t="str">
        <x:v>For Biomass carbon measurement and monitoring, software-related energy is electricity for sensing, computing, storage, communication and cooling; it is normally secondary but must be included for data-intensive or continuous services.</x:v>
      </x:c>
      <x:c r="AG208" s="2" t="str">
        <x:v>The non-physical inputs are calibrated data, metadata, algorithms, boundary conditions, emission or hazard factors, manuals and validation records specific to Biomass carbon measurement and monitoring.</x:v>
      </x:c>
      <x:c r="AH208" s="2" t="str">
        <x:v>Software continuity for Biomass carbon measurement and monitoring requires licences where applicable, updates, cybersecurity patches, backups, calibration files, model validation and technical support.</x:v>
      </x:c>
      <x:c r="AI208" s="2" t="str">
        <x:v>Orgware depends on the institutions, laboratories, training providers, regulators, operators and community interfaces needed to govern Biomass carbon measurement and monitoring.</x:v>
      </x:c>
      <x:c r="AJ208" s="2" t="str">
        <x:v>The orgware supporting Biomass carbon measurement and monitoring has mainly indirect energy use from offices, meetings, training and information systems; travel and field supervision may be material at dispersed sites.</x:v>
      </x:c>
      <x:c r="AK208" s="2" t="str">
        <x:v>Its organisational inputs are permits, budgets, trained staff, competence records, contracts, procedures, safeguards, monitoring evidence and stakeholder agreements tailored to Biomass carbon measurement and monitoring.</x:v>
      </x:c>
      <x:c r="AL208" s="2" t="str">
        <x:v>Sustained implementation of Biomass carbon measurement and monitoring requires procurement and service contracts, audit protocols, training material, reporting templates, insurance or guarantees and periodic independent review.</x:v>
      </x:c>
      <x:c r="AM208" s="2" t="str">
        <x:v>Iron ore / steel inputs; Copper; Tin</x:v>
      </x:c>
      <x:c r="AN208" s="2" t="str">
        <x:v>Australia; Brazil; China; Chile; Democratic Republic of the Congo; Peru; Indonesia; Myanmar</x:v>
      </x:c>
      <x:c r="AO208" s="2" t="str">
        <x:v>China; India; Japan; Chile; Democratic Republic of the Congo; Indonesia; Malaysia</x:v>
      </x:c>
      <x:c r="AP208" s="2" t="str">
        <x:v>Biomass carbon measurement and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8" s="2" t="str">
        <x:v>2024–2025</x:v>
      </x:c>
      <x:c r="AR208" s="2" t="str">
        <x:v>https://pubs.usgs.gov/periodicals/mcs2026/mcs2026.pdf</x:v>
      </x:c>
    </x:row>
    <x:row r="209" ht="240" customHeight="1">
      <x:c r="A209" s="2" t="str">
        <x:v>MIT-0202</x:v>
      </x:c>
      <x:c r="B209" s="2" t="str">
        <x:v>Mitigation</x:v>
      </x:c>
      <x:c r="C209" s="2" t="str">
        <x:v>Industry</x:v>
      </x:c>
      <x:c r="D209" s="2" t="str">
        <x:v>Mining &amp; production</x:v>
      </x:c>
      <x:c r="E209" s="2" t="str">
        <x:v>Non-ferrous metals</x:v>
      </x:c>
      <x:c r="F209" s="2" t="str">
        <x:v>Non-ferrous metals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Non-ferrous metals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09" s="2" t="str">
        <x:v>Mixed: adaptable design, site-specific implementation</x:v>
      </x:c>
      <x:c r="H209" s="2" t="str">
        <x:v>Non-ferrous metals is adaptable in capacity and configuration but site-specific in final engineering. Its principle remains the same, but resource quality, climate, scale, interfaces and safety constraints must be recalculated for each deployment.</x:v>
      </x:c>
      <x:c r="I209" s="2" t="str">
        <x:v>Primarily hard, with a soft component</x:v>
      </x:c>
      <x:c r="J209" s="2" t="str">
        <x:v>Non-ferrous metals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09" s="2" t="str">
        <x:v>Equipment and operation</x:v>
      </x:c>
      <x:c r="L209" s="2" t="str">
        <x:v>Non-ferrous metals is embodied mainly as an equipment-and-operation system. The deliverable is accepted only when measurable service, quality, safety and climate-performance criteria are met under real conditions.</x:v>
      </x:c>
      <x:c r="M209" s="2" t="str">
        <x:v>Yes, subject to life-cycle safeguards</x:v>
      </x:c>
      <x:c r="N209" s="2" t="str">
        <x:v>Non-ferrous metals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09" s="2" t="str">
        <x:v>Non-ferrous metals: process reactors or furnaces, heat exchangers, motors and drives, compressors, burners, controls, pollution abatement, material handling and measurement equipment.</x:v>
      </x:c>
      <x:c r="P209" s="2" t="str">
        <x:v>Non-ferrous metals: process simulation, pinch and heat-integration analysis, advanced control, production scheduling, quality control, energy management and life-cycle assessment.</x:v>
      </x:c>
      <x:c r="Q209" s="2" t="str">
        <x:v>Non-ferrous metals: industrial permits, product standards, operating procedures, maintenance and competence systems, procurement, energy management and industrial-symbiosis agreements.</x:v>
      </x:c>
      <x:c r="R209" s="2" t="str">
        <x:v>Non-ferrous metals: industrial site, utilities, fuel and electricity supply, material storage, process buildings, laboratories, waste handling and logistics.</x:v>
      </x:c>
      <x:c r="S209" s="2" t="str">
        <x:v>Non-ferrous metals: electricity, steam, process heat, cooling and fuels; useful-energy efficiency, heat recovery and carbon intensity of supply determine savings.</x:v>
      </x:c>
      <x:c r="T209" s="2" t="str">
        <x:v>Non-ferrous metals: process feedstocks, steel and refractory materials, catalysts, solvents, lubricants, insulation, piping, sensors and technology-specific alloying elements.</x:v>
      </x:c>
      <x:c r="U209" s="2" t="str">
        <x:v>Non-ferrous metals: refractory linings, bearings, seals, valves, filters, burners, electrodes, sensors, control modules, lubricants and calibrated instruments.</x:v>
      </x:c>
      <x:c r="V209" s="2" t="str">
        <x:v>https://www.ctc-n.org/sites/default/files/resources/ctcn_taxonomy_0.pdf</x:v>
      </x:c>
      <x:c r="W209" s="2" t="str">
        <x:v>https://institutoagricoladepueblobello.edu.co/colegiapp/archivostemas/GUIA%209.%5B25%5D.pdf</x:v>
      </x:c>
      <x:c r="X209" s="2" t="str">
        <x:v>https://iiasa.ac.at/what-is-technology</x:v>
      </x:c>
      <x:c r="Y209" s="2" t="str">
        <x:v>https://www.ipcc.ch/report/ar6/wg3/chapter/chapter-11/</x:v>
      </x:c>
      <x:c r="Z209" s="2" t="str">
        <x:v>Technology-specific analytical synthesis. The CTCN hierarchy is retained; classifications and component dependencies require validation against the selected design, site and supplier documentation before investment or policy use.</x:v>
      </x:c>
      <x:c r="AA209" s="2" t="str">
        <x:v>Physical deployment of Non-ferrous metals requires industrial site, utilities, fuel and electricity supply, material storage, process buildings, laboratories, waste handling and logistics; interfaces, foundations, access and environmental protection are sized to the specific resource and design load.</x:v>
      </x:c>
      <x:c r="AB209" s="2" t="str">
        <x:v>For Non-ferrous metals,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09" s="2" t="str">
        <x:v>Construction and operation use process feedstocks, steel and refractory materials, catalysts, solvents, lubricants, insulation, piping, sensors and technology-specific alloying elements. For Non-ferrous metals, specifications must include durability, compatibility, recycled content and recoverability.</x:v>
      </x:c>
      <x:c r="AD209" s="2" t="str">
        <x:v>Maintenance of Non-ferrous metals depends on refractory linings, bearings, seals, valves, filters, burners, electrodes, sensors, control modules, lubricants and calibrated instruments; critical spares are selected from failure-mode, lead-time and safety analysis for its installed configuration.</x:v>
      </x:c>
      <x:c r="AE209" s="2" t="str">
        <x:v>The software stack for Non-ferrous metals requires databases, secure communications, version-controlled models, computing, backup and interfaces with field or operational systems.</x:v>
      </x:c>
      <x:c r="AF209" s="2" t="str">
        <x:v>For Non-ferrous metals, software-related energy is electricity for sensing, computing, storage, communication and cooling; it is normally secondary but must be included for data-intensive or continuous services.</x:v>
      </x:c>
      <x:c r="AG209" s="2" t="str">
        <x:v>The non-physical inputs are calibrated data, metadata, algorithms, boundary conditions, emission or hazard factors, manuals and validation records specific to Non-ferrous metals.</x:v>
      </x:c>
      <x:c r="AH209" s="2" t="str">
        <x:v>Software continuity for Non-ferrous metals requires licences where applicable, updates, cybersecurity patches, backups, calibration files, model validation and technical support.</x:v>
      </x:c>
      <x:c r="AI209" s="2" t="str">
        <x:v>Orgware depends on the institutions, laboratories, training providers, regulators, operators and community interfaces needed to govern Non-ferrous metals.</x:v>
      </x:c>
      <x:c r="AJ209" s="2" t="str">
        <x:v>The orgware supporting Non-ferrous metals has mainly indirect energy use from offices, meetings, training and information systems; travel and field supervision may be material at dispersed sites.</x:v>
      </x:c>
      <x:c r="AK209" s="2" t="str">
        <x:v>Its organisational inputs are permits, budgets, trained staff, competence records, contracts, procedures, safeguards, monitoring evidence and stakeholder agreements tailored to Non-ferrous metals.</x:v>
      </x:c>
      <x:c r="AL209" s="2" t="str">
        <x:v>Sustained implementation of Non-ferrous metals requires procurement and service contracts, audit protocols, training material, reporting templates, insurance or guarantees and periodic independent review.</x:v>
      </x:c>
      <x:c r="AM209" s="2" t="str">
        <x:v>Iron ore / steel inputs</x:v>
      </x:c>
      <x:c r="AN209" s="2" t="str">
        <x:v>Australia; Brazil; China</x:v>
      </x:c>
      <x:c r="AO209" s="2" t="str">
        <x:v>China; India; Japan</x:v>
      </x:c>
      <x:c r="AP209" s="2" t="str">
        <x:v>Non-ferrous metals: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9" s="2" t="str">
        <x:v>2024–2025</x:v>
      </x:c>
      <x:c r="AR209" s="2" t="str">
        <x:v>https://pubs.usgs.gov/periodicals/mcs2026/mcs2026.pdf</x:v>
      </x:c>
    </x:row>
    <x:row r="210" ht="240" customHeight="1">
      <x:c r="A210" s="2" t="str">
        <x:v>MIT-0203</x:v>
      </x:c>
      <x:c r="B210" s="2" t="str">
        <x:v>Mitigation</x:v>
      </x:c>
      <x:c r="C210" s="2" t="str">
        <x:v>Industry</x:v>
      </x:c>
      <x:c r="D210" s="2" t="str">
        <x:v>Mining &amp; production</x:v>
      </x:c>
      <x:c r="E210" s="2" t="str">
        <x:v>Reducing air and steam leaks</x:v>
      </x:c>
      <x:c r="F210" s="2" t="str">
        <x:v>Reducing air and steam leaks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It locates losses by measurement and inspection, quantifies leak rate and restores containment through repair, pressure management or component replacement.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0" s="2" t="str">
        <x:v>Mixed: adaptable design, site-specific implementation</x:v>
      </x:c>
      <x:c r="H210" s="2" t="str">
        <x:v>Reducing air and steam leaks is adaptable in capacity and configuration but site-specific in final engineering. Its principle remains the same, but resource quality, climate, scale, interfaces and safety constraints must be recalculated for each deployment.</x:v>
      </x:c>
      <x:c r="I210" s="2" t="str">
        <x:v>Primarily hard, with a soft component</x:v>
      </x:c>
      <x:c r="J210" s="2" t="str">
        <x:v>Reducing air and steam leaks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0" s="2" t="str">
        <x:v>Equipment and operation</x:v>
      </x:c>
      <x:c r="L210" s="2" t="str">
        <x:v>Reducing air and steam leaks is embodied mainly as an equipment-and-operation system. The deliverable is accepted only when measurable service, quality, safety and climate-performance criteria are met under real conditions.</x:v>
      </x:c>
      <x:c r="M210" s="2" t="str">
        <x:v>Yes, subject to life-cycle safeguards</x:v>
      </x:c>
      <x:c r="N210" s="2" t="str">
        <x:v>Reducing air and steam leaks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0" s="2" t="str">
        <x:v>Reducing air and steam leaks: process reactors or furnaces, heat exchangers, motors and drives, compressors, burners, controls, pollution abatement, material handling and measurement equipment.</x:v>
      </x:c>
      <x:c r="P210" s="2" t="str">
        <x:v>Reducing air and steam leaks: process simulation, pinch and heat-integration analysis, advanced control, production scheduling, quality control, energy management and life-cycle assessment.</x:v>
      </x:c>
      <x:c r="Q210" s="2" t="str">
        <x:v>Reducing air and steam leaks: industrial permits, product standards, operating procedures, maintenance and competence systems, procurement, energy management and industrial-symbiosis agreements.</x:v>
      </x:c>
      <x:c r="R210" s="2" t="str">
        <x:v>Reducing air and steam leaks: industrial site, utilities, fuel and electricity supply, material storage, process buildings, laboratories, waste handling and logistics.</x:v>
      </x:c>
      <x:c r="S210" s="2" t="str">
        <x:v>Reducing air and steam leaks: electricity, steam, process heat, cooling and fuels; useful-energy efficiency, heat recovery and carbon intensity of supply determine savings.</x:v>
      </x:c>
      <x:c r="T210" s="2" t="str">
        <x:v>Reducing air and steam leaks: process feedstocks, steel and refractory materials, catalysts, solvents, lubricants, insulation, piping, sensors and technology-specific alloying elements.</x:v>
      </x:c>
      <x:c r="U210" s="2" t="str">
        <x:v>Reducing air and steam leaks: refractory linings, bearings, seals, valves, filters, burners, electrodes, sensors, control modules, lubricants and calibrated instruments.</x:v>
      </x:c>
      <x:c r="V210" s="2" t="str">
        <x:v>https://www.ctc-n.org/sites/default/files/resources/ctcn_taxonomy_0.pdf</x:v>
      </x:c>
      <x:c r="W210" s="2" t="str">
        <x:v>https://institutoagricoladepueblobello.edu.co/colegiapp/archivostemas/GUIA%209.%5B25%5D.pdf</x:v>
      </x:c>
      <x:c r="X210" s="2" t="str">
        <x:v>https://iiasa.ac.at/what-is-technology</x:v>
      </x:c>
      <x:c r="Y210" s="2" t="str">
        <x:v>https://www.ipcc.ch/report/ar6/wg3/chapter/chapter-11/</x:v>
      </x:c>
      <x:c r="Z210" s="2" t="str">
        <x:v>Technology-specific analytical synthesis. The CTCN hierarchy is retained; classifications and component dependencies require validation against the selected design, site and supplier documentation before investment or policy use.</x:v>
      </x:c>
      <x:c r="AA210" s="2" t="str">
        <x:v>Physical deployment of Reducing air and steam leaks requires industrial site, utilities, fuel and electricity supply, material storage, process buildings, laboratories, waste handling and logistics; interfaces, foundations, access and environmental protection are sized to the specific resource and design load.</x:v>
      </x:c>
      <x:c r="AB210" s="2" t="str">
        <x:v>For Reducing air and steam leaks,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0" s="2" t="str">
        <x:v>Construction and operation use process feedstocks, steel and refractory materials, catalysts, solvents, lubricants, insulation, piping, sensors and technology-specific alloying elements. For Reducing air and steam leaks, specifications must include durability, compatibility, recycled content and recoverability.</x:v>
      </x:c>
      <x:c r="AD210" s="2" t="str">
        <x:v>Maintenance of Reducing air and steam leaks depends on refractory linings, bearings, seals, valves, filters, burners, electrodes, sensors, control modules, lubricants and calibrated instruments; critical spares are selected from failure-mode, lead-time and safety analysis for its installed configuration.</x:v>
      </x:c>
      <x:c r="AE210" s="2" t="str">
        <x:v>The software stack for Reducing air and steam leaks requires databases, secure communications, version-controlled models, computing, backup and interfaces with field or operational systems.</x:v>
      </x:c>
      <x:c r="AF210" s="2" t="str">
        <x:v>For Reducing air and steam leaks, software-related energy is electricity for sensing, computing, storage, communication and cooling; it is normally secondary but must be included for data-intensive or continuous services.</x:v>
      </x:c>
      <x:c r="AG210" s="2" t="str">
        <x:v>The non-physical inputs are calibrated data, metadata, algorithms, boundary conditions, emission or hazard factors, manuals and validation records specific to Reducing air and steam leaks.</x:v>
      </x:c>
      <x:c r="AH210" s="2" t="str">
        <x:v>Software continuity for Reducing air and steam leaks requires licences where applicable, updates, cybersecurity patches, backups, calibration files, model validation and technical support.</x:v>
      </x:c>
      <x:c r="AI210" s="2" t="str">
        <x:v>Orgware depends on the institutions, laboratories, training providers, regulators, operators and community interfaces needed to govern Reducing air and steam leaks.</x:v>
      </x:c>
      <x:c r="AJ210" s="2" t="str">
        <x:v>The orgware supporting Reducing air and steam leaks has mainly indirect energy use from offices, meetings, training and information systems; travel and field supervision may be material at dispersed sites.</x:v>
      </x:c>
      <x:c r="AK210" s="2" t="str">
        <x:v>Its organisational inputs are permits, budgets, trained staff, competence records, contracts, procedures, safeguards, monitoring evidence and stakeholder agreements tailored to Reducing air and steam leaks.</x:v>
      </x:c>
      <x:c r="AL210" s="2" t="str">
        <x:v>Sustained implementation of Reducing air and steam leaks requires procurement and service contracts, audit protocols, training material, reporting templates, insurance or guarantees and periodic independent review.</x:v>
      </x:c>
      <x:c r="AM210" s="2" t="str">
        <x:v>Iron ore / steel inputs</x:v>
      </x:c>
      <x:c r="AN210" s="2" t="str">
        <x:v>Australia; Brazil; China</x:v>
      </x:c>
      <x:c r="AO210" s="2" t="str">
        <x:v>China; India; Japan</x:v>
      </x:c>
      <x:c r="AP210" s="2" t="str">
        <x:v>Reducing air and steam leaks: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0" s="2" t="str">
        <x:v>2024–2025</x:v>
      </x:c>
      <x:c r="AR210" s="2" t="str">
        <x:v>https://pubs.usgs.gov/periodicals/mcs2026/mcs2026.pdf</x:v>
      </x:c>
    </x:row>
    <x:row r="211" ht="240" customHeight="1">
      <x:c r="A211" s="2" t="str">
        <x:v>MIT-0204</x:v>
      </x:c>
      <x:c r="B211" s="2" t="str">
        <x:v>Mitigation</x:v>
      </x:c>
      <x:c r="C211" s="2" t="str">
        <x:v>Industry</x:v>
      </x:c>
      <x:c r="D211" s="2" t="str">
        <x:v>Mining &amp; production</x:v>
      </x:c>
      <x:c r="E211" s="2" t="str">
        <x:v>Blast furnace slag granulation</x:v>
      </x:c>
      <x:c r="F211" s="2" t="str">
        <x:v>Blast furnace slag granulation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Blast furnace slag granulation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1" s="2" t="str">
        <x:v>Mixed: adaptable design, site-specific implementation</x:v>
      </x:c>
      <x:c r="H211" s="2" t="str">
        <x:v>Blast furnace slag granulation is adaptable in capacity and configuration but site-specific in final engineering. Its principle remains the same, but resource quality, climate, scale, interfaces and safety constraints must be recalculated for each deployment.</x:v>
      </x:c>
      <x:c r="I211" s="2" t="str">
        <x:v>Primarily hard, with a soft component</x:v>
      </x:c>
      <x:c r="J211" s="2" t="str">
        <x:v>Blast furnace slag granulation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1" s="2" t="str">
        <x:v>Equipment and operation</x:v>
      </x:c>
      <x:c r="L211" s="2" t="str">
        <x:v>Blast furnace slag granulation is embodied mainly as an equipment-and-operation system. The deliverable is accepted only when measurable service, quality, safety and climate-performance criteria are met under real conditions.</x:v>
      </x:c>
      <x:c r="M211" s="2" t="str">
        <x:v>Yes, subject to life-cycle safeguards</x:v>
      </x:c>
      <x:c r="N211" s="2" t="str">
        <x:v>Blast furnace slag granulation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1" s="2" t="str">
        <x:v>Blast furnace slag granulation: process reactors or furnaces, heat exchangers, motors and drives, compressors, burners, controls, pollution abatement, material handling and measurement equipment.</x:v>
      </x:c>
      <x:c r="P211" s="2" t="str">
        <x:v>Blast furnace slag granulation: process simulation, pinch and heat-integration analysis, advanced control, production scheduling, quality control, energy management and life-cycle assessment.</x:v>
      </x:c>
      <x:c r="Q211" s="2" t="str">
        <x:v>Blast furnace slag granulation: industrial permits, product standards, operating procedures, maintenance and competence systems, procurement, energy management and industrial-symbiosis agreements.</x:v>
      </x:c>
      <x:c r="R211" s="2" t="str">
        <x:v>Blast furnace slag granulation: industrial site, utilities, fuel and electricity supply, material storage, process buildings, laboratories, waste handling and logistics.</x:v>
      </x:c>
      <x:c r="S211" s="2" t="str">
        <x:v>Blast furnace slag granulation: electricity, steam, process heat, cooling and fuels; useful-energy efficiency, heat recovery and carbon intensity of supply determine savings.</x:v>
      </x:c>
      <x:c r="T211" s="2" t="str">
        <x:v>Blast furnace slag granulation: process feedstocks, steel and refractory materials, catalysts, solvents, lubricants, insulation, piping, sensors and technology-specific alloying elements.</x:v>
      </x:c>
      <x:c r="U211" s="2" t="str">
        <x:v>Blast furnace slag granulation: refractory linings, bearings, seals, valves, filters, burners, electrodes, sensors, control modules, lubricants and calibrated instruments.</x:v>
      </x:c>
      <x:c r="V211" s="2" t="str">
        <x:v>https://www.ctc-n.org/sites/default/files/resources/ctcn_taxonomy_0.pdf</x:v>
      </x:c>
      <x:c r="W211" s="2" t="str">
        <x:v>https://institutoagricoladepueblobello.edu.co/colegiapp/archivostemas/GUIA%209.%5B25%5D.pdf</x:v>
      </x:c>
      <x:c r="X211" s="2" t="str">
        <x:v>https://iiasa.ac.at/what-is-technology</x:v>
      </x:c>
      <x:c r="Y211" s="2" t="str">
        <x:v>https://www.ipcc.ch/report/ar6/wg3/chapter/chapter-11/</x:v>
      </x:c>
      <x:c r="Z211" s="2" t="str">
        <x:v>Technology-specific analytical synthesis. The CTCN hierarchy is retained; classifications and component dependencies require validation against the selected design, site and supplier documentation before investment or policy use.</x:v>
      </x:c>
      <x:c r="AA211" s="2" t="str">
        <x:v>Physical deployment of Blast furnace slag granulation requires industrial site, utilities, fuel and electricity supply, material storage, process buildings, laboratories, waste handling and logistics; interfaces, foundations, access and environmental protection are sized to the specific resource and design load.</x:v>
      </x:c>
      <x:c r="AB211" s="2" t="str">
        <x:v>For Blast furnace slag granulation,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1" s="2" t="str">
        <x:v>Construction and operation use process feedstocks, steel and refractory materials, catalysts, solvents, lubricants, insulation, piping, sensors and technology-specific alloying elements. For Blast furnace slag granulation, specifications must include durability, compatibility, recycled content and recoverability.</x:v>
      </x:c>
      <x:c r="AD211" s="2" t="str">
        <x:v>Maintenance of Blast furnace slag granulation depends on refractory linings, bearings, seals, valves, filters, burners, electrodes, sensors, control modules, lubricants and calibrated instruments; critical spares are selected from failure-mode, lead-time and safety analysis for its installed configuration.</x:v>
      </x:c>
      <x:c r="AE211" s="2" t="str">
        <x:v>The software stack for Blast furnace slag granulation requires databases, secure communications, version-controlled models, computing, backup and interfaces with field or operational systems.</x:v>
      </x:c>
      <x:c r="AF211" s="2" t="str">
        <x:v>For Blast furnace slag granulation, software-related energy is electricity for sensing, computing, storage, communication and cooling; it is normally secondary but must be included for data-intensive or continuous services.</x:v>
      </x:c>
      <x:c r="AG211" s="2" t="str">
        <x:v>The non-physical inputs are calibrated data, metadata, algorithms, boundary conditions, emission or hazard factors, manuals and validation records specific to Blast furnace slag granulation.</x:v>
      </x:c>
      <x:c r="AH211" s="2" t="str">
        <x:v>Software continuity for Blast furnace slag granulation requires licences where applicable, updates, cybersecurity patches, backups, calibration files, model validation and technical support.</x:v>
      </x:c>
      <x:c r="AI211" s="2" t="str">
        <x:v>Orgware depends on the institutions, laboratories, training providers, regulators, operators and community interfaces needed to govern Blast furnace slag granulation.</x:v>
      </x:c>
      <x:c r="AJ211" s="2" t="str">
        <x:v>The orgware supporting Blast furnace slag granulation has mainly indirect energy use from offices, meetings, training and information systems; travel and field supervision may be material at dispersed sites.</x:v>
      </x:c>
      <x:c r="AK211" s="2" t="str">
        <x:v>Its organisational inputs are permits, budgets, trained staff, competence records, contracts, procedures, safeguards, monitoring evidence and stakeholder agreements tailored to Blast furnace slag granulation.</x:v>
      </x:c>
      <x:c r="AL211" s="2" t="str">
        <x:v>Sustained implementation of Blast furnace slag granulation requires procurement and service contracts, audit protocols, training material, reporting templates, insurance or guarantees and periodic independent review.</x:v>
      </x:c>
      <x:c r="AM211" s="2" t="str">
        <x:v>Iron ore / steel inputs; Nickel; Chromium</x:v>
      </x:c>
      <x:c r="AN211" s="2" t="str">
        <x:v>Australia; Brazil; China; Indonesia; Philippines; Russia; South Africa; Kazakhstan; Turkey</x:v>
      </x:c>
      <x:c r="AO211" s="2" t="str">
        <x:v>China; India; Japan; Indonesia; South Africa; Kazakhstan</x:v>
      </x:c>
      <x:c r="AP211" s="2" t="str">
        <x:v>Blast furnace slag granulation: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1" s="2" t="str">
        <x:v>2024–2025</x:v>
      </x:c>
      <x:c r="AR211" s="2" t="str">
        <x:v>https://pubs.usgs.gov/periodicals/mcs2026/mcs2026.pdf; https://www.iea.org/reports/global-critical-minerals-outlook-2025</x:v>
      </x:c>
    </x:row>
    <x:row r="212" ht="240" customHeight="1">
      <x:c r="A212" s="2" t="str">
        <x:v>MIT-0205</x:v>
      </x:c>
      <x:c r="B212" s="2" t="str">
        <x:v>Mitigation</x:v>
      </x:c>
      <x:c r="C212" s="2" t="str">
        <x:v>Industry</x:v>
      </x:c>
      <x:c r="D212" s="2" t="str">
        <x:v>Mining &amp; production</x:v>
      </x:c>
      <x:c r="E212" s="2" t="str">
        <x:v>Direct casting for iron and steel sector</x:v>
      </x:c>
      <x:c r="F212" s="2" t="str">
        <x:v>Direct casting for iron and steel sector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Direct casting for iron and steel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2" s="2" t="str">
        <x:v>Mixed: adaptable design, site-specific implementation</x:v>
      </x:c>
      <x:c r="H212" s="2" t="str">
        <x:v>Direct casting for iron and steel sector is adaptable in capacity and configuration but site-specific in final engineering. Its principle remains the same, but resource quality, climate, scale, interfaces and safety constraints must be recalculated for each deployment.</x:v>
      </x:c>
      <x:c r="I212" s="2" t="str">
        <x:v>Primarily hard, with a soft component</x:v>
      </x:c>
      <x:c r="J212" s="2" t="str">
        <x:v>Direct casting for iron and steel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2" s="2" t="str">
        <x:v>Equipment and operation</x:v>
      </x:c>
      <x:c r="L212" s="2" t="str">
        <x:v>Direct casting for iron and steel sector is embodied mainly as an equipment-and-operation system. The deliverable is accepted only when measurable service, quality, safety and climate-performance criteria are met under real conditions.</x:v>
      </x:c>
      <x:c r="M212" s="2" t="str">
        <x:v>Yes, subject to life-cycle safeguards</x:v>
      </x:c>
      <x:c r="N212" s="2" t="str">
        <x:v>Direct casting for iron and steel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2" s="2" t="str">
        <x:v>Direct casting for iron and steel sector: process reactors or furnaces, heat exchangers, motors and drives, compressors, burners, controls, pollution abatement, material handling and measurement equipment.</x:v>
      </x:c>
      <x:c r="P212" s="2" t="str">
        <x:v>Direct casting for iron and steel sector: process simulation, pinch and heat-integration analysis, advanced control, production scheduling, quality control, energy management and life-cycle assessment.</x:v>
      </x:c>
      <x:c r="Q212" s="2" t="str">
        <x:v>Direct casting for iron and steel sector: industrial permits, product standards, operating procedures, maintenance and competence systems, procurement, energy management and industrial-symbiosis agreements.</x:v>
      </x:c>
      <x:c r="R212" s="2" t="str">
        <x:v>Direct casting for iron and steel sector: industrial site, utilities, fuel and electricity supply, material storage, process buildings, laboratories, waste handling and logistics.</x:v>
      </x:c>
      <x:c r="S212" s="2" t="str">
        <x:v>Direct casting for iron and steel sector: electricity, steam, process heat, cooling and fuels; useful-energy efficiency, heat recovery and carbon intensity of supply determine savings.</x:v>
      </x:c>
      <x:c r="T212" s="2" t="str">
        <x:v>Direct casting for iron and steel sector: process feedstocks, steel and refractory materials, catalysts, solvents, lubricants, insulation, piping, sensors and technology-specific alloying elements.</x:v>
      </x:c>
      <x:c r="U212" s="2" t="str">
        <x:v>Direct casting for iron and steel sector: refractory linings, bearings, seals, valves, filters, burners, electrodes, sensors, control modules, lubricants and calibrated instruments.</x:v>
      </x:c>
      <x:c r="V212" s="2" t="str">
        <x:v>https://www.ctc-n.org/sites/default/files/resources/ctcn_taxonomy_0.pdf</x:v>
      </x:c>
      <x:c r="W212" s="2" t="str">
        <x:v>https://institutoagricoladepueblobello.edu.co/colegiapp/archivostemas/GUIA%209.%5B25%5D.pdf</x:v>
      </x:c>
      <x:c r="X212" s="2" t="str">
        <x:v>https://iiasa.ac.at/what-is-technology</x:v>
      </x:c>
      <x:c r="Y212" s="2" t="str">
        <x:v>https://www.ipcc.ch/report/ar6/wg3/chapter/chapter-11/</x:v>
      </x:c>
      <x:c r="Z212" s="2" t="str">
        <x:v>Technology-specific analytical synthesis. The CTCN hierarchy is retained; classifications and component dependencies require validation against the selected design, site and supplier documentation before investment or policy use.</x:v>
      </x:c>
      <x:c r="AA212" s="2" t="str">
        <x:v>Physical deployment of Direct casting for iron and steel sector requires industrial site, utilities, fuel and electricity supply, material storage, process buildings, laboratories, waste handling and logistics; interfaces, foundations, access and environmental protection are sized to the specific resource and design load.</x:v>
      </x:c>
      <x:c r="AB212" s="2" t="str">
        <x:v>For Direct casting for iron and steel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2" s="2" t="str">
        <x:v>Construction and operation use process feedstocks, steel and refractory materials, catalysts, solvents, lubricants, insulation, piping, sensors and technology-specific alloying elements. For Direct casting for iron and steel sector, specifications must include durability, compatibility, recycled content and recoverability.</x:v>
      </x:c>
      <x:c r="AD212" s="2" t="str">
        <x:v>Maintenance of Direct casting for iron and steel sector depends on refractory linings, bearings, seals, valves, filters, burners, electrodes, sensors, control modules, lubricants and calibrated instruments; critical spares are selected from failure-mode, lead-time and safety analysis for its installed configuration.</x:v>
      </x:c>
      <x:c r="AE212" s="2" t="str">
        <x:v>The software stack for Direct casting for iron and steel sector requires databases, secure communications, version-controlled models, computing, backup and interfaces with field or operational systems.</x:v>
      </x:c>
      <x:c r="AF212" s="2" t="str">
        <x:v>For Direct casting for iron and steel sector, software-related energy is electricity for sensing, computing, storage, communication and cooling; it is normally secondary but must be included for data-intensive or continuous services.</x:v>
      </x:c>
      <x:c r="AG212" s="2" t="str">
        <x:v>The non-physical inputs are calibrated data, metadata, algorithms, boundary conditions, emission or hazard factors, manuals and validation records specific to Direct casting for iron and steel sector.</x:v>
      </x:c>
      <x:c r="AH212" s="2" t="str">
        <x:v>Software continuity for Direct casting for iron and steel sector requires licences where applicable, updates, cybersecurity patches, backups, calibration files, model validation and technical support.</x:v>
      </x:c>
      <x:c r="AI212" s="2" t="str">
        <x:v>Orgware depends on the institutions, laboratories, training providers, regulators, operators and community interfaces needed to govern Direct casting for iron and steel sector.</x:v>
      </x:c>
      <x:c r="AJ212" s="2" t="str">
        <x:v>The orgware supporting Direct casting for iron and steel sector has mainly indirect energy use from offices, meetings, training and information systems; travel and field supervision may be material at dispersed sites.</x:v>
      </x:c>
      <x:c r="AK212" s="2" t="str">
        <x:v>Its organisational inputs are permits, budgets, trained staff, competence records, contracts, procedures, safeguards, monitoring evidence and stakeholder agreements tailored to Direct casting for iron and steel sector.</x:v>
      </x:c>
      <x:c r="AL212" s="2" t="str">
        <x:v>Sustained implementation of Direct casting for iron and steel sector requires procurement and service contracts, audit protocols, training material, reporting templates, insurance or guarantees and periodic independent review.</x:v>
      </x:c>
      <x:c r="AM212" s="2" t="str">
        <x:v>Iron ore / steel inputs; Nickel; Chromium</x:v>
      </x:c>
      <x:c r="AN212" s="2" t="str">
        <x:v>Australia; Brazil; China; Indonesia; Philippines; Russia; South Africa; Kazakhstan; Turkey</x:v>
      </x:c>
      <x:c r="AO212" s="2" t="str">
        <x:v>China; India; Japan; Indonesia; South Africa; Kazakhstan</x:v>
      </x:c>
      <x:c r="AP212" s="2" t="str">
        <x:v>Direct casting for iron and steel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2" s="2" t="str">
        <x:v>2024–2025</x:v>
      </x:c>
      <x:c r="AR212" s="2" t="str">
        <x:v>https://pubs.usgs.gov/periodicals/mcs2026/mcs2026.pdf; https://www.iea.org/reports/global-critical-minerals-outlook-2025</x:v>
      </x:c>
    </x:row>
    <x:row r="213" ht="240" customHeight="1">
      <x:c r="A213" s="2" t="str">
        <x:v>MIT-0206</x:v>
      </x:c>
      <x:c r="B213" s="2" t="str">
        <x:v>Mitigation</x:v>
      </x:c>
      <x:c r="C213" s="2" t="str">
        <x:v>Industry</x:v>
      </x:c>
      <x:c r="D213" s="2" t="str">
        <x:v>Mining &amp; production</x:v>
      </x:c>
      <x:c r="E213" s="2" t="str">
        <x:v>Coke dry quenching for iron and steel sector</x:v>
      </x:c>
      <x:c r="F213" s="2" t="str">
        <x:v>Coke dry quenching for iron and steel sector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Coke dry quenching for iron and steel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3" s="2" t="str">
        <x:v>Mixed: adaptable design, site-specific implementation</x:v>
      </x:c>
      <x:c r="H213" s="2" t="str">
        <x:v>Coke dry quenching for iron and steel sector is adaptable in capacity and configuration but site-specific in final engineering. Its principle remains the same, but resource quality, climate, scale, interfaces and safety constraints must be recalculated for each deployment.</x:v>
      </x:c>
      <x:c r="I213" s="2" t="str">
        <x:v>Primarily hard, with a soft component</x:v>
      </x:c>
      <x:c r="J213" s="2" t="str">
        <x:v>Coke dry quenching for iron and steel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3" s="2" t="str">
        <x:v>Equipment and operation</x:v>
      </x:c>
      <x:c r="L213" s="2" t="str">
        <x:v>Coke dry quenching for iron and steel sector is embodied mainly as an equipment-and-operation system. The deliverable is accepted only when measurable service, quality, safety and climate-performance criteria are met under real conditions.</x:v>
      </x:c>
      <x:c r="M213" s="2" t="str">
        <x:v>Yes, subject to life-cycle safeguards</x:v>
      </x:c>
      <x:c r="N213" s="2" t="str">
        <x:v>Coke dry quenching for iron and steel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3" s="2" t="str">
        <x:v>Coke dry quenching for iron and steel sector: process reactors or furnaces, heat exchangers, motors and drives, compressors, burners, controls, pollution abatement, material handling and measurement equipment.</x:v>
      </x:c>
      <x:c r="P213" s="2" t="str">
        <x:v>Coke dry quenching for iron and steel sector: process simulation, pinch and heat-integration analysis, advanced control, production scheduling, quality control, energy management and life-cycle assessment.</x:v>
      </x:c>
      <x:c r="Q213" s="2" t="str">
        <x:v>Coke dry quenching for iron and steel sector: industrial permits, product standards, operating procedures, maintenance and competence systems, procurement, energy management and industrial-symbiosis agreements.</x:v>
      </x:c>
      <x:c r="R213" s="2" t="str">
        <x:v>Coke dry quenching for iron and steel sector: industrial site, utilities, fuel and electricity supply, material storage, process buildings, laboratories, waste handling and logistics.</x:v>
      </x:c>
      <x:c r="S213" s="2" t="str">
        <x:v>Coke dry quenching for iron and steel sector: electricity, steam, process heat, cooling and fuels; useful-energy efficiency, heat recovery and carbon intensity of supply determine savings.</x:v>
      </x:c>
      <x:c r="T213" s="2" t="str">
        <x:v>Coke dry quenching for iron and steel sector: process feedstocks, steel and refractory materials, catalysts, solvents, lubricants, insulation, piping, sensors and technology-specific alloying elements.</x:v>
      </x:c>
      <x:c r="U213" s="2" t="str">
        <x:v>Coke dry quenching for iron and steel sector: refractory linings, bearings, seals, valves, filters, burners, electrodes, sensors, control modules, lubricants and calibrated instruments.</x:v>
      </x:c>
      <x:c r="V213" s="2" t="str">
        <x:v>https://www.ctc-n.org/sites/default/files/resources/ctcn_taxonomy_0.pdf</x:v>
      </x:c>
      <x:c r="W213" s="2" t="str">
        <x:v>https://institutoagricoladepueblobello.edu.co/colegiapp/archivostemas/GUIA%209.%5B25%5D.pdf</x:v>
      </x:c>
      <x:c r="X213" s="2" t="str">
        <x:v>https://iiasa.ac.at/what-is-technology</x:v>
      </x:c>
      <x:c r="Y213" s="2" t="str">
        <x:v>https://www.ipcc.ch/report/ar6/wg3/chapter/chapter-11/</x:v>
      </x:c>
      <x:c r="Z213" s="2" t="str">
        <x:v>Technology-specific analytical synthesis. The CTCN hierarchy is retained; classifications and component dependencies require validation against the selected design, site and supplier documentation before investment or policy use.</x:v>
      </x:c>
      <x:c r="AA213" s="2" t="str">
        <x:v>Physical deployment of Coke dry quenching for iron and steel sector requires industrial site, utilities, fuel and electricity supply, material storage, process buildings, laboratories, waste handling and logistics; interfaces, foundations, access and environmental protection are sized to the specific resource and design load.</x:v>
      </x:c>
      <x:c r="AB213" s="2" t="str">
        <x:v>For Coke dry quenching for iron and steel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3" s="2" t="str">
        <x:v>Construction and operation use process feedstocks, steel and refractory materials, catalysts, solvents, lubricants, insulation, piping, sensors and technology-specific alloying elements. For Coke dry quenching for iron and steel sector, specifications must include durability, compatibility, recycled content and recoverability.</x:v>
      </x:c>
      <x:c r="AD213" s="2" t="str">
        <x:v>Maintenance of Coke dry quenching for iron and steel sector depends on refractory linings, bearings, seals, valves, filters, burners, electrodes, sensors, control modules, lubricants and calibrated instruments; critical spares are selected from failure-mode, lead-time and safety analysis for its installed configuration.</x:v>
      </x:c>
      <x:c r="AE213" s="2" t="str">
        <x:v>The software stack for Coke dry quenching for iron and steel sector requires databases, secure communications, version-controlled models, computing, backup and interfaces with field or operational systems.</x:v>
      </x:c>
      <x:c r="AF213" s="2" t="str">
        <x:v>For Coke dry quenching for iron and steel sector, software-related energy is electricity for sensing, computing, storage, communication and cooling; it is normally secondary but must be included for data-intensive or continuous services.</x:v>
      </x:c>
      <x:c r="AG213" s="2" t="str">
        <x:v>The non-physical inputs are calibrated data, metadata, algorithms, boundary conditions, emission or hazard factors, manuals and validation records specific to Coke dry quenching for iron and steel sector.</x:v>
      </x:c>
      <x:c r="AH213" s="2" t="str">
        <x:v>Software continuity for Coke dry quenching for iron and steel sector requires licences where applicable, updates, cybersecurity patches, backups, calibration files, model validation and technical support.</x:v>
      </x:c>
      <x:c r="AI213" s="2" t="str">
        <x:v>Orgware depends on the institutions, laboratories, training providers, regulators, operators and community interfaces needed to govern Coke dry quenching for iron and steel sector.</x:v>
      </x:c>
      <x:c r="AJ213" s="2" t="str">
        <x:v>The orgware supporting Coke dry quenching for iron and steel sector has mainly indirect energy use from offices, meetings, training and information systems; travel and field supervision may be material at dispersed sites.</x:v>
      </x:c>
      <x:c r="AK213" s="2" t="str">
        <x:v>Its organisational inputs are permits, budgets, trained staff, competence records, contracts, procedures, safeguards, monitoring evidence and stakeholder agreements tailored to Coke dry quenching for iron and steel sector.</x:v>
      </x:c>
      <x:c r="AL213" s="2" t="str">
        <x:v>Sustained implementation of Coke dry quenching for iron and steel sector requires procurement and service contracts, audit protocols, training material, reporting templates, insurance or guarantees and periodic independent review.</x:v>
      </x:c>
      <x:c r="AM213" s="2" t="str">
        <x:v>Iron ore / steel inputs; Nickel; Chromium</x:v>
      </x:c>
      <x:c r="AN213" s="2" t="str">
        <x:v>Australia; Brazil; China; Indonesia; Philippines; Russia; South Africa; Kazakhstan; Turkey</x:v>
      </x:c>
      <x:c r="AO213" s="2" t="str">
        <x:v>China; India; Japan; Indonesia; South Africa; Kazakhstan</x:v>
      </x:c>
      <x:c r="AP213" s="2" t="str">
        <x:v>Coke dry quenching for iron and steel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3" s="2" t="str">
        <x:v>2024–2025</x:v>
      </x:c>
      <x:c r="AR213" s="2" t="str">
        <x:v>https://pubs.usgs.gov/periodicals/mcs2026/mcs2026.pdf; https://www.iea.org/reports/global-critical-minerals-outlook-2025</x:v>
      </x:c>
    </x:row>
    <x:row r="214" ht="240" customHeight="1">
      <x:c r="A214" s="2" t="str">
        <x:v>MIT-0207</x:v>
      </x:c>
      <x:c r="B214" s="2" t="str">
        <x:v>Mitigation</x:v>
      </x:c>
      <x:c r="C214" s="2" t="str">
        <x:v>Industry</x:v>
      </x:c>
      <x:c r="D214" s="2" t="str">
        <x:v>Mining &amp; production</x:v>
      </x:c>
      <x:c r="E214" s="2" t="str">
        <x:v>Inert anode technology for aluminium smelters</x:v>
      </x:c>
      <x:c r="F214" s="2" t="str">
        <x:v>Inert anode technology for aluminium smelters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Inert anode technology for aluminium smelters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4" s="2" t="str">
        <x:v>Mixed: adaptable design, site-specific implementation</x:v>
      </x:c>
      <x:c r="H214" s="2" t="str">
        <x:v>Inert anode technology for aluminium smelters is adaptable in capacity and configuration but site-specific in final engineering. Its principle remains the same, but resource quality, climate, scale, interfaces and safety constraints must be recalculated for each deployment.</x:v>
      </x:c>
      <x:c r="I214" s="2" t="str">
        <x:v>Primarily hard, with a soft component</x:v>
      </x:c>
      <x:c r="J214" s="2" t="str">
        <x:v>Inert anode technology for aluminium smelters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4" s="2" t="str">
        <x:v>Equipment and operation</x:v>
      </x:c>
      <x:c r="L214" s="2" t="str">
        <x:v>Inert anode technology for aluminium smelters is embodied mainly as an equipment-and-operation system. The deliverable is accepted only when measurable service, quality, safety and climate-performance criteria are met under real conditions.</x:v>
      </x:c>
      <x:c r="M214" s="2" t="str">
        <x:v>Yes, subject to life-cycle safeguards</x:v>
      </x:c>
      <x:c r="N214" s="2" t="str">
        <x:v>Inert anode technology for aluminium smelters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4" s="2" t="str">
        <x:v>Inert anode technology for aluminium smelters: process reactors or furnaces, heat exchangers, motors and drives, compressors, burners, controls, pollution abatement, material handling and measurement equipment.</x:v>
      </x:c>
      <x:c r="P214" s="2" t="str">
        <x:v>Inert anode technology for aluminium smelters: process simulation, pinch and heat-integration analysis, advanced control, production scheduling, quality control, energy management and life-cycle assessment.</x:v>
      </x:c>
      <x:c r="Q214" s="2" t="str">
        <x:v>Inert anode technology for aluminium smelters: industrial permits, product standards, operating procedures, maintenance and competence systems, procurement, energy management and industrial-symbiosis agreements.</x:v>
      </x:c>
      <x:c r="R214" s="2" t="str">
        <x:v>Inert anode technology for aluminium smelters: industrial site, utilities, fuel and electricity supply, material storage, process buildings, laboratories, waste handling and logistics.</x:v>
      </x:c>
      <x:c r="S214" s="2" t="str">
        <x:v>Inert anode technology for aluminium smelters: electricity, steam, process heat, cooling and fuels; useful-energy efficiency, heat recovery and carbon intensity of supply determine savings.</x:v>
      </x:c>
      <x:c r="T214" s="2" t="str">
        <x:v>Inert anode technology for aluminium smelters: process feedstocks, steel and refractory materials, catalysts, solvents, lubricants, insulation, piping, sensors and technology-specific alloying elements.</x:v>
      </x:c>
      <x:c r="U214" s="2" t="str">
        <x:v>Inert anode technology for aluminium smelters: refractory linings, bearings, seals, valves, filters, burners, electrodes, sensors, control modules, lubricants and calibrated instruments.</x:v>
      </x:c>
      <x:c r="V214" s="2" t="str">
        <x:v>https://www.ctc-n.org/sites/default/files/resources/ctcn_taxonomy_0.pdf</x:v>
      </x:c>
      <x:c r="W214" s="2" t="str">
        <x:v>https://institutoagricoladepueblobello.edu.co/colegiapp/archivostemas/GUIA%209.%5B25%5D.pdf</x:v>
      </x:c>
      <x:c r="X214" s="2" t="str">
        <x:v>https://iiasa.ac.at/what-is-technology</x:v>
      </x:c>
      <x:c r="Y214" s="2" t="str">
        <x:v>https://www.ipcc.ch/report/ar6/wg3/chapter/chapter-11/</x:v>
      </x:c>
      <x:c r="Z214" s="2" t="str">
        <x:v>Technology-specific analytical synthesis. The CTCN hierarchy is retained; classifications and component dependencies require validation against the selected design, site and supplier documentation before investment or policy use.</x:v>
      </x:c>
      <x:c r="AA214" s="2" t="str">
        <x:v>Physical deployment of Inert anode technology for aluminium smelters requires industrial site, utilities, fuel and electricity supply, material storage, process buildings, laboratories, waste handling and logistics; interfaces, foundations, access and environmental protection are sized to the specific resource and design load.</x:v>
      </x:c>
      <x:c r="AB214" s="2" t="str">
        <x:v>For Inert anode technology for aluminium smelters,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4" s="2" t="str">
        <x:v>Construction and operation use process feedstocks, steel and refractory materials, catalysts, solvents, lubricants, insulation, piping, sensors and technology-specific alloying elements. For Inert anode technology for aluminium smelters, specifications must include durability, compatibility, recycled content and recoverability.</x:v>
      </x:c>
      <x:c r="AD214" s="2" t="str">
        <x:v>Maintenance of Inert anode technology for aluminium smelters depends on refractory linings, bearings, seals, valves, filters, burners, electrodes, sensors, control modules, lubricants and calibrated instruments; critical spares are selected from failure-mode, lead-time and safety analysis for its installed configuration.</x:v>
      </x:c>
      <x:c r="AE214" s="2" t="str">
        <x:v>The software stack for Inert anode technology for aluminium smelters requires databases, secure communications, version-controlled models, computing, backup and interfaces with field or operational systems.</x:v>
      </x:c>
      <x:c r="AF214" s="2" t="str">
        <x:v>For Inert anode technology for aluminium smelters, software-related energy is electricity for sensing, computing, storage, communication and cooling; it is normally secondary but must be included for data-intensive or continuous services.</x:v>
      </x:c>
      <x:c r="AG214" s="2" t="str">
        <x:v>The non-physical inputs are calibrated data, metadata, algorithms, boundary conditions, emission or hazard factors, manuals and validation records specific to Inert anode technology for aluminium smelters.</x:v>
      </x:c>
      <x:c r="AH214" s="2" t="str">
        <x:v>Software continuity for Inert anode technology for aluminium smelters requires licences where applicable, updates, cybersecurity patches, backups, calibration files, model validation and technical support.</x:v>
      </x:c>
      <x:c r="AI214" s="2" t="str">
        <x:v>Orgware depends on the institutions, laboratories, training providers, regulators, operators and community interfaces needed to govern Inert anode technology for aluminium smelters.</x:v>
      </x:c>
      <x:c r="AJ214" s="2" t="str">
        <x:v>The orgware supporting Inert anode technology for aluminium smelters has mainly indirect energy use from offices, meetings, training and information systems; travel and field supervision may be material at dispersed sites.</x:v>
      </x:c>
      <x:c r="AK214" s="2" t="str">
        <x:v>Its organisational inputs are permits, budgets, trained staff, competence records, contracts, procedures, safeguards, monitoring evidence and stakeholder agreements tailored to Inert anode technology for aluminium smelters.</x:v>
      </x:c>
      <x:c r="AL214" s="2" t="str">
        <x:v>Sustained implementation of Inert anode technology for aluminium smelters requires procurement and service contracts, audit protocols, training material, reporting templates, insurance or guarantees and periodic independent review.</x:v>
      </x:c>
      <x:c r="AM214" s="2" t="str">
        <x:v>Iron ore / steel inputs</x:v>
      </x:c>
      <x:c r="AN214" s="2" t="str">
        <x:v>Australia; Brazil; China</x:v>
      </x:c>
      <x:c r="AO214" s="2" t="str">
        <x:v>China; India; Japan</x:v>
      </x:c>
      <x:c r="AP214" s="2" t="str">
        <x:v>Inert anode technology for aluminium smelters: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4" s="2" t="str">
        <x:v>2024–2025</x:v>
      </x:c>
      <x:c r="AR214" s="2" t="str">
        <x:v>https://pubs.usgs.gov/periodicals/mcs2026/mcs2026.pdf</x:v>
      </x:c>
    </x:row>
    <x:row r="215" ht="240" customHeight="1">
      <x:c r="A215" s="2" t="str">
        <x:v>MIT-0208</x:v>
      </x:c>
      <x:c r="B215" s="2" t="str">
        <x:v>Mitigation</x:v>
      </x:c>
      <x:c r="C215" s="2" t="str">
        <x:v>Industry</x:v>
      </x:c>
      <x:c r="D215" s="2" t="str">
        <x:v>Mining &amp; production</x:v>
      </x:c>
      <x:c r="E215" s="2" t="str">
        <x:v>Iron &amp; steel processing</x:v>
      </x:c>
      <x:c r="F215" s="2" t="str">
        <x:v>Iron &amp; steel processing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Iron &amp; steel processing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5" s="2" t="str">
        <x:v>Mixed: adaptable design, site-specific implementation</x:v>
      </x:c>
      <x:c r="H215" s="2" t="str">
        <x:v>Iron &amp; steel processing is adaptable in capacity and configuration but site-specific in final engineering. Its principle remains the same, but resource quality, climate, scale, interfaces and safety constraints must be recalculated for each deployment.</x:v>
      </x:c>
      <x:c r="I215" s="2" t="str">
        <x:v>Primarily hard, with a soft component</x:v>
      </x:c>
      <x:c r="J215" s="2" t="str">
        <x:v>Iron &amp; steel processing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5" s="2" t="str">
        <x:v>Equipment and operation</x:v>
      </x:c>
      <x:c r="L215" s="2" t="str">
        <x:v>Iron &amp; steel processing is embodied mainly as an equipment-and-operation system. The deliverable is accepted only when measurable service, quality, safety and climate-performance criteria are met under real conditions.</x:v>
      </x:c>
      <x:c r="M215" s="2" t="str">
        <x:v>Yes, subject to life-cycle safeguards</x:v>
      </x:c>
      <x:c r="N215" s="2" t="str">
        <x:v>Iron &amp; steel processing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5" s="2" t="str">
        <x:v>Iron &amp; steel processing: process reactors or furnaces, heat exchangers, motors and drives, compressors, burners, controls, pollution abatement, material handling and measurement equipment.</x:v>
      </x:c>
      <x:c r="P215" s="2" t="str">
        <x:v>Iron &amp; steel processing: process simulation, pinch and heat-integration analysis, advanced control, production scheduling, quality control, energy management and life-cycle assessment.</x:v>
      </x:c>
      <x:c r="Q215" s="2" t="str">
        <x:v>Iron &amp; steel processing: industrial permits, product standards, operating procedures, maintenance and competence systems, procurement, energy management and industrial-symbiosis agreements.</x:v>
      </x:c>
      <x:c r="R215" s="2" t="str">
        <x:v>Iron &amp; steel processing: industrial site, utilities, fuel and electricity supply, material storage, process buildings, laboratories, waste handling and logistics.</x:v>
      </x:c>
      <x:c r="S215" s="2" t="str">
        <x:v>Iron &amp; steel processing: electricity, steam, process heat, cooling and fuels; useful-energy efficiency, heat recovery and carbon intensity of supply determine savings.</x:v>
      </x:c>
      <x:c r="T215" s="2" t="str">
        <x:v>Iron &amp; steel processing: process feedstocks, steel and refractory materials, catalysts, solvents, lubricants, insulation, piping, sensors and technology-specific alloying elements.</x:v>
      </x:c>
      <x:c r="U215" s="2" t="str">
        <x:v>Iron &amp; steel processing: refractory linings, bearings, seals, valves, filters, burners, electrodes, sensors, control modules, lubricants and calibrated instruments.</x:v>
      </x:c>
      <x:c r="V215" s="2" t="str">
        <x:v>https://www.ctc-n.org/sites/default/files/resources/ctcn_taxonomy_0.pdf</x:v>
      </x:c>
      <x:c r="W215" s="2" t="str">
        <x:v>https://institutoagricoladepueblobello.edu.co/colegiapp/archivostemas/GUIA%209.%5B25%5D.pdf</x:v>
      </x:c>
      <x:c r="X215" s="2" t="str">
        <x:v>https://iiasa.ac.at/what-is-technology</x:v>
      </x:c>
      <x:c r="Y215" s="2" t="str">
        <x:v>https://www.ipcc.ch/report/ar6/wg3/chapter/chapter-11/</x:v>
      </x:c>
      <x:c r="Z215" s="2" t="str">
        <x:v>Technology-specific analytical synthesis. The CTCN hierarchy is retained; classifications and component dependencies require validation against the selected design, site and supplier documentation before investment or policy use.</x:v>
      </x:c>
      <x:c r="AA215" s="2" t="str">
        <x:v>Physical deployment of Iron &amp; steel processing requires industrial site, utilities, fuel and electricity supply, material storage, process buildings, laboratories, waste handling and logistics; interfaces, foundations, access and environmental protection are sized to the specific resource and design load.</x:v>
      </x:c>
      <x:c r="AB215" s="2" t="str">
        <x:v>For Iron &amp; steel processing,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5" s="2" t="str">
        <x:v>Construction and operation use process feedstocks, steel and refractory materials, catalysts, solvents, lubricants, insulation, piping, sensors and technology-specific alloying elements. For Iron &amp; steel processing, specifications must include durability, compatibility, recycled content and recoverability.</x:v>
      </x:c>
      <x:c r="AD215" s="2" t="str">
        <x:v>Maintenance of Iron &amp; steel processing depends on refractory linings, bearings, seals, valves, filters, burners, electrodes, sensors, control modules, lubricants and calibrated instruments; critical spares are selected from failure-mode, lead-time and safety analysis for its installed configuration.</x:v>
      </x:c>
      <x:c r="AE215" s="2" t="str">
        <x:v>The software stack for Iron &amp; steel processing requires databases, secure communications, version-controlled models, computing, backup and interfaces with field or operational systems.</x:v>
      </x:c>
      <x:c r="AF215" s="2" t="str">
        <x:v>For Iron &amp; steel processing, software-related energy is electricity for sensing, computing, storage, communication and cooling; it is normally secondary but must be included for data-intensive or continuous services.</x:v>
      </x:c>
      <x:c r="AG215" s="2" t="str">
        <x:v>The non-physical inputs are calibrated data, metadata, algorithms, boundary conditions, emission or hazard factors, manuals and validation records specific to Iron &amp; steel processing.</x:v>
      </x:c>
      <x:c r="AH215" s="2" t="str">
        <x:v>Software continuity for Iron &amp; steel processing requires licences where applicable, updates, cybersecurity patches, backups, calibration files, model validation and technical support.</x:v>
      </x:c>
      <x:c r="AI215" s="2" t="str">
        <x:v>Orgware depends on the institutions, laboratories, training providers, regulators, operators and community interfaces needed to govern Iron &amp; steel processing.</x:v>
      </x:c>
      <x:c r="AJ215" s="2" t="str">
        <x:v>The orgware supporting Iron &amp; steel processing has mainly indirect energy use from offices, meetings, training and information systems; travel and field supervision may be material at dispersed sites.</x:v>
      </x:c>
      <x:c r="AK215" s="2" t="str">
        <x:v>Its organisational inputs are permits, budgets, trained staff, competence records, contracts, procedures, safeguards, monitoring evidence and stakeholder agreements tailored to Iron &amp; steel processing.</x:v>
      </x:c>
      <x:c r="AL215" s="2" t="str">
        <x:v>Sustained implementation of Iron &amp; steel processing requires procurement and service contracts, audit protocols, training material, reporting templates, insurance or guarantees and periodic independent review.</x:v>
      </x:c>
      <x:c r="AM215" s="2" t="str">
        <x:v>Iron ore / steel inputs; Nickel; Chromium</x:v>
      </x:c>
      <x:c r="AN215" s="2" t="str">
        <x:v>Australia; Brazil; China; Indonesia; Philippines; Russia; South Africa; Kazakhstan; Turkey</x:v>
      </x:c>
      <x:c r="AO215" s="2" t="str">
        <x:v>China; India; Japan; Indonesia; South Africa; Kazakhstan</x:v>
      </x:c>
      <x:c r="AP215" s="2" t="str">
        <x:v>Iron &amp; steel processing: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5" s="2" t="str">
        <x:v>2024–2025</x:v>
      </x:c>
      <x:c r="AR215" s="2" t="str">
        <x:v>https://pubs.usgs.gov/periodicals/mcs2026/mcs2026.pdf; https://www.iea.org/reports/global-critical-minerals-outlook-2025</x:v>
      </x:c>
    </x:row>
    <x:row r="216" ht="240" customHeight="1">
      <x:c r="A216" s="2" t="str">
        <x:v>MIT-0209</x:v>
      </x:c>
      <x:c r="B216" s="2" t="str">
        <x:v>Mitigation</x:v>
      </x:c>
      <x:c r="C216" s="2" t="str">
        <x:v>Industry</x:v>
      </x:c>
      <x:c r="D216" s="2" t="str">
        <x:v>Mining &amp; production</x:v>
      </x:c>
      <x:c r="E216" s="2" t="str">
        <x:v>Aluminium industry</x:v>
      </x:c>
      <x:c r="F216" s="2" t="str">
        <x:v>Aluminium industry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Aluminium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6" s="2" t="str">
        <x:v>Mixed: adaptable design, site-specific implementation</x:v>
      </x:c>
      <x:c r="H216" s="2" t="str">
        <x:v>Aluminium industry is adaptable in capacity and configuration but site-specific in final engineering. Its principle remains the same, but resource quality, climate, scale, interfaces and safety constraints must be recalculated for each deployment.</x:v>
      </x:c>
      <x:c r="I216" s="2" t="str">
        <x:v>Primarily hard, with a soft component</x:v>
      </x:c>
      <x:c r="J216" s="2" t="str">
        <x:v>Aluminium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6" s="2" t="str">
        <x:v>Equipment and operation</x:v>
      </x:c>
      <x:c r="L216" s="2" t="str">
        <x:v>Aluminium industry is embodied mainly as an equipment-and-operation system. The deliverable is accepted only when measurable service, quality, safety and climate-performance criteria are met under real conditions.</x:v>
      </x:c>
      <x:c r="M216" s="2" t="str">
        <x:v>Yes, subject to life-cycle safeguards</x:v>
      </x:c>
      <x:c r="N216" s="2" t="str">
        <x:v>Aluminium industry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6" s="2" t="str">
        <x:v>Aluminium industry: process reactors or furnaces, heat exchangers, motors and drives, compressors, burners, controls, pollution abatement, material handling and measurement equipment.</x:v>
      </x:c>
      <x:c r="P216" s="2" t="str">
        <x:v>Aluminium industry: process simulation, pinch and heat-integration analysis, advanced control, production scheduling, quality control, energy management and life-cycle assessment.</x:v>
      </x:c>
      <x:c r="Q216" s="2" t="str">
        <x:v>Aluminium industry: industrial permits, product standards, operating procedures, maintenance and competence systems, procurement, energy management and industrial-symbiosis agreements.</x:v>
      </x:c>
      <x:c r="R216" s="2" t="str">
        <x:v>Aluminium industry: industrial site, utilities, fuel and electricity supply, material storage, process buildings, laboratories, waste handling and logistics.</x:v>
      </x:c>
      <x:c r="S216" s="2" t="str">
        <x:v>Aluminium industry: electricity, steam, process heat, cooling and fuels; useful-energy efficiency, heat recovery and carbon intensity of supply determine savings.</x:v>
      </x:c>
      <x:c r="T216" s="2" t="str">
        <x:v>Aluminium industry: process feedstocks, steel and refractory materials, catalysts, solvents, lubricants, insulation, piping, sensors and technology-specific alloying elements.</x:v>
      </x:c>
      <x:c r="U216" s="2" t="str">
        <x:v>Aluminium industry: refractory linings, bearings, seals, valves, filters, burners, electrodes, sensors, control modules, lubricants and calibrated instruments.</x:v>
      </x:c>
      <x:c r="V216" s="2" t="str">
        <x:v>https://www.ctc-n.org/sites/default/files/resources/ctcn_taxonomy_0.pdf</x:v>
      </x:c>
      <x:c r="W216" s="2" t="str">
        <x:v>https://institutoagricoladepueblobello.edu.co/colegiapp/archivostemas/GUIA%209.%5B25%5D.pdf</x:v>
      </x:c>
      <x:c r="X216" s="2" t="str">
        <x:v>https://iiasa.ac.at/what-is-technology</x:v>
      </x:c>
      <x:c r="Y216" s="2" t="str">
        <x:v>https://www.ipcc.ch/report/ar6/wg3/chapter/chapter-11/</x:v>
      </x:c>
      <x:c r="Z216" s="2" t="str">
        <x:v>Technology-specific analytical synthesis. The CTCN hierarchy is retained; classifications and component dependencies require validation against the selected design, site and supplier documentation before investment or policy use.</x:v>
      </x:c>
      <x:c r="AA216" s="2" t="str">
        <x:v>Physical deployment of Aluminium industry requires industrial site, utilities, fuel and electricity supply, material storage, process buildings, laboratories, waste handling and logistics; interfaces, foundations, access and environmental protection are sized to the specific resource and design load.</x:v>
      </x:c>
      <x:c r="AB216" s="2" t="str">
        <x:v>For Aluminium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6" s="2" t="str">
        <x:v>Construction and operation use process feedstocks, steel and refractory materials, catalysts, solvents, lubricants, insulation, piping, sensors and technology-specific alloying elements. For Aluminium industry, specifications must include durability, compatibility, recycled content and recoverability.</x:v>
      </x:c>
      <x:c r="AD216" s="2" t="str">
        <x:v>Maintenance of Aluminium industry depends on refractory linings, bearings, seals, valves, filters, burners, electrodes, sensors, control modules, lubricants and calibrated instruments; critical spares are selected from failure-mode, lead-time and safety analysis for its installed configuration.</x:v>
      </x:c>
      <x:c r="AE216" s="2" t="str">
        <x:v>The software stack for Aluminium industry requires databases, secure communications, version-controlled models, computing, backup and interfaces with field or operational systems.</x:v>
      </x:c>
      <x:c r="AF216" s="2" t="str">
        <x:v>For Aluminium industry, software-related energy is electricity for sensing, computing, storage, communication and cooling; it is normally secondary but must be included for data-intensive or continuous services.</x:v>
      </x:c>
      <x:c r="AG216" s="2" t="str">
        <x:v>The non-physical inputs are calibrated data, metadata, algorithms, boundary conditions, emission or hazard factors, manuals and validation records specific to Aluminium industry.</x:v>
      </x:c>
      <x:c r="AH216" s="2" t="str">
        <x:v>Software continuity for Aluminium industry requires licences where applicable, updates, cybersecurity patches, backups, calibration files, model validation and technical support.</x:v>
      </x:c>
      <x:c r="AI216" s="2" t="str">
        <x:v>Orgware depends on the institutions, laboratories, training providers, regulators, operators and community interfaces needed to govern Aluminium industry.</x:v>
      </x:c>
      <x:c r="AJ216" s="2" t="str">
        <x:v>The orgware supporting Aluminium industry has mainly indirect energy use from offices, meetings, training and information systems; travel and field supervision may be material at dispersed sites.</x:v>
      </x:c>
      <x:c r="AK216" s="2" t="str">
        <x:v>Its organisational inputs are permits, budgets, trained staff, competence records, contracts, procedures, safeguards, monitoring evidence and stakeholder agreements tailored to Aluminium industry.</x:v>
      </x:c>
      <x:c r="AL216" s="2" t="str">
        <x:v>Sustained implementation of Aluminium industry requires procurement and service contracts, audit protocols, training material, reporting templates, insurance or guarantees and periodic independent review.</x:v>
      </x:c>
      <x:c r="AM216" s="2" t="str">
        <x:v>Iron ore / steel inputs</x:v>
      </x:c>
      <x:c r="AN216" s="2" t="str">
        <x:v>Australia; Brazil; China</x:v>
      </x:c>
      <x:c r="AO216" s="2" t="str">
        <x:v>China; India; Japan</x:v>
      </x:c>
      <x:c r="AP216" s="2" t="str">
        <x:v>Aluminium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6" s="2" t="str">
        <x:v>2024–2025</x:v>
      </x:c>
      <x:c r="AR216" s="2" t="str">
        <x:v>https://pubs.usgs.gov/periodicals/mcs2026/mcs2026.pdf</x:v>
      </x:c>
    </x:row>
    <x:row r="217" ht="240" customHeight="1">
      <x:c r="A217" s="2" t="str">
        <x:v>MIT-0210</x:v>
      </x:c>
      <x:c r="B217" s="2" t="str">
        <x:v>Mitigation</x:v>
      </x:c>
      <x:c r="C217" s="2" t="str">
        <x:v>Industry</x:v>
      </x:c>
      <x:c r="D217" s="2" t="str">
        <x:v>Mining &amp; production</x:v>
      </x:c>
      <x:c r="E217" s="2" t="str">
        <x:v>Scrap preheating for iron and steel</x:v>
      </x:c>
      <x:c r="F217" s="2" t="str">
        <x:v>Scrap preheating for iron and steel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Scrap preheating for iron and steel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7" s="2" t="str">
        <x:v>Mixed: adaptable design, site-specific implementation</x:v>
      </x:c>
      <x:c r="H217" s="2" t="str">
        <x:v>Scrap preheating for iron and steel is adaptable in capacity and configuration but site-specific in final engineering. Its principle remains the same, but resource quality, climate, scale, interfaces and safety constraints must be recalculated for each deployment.</x:v>
      </x:c>
      <x:c r="I217" s="2" t="str">
        <x:v>Primarily hard, with a soft component</x:v>
      </x:c>
      <x:c r="J217" s="2" t="str">
        <x:v>Scrap preheating for iron and steel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7" s="2" t="str">
        <x:v>Equipment and operation</x:v>
      </x:c>
      <x:c r="L217" s="2" t="str">
        <x:v>Scrap preheating for iron and steel is embodied mainly as an equipment-and-operation system. The deliverable is accepted only when measurable service, quality, safety and climate-performance criteria are met under real conditions.</x:v>
      </x:c>
      <x:c r="M217" s="2" t="str">
        <x:v>Yes, subject to life-cycle safeguards</x:v>
      </x:c>
      <x:c r="N217" s="2" t="str">
        <x:v>Scrap preheating for iron and steel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7" s="2" t="str">
        <x:v>Scrap preheating for iron and steel: process reactors or furnaces, heat exchangers, motors and drives, compressors, burners, controls, pollution abatement, material handling and measurement equipment.</x:v>
      </x:c>
      <x:c r="P217" s="2" t="str">
        <x:v>Scrap preheating for iron and steel: process simulation, pinch and heat-integration analysis, advanced control, production scheduling, quality control, energy management and life-cycle assessment.</x:v>
      </x:c>
      <x:c r="Q217" s="2" t="str">
        <x:v>Scrap preheating for iron and steel: industrial permits, product standards, operating procedures, maintenance and competence systems, procurement, energy management and industrial-symbiosis agreements.</x:v>
      </x:c>
      <x:c r="R217" s="2" t="str">
        <x:v>Scrap preheating for iron and steel: industrial site, utilities, fuel and electricity supply, material storage, process buildings, laboratories, waste handling and logistics.</x:v>
      </x:c>
      <x:c r="S217" s="2" t="str">
        <x:v>Scrap preheating for iron and steel: electricity, steam, process heat, cooling and fuels; useful-energy efficiency, heat recovery and carbon intensity of supply determine savings.</x:v>
      </x:c>
      <x:c r="T217" s="2" t="str">
        <x:v>Scrap preheating for iron and steel: process feedstocks, steel and refractory materials, catalysts, solvents, lubricants, insulation, piping, sensors and technology-specific alloying elements.</x:v>
      </x:c>
      <x:c r="U217" s="2" t="str">
        <x:v>Scrap preheating for iron and steel: refractory linings, bearings, seals, valves, filters, burners, electrodes, sensors, control modules, lubricants and calibrated instruments.</x:v>
      </x:c>
      <x:c r="V217" s="2" t="str">
        <x:v>https://www.ctc-n.org/sites/default/files/resources/ctcn_taxonomy_0.pdf</x:v>
      </x:c>
      <x:c r="W217" s="2" t="str">
        <x:v>https://institutoagricoladepueblobello.edu.co/colegiapp/archivostemas/GUIA%209.%5B25%5D.pdf</x:v>
      </x:c>
      <x:c r="X217" s="2" t="str">
        <x:v>https://iiasa.ac.at/what-is-technology</x:v>
      </x:c>
      <x:c r="Y217" s="2" t="str">
        <x:v>https://www.ipcc.ch/report/ar6/wg3/chapter/chapter-11/</x:v>
      </x:c>
      <x:c r="Z217" s="2" t="str">
        <x:v>Technology-specific analytical synthesis. The CTCN hierarchy is retained; classifications and component dependencies require validation against the selected design, site and supplier documentation before investment or policy use.</x:v>
      </x:c>
      <x:c r="AA217" s="2" t="str">
        <x:v>Physical deployment of Scrap preheating for iron and steel requires industrial site, utilities, fuel and electricity supply, material storage, process buildings, laboratories, waste handling and logistics; interfaces, foundations, access and environmental protection are sized to the specific resource and design load.</x:v>
      </x:c>
      <x:c r="AB217" s="2" t="str">
        <x:v>For Scrap preheating for iron and steel,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7" s="2" t="str">
        <x:v>Construction and operation use process feedstocks, steel and refractory materials, catalysts, solvents, lubricants, insulation, piping, sensors and technology-specific alloying elements. For Scrap preheating for iron and steel, specifications must include durability, compatibility, recycled content and recoverability.</x:v>
      </x:c>
      <x:c r="AD217" s="2" t="str">
        <x:v>Maintenance of Scrap preheating for iron and steel depends on refractory linings, bearings, seals, valves, filters, burners, electrodes, sensors, control modules, lubricants and calibrated instruments; critical spares are selected from failure-mode, lead-time and safety analysis for its installed configuration.</x:v>
      </x:c>
      <x:c r="AE217" s="2" t="str">
        <x:v>The software stack for Scrap preheating for iron and steel requires databases, secure communications, version-controlled models, computing, backup and interfaces with field or operational systems.</x:v>
      </x:c>
      <x:c r="AF217" s="2" t="str">
        <x:v>For Scrap preheating for iron and steel, software-related energy is electricity for sensing, computing, storage, communication and cooling; it is normally secondary but must be included for data-intensive or continuous services.</x:v>
      </x:c>
      <x:c r="AG217" s="2" t="str">
        <x:v>The non-physical inputs are calibrated data, metadata, algorithms, boundary conditions, emission or hazard factors, manuals and validation records specific to Scrap preheating for iron and steel.</x:v>
      </x:c>
      <x:c r="AH217" s="2" t="str">
        <x:v>Software continuity for Scrap preheating for iron and steel requires licences where applicable, updates, cybersecurity patches, backups, calibration files, model validation and technical support.</x:v>
      </x:c>
      <x:c r="AI217" s="2" t="str">
        <x:v>Orgware depends on the institutions, laboratories, training providers, regulators, operators and community interfaces needed to govern Scrap preheating for iron and steel.</x:v>
      </x:c>
      <x:c r="AJ217" s="2" t="str">
        <x:v>The orgware supporting Scrap preheating for iron and steel has mainly indirect energy use from offices, meetings, training and information systems; travel and field supervision may be material at dispersed sites.</x:v>
      </x:c>
      <x:c r="AK217" s="2" t="str">
        <x:v>Its organisational inputs are permits, budgets, trained staff, competence records, contracts, procedures, safeguards, monitoring evidence and stakeholder agreements tailored to Scrap preheating for iron and steel.</x:v>
      </x:c>
      <x:c r="AL217" s="2" t="str">
        <x:v>Sustained implementation of Scrap preheating for iron and steel requires procurement and service contracts, audit protocols, training material, reporting templates, insurance or guarantees and periodic independent review.</x:v>
      </x:c>
      <x:c r="AM217" s="2" t="str">
        <x:v>Iron ore / steel inputs; Nickel; Chromium</x:v>
      </x:c>
      <x:c r="AN217" s="2" t="str">
        <x:v>Australia; Brazil; China; Indonesia; Philippines; Russia; South Africa; Kazakhstan; Turkey</x:v>
      </x:c>
      <x:c r="AO217" s="2" t="str">
        <x:v>China; India; Japan; Indonesia; South Africa; Kazakhstan</x:v>
      </x:c>
      <x:c r="AP217" s="2" t="str">
        <x:v>Scrap preheating for iron and steel: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7" s="2" t="str">
        <x:v>2024–2025</x:v>
      </x:c>
      <x:c r="AR217" s="2" t="str">
        <x:v>https://pubs.usgs.gov/periodicals/mcs2026/mcs2026.pdf; https://www.iea.org/reports/global-critical-minerals-outlook-2025</x:v>
      </x:c>
    </x:row>
    <x:row r="218" ht="240" customHeight="1">
      <x:c r="A218" s="2" t="str">
        <x:v>MIT-0211</x:v>
      </x:c>
      <x:c r="B218" s="2" t="str">
        <x:v>Mitigation</x:v>
      </x:c>
      <x:c r="C218" s="2" t="str">
        <x:v>Industry</x:v>
      </x:c>
      <x:c r="D218" s="2" t="str">
        <x:v>Mining &amp; production</x:v>
      </x:c>
      <x:c r="E218" s="2" t="str">
        <x:v>Improved efficiency in mining and resource extraction</x:v>
      </x:c>
      <x:c r="F218" s="2" t="str">
        <x:v>Improved efficiency in mining and resource extraction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Improved efficiency in mining and resource extraction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8" s="2" t="str">
        <x:v>Mixed: adaptable design, site-specific implementation</x:v>
      </x:c>
      <x:c r="H218" s="2" t="str">
        <x:v>Improved efficiency in mining and resource extraction is adaptable in capacity and configuration but site-specific in final engineering. Its principle remains the same, but resource quality, climate, scale, interfaces and safety constraints must be recalculated for each deployment.</x:v>
      </x:c>
      <x:c r="I218" s="2" t="str">
        <x:v>Primarily hard, with a soft component</x:v>
      </x:c>
      <x:c r="J218" s="2" t="str">
        <x:v>Improved efficiency in mining and resource extraction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8" s="2" t="str">
        <x:v>Equipment and operation</x:v>
      </x:c>
      <x:c r="L218" s="2" t="str">
        <x:v>Improved efficiency in mining and resource extraction is embodied mainly as an equipment-and-operation system. The deliverable is accepted only when measurable service, quality, safety and climate-performance criteria are met under real conditions.</x:v>
      </x:c>
      <x:c r="M218" s="2" t="str">
        <x:v>Yes, subject to life-cycle safeguards</x:v>
      </x:c>
      <x:c r="N218" s="2" t="str">
        <x:v>Improved efficiency in mining and resource extraction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8" s="2" t="str">
        <x:v>Improved efficiency in mining and resource extraction: process reactors or furnaces, heat exchangers, motors and drives, compressors, burners, controls, pollution abatement, material handling and measurement equipment.</x:v>
      </x:c>
      <x:c r="P218" s="2" t="str">
        <x:v>Improved efficiency in mining and resource extraction: process simulation, pinch and heat-integration analysis, advanced control, production scheduling, quality control, energy management and life-cycle assessment.</x:v>
      </x:c>
      <x:c r="Q218" s="2" t="str">
        <x:v>Improved efficiency in mining and resource extraction: industrial permits, product standards, operating procedures, maintenance and competence systems, procurement, energy management and industrial-symbiosis agreements.</x:v>
      </x:c>
      <x:c r="R218" s="2" t="str">
        <x:v>Improved efficiency in mining and resource extraction: industrial site, utilities, fuel and electricity supply, material storage, process buildings, laboratories, waste handling and logistics.</x:v>
      </x:c>
      <x:c r="S218" s="2" t="str">
        <x:v>Improved efficiency in mining and resource extraction: electricity, steam, process heat, cooling and fuels; useful-energy efficiency, heat recovery and carbon intensity of supply determine savings.</x:v>
      </x:c>
      <x:c r="T218" s="2" t="str">
        <x:v>Improved efficiency in mining and resource extraction: process feedstocks, steel and refractory materials, catalysts, solvents, lubricants, insulation, piping, sensors and technology-specific alloying elements.</x:v>
      </x:c>
      <x:c r="U218" s="2" t="str">
        <x:v>Improved efficiency in mining and resource extraction: refractory linings, bearings, seals, valves, filters, burners, electrodes, sensors, control modules, lubricants and calibrated instruments.</x:v>
      </x:c>
      <x:c r="V218" s="2" t="str">
        <x:v>https://www.ctc-n.org/sites/default/files/resources/ctcn_taxonomy_0.pdf</x:v>
      </x:c>
      <x:c r="W218" s="2" t="str">
        <x:v>https://institutoagricoladepueblobello.edu.co/colegiapp/archivostemas/GUIA%209.%5B25%5D.pdf</x:v>
      </x:c>
      <x:c r="X218" s="2" t="str">
        <x:v>https://iiasa.ac.at/what-is-technology</x:v>
      </x:c>
      <x:c r="Y218" s="2" t="str">
        <x:v>https://www.ipcc.ch/report/ar6/wg3/chapter/chapter-11/</x:v>
      </x:c>
      <x:c r="Z218" s="2" t="str">
        <x:v>Technology-specific analytical synthesis. The CTCN hierarchy is retained; classifications and component dependencies require validation against the selected design, site and supplier documentation before investment or policy use.</x:v>
      </x:c>
      <x:c r="AA218" s="2" t="str">
        <x:v>Physical deployment of Improved efficiency in mining and resource extraction requires industrial site, utilities, fuel and electricity supply, material storage, process buildings, laboratories, waste handling and logistics; interfaces, foundations, access and environmental protection are sized to the specific resource and design load.</x:v>
      </x:c>
      <x:c r="AB218" s="2" t="str">
        <x:v>For Improved efficiency in mining and resource extraction,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8" s="2" t="str">
        <x:v>Construction and operation use process feedstocks, steel and refractory materials, catalysts, solvents, lubricants, insulation, piping, sensors and technology-specific alloying elements. For Improved efficiency in mining and resource extraction, specifications must include durability, compatibility, recycled content and recoverability.</x:v>
      </x:c>
      <x:c r="AD218" s="2" t="str">
        <x:v>Maintenance of Improved efficiency in mining and resource extraction depends on refractory linings, bearings, seals, valves, filters, burners, electrodes, sensors, control modules, lubricants and calibrated instruments; critical spares are selected from failure-mode, lead-time and safety analysis for its installed configuration.</x:v>
      </x:c>
      <x:c r="AE218" s="2" t="str">
        <x:v>The software stack for Improved efficiency in mining and resource extraction requires databases, secure communications, version-controlled models, computing, backup and interfaces with field or operational systems.</x:v>
      </x:c>
      <x:c r="AF218" s="2" t="str">
        <x:v>For Improved efficiency in mining and resource extraction, software-related energy is electricity for sensing, computing, storage, communication and cooling; it is normally secondary but must be included for data-intensive or continuous services.</x:v>
      </x:c>
      <x:c r="AG218" s="2" t="str">
        <x:v>The non-physical inputs are calibrated data, metadata, algorithms, boundary conditions, emission or hazard factors, manuals and validation records specific to Improved efficiency in mining and resource extraction.</x:v>
      </x:c>
      <x:c r="AH218" s="2" t="str">
        <x:v>Software continuity for Improved efficiency in mining and resource extraction requires licences where applicable, updates, cybersecurity patches, backups, calibration files, model validation and technical support.</x:v>
      </x:c>
      <x:c r="AI218" s="2" t="str">
        <x:v>Orgware depends on the institutions, laboratories, training providers, regulators, operators and community interfaces needed to govern Improved efficiency in mining and resource extraction.</x:v>
      </x:c>
      <x:c r="AJ218" s="2" t="str">
        <x:v>The orgware supporting Improved efficiency in mining and resource extraction has mainly indirect energy use from offices, meetings, training and information systems; travel and field supervision may be material at dispersed sites.</x:v>
      </x:c>
      <x:c r="AK218" s="2" t="str">
        <x:v>Its organisational inputs are permits, budgets, trained staff, competence records, contracts, procedures, safeguards, monitoring evidence and stakeholder agreements tailored to Improved efficiency in mining and resource extraction.</x:v>
      </x:c>
      <x:c r="AL218" s="2" t="str">
        <x:v>Sustained implementation of Improved efficiency in mining and resource extraction requires procurement and service contracts, audit protocols, training material, reporting templates, insurance or guarantees and periodic independent review.</x:v>
      </x:c>
      <x:c r="AM218" s="2" t="str">
        <x:v>Iron ore / steel inputs</x:v>
      </x:c>
      <x:c r="AN218" s="2" t="str">
        <x:v>Australia; Brazil; China</x:v>
      </x:c>
      <x:c r="AO218" s="2" t="str">
        <x:v>China; India; Japan</x:v>
      </x:c>
      <x:c r="AP218" s="2" t="str">
        <x:v>Improved efficiency in mining and resource extraction: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8" s="2" t="str">
        <x:v>2024–2025</x:v>
      </x:c>
      <x:c r="AR218" s="2" t="str">
        <x:v>https://pubs.usgs.gov/periodicals/mcs2026/mcs2026.pdf</x:v>
      </x:c>
    </x:row>
    <x:row r="219" ht="240" customHeight="1">
      <x:c r="A219" s="2" t="str">
        <x:v>MIT-0212</x:v>
      </x:c>
      <x:c r="B219" s="2" t="str">
        <x:v>Mitigation</x:v>
      </x:c>
      <x:c r="C219" s="2" t="str">
        <x:v>Industry</x:v>
      </x:c>
      <x:c r="D219" s="2" t="str">
        <x:v>Mining &amp; production</x:v>
      </x:c>
      <x:c r="E219" s="2" t="str">
        <x:v>Smelt reduction for iron and steel sector</x:v>
      </x:c>
      <x:c r="F219" s="2" t="str">
        <x:v>Smelt reduction for iron and steel sector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Smelt reduction for iron and steel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19" s="2" t="str">
        <x:v>Mixed: adaptable design, site-specific implementation</x:v>
      </x:c>
      <x:c r="H219" s="2" t="str">
        <x:v>Smelt reduction for iron and steel sector is adaptable in capacity and configuration but site-specific in final engineering. Its principle remains the same, but resource quality, climate, scale, interfaces and safety constraints must be recalculated for each deployment.</x:v>
      </x:c>
      <x:c r="I219" s="2" t="str">
        <x:v>Primarily hard, with a soft component</x:v>
      </x:c>
      <x:c r="J219" s="2" t="str">
        <x:v>Smelt reduction for iron and steel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19" s="2" t="str">
        <x:v>Equipment and operation</x:v>
      </x:c>
      <x:c r="L219" s="2" t="str">
        <x:v>Smelt reduction for iron and steel sector is embodied mainly as an equipment-and-operation system. The deliverable is accepted only when measurable service, quality, safety and climate-performance criteria are met under real conditions.</x:v>
      </x:c>
      <x:c r="M219" s="2" t="str">
        <x:v>Yes, subject to life-cycle safeguards</x:v>
      </x:c>
      <x:c r="N219" s="2" t="str">
        <x:v>Smelt reduction for iron and steel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19" s="2" t="str">
        <x:v>Smelt reduction for iron and steel sector: process reactors or furnaces, heat exchangers, motors and drives, compressors, burners, controls, pollution abatement, material handling and measurement equipment.</x:v>
      </x:c>
      <x:c r="P219" s="2" t="str">
        <x:v>Smelt reduction for iron and steel sector: process simulation, pinch and heat-integration analysis, advanced control, production scheduling, quality control, energy management and life-cycle assessment.</x:v>
      </x:c>
      <x:c r="Q219" s="2" t="str">
        <x:v>Smelt reduction for iron and steel sector: industrial permits, product standards, operating procedures, maintenance and competence systems, procurement, energy management and industrial-symbiosis agreements.</x:v>
      </x:c>
      <x:c r="R219" s="2" t="str">
        <x:v>Smelt reduction for iron and steel sector: industrial site, utilities, fuel and electricity supply, material storage, process buildings, laboratories, waste handling and logistics.</x:v>
      </x:c>
      <x:c r="S219" s="2" t="str">
        <x:v>Smelt reduction for iron and steel sector: electricity, steam, process heat, cooling and fuels; useful-energy efficiency, heat recovery and carbon intensity of supply determine savings.</x:v>
      </x:c>
      <x:c r="T219" s="2" t="str">
        <x:v>Smelt reduction for iron and steel sector: process feedstocks, steel and refractory materials, catalysts, solvents, lubricants, insulation, piping, sensors and technology-specific alloying elements.</x:v>
      </x:c>
      <x:c r="U219" s="2" t="str">
        <x:v>Smelt reduction for iron and steel sector: refractory linings, bearings, seals, valves, filters, burners, electrodes, sensors, control modules, lubricants and calibrated instruments.</x:v>
      </x:c>
      <x:c r="V219" s="2" t="str">
        <x:v>https://www.ctc-n.org/sites/default/files/resources/ctcn_taxonomy_0.pdf</x:v>
      </x:c>
      <x:c r="W219" s="2" t="str">
        <x:v>https://institutoagricoladepueblobello.edu.co/colegiapp/archivostemas/GUIA%209.%5B25%5D.pdf</x:v>
      </x:c>
      <x:c r="X219" s="2" t="str">
        <x:v>https://iiasa.ac.at/what-is-technology</x:v>
      </x:c>
      <x:c r="Y219" s="2" t="str">
        <x:v>https://www.ipcc.ch/report/ar6/wg3/chapter/chapter-11/</x:v>
      </x:c>
      <x:c r="Z219" s="2" t="str">
        <x:v>Technology-specific analytical synthesis. The CTCN hierarchy is retained; classifications and component dependencies require validation against the selected design, site and supplier documentation before investment or policy use.</x:v>
      </x:c>
      <x:c r="AA219" s="2" t="str">
        <x:v>Physical deployment of Smelt reduction for iron and steel sector requires industrial site, utilities, fuel and electricity supply, material storage, process buildings, laboratories, waste handling and logistics; interfaces, foundations, access and environmental protection are sized to the specific resource and design load.</x:v>
      </x:c>
      <x:c r="AB219" s="2" t="str">
        <x:v>For Smelt reduction for iron and steel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19" s="2" t="str">
        <x:v>Construction and operation use process feedstocks, steel and refractory materials, catalysts, solvents, lubricants, insulation, piping, sensors and technology-specific alloying elements. For Smelt reduction for iron and steel sector, specifications must include durability, compatibility, recycled content and recoverability.</x:v>
      </x:c>
      <x:c r="AD219" s="2" t="str">
        <x:v>Maintenance of Smelt reduction for iron and steel sector depends on refractory linings, bearings, seals, valves, filters, burners, electrodes, sensors, control modules, lubricants and calibrated instruments; critical spares are selected from failure-mode, lead-time and safety analysis for its installed configuration.</x:v>
      </x:c>
      <x:c r="AE219" s="2" t="str">
        <x:v>The software stack for Smelt reduction for iron and steel sector requires databases, secure communications, version-controlled models, computing, backup and interfaces with field or operational systems.</x:v>
      </x:c>
      <x:c r="AF219" s="2" t="str">
        <x:v>For Smelt reduction for iron and steel sector, software-related energy is electricity for sensing, computing, storage, communication and cooling; it is normally secondary but must be included for data-intensive or continuous services.</x:v>
      </x:c>
      <x:c r="AG219" s="2" t="str">
        <x:v>The non-physical inputs are calibrated data, metadata, algorithms, boundary conditions, emission or hazard factors, manuals and validation records specific to Smelt reduction for iron and steel sector.</x:v>
      </x:c>
      <x:c r="AH219" s="2" t="str">
        <x:v>Software continuity for Smelt reduction for iron and steel sector requires licences where applicable, updates, cybersecurity patches, backups, calibration files, model validation and technical support.</x:v>
      </x:c>
      <x:c r="AI219" s="2" t="str">
        <x:v>Orgware depends on the institutions, laboratories, training providers, regulators, operators and community interfaces needed to govern Smelt reduction for iron and steel sector.</x:v>
      </x:c>
      <x:c r="AJ219" s="2" t="str">
        <x:v>The orgware supporting Smelt reduction for iron and steel sector has mainly indirect energy use from offices, meetings, training and information systems; travel and field supervision may be material at dispersed sites.</x:v>
      </x:c>
      <x:c r="AK219" s="2" t="str">
        <x:v>Its organisational inputs are permits, budgets, trained staff, competence records, contracts, procedures, safeguards, monitoring evidence and stakeholder agreements tailored to Smelt reduction for iron and steel sector.</x:v>
      </x:c>
      <x:c r="AL219" s="2" t="str">
        <x:v>Sustained implementation of Smelt reduction for iron and steel sector requires procurement and service contracts, audit protocols, training material, reporting templates, insurance or guarantees and periodic independent review.</x:v>
      </x:c>
      <x:c r="AM219" s="2" t="str">
        <x:v>Iron ore / steel inputs; Nickel; Chromium</x:v>
      </x:c>
      <x:c r="AN219" s="2" t="str">
        <x:v>Australia; Brazil; China; Indonesia; Philippines; Russia; South Africa; Kazakhstan; Turkey</x:v>
      </x:c>
      <x:c r="AO219" s="2" t="str">
        <x:v>China; India; Japan; Indonesia; South Africa; Kazakhstan</x:v>
      </x:c>
      <x:c r="AP219" s="2" t="str">
        <x:v>Smelt reduction for iron and steel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9" s="2" t="str">
        <x:v>2024–2025</x:v>
      </x:c>
      <x:c r="AR219" s="2" t="str">
        <x:v>https://pubs.usgs.gov/periodicals/mcs2026/mcs2026.pdf; https://www.iea.org/reports/global-critical-minerals-outlook-2025</x:v>
      </x:c>
    </x:row>
    <x:row r="220" ht="240" customHeight="1">
      <x:c r="A220" s="2" t="str">
        <x:v>MIT-0213</x:v>
      </x:c>
      <x:c r="B220" s="2" t="str">
        <x:v>Mitigation</x:v>
      </x:c>
      <x:c r="C220" s="2" t="str">
        <x:v>Industry</x:v>
      </x:c>
      <x:c r="D220" s="2" t="str">
        <x:v>Mining &amp; production</x:v>
      </x:c>
      <x:c r="E220" s="2" t="str">
        <x:v>Advanced wet quenching for iron and steel sector</x:v>
      </x:c>
      <x:c r="F220" s="2" t="str">
        <x:v>Advanced wet quenching for iron and steel sector is a mitigation technology in the Industry sector and the Mining &amp; production technology group. It is defined as a combined hardware–software–orgware system that changes industrial chemistry, heat integration, equipment efficiency, material yield, fuel, process route or product design to reduce direct and energy-related emissions per unit of output. Advanced wet quenching for iron and steel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0" s="2" t="str">
        <x:v>Mixed: adaptable design, site-specific implementation</x:v>
      </x:c>
      <x:c r="H220" s="2" t="str">
        <x:v>Advanced wet quenching for iron and steel sector is adaptable in capacity and configuration but site-specific in final engineering. Its principle remains the same, but resource quality, climate, scale, interfaces and safety constraints must be recalculated for each deployment.</x:v>
      </x:c>
      <x:c r="I220" s="2" t="str">
        <x:v>Primarily hard, with a soft component</x:v>
      </x:c>
      <x:c r="J220" s="2" t="str">
        <x:v>Advanced wet quenching for iron and steel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0" s="2" t="str">
        <x:v>Equipment and operation</x:v>
      </x:c>
      <x:c r="L220" s="2" t="str">
        <x:v>Advanced wet quenching for iron and steel sector is embodied mainly as an equipment-and-operation system. The deliverable is accepted only when measurable service, quality, safety and climate-performance criteria are met under real conditions.</x:v>
      </x:c>
      <x:c r="M220" s="2" t="str">
        <x:v>Yes, subject to life-cycle safeguards</x:v>
      </x:c>
      <x:c r="N220" s="2" t="str">
        <x:v>Advanced wet quenching for iron and steel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0" s="2" t="str">
        <x:v>Advanced wet quenching for iron and steel sector: process reactors or furnaces, heat exchangers, motors and drives, compressors, burners, controls, pollution abatement, material handling and measurement equipment.</x:v>
      </x:c>
      <x:c r="P220" s="2" t="str">
        <x:v>Advanced wet quenching for iron and steel sector: process simulation, pinch and heat-integration analysis, advanced control, production scheduling, quality control, energy management and life-cycle assessment.</x:v>
      </x:c>
      <x:c r="Q220" s="2" t="str">
        <x:v>Advanced wet quenching for iron and steel sector: industrial permits, product standards, operating procedures, maintenance and competence systems, procurement, energy management and industrial-symbiosis agreements.</x:v>
      </x:c>
      <x:c r="R220" s="2" t="str">
        <x:v>Advanced wet quenching for iron and steel sector: industrial site, utilities, fuel and electricity supply, material storage, process buildings, laboratories, waste handling and logistics.</x:v>
      </x:c>
      <x:c r="S220" s="2" t="str">
        <x:v>Advanced wet quenching for iron and steel sector: electricity, steam, process heat, cooling and fuels; useful-energy efficiency, heat recovery and carbon intensity of supply determine savings.</x:v>
      </x:c>
      <x:c r="T220" s="2" t="str">
        <x:v>Advanced wet quenching for iron and steel sector: process feedstocks, steel and refractory materials, catalysts, solvents, lubricants, insulation, piping, sensors and technology-specific alloying elements.</x:v>
      </x:c>
      <x:c r="U220" s="2" t="str">
        <x:v>Advanced wet quenching for iron and steel sector: refractory linings, bearings, seals, valves, filters, burners, electrodes, sensors, control modules, lubricants and calibrated instruments.</x:v>
      </x:c>
      <x:c r="V220" s="2" t="str">
        <x:v>https://www.ctc-n.org/sites/default/files/resources/ctcn_taxonomy_0.pdf</x:v>
      </x:c>
      <x:c r="W220" s="2" t="str">
        <x:v>https://institutoagricoladepueblobello.edu.co/colegiapp/archivostemas/GUIA%209.%5B25%5D.pdf</x:v>
      </x:c>
      <x:c r="X220" s="2" t="str">
        <x:v>https://iiasa.ac.at/what-is-technology</x:v>
      </x:c>
      <x:c r="Y220" s="2" t="str">
        <x:v>https://www.ipcc.ch/report/ar6/wg3/chapter/chapter-11/</x:v>
      </x:c>
      <x:c r="Z220" s="2" t="str">
        <x:v>Technology-specific analytical synthesis. The CTCN hierarchy is retained; classifications and component dependencies require validation against the selected design, site and supplier documentation before investment or policy use.</x:v>
      </x:c>
      <x:c r="AA220" s="2" t="str">
        <x:v>Physical deployment of Advanced wet quenching for iron and steel sector requires industrial site, utilities, fuel and electricity supply, material storage, process buildings, laboratories, waste handling and logistics; interfaces, foundations, access and environmental protection are sized to the specific resource and design load.</x:v>
      </x:c>
      <x:c r="AB220" s="2" t="str">
        <x:v>For Advanced wet quenching for iron and steel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0" s="2" t="str">
        <x:v>Construction and operation use process feedstocks, steel and refractory materials, catalysts, solvents, lubricants, insulation, piping, sensors and technology-specific alloying elements. For Advanced wet quenching for iron and steel sector, specifications must include durability, compatibility, recycled content and recoverability.</x:v>
      </x:c>
      <x:c r="AD220" s="2" t="str">
        <x:v>Maintenance of Advanced wet quenching for iron and steel sector depends on refractory linings, bearings, seals, valves, filters, burners, electrodes, sensors, control modules, lubricants and calibrated instruments; critical spares are selected from failure-mode, lead-time and safety analysis for its installed configuration.</x:v>
      </x:c>
      <x:c r="AE220" s="2" t="str">
        <x:v>The software stack for Advanced wet quenching for iron and steel sector requires databases, secure communications, version-controlled models, computing, backup and interfaces with field or operational systems.</x:v>
      </x:c>
      <x:c r="AF220" s="2" t="str">
        <x:v>For Advanced wet quenching for iron and steel sector, software-related energy is electricity for sensing, computing, storage, communication and cooling; it is normally secondary but must be included for data-intensive or continuous services.</x:v>
      </x:c>
      <x:c r="AG220" s="2" t="str">
        <x:v>The non-physical inputs are calibrated data, metadata, algorithms, boundary conditions, emission or hazard factors, manuals and validation records specific to Advanced wet quenching for iron and steel sector.</x:v>
      </x:c>
      <x:c r="AH220" s="2" t="str">
        <x:v>Software continuity for Advanced wet quenching for iron and steel sector requires licences where applicable, updates, cybersecurity patches, backups, calibration files, model validation and technical support.</x:v>
      </x:c>
      <x:c r="AI220" s="2" t="str">
        <x:v>Orgware depends on the institutions, laboratories, training providers, regulators, operators and community interfaces needed to govern Advanced wet quenching for iron and steel sector.</x:v>
      </x:c>
      <x:c r="AJ220" s="2" t="str">
        <x:v>The orgware supporting Advanced wet quenching for iron and steel sector has mainly indirect energy use from offices, meetings, training and information systems; travel and field supervision may be material at dispersed sites.</x:v>
      </x:c>
      <x:c r="AK220" s="2" t="str">
        <x:v>Its organisational inputs are permits, budgets, trained staff, competence records, contracts, procedures, safeguards, monitoring evidence and stakeholder agreements tailored to Advanced wet quenching for iron and steel sector.</x:v>
      </x:c>
      <x:c r="AL220" s="2" t="str">
        <x:v>Sustained implementation of Advanced wet quenching for iron and steel sector requires procurement and service contracts, audit protocols, training material, reporting templates, insurance or guarantees and periodic independent review.</x:v>
      </x:c>
      <x:c r="AM220" s="2" t="str">
        <x:v>Iron ore / steel inputs; Nickel; Chromium</x:v>
      </x:c>
      <x:c r="AN220" s="2" t="str">
        <x:v>Australia; Brazil; China; Indonesia; Philippines; Russia; South Africa; Kazakhstan; Turkey</x:v>
      </x:c>
      <x:c r="AO220" s="2" t="str">
        <x:v>China; India; Japan; Indonesia; South Africa; Kazakhstan</x:v>
      </x:c>
      <x:c r="AP220" s="2" t="str">
        <x:v>Advanced wet quenching for iron and steel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0" s="2" t="str">
        <x:v>2024–2025</x:v>
      </x:c>
      <x:c r="AR220" s="2" t="str">
        <x:v>https://pubs.usgs.gov/periodicals/mcs2026/mcs2026.pdf; https://www.iea.org/reports/global-critical-minerals-outlook-2025</x:v>
      </x:c>
    </x:row>
    <x:row r="221" ht="240" customHeight="1">
      <x:c r="A221" s="2" t="str">
        <x:v>MIT-0214</x:v>
      </x:c>
      <x:c r="B221" s="2" t="str">
        <x:v>Mitigation</x:v>
      </x:c>
      <x:c r="C221" s="2" t="str">
        <x:v>Industry</x:v>
      </x:c>
      <x:c r="D221" s="2" t="str">
        <x:v>Fossil fuel shift</x:v>
      </x:c>
      <x:c r="E221" s="2" t="str">
        <x:v>Oil to electricity</x:v>
      </x:c>
      <x:c r="F221" s="2" t="str">
        <x:v>Oil to electricity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Oil to electricity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1" s="2" t="str">
        <x:v>Mixed: adaptable design, site-specific implementation</x:v>
      </x:c>
      <x:c r="H221" s="2" t="str">
        <x:v>Oil to electricity is adaptable in capacity and configuration but site-specific in final engineering. Its principle remains the same, but resource quality, climate, scale, interfaces and safety constraints must be recalculated for each deployment.</x:v>
      </x:c>
      <x:c r="I221" s="2" t="str">
        <x:v>Primarily hard, with a soft component</x:v>
      </x:c>
      <x:c r="J221" s="2" t="str">
        <x:v>Oil to electricity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1" s="2" t="str">
        <x:v>Equipment and operation</x:v>
      </x:c>
      <x:c r="L221" s="2" t="str">
        <x:v>Oil to electricity is embodied mainly as an equipment-and-operation system. The deliverable is accepted only when measurable service, quality, safety and climate-performance criteria are met under real conditions.</x:v>
      </x:c>
      <x:c r="M221" s="2" t="str">
        <x:v>Conditional on performance and life cycle</x:v>
      </x:c>
      <x:c r="N221" s="2" t="str">
        <x:v>Oil to electricity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1" s="2" t="str">
        <x:v>Oil to electricity: process reactors or furnaces, heat exchangers, motors and drives, compressors, burners, controls, pollution abatement, material handling and measurement equipment.</x:v>
      </x:c>
      <x:c r="P221" s="2" t="str">
        <x:v>Oil to electricity: process simulation, pinch and heat-integration analysis, advanced control, production scheduling, quality control, energy management and life-cycle assessment.</x:v>
      </x:c>
      <x:c r="Q221" s="2" t="str">
        <x:v>Oil to electricity: industrial permits, product standards, operating procedures, maintenance and competence systems, procurement, energy management and industrial-symbiosis agreements.</x:v>
      </x:c>
      <x:c r="R221" s="2" t="str">
        <x:v>Oil to electricity: industrial site, utilities, fuel and electricity supply, material storage, process buildings, laboratories, waste handling and logistics.</x:v>
      </x:c>
      <x:c r="S221" s="2" t="str">
        <x:v>Oil to electricity: electricity, steam, process heat, cooling and fuels; useful-energy efficiency, heat recovery and carbon intensity of supply determine savings.</x:v>
      </x:c>
      <x:c r="T221" s="2" t="str">
        <x:v>Oil to electricity: process feedstocks, steel and refractory materials, catalysts, solvents, lubricants, insulation, piping, sensors and technology-specific alloying elements.</x:v>
      </x:c>
      <x:c r="U221" s="2" t="str">
        <x:v>Oil to electricity: refractory linings, bearings, seals, valves, filters, burners, electrodes, sensors, control modules, lubricants and calibrated instruments.</x:v>
      </x:c>
      <x:c r="V221" s="2" t="str">
        <x:v>https://www.ctc-n.org/sites/default/files/resources/ctcn_taxonomy_0.pdf</x:v>
      </x:c>
      <x:c r="W221" s="2" t="str">
        <x:v>https://institutoagricoladepueblobello.edu.co/colegiapp/archivostemas/GUIA%209.%5B25%5D.pdf</x:v>
      </x:c>
      <x:c r="X221" s="2" t="str">
        <x:v>https://iiasa.ac.at/what-is-technology</x:v>
      </x:c>
      <x:c r="Y221" s="2" t="str">
        <x:v>https://www.ipcc.ch/report/ar6/wg3/chapter/chapter-11/</x:v>
      </x:c>
      <x:c r="Z221" s="2" t="str">
        <x:v>Technology-specific analytical synthesis. The CTCN hierarchy is retained; classifications and component dependencies require validation against the selected design, site and supplier documentation before investment or policy use.</x:v>
      </x:c>
      <x:c r="AA221" s="2" t="str">
        <x:v>Physical deployment of Oil to electricity requires industrial site, utilities, fuel and electricity supply, material storage, process buildings, laboratories, waste handling and logistics; interfaces, foundations, access and environmental protection are sized to the specific resource and design load.</x:v>
      </x:c>
      <x:c r="AB221" s="2" t="str">
        <x:v>For Oil to electricity,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1" s="2" t="str">
        <x:v>Construction and operation use process feedstocks, steel and refractory materials, catalysts, solvents, lubricants, insulation, piping, sensors and technology-specific alloying elements. For Oil to electricity, specifications must include durability, compatibility, recycled content and recoverability.</x:v>
      </x:c>
      <x:c r="AD221" s="2" t="str">
        <x:v>Maintenance of Oil to electricity depends on refractory linings, bearings, seals, valves, filters, burners, electrodes, sensors, control modules, lubricants and calibrated instruments; critical spares are selected from failure-mode, lead-time and safety analysis for its installed configuration.</x:v>
      </x:c>
      <x:c r="AE221" s="2" t="str">
        <x:v>The software stack for Oil to electricity requires databases, secure communications, version-controlled models, computing, backup and interfaces with field or operational systems.</x:v>
      </x:c>
      <x:c r="AF221" s="2" t="str">
        <x:v>For Oil to electricity, software-related energy is electricity for sensing, computing, storage, communication and cooling; it is normally secondary but must be included for data-intensive or continuous services.</x:v>
      </x:c>
      <x:c r="AG221" s="2" t="str">
        <x:v>The non-physical inputs are calibrated data, metadata, algorithms, boundary conditions, emission or hazard factors, manuals and validation records specific to Oil to electricity.</x:v>
      </x:c>
      <x:c r="AH221" s="2" t="str">
        <x:v>Software continuity for Oil to electricity requires licences where applicable, updates, cybersecurity patches, backups, calibration files, model validation and technical support.</x:v>
      </x:c>
      <x:c r="AI221" s="2" t="str">
        <x:v>Orgware depends on the institutions, laboratories, training providers, regulators, operators and community interfaces needed to govern Oil to electricity.</x:v>
      </x:c>
      <x:c r="AJ221" s="2" t="str">
        <x:v>The orgware supporting Oil to electricity has mainly indirect energy use from offices, meetings, training and information systems; travel and field supervision may be material at dispersed sites.</x:v>
      </x:c>
      <x:c r="AK221" s="2" t="str">
        <x:v>Its organisational inputs are permits, budgets, trained staff, competence records, contracts, procedures, safeguards, monitoring evidence and stakeholder agreements tailored to Oil to electricity.</x:v>
      </x:c>
      <x:c r="AL221" s="2" t="str">
        <x:v>Sustained implementation of Oil to electricity requires procurement and service contracts, audit protocols, training material, reporting templates, insurance or guarantees and periodic independent review.</x:v>
      </x:c>
      <x:c r="AM221" s="2" t="str">
        <x:v>Iron ore / steel inputs; Copper; Tin</x:v>
      </x:c>
      <x:c r="AN221" s="2" t="str">
        <x:v>Australia; Brazil; China; Chile; Democratic Republic of the Congo; Peru; Indonesia; Myanmar</x:v>
      </x:c>
      <x:c r="AO221" s="2" t="str">
        <x:v>China; India; Japan; Chile; Democratic Republic of the Congo; Indonesia; Malaysia</x:v>
      </x:c>
      <x:c r="AP221" s="2" t="str">
        <x:v>Oil to electricity: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1" s="2" t="str">
        <x:v>2024–2025</x:v>
      </x:c>
      <x:c r="AR221" s="2" t="str">
        <x:v>https://pubs.usgs.gov/periodicals/mcs2026/mcs2026.pdf</x:v>
      </x:c>
    </x:row>
    <x:row r="222" ht="240" customHeight="1">
      <x:c r="A222" s="2" t="str">
        <x:v>MIT-0215</x:v>
      </x:c>
      <x:c r="B222" s="2" t="str">
        <x:v>Mitigation</x:v>
      </x:c>
      <x:c r="C222" s="2" t="str">
        <x:v>Industry</x:v>
      </x:c>
      <x:c r="D222" s="2" t="str">
        <x:v>Fossil fuel shift</x:v>
      </x:c>
      <x:c r="E222" s="2" t="str">
        <x:v>Oil to LPG</x:v>
      </x:c>
      <x:c r="F222" s="2" t="str">
        <x:v>Oil to LPG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Oil to LPG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2" s="2" t="str">
        <x:v>Mixed: adaptable design, site-specific implementation</x:v>
      </x:c>
      <x:c r="H222" s="2" t="str">
        <x:v>Oil to LPG is adaptable in capacity and configuration but site-specific in final engineering. Its principle remains the same, but resource quality, climate, scale, interfaces and safety constraints must be recalculated for each deployment.</x:v>
      </x:c>
      <x:c r="I222" s="2" t="str">
        <x:v>Primarily hard, with a soft component</x:v>
      </x:c>
      <x:c r="J222" s="2" t="str">
        <x:v>Oil to LPG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2" s="2" t="str">
        <x:v>Equipment and operation</x:v>
      </x:c>
      <x:c r="L222" s="2" t="str">
        <x:v>Oil to LPG is embodied mainly as an equipment-and-operation system. The deliverable is accepted only when measurable service, quality, safety and climate-performance criteria are met under real conditions.</x:v>
      </x:c>
      <x:c r="M222" s="2" t="str">
        <x:v>Conditional on performance and life cycle</x:v>
      </x:c>
      <x:c r="N222" s="2" t="str">
        <x:v>Oil to LPG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2" s="2" t="str">
        <x:v>Oil to LPG: process reactors or furnaces, heat exchangers, motors and drives, compressors, burners, controls, pollution abatement, material handling and measurement equipment.</x:v>
      </x:c>
      <x:c r="P222" s="2" t="str">
        <x:v>Oil to LPG: process simulation, pinch and heat-integration analysis, advanced control, production scheduling, quality control, energy management and life-cycle assessment.</x:v>
      </x:c>
      <x:c r="Q222" s="2" t="str">
        <x:v>Oil to LPG: industrial permits, product standards, operating procedures, maintenance and competence systems, procurement, energy management and industrial-symbiosis agreements.</x:v>
      </x:c>
      <x:c r="R222" s="2" t="str">
        <x:v>Oil to LPG: industrial site, utilities, fuel and electricity supply, material storage, process buildings, laboratories, waste handling and logistics.</x:v>
      </x:c>
      <x:c r="S222" s="2" t="str">
        <x:v>Oil to LPG: electricity, steam, process heat, cooling and fuels; useful-energy efficiency, heat recovery and carbon intensity of supply determine savings.</x:v>
      </x:c>
      <x:c r="T222" s="2" t="str">
        <x:v>Oil to LPG: process feedstocks, steel and refractory materials, catalysts, solvents, lubricants, insulation, piping, sensors and technology-specific alloying elements.</x:v>
      </x:c>
      <x:c r="U222" s="2" t="str">
        <x:v>Oil to LPG: refractory linings, bearings, seals, valves, filters, burners, electrodes, sensors, control modules, lubricants and calibrated instruments.</x:v>
      </x:c>
      <x:c r="V222" s="2" t="str">
        <x:v>https://www.ctc-n.org/sites/default/files/resources/ctcn_taxonomy_0.pdf</x:v>
      </x:c>
      <x:c r="W222" s="2" t="str">
        <x:v>https://institutoagricoladepueblobello.edu.co/colegiapp/archivostemas/GUIA%209.%5B25%5D.pdf</x:v>
      </x:c>
      <x:c r="X222" s="2" t="str">
        <x:v>https://iiasa.ac.at/what-is-technology</x:v>
      </x:c>
      <x:c r="Y222" s="2" t="str">
        <x:v>https://www.ipcc.ch/report/ar6/wg3/chapter/chapter-11/</x:v>
      </x:c>
      <x:c r="Z222" s="2" t="str">
        <x:v>Technology-specific analytical synthesis. The CTCN hierarchy is retained; classifications and component dependencies require validation against the selected design, site and supplier documentation before investment or policy use.</x:v>
      </x:c>
      <x:c r="AA222" s="2" t="str">
        <x:v>Physical deployment of Oil to LPG requires industrial site, utilities, fuel and electricity supply, material storage, process buildings, laboratories, waste handling and logistics; interfaces, foundations, access and environmental protection are sized to the specific resource and design load.</x:v>
      </x:c>
      <x:c r="AB222" s="2" t="str">
        <x:v>For Oil to LPG,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2" s="2" t="str">
        <x:v>Construction and operation use process feedstocks, steel and refractory materials, catalysts, solvents, lubricants, insulation, piping, sensors and technology-specific alloying elements. For Oil to LPG, specifications must include durability, compatibility, recycled content and recoverability.</x:v>
      </x:c>
      <x:c r="AD222" s="2" t="str">
        <x:v>Maintenance of Oil to LPG depends on refractory linings, bearings, seals, valves, filters, burners, electrodes, sensors, control modules, lubricants and calibrated instruments; critical spares are selected from failure-mode, lead-time and safety analysis for its installed configuration.</x:v>
      </x:c>
      <x:c r="AE222" s="2" t="str">
        <x:v>The software stack for Oil to LPG requires databases, secure communications, version-controlled models, computing, backup and interfaces with field or operational systems.</x:v>
      </x:c>
      <x:c r="AF222" s="2" t="str">
        <x:v>For Oil to LPG, software-related energy is electricity for sensing, computing, storage, communication and cooling; it is normally secondary but must be included for data-intensive or continuous services.</x:v>
      </x:c>
      <x:c r="AG222" s="2" t="str">
        <x:v>The non-physical inputs are calibrated data, metadata, algorithms, boundary conditions, emission or hazard factors, manuals and validation records specific to Oil to LPG.</x:v>
      </x:c>
      <x:c r="AH222" s="2" t="str">
        <x:v>Software continuity for Oil to LPG requires licences where applicable, updates, cybersecurity patches, backups, calibration files, model validation and technical support.</x:v>
      </x:c>
      <x:c r="AI222" s="2" t="str">
        <x:v>Orgware depends on the institutions, laboratories, training providers, regulators, operators and community interfaces needed to govern Oil to LPG.</x:v>
      </x:c>
      <x:c r="AJ222" s="2" t="str">
        <x:v>The orgware supporting Oil to LPG has mainly indirect energy use from offices, meetings, training and information systems; travel and field supervision may be material at dispersed sites.</x:v>
      </x:c>
      <x:c r="AK222" s="2" t="str">
        <x:v>Its organisational inputs are permits, budgets, trained staff, competence records, contracts, procedures, safeguards, monitoring evidence and stakeholder agreements tailored to Oil to LPG.</x:v>
      </x:c>
      <x:c r="AL222" s="2" t="str">
        <x:v>Sustained implementation of Oil to LPG requires procurement and service contracts, audit protocols, training material, reporting templates, insurance or guarantees and periodic independent review.</x:v>
      </x:c>
      <x:c r="AM222" s="2" t="str">
        <x:v>Iron ore / steel inputs</x:v>
      </x:c>
      <x:c r="AN222" s="2" t="str">
        <x:v>Australia; Brazil; China</x:v>
      </x:c>
      <x:c r="AO222" s="2" t="str">
        <x:v>China; India; Japan</x:v>
      </x:c>
      <x:c r="AP222" s="2" t="str">
        <x:v>Oil to LPG: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2" s="2" t="str">
        <x:v>2024–2025</x:v>
      </x:c>
      <x:c r="AR222" s="2" t="str">
        <x:v>https://pubs.usgs.gov/periodicals/mcs2026/mcs2026.pdf</x:v>
      </x:c>
    </x:row>
    <x:row r="223" ht="240" customHeight="1">
      <x:c r="A223" s="2" t="str">
        <x:v>MIT-0216</x:v>
      </x:c>
      <x:c r="B223" s="2" t="str">
        <x:v>Mitigation</x:v>
      </x:c>
      <x:c r="C223" s="2" t="str">
        <x:v>Industry</x:v>
      </x:c>
      <x:c r="D223" s="2" t="str">
        <x:v>Fossil fuel shift</x:v>
      </x:c>
      <x:c r="E223" s="2" t="str">
        <x:v>Fossil fuels to natural gas</x:v>
      </x:c>
      <x:c r="F223" s="2" t="str">
        <x:v>Fossil fuels to natural gas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Fossil fuels to natural gas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3" s="2" t="str">
        <x:v>Mixed: adaptable design, site-specific implementation</x:v>
      </x:c>
      <x:c r="H223" s="2" t="str">
        <x:v>Fossil fuels to natural gas is adaptable in capacity and configuration but site-specific in final engineering. Its principle remains the same, but resource quality, climate, scale, interfaces and safety constraints must be recalculated for each deployment.</x:v>
      </x:c>
      <x:c r="I223" s="2" t="str">
        <x:v>Primarily hard, with a soft component</x:v>
      </x:c>
      <x:c r="J223" s="2" t="str">
        <x:v>Fossil fuels to natural gas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3" s="2" t="str">
        <x:v>Equipment and operation</x:v>
      </x:c>
      <x:c r="L223" s="2" t="str">
        <x:v>Fossil fuels to natural gas is embodied mainly as an equipment-and-operation system. The deliverable is accepted only when measurable service, quality, safety and climate-performance criteria are met under real conditions.</x:v>
      </x:c>
      <x:c r="M223" s="2" t="str">
        <x:v>Conditional on performance and life cycle</x:v>
      </x:c>
      <x:c r="N223" s="2" t="str">
        <x:v>Fossil fuels to natural gas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3" s="2" t="str">
        <x:v>Fossil fuels to natural gas: process reactors or furnaces, heat exchangers, motors and drives, compressors, burners, controls, pollution abatement, material handling and measurement equipment.</x:v>
      </x:c>
      <x:c r="P223" s="2" t="str">
        <x:v>Fossil fuels to natural gas: process simulation, pinch and heat-integration analysis, advanced control, production scheduling, quality control, energy management and life-cycle assessment.</x:v>
      </x:c>
      <x:c r="Q223" s="2" t="str">
        <x:v>Fossil fuels to natural gas: industrial permits, product standards, operating procedures, maintenance and competence systems, procurement, energy management and industrial-symbiosis agreements.</x:v>
      </x:c>
      <x:c r="R223" s="2" t="str">
        <x:v>Fossil fuels to natural gas: industrial site, utilities, fuel and electricity supply, material storage, process buildings, laboratories, waste handling and logistics.</x:v>
      </x:c>
      <x:c r="S223" s="2" t="str">
        <x:v>Fossil fuels to natural gas: electricity, steam, process heat, cooling and fuels; useful-energy efficiency, heat recovery and carbon intensity of supply determine savings.</x:v>
      </x:c>
      <x:c r="T223" s="2" t="str">
        <x:v>Fossil fuels to natural gas: process feedstocks, steel and refractory materials, catalysts, solvents, lubricants, insulation, piping, sensors and technology-specific alloying elements.</x:v>
      </x:c>
      <x:c r="U223" s="2" t="str">
        <x:v>Fossil fuels to natural gas: refractory linings, bearings, seals, valves, filters, burners, electrodes, sensors, control modules, lubricants and calibrated instruments.</x:v>
      </x:c>
      <x:c r="V223" s="2" t="str">
        <x:v>https://www.ctc-n.org/sites/default/files/resources/ctcn_taxonomy_0.pdf</x:v>
      </x:c>
      <x:c r="W223" s="2" t="str">
        <x:v>https://institutoagricoladepueblobello.edu.co/colegiapp/archivostemas/GUIA%209.%5B25%5D.pdf</x:v>
      </x:c>
      <x:c r="X223" s="2" t="str">
        <x:v>https://iiasa.ac.at/what-is-technology</x:v>
      </x:c>
      <x:c r="Y223" s="2" t="str">
        <x:v>https://www.ipcc.ch/report/ar6/wg3/chapter/chapter-11/</x:v>
      </x:c>
      <x:c r="Z223" s="2" t="str">
        <x:v>Technology-specific analytical synthesis. The CTCN hierarchy is retained; classifications and component dependencies require validation against the selected design, site and supplier documentation before investment or policy use.</x:v>
      </x:c>
      <x:c r="AA223" s="2" t="str">
        <x:v>Physical deployment of Fossil fuels to natural gas requires industrial site, utilities, fuel and electricity supply, material storage, process buildings, laboratories, waste handling and logistics; interfaces, foundations, access and environmental protection are sized to the specific resource and design load.</x:v>
      </x:c>
      <x:c r="AB223" s="2" t="str">
        <x:v>For Fossil fuels to natural gas,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3" s="2" t="str">
        <x:v>Construction and operation use process feedstocks, steel and refractory materials, catalysts, solvents, lubricants, insulation, piping, sensors and technology-specific alloying elements. For Fossil fuels to natural gas, specifications must include durability, compatibility, recycled content and recoverability.</x:v>
      </x:c>
      <x:c r="AD223" s="2" t="str">
        <x:v>Maintenance of Fossil fuels to natural gas depends on refractory linings, bearings, seals, valves, filters, burners, electrodes, sensors, control modules, lubricants and calibrated instruments; critical spares are selected from failure-mode, lead-time and safety analysis for its installed configuration.</x:v>
      </x:c>
      <x:c r="AE223" s="2" t="str">
        <x:v>The software stack for Fossil fuels to natural gas requires databases, secure communications, version-controlled models, computing, backup and interfaces with field or operational systems.</x:v>
      </x:c>
      <x:c r="AF223" s="2" t="str">
        <x:v>For Fossil fuels to natural gas, software-related energy is electricity for sensing, computing, storage, communication and cooling; it is normally secondary but must be included for data-intensive or continuous services.</x:v>
      </x:c>
      <x:c r="AG223" s="2" t="str">
        <x:v>The non-physical inputs are calibrated data, metadata, algorithms, boundary conditions, emission or hazard factors, manuals and validation records specific to Fossil fuels to natural gas.</x:v>
      </x:c>
      <x:c r="AH223" s="2" t="str">
        <x:v>Software continuity for Fossil fuels to natural gas requires licences where applicable, updates, cybersecurity patches, backups, calibration files, model validation and technical support.</x:v>
      </x:c>
      <x:c r="AI223" s="2" t="str">
        <x:v>Orgware depends on the institutions, laboratories, training providers, regulators, operators and community interfaces needed to govern Fossil fuels to natural gas.</x:v>
      </x:c>
      <x:c r="AJ223" s="2" t="str">
        <x:v>The orgware supporting Fossil fuels to natural gas has mainly indirect energy use from offices, meetings, training and information systems; travel and field supervision may be material at dispersed sites.</x:v>
      </x:c>
      <x:c r="AK223" s="2" t="str">
        <x:v>Its organisational inputs are permits, budgets, trained staff, competence records, contracts, procedures, safeguards, monitoring evidence and stakeholder agreements tailored to Fossil fuels to natural gas.</x:v>
      </x:c>
      <x:c r="AL223" s="2" t="str">
        <x:v>Sustained implementation of Fossil fuels to natural gas requires procurement and service contracts, audit protocols, training material, reporting templates, insurance or guarantees and periodic independent review.</x:v>
      </x:c>
      <x:c r="AM223" s="2" t="str">
        <x:v>Iron ore / steel inputs</x:v>
      </x:c>
      <x:c r="AN223" s="2" t="str">
        <x:v>Australia; Brazil; China</x:v>
      </x:c>
      <x:c r="AO223" s="2" t="str">
        <x:v>China; India; Japan</x:v>
      </x:c>
      <x:c r="AP223" s="2" t="str">
        <x:v>Fossil fuels to natural gas: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3" s="2" t="str">
        <x:v>2024–2025</x:v>
      </x:c>
      <x:c r="AR223" s="2" t="str">
        <x:v>https://pubs.usgs.gov/periodicals/mcs2026/mcs2026.pdf</x:v>
      </x:c>
    </x:row>
    <x:row r="224" ht="240" customHeight="1">
      <x:c r="A224" s="2" t="str">
        <x:v>MIT-0217</x:v>
      </x:c>
      <x:c r="B224" s="2" t="str">
        <x:v>Mitigation</x:v>
      </x:c>
      <x:c r="C224" s="2" t="str">
        <x:v>Industry</x:v>
      </x:c>
      <x:c r="D224" s="2" t="str">
        <x:v>Fossil fuel shift</x:v>
      </x:c>
      <x:c r="E224" s="2" t="str">
        <x:v>New natural gas plant</x:v>
      </x:c>
      <x:c r="F224" s="2" t="str">
        <x:v>New natural gas plant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New natural gas plant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4" s="2" t="str">
        <x:v>Primarily fixed</x:v>
      </x:c>
      <x:c r="H224" s="2" t="str">
        <x:v>New natural gas plant is tied to long-lived, site-specific assets and design loads. Its principle remains the same, but resource quality, climate, scale, interfaces and safety constraints must be recalculated for each deployment.</x:v>
      </x:c>
      <x:c r="I224" s="2" t="str">
        <x:v>Primarily hard, with a soft component</x:v>
      </x:c>
      <x:c r="J224" s="2" t="str">
        <x:v>New natural gas plant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4" s="2" t="str">
        <x:v>Equipment and operation</x:v>
      </x:c>
      <x:c r="L224" s="2" t="str">
        <x:v>New natural gas plant is embodied mainly as an equipment-and-operation system. The deliverable is accepted only when measurable service, quality, safety and climate-performance criteria are met under real conditions.</x:v>
      </x:c>
      <x:c r="M224" s="2" t="str">
        <x:v>Conditional on performance and life cycle</x:v>
      </x:c>
      <x:c r="N224" s="2" t="str">
        <x:v>New natural gas plant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4" s="2" t="str">
        <x:v>New natural gas plant: process reactors or furnaces, heat exchangers, motors and drives, compressors, burners, controls, pollution abatement, material handling and measurement equipment.</x:v>
      </x:c>
      <x:c r="P224" s="2" t="str">
        <x:v>New natural gas plant: process simulation, pinch and heat-integration analysis, advanced control, production scheduling, quality control, energy management and life-cycle assessment.</x:v>
      </x:c>
      <x:c r="Q224" s="2" t="str">
        <x:v>New natural gas plant: industrial permits, product standards, operating procedures, maintenance and competence systems, procurement, energy management and industrial-symbiosis agreements.</x:v>
      </x:c>
      <x:c r="R224" s="2" t="str">
        <x:v>New natural gas plant: industrial site, utilities, fuel and electricity supply, material storage, process buildings, laboratories, waste handling and logistics.</x:v>
      </x:c>
      <x:c r="S224" s="2" t="str">
        <x:v>New natural gas plant: electricity, steam, process heat, cooling and fuels; useful-energy efficiency, heat recovery and carbon intensity of supply determine savings.</x:v>
      </x:c>
      <x:c r="T224" s="2" t="str">
        <x:v>New natural gas plant: process feedstocks, steel and refractory materials, catalysts, solvents, lubricants, insulation, piping, sensors and technology-specific alloying elements.</x:v>
      </x:c>
      <x:c r="U224" s="2" t="str">
        <x:v>New natural gas plant: refractory linings, bearings, seals, valves, filters, burners, electrodes, sensors, control modules, lubricants and calibrated instruments.</x:v>
      </x:c>
      <x:c r="V224" s="2" t="str">
        <x:v>https://www.ctc-n.org/sites/default/files/resources/ctcn_taxonomy_0.pdf</x:v>
      </x:c>
      <x:c r="W224" s="2" t="str">
        <x:v>https://institutoagricoladepueblobello.edu.co/colegiapp/archivostemas/GUIA%209.%5B25%5D.pdf</x:v>
      </x:c>
      <x:c r="X224" s="2" t="str">
        <x:v>https://iiasa.ac.at/what-is-technology</x:v>
      </x:c>
      <x:c r="Y224" s="2" t="str">
        <x:v>https://www.ipcc.ch/report/ar6/wg3/chapter/chapter-11/</x:v>
      </x:c>
      <x:c r="Z224" s="2" t="str">
        <x:v>Technology-specific analytical synthesis. The CTCN hierarchy is retained; classifications and component dependencies require validation against the selected design, site and supplier documentation before investment or policy use.</x:v>
      </x:c>
      <x:c r="AA224" s="2" t="str">
        <x:v>Physical deployment of New natural gas plant requires industrial site, utilities, fuel and electricity supply, material storage, process buildings, laboratories, waste handling and logistics; interfaces, foundations, access and environmental protection are sized to the specific resource and design load.</x:v>
      </x:c>
      <x:c r="AB224" s="2" t="str">
        <x:v>For New natural gas plant,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4" s="2" t="str">
        <x:v>Construction and operation use process feedstocks, steel and refractory materials, catalysts, solvents, lubricants, insulation, piping, sensors and technology-specific alloying elements. For New natural gas plant, specifications must include durability, compatibility, recycled content and recoverability.</x:v>
      </x:c>
      <x:c r="AD224" s="2" t="str">
        <x:v>Maintenance of New natural gas plant depends on refractory linings, bearings, seals, valves, filters, burners, electrodes, sensors, control modules, lubricants and calibrated instruments; critical spares are selected from failure-mode, lead-time and safety analysis for its installed configuration.</x:v>
      </x:c>
      <x:c r="AE224" s="2" t="str">
        <x:v>The software stack for New natural gas plant requires databases, secure communications, version-controlled models, computing, backup and interfaces with field or operational systems.</x:v>
      </x:c>
      <x:c r="AF224" s="2" t="str">
        <x:v>For New natural gas plant, software-related energy is electricity for sensing, computing, storage, communication and cooling; it is normally secondary but must be included for data-intensive or continuous services.</x:v>
      </x:c>
      <x:c r="AG224" s="2" t="str">
        <x:v>The non-physical inputs are calibrated data, metadata, algorithms, boundary conditions, emission or hazard factors, manuals and validation records specific to New natural gas plant.</x:v>
      </x:c>
      <x:c r="AH224" s="2" t="str">
        <x:v>Software continuity for New natural gas plant requires licences where applicable, updates, cybersecurity patches, backups, calibration files, model validation and technical support.</x:v>
      </x:c>
      <x:c r="AI224" s="2" t="str">
        <x:v>Orgware depends on the institutions, laboratories, training providers, regulators, operators and community interfaces needed to govern New natural gas plant.</x:v>
      </x:c>
      <x:c r="AJ224" s="2" t="str">
        <x:v>The orgware supporting New natural gas plant has mainly indirect energy use from offices, meetings, training and information systems; travel and field supervision may be material at dispersed sites.</x:v>
      </x:c>
      <x:c r="AK224" s="2" t="str">
        <x:v>Its organisational inputs are permits, budgets, trained staff, competence records, contracts, procedures, safeguards, monitoring evidence and stakeholder agreements tailored to New natural gas plant.</x:v>
      </x:c>
      <x:c r="AL224" s="2" t="str">
        <x:v>Sustained implementation of New natural gas plant requires procurement and service contracts, audit protocols, training material, reporting templates, insurance or guarantees and periodic independent review.</x:v>
      </x:c>
      <x:c r="AM224" s="2" t="str">
        <x:v>Iron ore / steel inputs</x:v>
      </x:c>
      <x:c r="AN224" s="2" t="str">
        <x:v>Australia; Brazil; China</x:v>
      </x:c>
      <x:c r="AO224" s="2" t="str">
        <x:v>China; India; Japan</x:v>
      </x:c>
      <x:c r="AP224" s="2" t="str">
        <x:v>New natural gas plant: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4" s="2" t="str">
        <x:v>2024–2025</x:v>
      </x:c>
      <x:c r="AR224" s="2" t="str">
        <x:v>https://pubs.usgs.gov/periodicals/mcs2026/mcs2026.pdf</x:v>
      </x:c>
    </x:row>
    <x:row r="225" ht="240" customHeight="1">
      <x:c r="A225" s="2" t="str">
        <x:v>MIT-0218</x:v>
      </x:c>
      <x:c r="B225" s="2" t="str">
        <x:v>Mitigation</x:v>
      </x:c>
      <x:c r="C225" s="2" t="str">
        <x:v>Industry</x:v>
      </x:c>
      <x:c r="D225" s="2" t="str">
        <x:v>Fossil fuel shift</x:v>
      </x:c>
      <x:c r="E225" s="2" t="str">
        <x:v>Fuel switch in industry</x:v>
      </x:c>
      <x:c r="F225" s="2" t="str">
        <x:v>Fuel switch in industry is a mitigation technology in the Industry sector and the Fossil fuel shift technology group. It is defined as a combined hardware–software–orgware system that changes industrial chemistry, heat integration, equipment efficiency, material yield, fuel, process route or product design to reduce direct and energy-related emissions per unit of output. Fuel switch in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5" s="2" t="str">
        <x:v>Mixed: adaptable design, site-specific implementation</x:v>
      </x:c>
      <x:c r="H225" s="2" t="str">
        <x:v>Fuel switch in industry is adaptable in capacity and configuration but site-specific in final engineering. Its principle remains the same, but resource quality, climate, scale, interfaces and safety constraints must be recalculated for each deployment.</x:v>
      </x:c>
      <x:c r="I225" s="2" t="str">
        <x:v>Primarily hard, with a soft component</x:v>
      </x:c>
      <x:c r="J225" s="2" t="str">
        <x:v>Fuel switch in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5" s="2" t="str">
        <x:v>Equipment and operation</x:v>
      </x:c>
      <x:c r="L225" s="2" t="str">
        <x:v>Fuel switch in industry is embodied mainly as an equipment-and-operation system. The deliverable is accepted only when measurable service, quality, safety and climate-performance criteria are met under real conditions.</x:v>
      </x:c>
      <x:c r="M225" s="2" t="str">
        <x:v>Conditional on performance and life cycle</x:v>
      </x:c>
      <x:c r="N225" s="2" t="str">
        <x:v>Fuel switch in industry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5" s="2" t="str">
        <x:v>Fuel switch in industry: process reactors or furnaces, heat exchangers, motors and drives, compressors, burners, controls, pollution abatement, material handling and measurement equipment.</x:v>
      </x:c>
      <x:c r="P225" s="2" t="str">
        <x:v>Fuel switch in industry: process simulation, pinch and heat-integration analysis, advanced control, production scheduling, quality control, energy management and life-cycle assessment.</x:v>
      </x:c>
      <x:c r="Q225" s="2" t="str">
        <x:v>Fuel switch in industry: industrial permits, product standards, operating procedures, maintenance and competence systems, procurement, energy management and industrial-symbiosis agreements.</x:v>
      </x:c>
      <x:c r="R225" s="2" t="str">
        <x:v>Fuel switch in industry: industrial site, utilities, fuel and electricity supply, material storage, process buildings, laboratories, waste handling and logistics.</x:v>
      </x:c>
      <x:c r="S225" s="2" t="str">
        <x:v>Fuel switch in industry: electricity, steam, process heat, cooling and fuels; useful-energy efficiency, heat recovery and carbon intensity of supply determine savings.</x:v>
      </x:c>
      <x:c r="T225" s="2" t="str">
        <x:v>Fuel switch in industry: process feedstocks, steel and refractory materials, catalysts, solvents, lubricants, insulation, piping, sensors and technology-specific alloying elements.</x:v>
      </x:c>
      <x:c r="U225" s="2" t="str">
        <x:v>Fuel switch in industry: refractory linings, bearings, seals, valves, filters, burners, electrodes, sensors, control modules, lubricants and calibrated instruments.</x:v>
      </x:c>
      <x:c r="V225" s="2" t="str">
        <x:v>https://www.ctc-n.org/sites/default/files/resources/ctcn_taxonomy_0.pdf</x:v>
      </x:c>
      <x:c r="W225" s="2" t="str">
        <x:v>https://institutoagricoladepueblobello.edu.co/colegiapp/archivostemas/GUIA%209.%5B25%5D.pdf</x:v>
      </x:c>
      <x:c r="X225" s="2" t="str">
        <x:v>https://iiasa.ac.at/what-is-technology</x:v>
      </x:c>
      <x:c r="Y225" s="2" t="str">
        <x:v>https://www.ipcc.ch/report/ar6/wg3/chapter/chapter-11/</x:v>
      </x:c>
      <x:c r="Z225" s="2" t="str">
        <x:v>Technology-specific analytical synthesis. The CTCN hierarchy is retained; classifications and component dependencies require validation against the selected design, site and supplier documentation before investment or policy use.</x:v>
      </x:c>
      <x:c r="AA225" s="2" t="str">
        <x:v>Physical deployment of Fuel switch in industry requires industrial site, utilities, fuel and electricity supply, material storage, process buildings, laboratories, waste handling and logistics; interfaces, foundations, access and environmental protection are sized to the specific resource and design load.</x:v>
      </x:c>
      <x:c r="AB225" s="2" t="str">
        <x:v>For Fuel switch in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5" s="2" t="str">
        <x:v>Construction and operation use process feedstocks, steel and refractory materials, catalysts, solvents, lubricants, insulation, piping, sensors and technology-specific alloying elements. For Fuel switch in industry, specifications must include durability, compatibility, recycled content and recoverability.</x:v>
      </x:c>
      <x:c r="AD225" s="2" t="str">
        <x:v>Maintenance of Fuel switch in industry depends on refractory linings, bearings, seals, valves, filters, burners, electrodes, sensors, control modules, lubricants and calibrated instruments; critical spares are selected from failure-mode, lead-time and safety analysis for its installed configuration.</x:v>
      </x:c>
      <x:c r="AE225" s="2" t="str">
        <x:v>The software stack for Fuel switch in industry requires databases, secure communications, version-controlled models, computing, backup and interfaces with field or operational systems.</x:v>
      </x:c>
      <x:c r="AF225" s="2" t="str">
        <x:v>For Fuel switch in industry, software-related energy is electricity for sensing, computing, storage, communication and cooling; it is normally secondary but must be included for data-intensive or continuous services.</x:v>
      </x:c>
      <x:c r="AG225" s="2" t="str">
        <x:v>The non-physical inputs are calibrated data, metadata, algorithms, boundary conditions, emission or hazard factors, manuals and validation records specific to Fuel switch in industry.</x:v>
      </x:c>
      <x:c r="AH225" s="2" t="str">
        <x:v>Software continuity for Fuel switch in industry requires licences where applicable, updates, cybersecurity patches, backups, calibration files, model validation and technical support.</x:v>
      </x:c>
      <x:c r="AI225" s="2" t="str">
        <x:v>Orgware depends on the institutions, laboratories, training providers, regulators, operators and community interfaces needed to govern Fuel switch in industry.</x:v>
      </x:c>
      <x:c r="AJ225" s="2" t="str">
        <x:v>The orgware supporting Fuel switch in industry has mainly indirect energy use from offices, meetings, training and information systems; travel and field supervision may be material at dispersed sites.</x:v>
      </x:c>
      <x:c r="AK225" s="2" t="str">
        <x:v>Its organisational inputs are permits, budgets, trained staff, competence records, contracts, procedures, safeguards, monitoring evidence and stakeholder agreements tailored to Fuel switch in industry.</x:v>
      </x:c>
      <x:c r="AL225" s="2" t="str">
        <x:v>Sustained implementation of Fuel switch in industry requires procurement and service contracts, audit protocols, training material, reporting templates, insurance or guarantees and periodic independent review.</x:v>
      </x:c>
      <x:c r="AM225" s="2" t="str">
        <x:v>Iron ore / steel inputs</x:v>
      </x:c>
      <x:c r="AN225" s="2" t="str">
        <x:v>Australia; Brazil; China</x:v>
      </x:c>
      <x:c r="AO225" s="2" t="str">
        <x:v>China; India; Japan</x:v>
      </x:c>
      <x:c r="AP225" s="2" t="str">
        <x:v>Fuel switch in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5" s="2" t="str">
        <x:v>2024–2025</x:v>
      </x:c>
      <x:c r="AR225" s="2" t="str">
        <x:v>https://pubs.usgs.gov/periodicals/mcs2026/mcs2026.pdf</x:v>
      </x:c>
    </x:row>
    <x:row r="226" ht="240" customHeight="1">
      <x:c r="A226" s="2" t="str">
        <x:v>MIT-0219</x:v>
      </x:c>
      <x:c r="B226" s="2" t="str">
        <x:v>Mitigation</x:v>
      </x:c>
      <x:c r="C226" s="2" t="str">
        <x:v>Industry</x:v>
      </x:c>
      <x:c r="D226" s="2" t="str">
        <x:v>Construction</x:v>
      </x:c>
      <x:c r="E226" s="2" t="str">
        <x:v>Efficient brick kiln</x:v>
      </x:c>
      <x:c r="F226" s="2" t="str">
        <x:v>Efficient brick kiln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Efficient brick kiln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6" s="2" t="str">
        <x:v>Mixed: adaptable design, site-specific implementation</x:v>
      </x:c>
      <x:c r="H226" s="2" t="str">
        <x:v>Efficient brick kiln is adaptable in capacity and configuration but site-specific in final engineering. Its principle remains the same, but resource quality, climate, scale, interfaces and safety constraints must be recalculated for each deployment.</x:v>
      </x:c>
      <x:c r="I226" s="2" t="str">
        <x:v>Primarily hard, with a soft component</x:v>
      </x:c>
      <x:c r="J226" s="2" t="str">
        <x:v>Efficient brick kiln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6" s="2" t="str">
        <x:v>Equipment and operation</x:v>
      </x:c>
      <x:c r="L226" s="2" t="str">
        <x:v>Efficient brick kiln is embodied mainly as an equipment-and-operation system. The deliverable is accepted only when measurable service, quality, safety and climate-performance criteria are met under real conditions.</x:v>
      </x:c>
      <x:c r="M226" s="2" t="str">
        <x:v>Yes, subject to life-cycle safeguards</x:v>
      </x:c>
      <x:c r="N226" s="2" t="str">
        <x:v>Efficient brick kiln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6" s="2" t="str">
        <x:v>Efficient brick kiln: process reactors or furnaces, heat exchangers, motors and drives, compressors, burners, controls, pollution abatement, material handling and measurement equipment.</x:v>
      </x:c>
      <x:c r="P226" s="2" t="str">
        <x:v>Efficient brick kiln: process simulation, pinch and heat-integration analysis, advanced control, production scheduling, quality control, energy management and life-cycle assessment.</x:v>
      </x:c>
      <x:c r="Q226" s="2" t="str">
        <x:v>Efficient brick kiln: industrial permits, product standards, operating procedures, maintenance and competence systems, procurement, energy management and industrial-symbiosis agreements.</x:v>
      </x:c>
      <x:c r="R226" s="2" t="str">
        <x:v>Efficient brick kiln: industrial site, utilities, fuel and electricity supply, material storage, process buildings, laboratories, waste handling and logistics.</x:v>
      </x:c>
      <x:c r="S226" s="2" t="str">
        <x:v>Efficient brick kiln: electricity, steam, process heat, cooling and fuels; useful-energy efficiency, heat recovery and carbon intensity of supply determine savings.</x:v>
      </x:c>
      <x:c r="T226" s="2" t="str">
        <x:v>Efficient brick kiln: process feedstocks, steel and refractory materials, catalysts, solvents, lubricants, insulation, piping, sensors and technology-specific alloying elements.</x:v>
      </x:c>
      <x:c r="U226" s="2" t="str">
        <x:v>Efficient brick kiln: refractory linings, bearings, seals, valves, filters, burners, electrodes, sensors, control modules, lubricants and calibrated instruments.</x:v>
      </x:c>
      <x:c r="V226" s="2" t="str">
        <x:v>https://www.ctc-n.org/sites/default/files/resources/ctcn_taxonomy_0.pdf</x:v>
      </x:c>
      <x:c r="W226" s="2" t="str">
        <x:v>https://institutoagricoladepueblobello.edu.co/colegiapp/archivostemas/GUIA%209.%5B25%5D.pdf</x:v>
      </x:c>
      <x:c r="X226" s="2" t="str">
        <x:v>https://iiasa.ac.at/what-is-technology</x:v>
      </x:c>
      <x:c r="Y226" s="2" t="str">
        <x:v>https://www.ipcc.ch/report/ar6/wg3/chapter/chapter-11/</x:v>
      </x:c>
      <x:c r="Z226" s="2" t="str">
        <x:v>Technology-specific analytical synthesis. The CTCN hierarchy is retained; classifications and component dependencies require validation against the selected design, site and supplier documentation before investment or policy use.</x:v>
      </x:c>
      <x:c r="AA226" s="2" t="str">
        <x:v>Physical deployment of Efficient brick kiln requires industrial site, utilities, fuel and electricity supply, material storage, process buildings, laboratories, waste handling and logistics; interfaces, foundations, access and environmental protection are sized to the specific resource and design load.</x:v>
      </x:c>
      <x:c r="AB226" s="2" t="str">
        <x:v>For Efficient brick kiln,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6" s="2" t="str">
        <x:v>Construction and operation use process feedstocks, steel and refractory materials, catalysts, solvents, lubricants, insulation, piping, sensors and technology-specific alloying elements. For Efficient brick kiln, specifications must include durability, compatibility, recycled content and recoverability.</x:v>
      </x:c>
      <x:c r="AD226" s="2" t="str">
        <x:v>Maintenance of Efficient brick kiln depends on refractory linings, bearings, seals, valves, filters, burners, electrodes, sensors, control modules, lubricants and calibrated instruments; critical spares are selected from failure-mode, lead-time and safety analysis for its installed configuration.</x:v>
      </x:c>
      <x:c r="AE226" s="2" t="str">
        <x:v>The software stack for Efficient brick kiln requires databases, secure communications, version-controlled models, computing, backup and interfaces with field or operational systems.</x:v>
      </x:c>
      <x:c r="AF226" s="2" t="str">
        <x:v>For Efficient brick kiln, software-related energy is electricity for sensing, computing, storage, communication and cooling; it is normally secondary but must be included for data-intensive or continuous services.</x:v>
      </x:c>
      <x:c r="AG226" s="2" t="str">
        <x:v>The non-physical inputs are calibrated data, metadata, algorithms, boundary conditions, emission or hazard factors, manuals and validation records specific to Efficient brick kiln.</x:v>
      </x:c>
      <x:c r="AH226" s="2" t="str">
        <x:v>Software continuity for Efficient brick kiln requires licences where applicable, updates, cybersecurity patches, backups, calibration files, model validation and technical support.</x:v>
      </x:c>
      <x:c r="AI226" s="2" t="str">
        <x:v>Orgware depends on the institutions, laboratories, training providers, regulators, operators and community interfaces needed to govern Efficient brick kiln.</x:v>
      </x:c>
      <x:c r="AJ226" s="2" t="str">
        <x:v>The orgware supporting Efficient brick kiln has mainly indirect energy use from offices, meetings, training and information systems; travel and field supervision may be material at dispersed sites.</x:v>
      </x:c>
      <x:c r="AK226" s="2" t="str">
        <x:v>Its organisational inputs are permits, budgets, trained staff, competence records, contracts, procedures, safeguards, monitoring evidence and stakeholder agreements tailored to Efficient brick kiln.</x:v>
      </x:c>
      <x:c r="AL226" s="2" t="str">
        <x:v>Sustained implementation of Efficient brick kiln requires procurement and service contracts, audit protocols, training material, reporting templates, insurance or guarantees and periodic independent review.</x:v>
      </x:c>
      <x:c r="AM226" s="2" t="str">
        <x:v>Iron ore / steel inputs; Limestone / cement raw materials</x:v>
      </x:c>
      <x:c r="AN226" s="2" t="str">
        <x:v>Australia; Brazil; China; India; Vietnam</x:v>
      </x:c>
      <x:c r="AO226" s="2" t="str">
        <x:v>China; India; Japan; Vietnam</x:v>
      </x:c>
      <x:c r="AP226" s="2" t="str">
        <x:v>Efficient brick kiln: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6" s="2" t="str">
        <x:v>2024–2025</x:v>
      </x:c>
      <x:c r="AR226" s="2" t="str">
        <x:v>https://pubs.usgs.gov/periodicals/mcs2026/mcs2026.pdf</x:v>
      </x:c>
    </x:row>
    <x:row r="227" ht="240" customHeight="1">
      <x:c r="A227" s="2" t="str">
        <x:v>MIT-0220</x:v>
      </x:c>
      <x:c r="B227" s="2" t="str">
        <x:v>Mitigation</x:v>
      </x:c>
      <x:c r="C227" s="2" t="str">
        <x:v>Industry</x:v>
      </x:c>
      <x:c r="D227" s="2" t="str">
        <x:v>Construction</x:v>
      </x:c>
      <x:c r="E227" s="2" t="str">
        <x:v>Clinker replacement</x:v>
      </x:c>
      <x:c r="F227" s="2" t="str">
        <x:v>Clinker replacement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It substitutes part of Portland cement clinker with qualified supplementary cementitious material, lowering limestone calcination and kiln energy per tonne of cement while preserving required performance.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7" s="2" t="str">
        <x:v>Mixed: adaptable design, site-specific implementation</x:v>
      </x:c>
      <x:c r="H227" s="2" t="str">
        <x:v>Clinker replacement is adaptable in capacity and configuration but site-specific in final engineering. Its principle remains the same, but resource quality, climate, scale, interfaces and safety constraints must be recalculated for each deployment.</x:v>
      </x:c>
      <x:c r="I227" s="2" t="str">
        <x:v>Primarily hard, with a soft component</x:v>
      </x:c>
      <x:c r="J227" s="2" t="str">
        <x:v>Clinker replacement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7" s="2" t="str">
        <x:v>Equipment and operation</x:v>
      </x:c>
      <x:c r="L227" s="2" t="str">
        <x:v>Clinker replacement is embodied mainly as an equipment-and-operation system. The deliverable is accepted only when measurable service, quality, safety and climate-performance criteria are met under real conditions.</x:v>
      </x:c>
      <x:c r="M227" s="2" t="str">
        <x:v>Yes, subject to life-cycle safeguards</x:v>
      </x:c>
      <x:c r="N227" s="2" t="str">
        <x:v>Clinker replacement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7" s="2" t="str">
        <x:v>Clinker replacement: process reactors or furnaces, heat exchangers, motors and drives, compressors, burners, controls, pollution abatement, material handling and measurement equipment.</x:v>
      </x:c>
      <x:c r="P227" s="2" t="str">
        <x:v>Clinker replacement: process simulation, pinch and heat-integration analysis, advanced control, production scheduling, quality control, energy management and life-cycle assessment.</x:v>
      </x:c>
      <x:c r="Q227" s="2" t="str">
        <x:v>Clinker replacement: industrial permits, product standards, operating procedures, maintenance and competence systems, procurement, energy management and industrial-symbiosis agreements.</x:v>
      </x:c>
      <x:c r="R227" s="2" t="str">
        <x:v>Clinker replacement: industrial site, utilities, fuel and electricity supply, material storage, process buildings, laboratories, waste handling and logistics.</x:v>
      </x:c>
      <x:c r="S227" s="2" t="str">
        <x:v>Clinker replacement: electricity, steam, process heat, cooling and fuels; useful-energy efficiency, heat recovery and carbon intensity of supply determine savings.</x:v>
      </x:c>
      <x:c r="T227" s="2" t="str">
        <x:v>Clinker replacement: process feedstocks, steel and refractory materials, catalysts, solvents, lubricants, insulation, piping, sensors and technology-specific alloying elements.</x:v>
      </x:c>
      <x:c r="U227" s="2" t="str">
        <x:v>Clinker replacement: refractory linings, bearings, seals, valves, filters, burners, electrodes, sensors, control modules, lubricants and calibrated instruments.</x:v>
      </x:c>
      <x:c r="V227" s="2" t="str">
        <x:v>https://www.ctc-n.org/sites/default/files/resources/ctcn_taxonomy_0.pdf</x:v>
      </x:c>
      <x:c r="W227" s="2" t="str">
        <x:v>https://institutoagricoladepueblobello.edu.co/colegiapp/archivostemas/GUIA%209.%5B25%5D.pdf</x:v>
      </x:c>
      <x:c r="X227" s="2" t="str">
        <x:v>https://iiasa.ac.at/what-is-technology</x:v>
      </x:c>
      <x:c r="Y227" s="2" t="str">
        <x:v>https://www.ipcc.ch/report/ar6/wg3/chapter/chapter-11/</x:v>
      </x:c>
      <x:c r="Z227" s="2" t="str">
        <x:v>Technology-specific analytical synthesis. The CTCN hierarchy is retained; classifications and component dependencies require validation against the selected design, site and supplier documentation before investment or policy use.</x:v>
      </x:c>
      <x:c r="AA227" s="2" t="str">
        <x:v>Physical deployment of Clinker replacement requires industrial site, utilities, fuel and electricity supply, material storage, process buildings, laboratories, waste handling and logistics; interfaces, foundations, access and environmental protection are sized to the specific resource and design load.</x:v>
      </x:c>
      <x:c r="AB227" s="2" t="str">
        <x:v>For Clinker replacement,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7" s="2" t="str">
        <x:v>Construction and operation use process feedstocks, steel and refractory materials, catalysts, solvents, lubricants, insulation, piping, sensors and technology-specific alloying elements. For Clinker replacement, specifications must include durability, compatibility, recycled content and recoverability.</x:v>
      </x:c>
      <x:c r="AD227" s="2" t="str">
        <x:v>Maintenance of Clinker replacement depends on refractory linings, bearings, seals, valves, filters, burners, electrodes, sensors, control modules, lubricants and calibrated instruments; critical spares are selected from failure-mode, lead-time and safety analysis for its installed configuration.</x:v>
      </x:c>
      <x:c r="AE227" s="2" t="str">
        <x:v>The software stack for Clinker replacement requires databases, secure communications, version-controlled models, computing, backup and interfaces with field or operational systems.</x:v>
      </x:c>
      <x:c r="AF227" s="2" t="str">
        <x:v>For Clinker replacement, software-related energy is electricity for sensing, computing, storage, communication and cooling; it is normally secondary but must be included for data-intensive or continuous services.</x:v>
      </x:c>
      <x:c r="AG227" s="2" t="str">
        <x:v>The non-physical inputs are calibrated data, metadata, algorithms, boundary conditions, emission or hazard factors, manuals and validation records specific to Clinker replacement.</x:v>
      </x:c>
      <x:c r="AH227" s="2" t="str">
        <x:v>Software continuity for Clinker replacement requires licences where applicable, updates, cybersecurity patches, backups, calibration files, model validation and technical support.</x:v>
      </x:c>
      <x:c r="AI227" s="2" t="str">
        <x:v>Orgware depends on the institutions, laboratories, training providers, regulators, operators and community interfaces needed to govern Clinker replacement.</x:v>
      </x:c>
      <x:c r="AJ227" s="2" t="str">
        <x:v>The orgware supporting Clinker replacement has mainly indirect energy use from offices, meetings, training and information systems; travel and field supervision may be material at dispersed sites.</x:v>
      </x:c>
      <x:c r="AK227" s="2" t="str">
        <x:v>Its organisational inputs are permits, budgets, trained staff, competence records, contracts, procedures, safeguards, monitoring evidence and stakeholder agreements tailored to Clinker replacement.</x:v>
      </x:c>
      <x:c r="AL227" s="2" t="str">
        <x:v>Sustained implementation of Clinker replacement requires procurement and service contracts, audit protocols, training material, reporting templates, insurance or guarantees and periodic independent review.</x:v>
      </x:c>
      <x:c r="AM227" s="2" t="str">
        <x:v>Iron ore / steel inputs; Nickel; Chromium; Limestone / cement raw materials</x:v>
      </x:c>
      <x:c r="AN227" s="2" t="str">
        <x:v>Australia; Brazil; China; Indonesia; Philippines; Russia; South Africa; Kazakhstan; Turkey; India; Vietnam</x:v>
      </x:c>
      <x:c r="AO227" s="2" t="str">
        <x:v>China; India; Japan; Indonesia; South Africa; Kazakhstan; Vietnam</x:v>
      </x:c>
      <x:c r="AP227" s="2" t="str">
        <x:v>Clinker replacement: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7" s="2" t="str">
        <x:v>2024–2025</x:v>
      </x:c>
      <x:c r="AR227" s="2" t="str">
        <x:v>https://pubs.usgs.gov/periodicals/mcs2026/mcs2026.pdf; https://www.iea.org/reports/global-critical-minerals-outlook-2025</x:v>
      </x:c>
    </x:row>
    <x:row r="228" ht="240" customHeight="1">
      <x:c r="A228" s="2" t="str">
        <x:v>MIT-0221</x:v>
      </x:c>
      <x:c r="B228" s="2" t="str">
        <x:v>Mitigation</x:v>
      </x:c>
      <x:c r="C228" s="2" t="str">
        <x:v>Industry</x:v>
      </x:c>
      <x:c r="D228" s="2" t="str">
        <x:v>Construction</x:v>
      </x:c>
      <x:c r="E228" s="2" t="str">
        <x:v>CCS from cement production</x:v>
      </x:c>
      <x:c r="F228" s="2" t="str">
        <x:v>CCS from cement production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CCS from cement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8" s="2" t="str">
        <x:v>Mixed: adaptable design, site-specific implementation</x:v>
      </x:c>
      <x:c r="H228" s="2" t="str">
        <x:v>CCS from cement production is adaptable in capacity and configuration but site-specific in final engineering. Its principle remains the same, but resource quality, climate, scale, interfaces and safety constraints must be recalculated for each deployment.</x:v>
      </x:c>
      <x:c r="I228" s="2" t="str">
        <x:v>Primarily hard, with a soft component</x:v>
      </x:c>
      <x:c r="J228" s="2" t="str">
        <x:v>CCS from cement production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8" s="2" t="str">
        <x:v>Equipment and operation</x:v>
      </x:c>
      <x:c r="L228" s="2" t="str">
        <x:v>CCS from cement production is embodied mainly as an equipment-and-operation system. The deliverable is accepted only when measurable service, quality, safety and climate-performance criteria are met under real conditions.</x:v>
      </x:c>
      <x:c r="M228" s="2" t="str">
        <x:v>Yes, subject to life-cycle safeguards</x:v>
      </x:c>
      <x:c r="N228" s="2" t="str">
        <x:v>CCS from cement production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8" s="2" t="str">
        <x:v>CCS from cement production: process reactors or furnaces, heat exchangers, motors and drives, compressors, burners, controls, pollution abatement, material handling and measurement equipment.</x:v>
      </x:c>
      <x:c r="P228" s="2" t="str">
        <x:v>CCS from cement production: process simulation, pinch and heat-integration analysis, advanced control, production scheduling, quality control, energy management and life-cycle assessment.</x:v>
      </x:c>
      <x:c r="Q228" s="2" t="str">
        <x:v>CCS from cement production: industrial permits, product standards, operating procedures, maintenance and competence systems, procurement, energy management and industrial-symbiosis agreements.</x:v>
      </x:c>
      <x:c r="R228" s="2" t="str">
        <x:v>CCS from cement production: industrial site, utilities, fuel and electricity supply, material storage, process buildings, laboratories, waste handling and logistics.</x:v>
      </x:c>
      <x:c r="S228" s="2" t="str">
        <x:v>CCS from cement production: electricity, steam, process heat, cooling and fuels; useful-energy efficiency, heat recovery and carbon intensity of supply determine savings.</x:v>
      </x:c>
      <x:c r="T228" s="2" t="str">
        <x:v>CCS from cement production: process feedstocks, steel and refractory materials, catalysts, solvents, lubricants, insulation, piping, sensors and technology-specific alloying elements.</x:v>
      </x:c>
      <x:c r="U228" s="2" t="str">
        <x:v>CCS from cement production: refractory linings, bearings, seals, valves, filters, burners, electrodes, sensors, control modules, lubricants and calibrated instruments.</x:v>
      </x:c>
      <x:c r="V228" s="2" t="str">
        <x:v>https://www.ctc-n.org/sites/default/files/resources/ctcn_taxonomy_0.pdf</x:v>
      </x:c>
      <x:c r="W228" s="2" t="str">
        <x:v>https://institutoagricoladepueblobello.edu.co/colegiapp/archivostemas/GUIA%209.%5B25%5D.pdf</x:v>
      </x:c>
      <x:c r="X228" s="2" t="str">
        <x:v>https://iiasa.ac.at/what-is-technology</x:v>
      </x:c>
      <x:c r="Y228" s="2" t="str">
        <x:v>https://www.ipcc.ch/report/ar6/wg3/chapter/chapter-11/</x:v>
      </x:c>
      <x:c r="Z228" s="2" t="str">
        <x:v>Technology-specific analytical synthesis. The CTCN hierarchy is retained; classifications and component dependencies require validation against the selected design, site and supplier documentation before investment or policy use.</x:v>
      </x:c>
      <x:c r="AA228" s="2" t="str">
        <x:v>Physical deployment of CCS from cement production requires industrial site, utilities, fuel and electricity supply, material storage, process buildings, laboratories, waste handling and logistics; interfaces, foundations, access and environmental protection are sized to the specific resource and design load.</x:v>
      </x:c>
      <x:c r="AB228" s="2" t="str">
        <x:v>For CCS from cement production,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8" s="2" t="str">
        <x:v>Construction and operation use process feedstocks, steel and refractory materials, catalysts, solvents, lubricants, insulation, piping, sensors and technology-specific alloying elements. For CCS from cement production, specifications must include durability, compatibility, recycled content and recoverability.</x:v>
      </x:c>
      <x:c r="AD228" s="2" t="str">
        <x:v>Maintenance of CCS from cement production depends on refractory linings, bearings, seals, valves, filters, burners, electrodes, sensors, control modules, lubricants and calibrated instruments; critical spares are selected from failure-mode, lead-time and safety analysis for its installed configuration.</x:v>
      </x:c>
      <x:c r="AE228" s="2" t="str">
        <x:v>The software stack for CCS from cement production requires databases, secure communications, version-controlled models, computing, backup and interfaces with field or operational systems.</x:v>
      </x:c>
      <x:c r="AF228" s="2" t="str">
        <x:v>For CCS from cement production, software-related energy is electricity for sensing, computing, storage, communication and cooling; it is normally secondary but must be included for data-intensive or continuous services.</x:v>
      </x:c>
      <x:c r="AG228" s="2" t="str">
        <x:v>The non-physical inputs are calibrated data, metadata, algorithms, boundary conditions, emission or hazard factors, manuals and validation records specific to CCS from cement production.</x:v>
      </x:c>
      <x:c r="AH228" s="2" t="str">
        <x:v>Software continuity for CCS from cement production requires licences where applicable, updates, cybersecurity patches, backups, calibration files, model validation and technical support.</x:v>
      </x:c>
      <x:c r="AI228" s="2" t="str">
        <x:v>Orgware depends on the institutions, laboratories, training providers, regulators, operators and community interfaces needed to govern CCS from cement production.</x:v>
      </x:c>
      <x:c r="AJ228" s="2" t="str">
        <x:v>The orgware supporting CCS from cement production has mainly indirect energy use from offices, meetings, training and information systems; travel and field supervision may be material at dispersed sites.</x:v>
      </x:c>
      <x:c r="AK228" s="2" t="str">
        <x:v>Its organisational inputs are permits, budgets, trained staff, competence records, contracts, procedures, safeguards, monitoring evidence and stakeholder agreements tailored to CCS from cement production.</x:v>
      </x:c>
      <x:c r="AL228" s="2" t="str">
        <x:v>Sustained implementation of CCS from cement production requires procurement and service contracts, audit protocols, training material, reporting templates, insurance or guarantees and periodic independent review.</x:v>
      </x:c>
      <x:c r="AM228" s="2" t="str">
        <x:v>Iron ore / steel inputs; Nickel; Chromium; Limestone / cement raw materials</x:v>
      </x:c>
      <x:c r="AN228" s="2" t="str">
        <x:v>Australia; Brazil; China; Indonesia; Philippines; Russia; South Africa; Kazakhstan; Turkey; India; Vietnam</x:v>
      </x:c>
      <x:c r="AO228" s="2" t="str">
        <x:v>China; India; Japan; Indonesia; South Africa; Kazakhstan; Vietnam</x:v>
      </x:c>
      <x:c r="AP228" s="2" t="str">
        <x:v>CCS from cement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8" s="2" t="str">
        <x:v>2024–2025</x:v>
      </x:c>
      <x:c r="AR228" s="2" t="str">
        <x:v>https://pubs.usgs.gov/periodicals/mcs2026/mcs2026.pdf; https://www.iea.org/reports/global-critical-minerals-outlook-2025</x:v>
      </x:c>
    </x:row>
    <x:row r="229" ht="240" customHeight="1">
      <x:c r="A229" s="2" t="str">
        <x:v>MIT-0222</x:v>
      </x:c>
      <x:c r="B229" s="2" t="str">
        <x:v>Mitigation</x:v>
      </x:c>
      <x:c r="C229" s="2" t="str">
        <x:v>Industry</x:v>
      </x:c>
      <x:c r="D229" s="2" t="str">
        <x:v>Construction</x:v>
      </x:c>
      <x:c r="E229" s="2" t="str">
        <x:v>Cement production</x:v>
      </x:c>
      <x:c r="F229" s="2" t="str">
        <x:v>Cement production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Cement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29" s="2" t="str">
        <x:v>Mixed: adaptable design, site-specific implementation</x:v>
      </x:c>
      <x:c r="H229" s="2" t="str">
        <x:v>Cement production is adaptable in capacity and configuration but site-specific in final engineering. Its principle remains the same, but resource quality, climate, scale, interfaces and safety constraints must be recalculated for each deployment.</x:v>
      </x:c>
      <x:c r="I229" s="2" t="str">
        <x:v>Primarily hard, with a soft component</x:v>
      </x:c>
      <x:c r="J229" s="2" t="str">
        <x:v>Cement production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29" s="2" t="str">
        <x:v>Equipment and operation</x:v>
      </x:c>
      <x:c r="L229" s="2" t="str">
        <x:v>Cement production is embodied mainly as an equipment-and-operation system. The deliverable is accepted only when measurable service, quality, safety and climate-performance criteria are met under real conditions.</x:v>
      </x:c>
      <x:c r="M229" s="2" t="str">
        <x:v>Yes, subject to life-cycle safeguards</x:v>
      </x:c>
      <x:c r="N229" s="2" t="str">
        <x:v>Cement production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29" s="2" t="str">
        <x:v>Cement production: process reactors or furnaces, heat exchangers, motors and drives, compressors, burners, controls, pollution abatement, material handling and measurement equipment.</x:v>
      </x:c>
      <x:c r="P229" s="2" t="str">
        <x:v>Cement production: process simulation, pinch and heat-integration analysis, advanced control, production scheduling, quality control, energy management and life-cycle assessment.</x:v>
      </x:c>
      <x:c r="Q229" s="2" t="str">
        <x:v>Cement production: industrial permits, product standards, operating procedures, maintenance and competence systems, procurement, energy management and industrial-symbiosis agreements.</x:v>
      </x:c>
      <x:c r="R229" s="2" t="str">
        <x:v>Cement production: industrial site, utilities, fuel and electricity supply, material storage, process buildings, laboratories, waste handling and logistics.</x:v>
      </x:c>
      <x:c r="S229" s="2" t="str">
        <x:v>Cement production: electricity, steam, process heat, cooling and fuels; useful-energy efficiency, heat recovery and carbon intensity of supply determine savings.</x:v>
      </x:c>
      <x:c r="T229" s="2" t="str">
        <x:v>Cement production: process feedstocks, steel and refractory materials, catalysts, solvents, lubricants, insulation, piping, sensors and technology-specific alloying elements.</x:v>
      </x:c>
      <x:c r="U229" s="2" t="str">
        <x:v>Cement production: refractory linings, bearings, seals, valves, filters, burners, electrodes, sensors, control modules, lubricants and calibrated instruments.</x:v>
      </x:c>
      <x:c r="V229" s="2" t="str">
        <x:v>https://www.ctc-n.org/sites/default/files/resources/ctcn_taxonomy_0.pdf</x:v>
      </x:c>
      <x:c r="W229" s="2" t="str">
        <x:v>https://institutoagricoladepueblobello.edu.co/colegiapp/archivostemas/GUIA%209.%5B25%5D.pdf</x:v>
      </x:c>
      <x:c r="X229" s="2" t="str">
        <x:v>https://iiasa.ac.at/what-is-technology</x:v>
      </x:c>
      <x:c r="Y229" s="2" t="str">
        <x:v>https://www.ipcc.ch/report/ar6/wg3/chapter/chapter-11/</x:v>
      </x:c>
      <x:c r="Z229" s="2" t="str">
        <x:v>Technology-specific analytical synthesis. The CTCN hierarchy is retained; classifications and component dependencies require validation against the selected design, site and supplier documentation before investment or policy use.</x:v>
      </x:c>
      <x:c r="AA229" s="2" t="str">
        <x:v>Physical deployment of Cement production requires industrial site, utilities, fuel and electricity supply, material storage, process buildings, laboratories, waste handling and logistics; interfaces, foundations, access and environmental protection are sized to the specific resource and design load.</x:v>
      </x:c>
      <x:c r="AB229" s="2" t="str">
        <x:v>For Cement production,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29" s="2" t="str">
        <x:v>Construction and operation use process feedstocks, steel and refractory materials, catalysts, solvents, lubricants, insulation, piping, sensors and technology-specific alloying elements. For Cement production, specifications must include durability, compatibility, recycled content and recoverability.</x:v>
      </x:c>
      <x:c r="AD229" s="2" t="str">
        <x:v>Maintenance of Cement production depends on refractory linings, bearings, seals, valves, filters, burners, electrodes, sensors, control modules, lubricants and calibrated instruments; critical spares are selected from failure-mode, lead-time and safety analysis for its installed configuration.</x:v>
      </x:c>
      <x:c r="AE229" s="2" t="str">
        <x:v>The software stack for Cement production requires databases, secure communications, version-controlled models, computing, backup and interfaces with field or operational systems.</x:v>
      </x:c>
      <x:c r="AF229" s="2" t="str">
        <x:v>For Cement production, software-related energy is electricity for sensing, computing, storage, communication and cooling; it is normally secondary but must be included for data-intensive or continuous services.</x:v>
      </x:c>
      <x:c r="AG229" s="2" t="str">
        <x:v>The non-physical inputs are calibrated data, metadata, algorithms, boundary conditions, emission or hazard factors, manuals and validation records specific to Cement production.</x:v>
      </x:c>
      <x:c r="AH229" s="2" t="str">
        <x:v>Software continuity for Cement production requires licences where applicable, updates, cybersecurity patches, backups, calibration files, model validation and technical support.</x:v>
      </x:c>
      <x:c r="AI229" s="2" t="str">
        <x:v>Orgware depends on the institutions, laboratories, training providers, regulators, operators and community interfaces needed to govern Cement production.</x:v>
      </x:c>
      <x:c r="AJ229" s="2" t="str">
        <x:v>The orgware supporting Cement production has mainly indirect energy use from offices, meetings, training and information systems; travel and field supervision may be material at dispersed sites.</x:v>
      </x:c>
      <x:c r="AK229" s="2" t="str">
        <x:v>Its organisational inputs are permits, budgets, trained staff, competence records, contracts, procedures, safeguards, monitoring evidence and stakeholder agreements tailored to Cement production.</x:v>
      </x:c>
      <x:c r="AL229" s="2" t="str">
        <x:v>Sustained implementation of Cement production requires procurement and service contracts, audit protocols, training material, reporting templates, insurance or guarantees and periodic independent review.</x:v>
      </x:c>
      <x:c r="AM229" s="2" t="str">
        <x:v>Iron ore / steel inputs; Nickel; Chromium; Limestone / cement raw materials</x:v>
      </x:c>
      <x:c r="AN229" s="2" t="str">
        <x:v>Australia; Brazil; China; Indonesia; Philippines; Russia; South Africa; Kazakhstan; Turkey; India; Vietnam</x:v>
      </x:c>
      <x:c r="AO229" s="2" t="str">
        <x:v>China; India; Japan; Indonesia; South Africa; Kazakhstan; Vietnam</x:v>
      </x:c>
      <x:c r="AP229" s="2" t="str">
        <x:v>Cement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9" s="2" t="str">
        <x:v>2024–2025</x:v>
      </x:c>
      <x:c r="AR229" s="2" t="str">
        <x:v>https://pubs.usgs.gov/periodicals/mcs2026/mcs2026.pdf; https://www.iea.org/reports/global-critical-minerals-outlook-2025</x:v>
      </x:c>
    </x:row>
    <x:row r="230" ht="240" customHeight="1">
      <x:c r="A230" s="2" t="str">
        <x:v>MIT-0223</x:v>
      </x:c>
      <x:c r="B230" s="2" t="str">
        <x:v>Mitigation</x:v>
      </x:c>
      <x:c r="C230" s="2" t="str">
        <x:v>Industry</x:v>
      </x:c>
      <x:c r="D230" s="2" t="str">
        <x:v>Construction</x:v>
      </x:c>
      <x:c r="E230" s="2" t="str">
        <x:v>Cement heat</x:v>
      </x:c>
      <x:c r="F230" s="2" t="str">
        <x:v>Cement heat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Cement heat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0" s="2" t="str">
        <x:v>Mixed: adaptable design, site-specific implementation</x:v>
      </x:c>
      <x:c r="H230" s="2" t="str">
        <x:v>Cement heat is adaptable in capacity and configuration but site-specific in final engineering. Its principle remains the same, but resource quality, climate, scale, interfaces and safety constraints must be recalculated for each deployment.</x:v>
      </x:c>
      <x:c r="I230" s="2" t="str">
        <x:v>Primarily hard, with a soft component</x:v>
      </x:c>
      <x:c r="J230" s="2" t="str">
        <x:v>Cement heat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0" s="2" t="str">
        <x:v>Equipment and operation</x:v>
      </x:c>
      <x:c r="L230" s="2" t="str">
        <x:v>Cement heat is embodied mainly as an equipment-and-operation system. The deliverable is accepted only when measurable service, quality, safety and climate-performance criteria are met under real conditions.</x:v>
      </x:c>
      <x:c r="M230" s="2" t="str">
        <x:v>Yes, subject to life-cycle safeguards</x:v>
      </x:c>
      <x:c r="N230" s="2" t="str">
        <x:v>Cement heat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0" s="2" t="str">
        <x:v>Cement heat: process reactors or furnaces, heat exchangers, motors and drives, compressors, burners, controls, pollution abatement, material handling and measurement equipment.</x:v>
      </x:c>
      <x:c r="P230" s="2" t="str">
        <x:v>Cement heat: process simulation, pinch and heat-integration analysis, advanced control, production scheduling, quality control, energy management and life-cycle assessment.</x:v>
      </x:c>
      <x:c r="Q230" s="2" t="str">
        <x:v>Cement heat: industrial permits, product standards, operating procedures, maintenance and competence systems, procurement, energy management and industrial-symbiosis agreements.</x:v>
      </x:c>
      <x:c r="R230" s="2" t="str">
        <x:v>Cement heat: industrial site, utilities, fuel and electricity supply, material storage, process buildings, laboratories, waste handling and logistics.</x:v>
      </x:c>
      <x:c r="S230" s="2" t="str">
        <x:v>Cement heat: electricity, steam, process heat, cooling and fuels; useful-energy efficiency, heat recovery and carbon intensity of supply determine savings.</x:v>
      </x:c>
      <x:c r="T230" s="2" t="str">
        <x:v>Cement heat: process feedstocks, steel and refractory materials, catalysts, solvents, lubricants, insulation, piping, sensors and technology-specific alloying elements.</x:v>
      </x:c>
      <x:c r="U230" s="2" t="str">
        <x:v>Cement heat: refractory linings, bearings, seals, valves, filters, burners, electrodes, sensors, control modules, lubricants and calibrated instruments.</x:v>
      </x:c>
      <x:c r="V230" s="2" t="str">
        <x:v>https://www.ctc-n.org/sites/default/files/resources/ctcn_taxonomy_0.pdf</x:v>
      </x:c>
      <x:c r="W230" s="2" t="str">
        <x:v>https://institutoagricoladepueblobello.edu.co/colegiapp/archivostemas/GUIA%209.%5B25%5D.pdf</x:v>
      </x:c>
      <x:c r="X230" s="2" t="str">
        <x:v>https://iiasa.ac.at/what-is-technology</x:v>
      </x:c>
      <x:c r="Y230" s="2" t="str">
        <x:v>https://www.ipcc.ch/report/ar6/wg3/chapter/chapter-11/</x:v>
      </x:c>
      <x:c r="Z230" s="2" t="str">
        <x:v>Technology-specific analytical synthesis. The CTCN hierarchy is retained; classifications and component dependencies require validation against the selected design, site and supplier documentation before investment or policy use.</x:v>
      </x:c>
      <x:c r="AA230" s="2" t="str">
        <x:v>Physical deployment of Cement heat requires industrial site, utilities, fuel and electricity supply, material storage, process buildings, laboratories, waste handling and logistics; interfaces, foundations, access and environmental protection are sized to the specific resource and design load.</x:v>
      </x:c>
      <x:c r="AB230" s="2" t="str">
        <x:v>For Cement heat,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0" s="2" t="str">
        <x:v>Construction and operation use process feedstocks, steel and refractory materials, catalysts, solvents, lubricants, insulation, piping, sensors and technology-specific alloying elements. For Cement heat, specifications must include durability, compatibility, recycled content and recoverability.</x:v>
      </x:c>
      <x:c r="AD230" s="2" t="str">
        <x:v>Maintenance of Cement heat depends on refractory linings, bearings, seals, valves, filters, burners, electrodes, sensors, control modules, lubricants and calibrated instruments; critical spares are selected from failure-mode, lead-time and safety analysis for its installed configuration.</x:v>
      </x:c>
      <x:c r="AE230" s="2" t="str">
        <x:v>The software stack for Cement heat requires databases, secure communications, version-controlled models, computing, backup and interfaces with field or operational systems.</x:v>
      </x:c>
      <x:c r="AF230" s="2" t="str">
        <x:v>For Cement heat, software-related energy is electricity for sensing, computing, storage, communication and cooling; it is normally secondary but must be included for data-intensive or continuous services.</x:v>
      </x:c>
      <x:c r="AG230" s="2" t="str">
        <x:v>The non-physical inputs are calibrated data, metadata, algorithms, boundary conditions, emission or hazard factors, manuals and validation records specific to Cement heat.</x:v>
      </x:c>
      <x:c r="AH230" s="2" t="str">
        <x:v>Software continuity for Cement heat requires licences where applicable, updates, cybersecurity patches, backups, calibration files, model validation and technical support.</x:v>
      </x:c>
      <x:c r="AI230" s="2" t="str">
        <x:v>Orgware depends on the institutions, laboratories, training providers, regulators, operators and community interfaces needed to govern Cement heat.</x:v>
      </x:c>
      <x:c r="AJ230" s="2" t="str">
        <x:v>The orgware supporting Cement heat has mainly indirect energy use from offices, meetings, training and information systems; travel and field supervision may be material at dispersed sites.</x:v>
      </x:c>
      <x:c r="AK230" s="2" t="str">
        <x:v>Its organisational inputs are permits, budgets, trained staff, competence records, contracts, procedures, safeguards, monitoring evidence and stakeholder agreements tailored to Cement heat.</x:v>
      </x:c>
      <x:c r="AL230" s="2" t="str">
        <x:v>Sustained implementation of Cement heat requires procurement and service contracts, audit protocols, training material, reporting templates, insurance or guarantees and periodic independent review.</x:v>
      </x:c>
      <x:c r="AM230" s="2" t="str">
        <x:v>Iron ore / steel inputs; Nickel; Chromium; Limestone / cement raw materials</x:v>
      </x:c>
      <x:c r="AN230" s="2" t="str">
        <x:v>Australia; Brazil; China; Indonesia; Philippines; Russia; South Africa; Kazakhstan; Turkey; India; Vietnam</x:v>
      </x:c>
      <x:c r="AO230" s="2" t="str">
        <x:v>China; India; Japan; Indonesia; South Africa; Kazakhstan; Vietnam</x:v>
      </x:c>
      <x:c r="AP230" s="2" t="str">
        <x:v>Cement heat: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0" s="2" t="str">
        <x:v>2024–2025</x:v>
      </x:c>
      <x:c r="AR230" s="2" t="str">
        <x:v>https://pubs.usgs.gov/periodicals/mcs2026/mcs2026.pdf; https://www.iea.org/reports/global-critical-minerals-outlook-2025</x:v>
      </x:c>
    </x:row>
    <x:row r="231" ht="240" customHeight="1">
      <x:c r="A231" s="2" t="str">
        <x:v>MIT-0224</x:v>
      </x:c>
      <x:c r="B231" s="2" t="str">
        <x:v>Mitigation</x:v>
      </x:c>
      <x:c r="C231" s="2" t="str">
        <x:v>Industry</x:v>
      </x:c>
      <x:c r="D231" s="2" t="str">
        <x:v>Construction</x:v>
      </x:c>
      <x:c r="E231" s="2" t="str">
        <x:v>Glass production</x:v>
      </x:c>
      <x:c r="F231" s="2" t="str">
        <x:v>Glass production is a mitigation technology in the Industry sector and the Construction technology group. It is defined as a combined hardware–software–orgware system that changes industrial chemistry, heat integration, equipment efficiency, material yield, fuel, process route or product design to reduce direct and energy-related emissions per unit of output. Glass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1" s="2" t="str">
        <x:v>Mixed: adaptable design, site-specific implementation</x:v>
      </x:c>
      <x:c r="H231" s="2" t="str">
        <x:v>Glass production is adaptable in capacity and configuration but site-specific in final engineering. Its principle remains the same, but resource quality, climate, scale, interfaces and safety constraints must be recalculated for each deployment.</x:v>
      </x:c>
      <x:c r="I231" s="2" t="str">
        <x:v>Primarily hard, with a soft component</x:v>
      </x:c>
      <x:c r="J231" s="2" t="str">
        <x:v>Glass production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1" s="2" t="str">
        <x:v>Equipment and operation</x:v>
      </x:c>
      <x:c r="L231" s="2" t="str">
        <x:v>Glass production is embodied mainly as an equipment-and-operation system. The deliverable is accepted only when measurable service, quality, safety and climate-performance criteria are met under real conditions.</x:v>
      </x:c>
      <x:c r="M231" s="2" t="str">
        <x:v>Yes, subject to life-cycle safeguards</x:v>
      </x:c>
      <x:c r="N231" s="2" t="str">
        <x:v>Glass production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1" s="2" t="str">
        <x:v>Glass production: process reactors or furnaces, heat exchangers, motors and drives, compressors, burners, controls, pollution abatement, material handling and measurement equipment.</x:v>
      </x:c>
      <x:c r="P231" s="2" t="str">
        <x:v>Glass production: process simulation, pinch and heat-integration analysis, advanced control, production scheduling, quality control, energy management and life-cycle assessment.</x:v>
      </x:c>
      <x:c r="Q231" s="2" t="str">
        <x:v>Glass production: industrial permits, product standards, operating procedures, maintenance and competence systems, procurement, energy management and industrial-symbiosis agreements.</x:v>
      </x:c>
      <x:c r="R231" s="2" t="str">
        <x:v>Glass production: industrial site, utilities, fuel and electricity supply, material storage, process buildings, laboratories, waste handling and logistics.</x:v>
      </x:c>
      <x:c r="S231" s="2" t="str">
        <x:v>Glass production: electricity, steam, process heat, cooling and fuels; useful-energy efficiency, heat recovery and carbon intensity of supply determine savings.</x:v>
      </x:c>
      <x:c r="T231" s="2" t="str">
        <x:v>Glass production: process feedstocks, steel and refractory materials, catalysts, solvents, lubricants, insulation, piping, sensors and technology-specific alloying elements.</x:v>
      </x:c>
      <x:c r="U231" s="2" t="str">
        <x:v>Glass production: refractory linings, bearings, seals, valves, filters, burners, electrodes, sensors, control modules, lubricants and calibrated instruments.</x:v>
      </x:c>
      <x:c r="V231" s="2" t="str">
        <x:v>https://www.ctc-n.org/sites/default/files/resources/ctcn_taxonomy_0.pdf</x:v>
      </x:c>
      <x:c r="W231" s="2" t="str">
        <x:v>https://institutoagricoladepueblobello.edu.co/colegiapp/archivostemas/GUIA%209.%5B25%5D.pdf</x:v>
      </x:c>
      <x:c r="X231" s="2" t="str">
        <x:v>https://iiasa.ac.at/what-is-technology</x:v>
      </x:c>
      <x:c r="Y231" s="2" t="str">
        <x:v>https://www.ipcc.ch/report/ar6/wg3/chapter/chapter-11/</x:v>
      </x:c>
      <x:c r="Z231" s="2" t="str">
        <x:v>Technology-specific analytical synthesis. The CTCN hierarchy is retained; classifications and component dependencies require validation against the selected design, site and supplier documentation before investment or policy use.</x:v>
      </x:c>
      <x:c r="AA231" s="2" t="str">
        <x:v>Physical deployment of Glass production requires industrial site, utilities, fuel and electricity supply, material storage, process buildings, laboratories, waste handling and logistics; interfaces, foundations, access and environmental protection are sized to the specific resource and design load.</x:v>
      </x:c>
      <x:c r="AB231" s="2" t="str">
        <x:v>For Glass production,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1" s="2" t="str">
        <x:v>Construction and operation use process feedstocks, steel and refractory materials, catalysts, solvents, lubricants, insulation, piping, sensors and technology-specific alloying elements. For Glass production, specifications must include durability, compatibility, recycled content and recoverability.</x:v>
      </x:c>
      <x:c r="AD231" s="2" t="str">
        <x:v>Maintenance of Glass production depends on refractory linings, bearings, seals, valves, filters, burners, electrodes, sensors, control modules, lubricants and calibrated instruments; critical spares are selected from failure-mode, lead-time and safety analysis for its installed configuration.</x:v>
      </x:c>
      <x:c r="AE231" s="2" t="str">
        <x:v>The software stack for Glass production requires databases, secure communications, version-controlled models, computing, backup and interfaces with field or operational systems.</x:v>
      </x:c>
      <x:c r="AF231" s="2" t="str">
        <x:v>For Glass production, software-related energy is electricity for sensing, computing, storage, communication and cooling; it is normally secondary but must be included for data-intensive or continuous services.</x:v>
      </x:c>
      <x:c r="AG231" s="2" t="str">
        <x:v>The non-physical inputs are calibrated data, metadata, algorithms, boundary conditions, emission or hazard factors, manuals and validation records specific to Glass production.</x:v>
      </x:c>
      <x:c r="AH231" s="2" t="str">
        <x:v>Software continuity for Glass production requires licences where applicable, updates, cybersecurity patches, backups, calibration files, model validation and technical support.</x:v>
      </x:c>
      <x:c r="AI231" s="2" t="str">
        <x:v>Orgware depends on the institutions, laboratories, training providers, regulators, operators and community interfaces needed to govern Glass production.</x:v>
      </x:c>
      <x:c r="AJ231" s="2" t="str">
        <x:v>The orgware supporting Glass production has mainly indirect energy use from offices, meetings, training and information systems; travel and field supervision may be material at dispersed sites.</x:v>
      </x:c>
      <x:c r="AK231" s="2" t="str">
        <x:v>Its organisational inputs are permits, budgets, trained staff, competence records, contracts, procedures, safeguards, monitoring evidence and stakeholder agreements tailored to Glass production.</x:v>
      </x:c>
      <x:c r="AL231" s="2" t="str">
        <x:v>Sustained implementation of Glass production requires procurement and service contracts, audit protocols, training material, reporting templates, insurance or guarantees and periodic independent review.</x:v>
      </x:c>
      <x:c r="AM231" s="2" t="str">
        <x:v>Iron ore / steel inputs; Limestone / cement raw materials</x:v>
      </x:c>
      <x:c r="AN231" s="2" t="str">
        <x:v>Australia; Brazil; China; India; Vietnam</x:v>
      </x:c>
      <x:c r="AO231" s="2" t="str">
        <x:v>China; India; Japan; Vietnam</x:v>
      </x:c>
      <x:c r="AP231" s="2" t="str">
        <x:v>Glass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1" s="2" t="str">
        <x:v>2024–2025</x:v>
      </x:c>
      <x:c r="AR231" s="2" t="str">
        <x:v>https://pubs.usgs.gov/periodicals/mcs2026/mcs2026.pdf</x:v>
      </x:c>
    </x:row>
    <x:row r="232" ht="240" customHeight="1">
      <x:c r="A232" s="2" t="str">
        <x:v>MIT-0225</x:v>
      </x:c>
      <x:c r="B232" s="2" t="str">
        <x:v>Mitigation</x:v>
      </x:c>
      <x:c r="C232" s="2" t="str">
        <x:v>Industry</x:v>
      </x:c>
      <x:c r="D232" s="2" t="str">
        <x:v>Manufacturing industry</x:v>
      </x:c>
      <x:c r="E232" s="2" t="str">
        <x:v>Machinery</x:v>
      </x:c>
      <x:c r="F232" s="2" t="str">
        <x:v>Machinery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Machinery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2" s="2" t="str">
        <x:v>Mixed: adaptable design, site-specific implementation</x:v>
      </x:c>
      <x:c r="H232" s="2" t="str">
        <x:v>Machinery is adaptable in capacity and configuration but site-specific in final engineering. Its principle remains the same, but resource quality, climate, scale, interfaces and safety constraints must be recalculated for each deployment.</x:v>
      </x:c>
      <x:c r="I232" s="2" t="str">
        <x:v>Primarily hard, with a soft component</x:v>
      </x:c>
      <x:c r="J232" s="2" t="str">
        <x:v>Machinery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2" s="2" t="str">
        <x:v>Equipment and operation</x:v>
      </x:c>
      <x:c r="L232" s="2" t="str">
        <x:v>Machinery is embodied mainly as an equipment-and-operation system. The deliverable is accepted only when measurable service, quality, safety and climate-performance criteria are met under real conditions.</x:v>
      </x:c>
      <x:c r="M232" s="2" t="str">
        <x:v>Yes, subject to life-cycle safeguards</x:v>
      </x:c>
      <x:c r="N232" s="2" t="str">
        <x:v>Machinery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2" s="2" t="str">
        <x:v>Machinery: process reactors or furnaces, heat exchangers, motors and drives, compressors, burners, controls, pollution abatement, material handling and measurement equipment.</x:v>
      </x:c>
      <x:c r="P232" s="2" t="str">
        <x:v>Machinery: process simulation, pinch and heat-integration analysis, advanced control, production scheduling, quality control, energy management and life-cycle assessment.</x:v>
      </x:c>
      <x:c r="Q232" s="2" t="str">
        <x:v>Machinery: industrial permits, product standards, operating procedures, maintenance and competence systems, procurement, energy management and industrial-symbiosis agreements.</x:v>
      </x:c>
      <x:c r="R232" s="2" t="str">
        <x:v>Machinery: industrial site, utilities, fuel and electricity supply, material storage, process buildings, laboratories, waste handling and logistics.</x:v>
      </x:c>
      <x:c r="S232" s="2" t="str">
        <x:v>Machinery: electricity, steam, process heat, cooling and fuels; useful-energy efficiency, heat recovery and carbon intensity of supply determine savings.</x:v>
      </x:c>
      <x:c r="T232" s="2" t="str">
        <x:v>Machinery: process feedstocks, steel and refractory materials, catalysts, solvents, lubricants, insulation, piping, sensors and technology-specific alloying elements.</x:v>
      </x:c>
      <x:c r="U232" s="2" t="str">
        <x:v>Machinery: refractory linings, bearings, seals, valves, filters, burners, electrodes, sensors, control modules, lubricants and calibrated instruments.</x:v>
      </x:c>
      <x:c r="V232" s="2" t="str">
        <x:v>https://www.ctc-n.org/sites/default/files/resources/ctcn_taxonomy_0.pdf</x:v>
      </x:c>
      <x:c r="W232" s="2" t="str">
        <x:v>https://institutoagricoladepueblobello.edu.co/colegiapp/archivostemas/GUIA%209.%5B25%5D.pdf</x:v>
      </x:c>
      <x:c r="X232" s="2" t="str">
        <x:v>https://iiasa.ac.at/what-is-technology</x:v>
      </x:c>
      <x:c r="Y232" s="2" t="str">
        <x:v>https://www.ipcc.ch/report/ar6/wg3/chapter/chapter-11/</x:v>
      </x:c>
      <x:c r="Z232" s="2" t="str">
        <x:v>Technology-specific analytical synthesis. The CTCN hierarchy is retained; classifications and component dependencies require validation against the selected design, site and supplier documentation before investment or policy use.</x:v>
      </x:c>
      <x:c r="AA232" s="2" t="str">
        <x:v>Physical deployment of Machinery requires industrial site, utilities, fuel and electricity supply, material storage, process buildings, laboratories, waste handling and logistics; interfaces, foundations, access and environmental protection are sized to the specific resource and design load.</x:v>
      </x:c>
      <x:c r="AB232" s="2" t="str">
        <x:v>For Machinery,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2" s="2" t="str">
        <x:v>Construction and operation use process feedstocks, steel and refractory materials, catalysts, solvents, lubricants, insulation, piping, sensors and technology-specific alloying elements. For Machinery, specifications must include durability, compatibility, recycled content and recoverability.</x:v>
      </x:c>
      <x:c r="AD232" s="2" t="str">
        <x:v>Maintenance of Machinery depends on refractory linings, bearings, seals, valves, filters, burners, electrodes, sensors, control modules, lubricants and calibrated instruments; critical spares are selected from failure-mode, lead-time and safety analysis for its installed configuration.</x:v>
      </x:c>
      <x:c r="AE232" s="2" t="str">
        <x:v>The software stack for Machinery requires databases, secure communications, version-controlled models, computing, backup and interfaces with field or operational systems.</x:v>
      </x:c>
      <x:c r="AF232" s="2" t="str">
        <x:v>For Machinery, software-related energy is electricity for sensing, computing, storage, communication and cooling; it is normally secondary but must be included for data-intensive or continuous services.</x:v>
      </x:c>
      <x:c r="AG232" s="2" t="str">
        <x:v>The non-physical inputs are calibrated data, metadata, algorithms, boundary conditions, emission or hazard factors, manuals and validation records specific to Machinery.</x:v>
      </x:c>
      <x:c r="AH232" s="2" t="str">
        <x:v>Software continuity for Machinery requires licences where applicable, updates, cybersecurity patches, backups, calibration files, model validation and technical support.</x:v>
      </x:c>
      <x:c r="AI232" s="2" t="str">
        <x:v>Orgware depends on the institutions, laboratories, training providers, regulators, operators and community interfaces needed to govern Machinery.</x:v>
      </x:c>
      <x:c r="AJ232" s="2" t="str">
        <x:v>The orgware supporting Machinery has mainly indirect energy use from offices, meetings, training and information systems; travel and field supervision may be material at dispersed sites.</x:v>
      </x:c>
      <x:c r="AK232" s="2" t="str">
        <x:v>Its organisational inputs are permits, budgets, trained staff, competence records, contracts, procedures, safeguards, monitoring evidence and stakeholder agreements tailored to Machinery.</x:v>
      </x:c>
      <x:c r="AL232" s="2" t="str">
        <x:v>Sustained implementation of Machinery requires procurement and service contracts, audit protocols, training material, reporting templates, insurance or guarantees and periodic independent review.</x:v>
      </x:c>
      <x:c r="AM232" s="2" t="str">
        <x:v>Iron ore / steel inputs</x:v>
      </x:c>
      <x:c r="AN232" s="2" t="str">
        <x:v>Australia; Brazil; China</x:v>
      </x:c>
      <x:c r="AO232" s="2" t="str">
        <x:v>China; India; Japan</x:v>
      </x:c>
      <x:c r="AP232" s="2" t="str">
        <x:v>Machinery: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2" s="2" t="str">
        <x:v>2024–2025</x:v>
      </x:c>
      <x:c r="AR232" s="2" t="str">
        <x:v>https://pubs.usgs.gov/periodicals/mcs2026/mcs2026.pdf</x:v>
      </x:c>
    </x:row>
    <x:row r="233" ht="240" customHeight="1">
      <x:c r="A233" s="2" t="str">
        <x:v>MIT-0226</x:v>
      </x:c>
      <x:c r="B233" s="2" t="str">
        <x:v>Mitigation</x:v>
      </x:c>
      <x:c r="C233" s="2" t="str">
        <x:v>Industry</x:v>
      </x:c>
      <x:c r="D233" s="2" t="str">
        <x:v>Manufacturing industry</x:v>
      </x:c>
      <x:c r="E233" s="2" t="str">
        <x:v>Efficient supply chains</x:v>
      </x:c>
      <x:c r="F233" s="2" t="str">
        <x:v>Efficient supply chains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Efficient supply chains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3" s="2" t="str">
        <x:v>Mixed: adaptable design, site-specific implementation</x:v>
      </x:c>
      <x:c r="H233" s="2" t="str">
        <x:v>Efficient supply chains is adaptable in capacity and configuration but site-specific in final engineering. Its principle remains the same, but resource quality, climate, scale, interfaces and safety constraints must be recalculated for each deployment.</x:v>
      </x:c>
      <x:c r="I233" s="2" t="str">
        <x:v>Primarily hard, with a soft component</x:v>
      </x:c>
      <x:c r="J233" s="2" t="str">
        <x:v>Efficient supply chains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3" s="2" t="str">
        <x:v>Equipment and operation</x:v>
      </x:c>
      <x:c r="L233" s="2" t="str">
        <x:v>Efficient supply chains is embodied mainly as an equipment-and-operation system. The deliverable is accepted only when measurable service, quality, safety and climate-performance criteria are met under real conditions.</x:v>
      </x:c>
      <x:c r="M233" s="2" t="str">
        <x:v>Yes, subject to life-cycle safeguards</x:v>
      </x:c>
      <x:c r="N233" s="2" t="str">
        <x:v>Efficient supply chains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3" s="2" t="str">
        <x:v>Efficient supply chains: process reactors or furnaces, heat exchangers, motors and drives, compressors, burners, controls, pollution abatement, material handling and measurement equipment.</x:v>
      </x:c>
      <x:c r="P233" s="2" t="str">
        <x:v>Efficient supply chains: process simulation, pinch and heat-integration analysis, advanced control, production scheduling, quality control, energy management and life-cycle assessment.</x:v>
      </x:c>
      <x:c r="Q233" s="2" t="str">
        <x:v>Efficient supply chains: industrial permits, product standards, operating procedures, maintenance and competence systems, procurement, energy management and industrial-symbiosis agreements.</x:v>
      </x:c>
      <x:c r="R233" s="2" t="str">
        <x:v>Efficient supply chains: industrial site, utilities, fuel and electricity supply, material storage, process buildings, laboratories, waste handling and logistics.</x:v>
      </x:c>
      <x:c r="S233" s="2" t="str">
        <x:v>Efficient supply chains: electricity, steam, process heat, cooling and fuels; useful-energy efficiency, heat recovery and carbon intensity of supply determine savings.</x:v>
      </x:c>
      <x:c r="T233" s="2" t="str">
        <x:v>Efficient supply chains: process feedstocks, steel and refractory materials, catalysts, solvents, lubricants, insulation, piping, sensors and technology-specific alloying elements.</x:v>
      </x:c>
      <x:c r="U233" s="2" t="str">
        <x:v>Efficient supply chains: refractory linings, bearings, seals, valves, filters, burners, electrodes, sensors, control modules, lubricants and calibrated instruments.</x:v>
      </x:c>
      <x:c r="V233" s="2" t="str">
        <x:v>https://www.ctc-n.org/sites/default/files/resources/ctcn_taxonomy_0.pdf</x:v>
      </x:c>
      <x:c r="W233" s="2" t="str">
        <x:v>https://institutoagricoladepueblobello.edu.co/colegiapp/archivostemas/GUIA%209.%5B25%5D.pdf</x:v>
      </x:c>
      <x:c r="X233" s="2" t="str">
        <x:v>https://iiasa.ac.at/what-is-technology</x:v>
      </x:c>
      <x:c r="Y233" s="2" t="str">
        <x:v>https://www.ipcc.ch/report/ar6/wg3/chapter/chapter-11/</x:v>
      </x:c>
      <x:c r="Z233" s="2" t="str">
        <x:v>Technology-specific analytical synthesis. The CTCN hierarchy is retained; classifications and component dependencies require validation against the selected design, site and supplier documentation before investment or policy use.</x:v>
      </x:c>
      <x:c r="AA233" s="2" t="str">
        <x:v>Physical deployment of Efficient supply chains requires industrial site, utilities, fuel and electricity supply, material storage, process buildings, laboratories, waste handling and logistics; interfaces, foundations, access and environmental protection are sized to the specific resource and design load.</x:v>
      </x:c>
      <x:c r="AB233" s="2" t="str">
        <x:v>For Efficient supply chains,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3" s="2" t="str">
        <x:v>Construction and operation use process feedstocks, steel and refractory materials, catalysts, solvents, lubricants, insulation, piping, sensors and technology-specific alloying elements. For Efficient supply chains, specifications must include durability, compatibility, recycled content and recoverability.</x:v>
      </x:c>
      <x:c r="AD233" s="2" t="str">
        <x:v>Maintenance of Efficient supply chains depends on refractory linings, bearings, seals, valves, filters, burners, electrodes, sensors, control modules, lubricants and calibrated instruments; critical spares are selected from failure-mode, lead-time and safety analysis for its installed configuration.</x:v>
      </x:c>
      <x:c r="AE233" s="2" t="str">
        <x:v>The software stack for Efficient supply chains requires databases, secure communications, version-controlled models, computing, backup and interfaces with field or operational systems.</x:v>
      </x:c>
      <x:c r="AF233" s="2" t="str">
        <x:v>For Efficient supply chains, software-related energy is electricity for sensing, computing, storage, communication and cooling; it is normally secondary but must be included for data-intensive or continuous services.</x:v>
      </x:c>
      <x:c r="AG233" s="2" t="str">
        <x:v>The non-physical inputs are calibrated data, metadata, algorithms, boundary conditions, emission or hazard factors, manuals and validation records specific to Efficient supply chains.</x:v>
      </x:c>
      <x:c r="AH233" s="2" t="str">
        <x:v>Software continuity for Efficient supply chains requires licences where applicable, updates, cybersecurity patches, backups, calibration files, model validation and technical support.</x:v>
      </x:c>
      <x:c r="AI233" s="2" t="str">
        <x:v>Orgware depends on the institutions, laboratories, training providers, regulators, operators and community interfaces needed to govern Efficient supply chains.</x:v>
      </x:c>
      <x:c r="AJ233" s="2" t="str">
        <x:v>The orgware supporting Efficient supply chains has mainly indirect energy use from offices, meetings, training and information systems; travel and field supervision may be material at dispersed sites.</x:v>
      </x:c>
      <x:c r="AK233" s="2" t="str">
        <x:v>Its organisational inputs are permits, budgets, trained staff, competence records, contracts, procedures, safeguards, monitoring evidence and stakeholder agreements tailored to Efficient supply chains.</x:v>
      </x:c>
      <x:c r="AL233" s="2" t="str">
        <x:v>Sustained implementation of Efficient supply chains requires procurement and service contracts, audit protocols, training material, reporting templates, insurance or guarantees and periodic independent review.</x:v>
      </x:c>
      <x:c r="AM233" s="2" t="str">
        <x:v>Iron ore / steel inputs</x:v>
      </x:c>
      <x:c r="AN233" s="2" t="str">
        <x:v>Australia; Brazil; China</x:v>
      </x:c>
      <x:c r="AO233" s="2" t="str">
        <x:v>China; India; Japan</x:v>
      </x:c>
      <x:c r="AP233" s="2" t="str">
        <x:v>Efficient supply chains: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3" s="2" t="str">
        <x:v>2024–2025</x:v>
      </x:c>
      <x:c r="AR233" s="2" t="str">
        <x:v>https://pubs.usgs.gov/periodicals/mcs2026/mcs2026.pdf</x:v>
      </x:c>
    </x:row>
    <x:row r="234" ht="240" customHeight="1">
      <x:c r="A234" s="2" t="str">
        <x:v>MIT-0227</x:v>
      </x:c>
      <x:c r="B234" s="2" t="str">
        <x:v>Mitigation</x:v>
      </x:c>
      <x:c r="C234" s="2" t="str">
        <x:v>Industry</x:v>
      </x:c>
      <x:c r="D234" s="2" t="str">
        <x:v>Manufacturing industry</x:v>
      </x:c>
      <x:c r="E234" s="2" t="str">
        <x:v>Mitigation in the textiles and leather industry</x:v>
      </x:c>
      <x:c r="F234" s="2" t="str">
        <x:v>Mitigation in the textiles and leather industry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Mitigation in the textiles and leather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4" s="2" t="str">
        <x:v>Mixed: adaptable design, site-specific implementation</x:v>
      </x:c>
      <x:c r="H234" s="2" t="str">
        <x:v>Mitigation in the textiles and leather industry is adaptable in capacity and configuration but site-specific in final engineering. Its principle remains the same, but resource quality, climate, scale, interfaces and safety constraints must be recalculated for each deployment.</x:v>
      </x:c>
      <x:c r="I234" s="2" t="str">
        <x:v>Primarily hard, with a soft component</x:v>
      </x:c>
      <x:c r="J234" s="2" t="str">
        <x:v>Mitigation in the textiles and leather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4" s="2" t="str">
        <x:v>Equipment and operation</x:v>
      </x:c>
      <x:c r="L234" s="2" t="str">
        <x:v>Mitigation in the textiles and leather industry is embodied mainly as an equipment-and-operation system. The deliverable is accepted only when measurable service, quality, safety and climate-performance criteria are met under real conditions.</x:v>
      </x:c>
      <x:c r="M234" s="2" t="str">
        <x:v>Yes, subject to life-cycle safeguards</x:v>
      </x:c>
      <x:c r="N234" s="2" t="str">
        <x:v>Mitigation in the textiles and leather industry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4" s="2" t="str">
        <x:v>Mitigation in the textiles and leather industry: process reactors or furnaces, heat exchangers, motors and drives, compressors, burners, controls, pollution abatement, material handling and measurement equipment.</x:v>
      </x:c>
      <x:c r="P234" s="2" t="str">
        <x:v>Mitigation in the textiles and leather industry: process simulation, pinch and heat-integration analysis, advanced control, production scheduling, quality control, energy management and life-cycle assessment.</x:v>
      </x:c>
      <x:c r="Q234" s="2" t="str">
        <x:v>Mitigation in the textiles and leather industry: industrial permits, product standards, operating procedures, maintenance and competence systems, procurement, energy management and industrial-symbiosis agreements.</x:v>
      </x:c>
      <x:c r="R234" s="2" t="str">
        <x:v>Mitigation in the textiles and leather industry: industrial site, utilities, fuel and electricity supply, material storage, process buildings, laboratories, waste handling and logistics.</x:v>
      </x:c>
      <x:c r="S234" s="2" t="str">
        <x:v>Mitigation in the textiles and leather industry: electricity, steam, process heat, cooling and fuels; useful-energy efficiency, heat recovery and carbon intensity of supply determine savings.</x:v>
      </x:c>
      <x:c r="T234" s="2" t="str">
        <x:v>Mitigation in the textiles and leather industry: process feedstocks, steel and refractory materials, catalysts, solvents, lubricants, insulation, piping, sensors and technology-specific alloying elements.</x:v>
      </x:c>
      <x:c r="U234" s="2" t="str">
        <x:v>Mitigation in the textiles and leather industry: refractory linings, bearings, seals, valves, filters, burners, electrodes, sensors, control modules, lubricants and calibrated instruments.</x:v>
      </x:c>
      <x:c r="V234" s="2" t="str">
        <x:v>https://www.ctc-n.org/sites/default/files/resources/ctcn_taxonomy_0.pdf</x:v>
      </x:c>
      <x:c r="W234" s="2" t="str">
        <x:v>https://institutoagricoladepueblobello.edu.co/colegiapp/archivostemas/GUIA%209.%5B25%5D.pdf</x:v>
      </x:c>
      <x:c r="X234" s="2" t="str">
        <x:v>https://iiasa.ac.at/what-is-technology</x:v>
      </x:c>
      <x:c r="Y234" s="2" t="str">
        <x:v>https://www.ipcc.ch/report/ar6/wg3/chapter/chapter-11/</x:v>
      </x:c>
      <x:c r="Z234" s="2" t="str">
        <x:v>Technology-specific analytical synthesis. The CTCN hierarchy is retained; classifications and component dependencies require validation against the selected design, site and supplier documentation before investment or policy use.</x:v>
      </x:c>
      <x:c r="AA234" s="2" t="str">
        <x:v>Physical deployment of Mitigation in the textiles and leather industry requires industrial site, utilities, fuel and electricity supply, material storage, process buildings, laboratories, waste handling and logistics; interfaces, foundations, access and environmental protection are sized to the specific resource and design load.</x:v>
      </x:c>
      <x:c r="AB234" s="2" t="str">
        <x:v>For Mitigation in the textiles and leather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4" s="2" t="str">
        <x:v>Construction and operation use process feedstocks, steel and refractory materials, catalysts, solvents, lubricants, insulation, piping, sensors and technology-specific alloying elements. For Mitigation in the textiles and leather industry, specifications must include durability, compatibility, recycled content and recoverability.</x:v>
      </x:c>
      <x:c r="AD234" s="2" t="str">
        <x:v>Maintenance of Mitigation in the textiles and leather industry depends on refractory linings, bearings, seals, valves, filters, burners, electrodes, sensors, control modules, lubricants and calibrated instruments; critical spares are selected from failure-mode, lead-time and safety analysis for its installed configuration.</x:v>
      </x:c>
      <x:c r="AE234" s="2" t="str">
        <x:v>The software stack for Mitigation in the textiles and leather industry requires databases, secure communications, version-controlled models, computing, backup and interfaces with field or operational systems.</x:v>
      </x:c>
      <x:c r="AF234" s="2" t="str">
        <x:v>For Mitigation in the textiles and leather industry, software-related energy is electricity for sensing, computing, storage, communication and cooling; it is normally secondary but must be included for data-intensive or continuous services.</x:v>
      </x:c>
      <x:c r="AG234" s="2" t="str">
        <x:v>The non-physical inputs are calibrated data, metadata, algorithms, boundary conditions, emission or hazard factors, manuals and validation records specific to Mitigation in the textiles and leather industry.</x:v>
      </x:c>
      <x:c r="AH234" s="2" t="str">
        <x:v>Software continuity for Mitigation in the textiles and leather industry requires licences where applicable, updates, cybersecurity patches, backups, calibration files, model validation and technical support.</x:v>
      </x:c>
      <x:c r="AI234" s="2" t="str">
        <x:v>Orgware depends on the institutions, laboratories, training providers, regulators, operators and community interfaces needed to govern Mitigation in the textiles and leather industry.</x:v>
      </x:c>
      <x:c r="AJ234" s="2" t="str">
        <x:v>The orgware supporting Mitigation in the textiles and leather industry has mainly indirect energy use from offices, meetings, training and information systems; travel and field supervision may be material at dispersed sites.</x:v>
      </x:c>
      <x:c r="AK234" s="2" t="str">
        <x:v>Its organisational inputs are permits, budgets, trained staff, competence records, contracts, procedures, safeguards, monitoring evidence and stakeholder agreements tailored to Mitigation in the textiles and leather industry.</x:v>
      </x:c>
      <x:c r="AL234" s="2" t="str">
        <x:v>Sustained implementation of Mitigation in the textiles and leather industry requires procurement and service contracts, audit protocols, training material, reporting templates, insurance or guarantees and periodic independent review.</x:v>
      </x:c>
      <x:c r="AM234" s="2" t="str">
        <x:v>Iron ore / steel inputs</x:v>
      </x:c>
      <x:c r="AN234" s="2" t="str">
        <x:v>Australia; Brazil; China</x:v>
      </x:c>
      <x:c r="AO234" s="2" t="str">
        <x:v>China; India; Japan</x:v>
      </x:c>
      <x:c r="AP234" s="2" t="str">
        <x:v>Mitigation in the textiles and leather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4" s="2" t="str">
        <x:v>2024–2025</x:v>
      </x:c>
      <x:c r="AR234" s="2" t="str">
        <x:v>https://pubs.usgs.gov/periodicals/mcs2026/mcs2026.pdf</x:v>
      </x:c>
    </x:row>
    <x:row r="235" ht="240" customHeight="1">
      <x:c r="A235" s="2" t="str">
        <x:v>MIT-0228</x:v>
      </x:c>
      <x:c r="B235" s="2" t="str">
        <x:v>Mitigation</x:v>
      </x:c>
      <x:c r="C235" s="2" t="str">
        <x:v>Industry</x:v>
      </x:c>
      <x:c r="D235" s="2" t="str">
        <x:v>Manufacturing industry</x:v>
      </x:c>
      <x:c r="E235" s="2" t="str">
        <x:v>Industrial symbiosis</x:v>
      </x:c>
      <x:c r="F235" s="2" t="str">
        <x:v>Industrial symbiosis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Industrial symbiosis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5" s="2" t="str">
        <x:v>Mixed: adaptable design, site-specific implementation</x:v>
      </x:c>
      <x:c r="H235" s="2" t="str">
        <x:v>Industrial symbiosis is adaptable in capacity and configuration but site-specific in final engineering. Its principle remains the same, but resource quality, climate, scale, interfaces and safety constraints must be recalculated for each deployment.</x:v>
      </x:c>
      <x:c r="I235" s="2" t="str">
        <x:v>Primarily hard, with a soft component</x:v>
      </x:c>
      <x:c r="J235" s="2" t="str">
        <x:v>Industrial symbiosis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5" s="2" t="str">
        <x:v>Equipment and operation</x:v>
      </x:c>
      <x:c r="L235" s="2" t="str">
        <x:v>Industrial symbiosis is embodied mainly as an equipment-and-operation system. The deliverable is accepted only when measurable service, quality, safety and climate-performance criteria are met under real conditions.</x:v>
      </x:c>
      <x:c r="M235" s="2" t="str">
        <x:v>Yes, subject to life-cycle safeguards</x:v>
      </x:c>
      <x:c r="N235" s="2" t="str">
        <x:v>Industrial symbiosis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5" s="2" t="str">
        <x:v>Industrial symbiosis: process reactors or furnaces, heat exchangers, motors and drives, compressors, burners, controls, pollution abatement, material handling and measurement equipment.</x:v>
      </x:c>
      <x:c r="P235" s="2" t="str">
        <x:v>Industrial symbiosis: process simulation, pinch and heat-integration analysis, advanced control, production scheduling, quality control, energy management and life-cycle assessment.</x:v>
      </x:c>
      <x:c r="Q235" s="2" t="str">
        <x:v>Industrial symbiosis: industrial permits, product standards, operating procedures, maintenance and competence systems, procurement, energy management and industrial-symbiosis agreements.</x:v>
      </x:c>
      <x:c r="R235" s="2" t="str">
        <x:v>Industrial symbiosis: industrial site, utilities, fuel and electricity supply, material storage, process buildings, laboratories, waste handling and logistics.</x:v>
      </x:c>
      <x:c r="S235" s="2" t="str">
        <x:v>Industrial symbiosis: electricity, steam, process heat, cooling and fuels; useful-energy efficiency, heat recovery and carbon intensity of supply determine savings.</x:v>
      </x:c>
      <x:c r="T235" s="2" t="str">
        <x:v>Industrial symbiosis: process feedstocks, steel and refractory materials, catalysts, solvents, lubricants, insulation, piping, sensors and technology-specific alloying elements.</x:v>
      </x:c>
      <x:c r="U235" s="2" t="str">
        <x:v>Industrial symbiosis: refractory linings, bearings, seals, valves, filters, burners, electrodes, sensors, control modules, lubricants and calibrated instruments.</x:v>
      </x:c>
      <x:c r="V235" s="2" t="str">
        <x:v>https://www.ctc-n.org/sites/default/files/resources/ctcn_taxonomy_0.pdf</x:v>
      </x:c>
      <x:c r="W235" s="2" t="str">
        <x:v>https://institutoagricoladepueblobello.edu.co/colegiapp/archivostemas/GUIA%209.%5B25%5D.pdf</x:v>
      </x:c>
      <x:c r="X235" s="2" t="str">
        <x:v>https://iiasa.ac.at/what-is-technology</x:v>
      </x:c>
      <x:c r="Y235" s="2" t="str">
        <x:v>https://www.ipcc.ch/report/ar6/wg3/chapter/chapter-11/</x:v>
      </x:c>
      <x:c r="Z235" s="2" t="str">
        <x:v>Technology-specific analytical synthesis. The CTCN hierarchy is retained; classifications and component dependencies require validation against the selected design, site and supplier documentation before investment or policy use.</x:v>
      </x:c>
      <x:c r="AA235" s="2" t="str">
        <x:v>Physical deployment of Industrial symbiosis requires industrial site, utilities, fuel and electricity supply, material storage, process buildings, laboratories, waste handling and logistics; interfaces, foundations, access and environmental protection are sized to the specific resource and design load.</x:v>
      </x:c>
      <x:c r="AB235" s="2" t="str">
        <x:v>For Industrial symbiosis,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5" s="2" t="str">
        <x:v>Construction and operation use process feedstocks, steel and refractory materials, catalysts, solvents, lubricants, insulation, piping, sensors and technology-specific alloying elements. For Industrial symbiosis, specifications must include durability, compatibility, recycled content and recoverability.</x:v>
      </x:c>
      <x:c r="AD235" s="2" t="str">
        <x:v>Maintenance of Industrial symbiosis depends on refractory linings, bearings, seals, valves, filters, burners, electrodes, sensors, control modules, lubricants and calibrated instruments; critical spares are selected from failure-mode, lead-time and safety analysis for its installed configuration.</x:v>
      </x:c>
      <x:c r="AE235" s="2" t="str">
        <x:v>The software stack for Industrial symbiosis requires databases, secure communications, version-controlled models, computing, backup and interfaces with field or operational systems.</x:v>
      </x:c>
      <x:c r="AF235" s="2" t="str">
        <x:v>For Industrial symbiosis, software-related energy is electricity for sensing, computing, storage, communication and cooling; it is normally secondary but must be included for data-intensive or continuous services.</x:v>
      </x:c>
      <x:c r="AG235" s="2" t="str">
        <x:v>The non-physical inputs are calibrated data, metadata, algorithms, boundary conditions, emission or hazard factors, manuals and validation records specific to Industrial symbiosis.</x:v>
      </x:c>
      <x:c r="AH235" s="2" t="str">
        <x:v>Software continuity for Industrial symbiosis requires licences where applicable, updates, cybersecurity patches, backups, calibration files, model validation and technical support.</x:v>
      </x:c>
      <x:c r="AI235" s="2" t="str">
        <x:v>Orgware depends on the institutions, laboratories, training providers, regulators, operators and community interfaces needed to govern Industrial symbiosis.</x:v>
      </x:c>
      <x:c r="AJ235" s="2" t="str">
        <x:v>The orgware supporting Industrial symbiosis has mainly indirect energy use from offices, meetings, training and information systems; travel and field supervision may be material at dispersed sites.</x:v>
      </x:c>
      <x:c r="AK235" s="2" t="str">
        <x:v>Its organisational inputs are permits, budgets, trained staff, competence records, contracts, procedures, safeguards, monitoring evidence and stakeholder agreements tailored to Industrial symbiosis.</x:v>
      </x:c>
      <x:c r="AL235" s="2" t="str">
        <x:v>Sustained implementation of Industrial symbiosis requires procurement and service contracts, audit protocols, training material, reporting templates, insurance or guarantees and periodic independent review.</x:v>
      </x:c>
      <x:c r="AM235" s="2" t="str">
        <x:v>Iron ore / steel inputs</x:v>
      </x:c>
      <x:c r="AN235" s="2" t="str">
        <x:v>Australia; Brazil; China</x:v>
      </x:c>
      <x:c r="AO235" s="2" t="str">
        <x:v>China; India; Japan</x:v>
      </x:c>
      <x:c r="AP235" s="2" t="str">
        <x:v>Industrial symbiosis: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5" s="2" t="str">
        <x:v>2024–2025</x:v>
      </x:c>
      <x:c r="AR235" s="2" t="str">
        <x:v>https://pubs.usgs.gov/periodicals/mcs2026/mcs2026.pdf</x:v>
      </x:c>
    </x:row>
    <x:row r="236" ht="240" customHeight="1">
      <x:c r="A236" s="2" t="str">
        <x:v>MIT-0229</x:v>
      </x:c>
      <x:c r="B236" s="2" t="str">
        <x:v>Mitigation</x:v>
      </x:c>
      <x:c r="C236" s="2" t="str">
        <x:v>Industry</x:v>
      </x:c>
      <x:c r="D236" s="2" t="str">
        <x:v>Manufacturing industry</x:v>
      </x:c>
      <x:c r="E236" s="2" t="str">
        <x:v>Electronic control systems</x:v>
      </x:c>
      <x:c r="F236" s="2" t="str">
        <x:v>Electronic control systems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Electronic control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6" s="2" t="str">
        <x:v>Mixed: adaptable design, site-specific implementation</x:v>
      </x:c>
      <x:c r="H236" s="2" t="str">
        <x:v>Electronic control systems is adaptable in capacity and configuration but site-specific in final engineering. Its principle remains the same, but resource quality, climate, scale, interfaces and safety constraints must be recalculated for each deployment.</x:v>
      </x:c>
      <x:c r="I236" s="2" t="str">
        <x:v>Primarily hard, with a soft component</x:v>
      </x:c>
      <x:c r="J236" s="2" t="str">
        <x:v>Electronic control systems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6" s="2" t="str">
        <x:v>Equipment and operation</x:v>
      </x:c>
      <x:c r="L236" s="2" t="str">
        <x:v>Electronic control systems is embodied mainly as an equipment-and-operation system. The deliverable is accepted only when measurable service, quality, safety and climate-performance criteria are met under real conditions.</x:v>
      </x:c>
      <x:c r="M236" s="2" t="str">
        <x:v>Yes, subject to life-cycle safeguards</x:v>
      </x:c>
      <x:c r="N236" s="2" t="str">
        <x:v>Electronic control systems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6" s="2" t="str">
        <x:v>Electronic control systems: process reactors or furnaces, heat exchangers, motors and drives, compressors, burners, controls, pollution abatement, material handling and measurement equipment.</x:v>
      </x:c>
      <x:c r="P236" s="2" t="str">
        <x:v>Electronic control systems: process simulation, pinch and heat-integration analysis, advanced control, production scheduling, quality control, energy management and life-cycle assessment.</x:v>
      </x:c>
      <x:c r="Q236" s="2" t="str">
        <x:v>Electronic control systems: industrial permits, product standards, operating procedures, maintenance and competence systems, procurement, energy management and industrial-symbiosis agreements.</x:v>
      </x:c>
      <x:c r="R236" s="2" t="str">
        <x:v>Electronic control systems: industrial site, utilities, fuel and electricity supply, material storage, process buildings, laboratories, waste handling and logistics.</x:v>
      </x:c>
      <x:c r="S236" s="2" t="str">
        <x:v>Electronic control systems: electricity, steam, process heat, cooling and fuels; useful-energy efficiency, heat recovery and carbon intensity of supply determine savings.</x:v>
      </x:c>
      <x:c r="T236" s="2" t="str">
        <x:v>Electronic control systems: process feedstocks, steel and refractory materials, catalysts, solvents, lubricants, insulation, piping, sensors and technology-specific alloying elements.</x:v>
      </x:c>
      <x:c r="U236" s="2" t="str">
        <x:v>Electronic control systems: refractory linings, bearings, seals, valves, filters, burners, electrodes, sensors, control modules, lubricants and calibrated instruments.</x:v>
      </x:c>
      <x:c r="V236" s="2" t="str">
        <x:v>https://www.ctc-n.org/sites/default/files/resources/ctcn_taxonomy_0.pdf</x:v>
      </x:c>
      <x:c r="W236" s="2" t="str">
        <x:v>https://institutoagricoladepueblobello.edu.co/colegiapp/archivostemas/GUIA%209.%5B25%5D.pdf</x:v>
      </x:c>
      <x:c r="X236" s="2" t="str">
        <x:v>https://iiasa.ac.at/what-is-technology</x:v>
      </x:c>
      <x:c r="Y236" s="2" t="str">
        <x:v>https://www.ipcc.ch/report/ar6/wg3/chapter/chapter-11/</x:v>
      </x:c>
      <x:c r="Z236" s="2" t="str">
        <x:v>Technology-specific analytical synthesis. The CTCN hierarchy is retained; classifications and component dependencies require validation against the selected design, site and supplier documentation before investment or policy use.</x:v>
      </x:c>
      <x:c r="AA236" s="2" t="str">
        <x:v>Physical deployment of Electronic control systems requires industrial site, utilities, fuel and electricity supply, material storage, process buildings, laboratories, waste handling and logistics; interfaces, foundations, access and environmental protection are sized to the specific resource and design load.</x:v>
      </x:c>
      <x:c r="AB236" s="2" t="str">
        <x:v>For Electronic control systems,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6" s="2" t="str">
        <x:v>Construction and operation use process feedstocks, steel and refractory materials, catalysts, solvents, lubricants, insulation, piping, sensors and technology-specific alloying elements. For Electronic control systems, specifications must include durability, compatibility, recycled content and recoverability.</x:v>
      </x:c>
      <x:c r="AD236" s="2" t="str">
        <x:v>Maintenance of Electronic control systems depends on refractory linings, bearings, seals, valves, filters, burners, electrodes, sensors, control modules, lubricants and calibrated instruments; critical spares are selected from failure-mode, lead-time and safety analysis for its installed configuration.</x:v>
      </x:c>
      <x:c r="AE236" s="2" t="str">
        <x:v>The software stack for Electronic control systems requires databases, secure communications, version-controlled models, computing, backup and interfaces with field or operational systems.</x:v>
      </x:c>
      <x:c r="AF236" s="2" t="str">
        <x:v>For Electronic control systems, software-related energy is electricity for sensing, computing, storage, communication and cooling; it is normally secondary but must be included for data-intensive or continuous services.</x:v>
      </x:c>
      <x:c r="AG236" s="2" t="str">
        <x:v>The non-physical inputs are calibrated data, metadata, algorithms, boundary conditions, emission or hazard factors, manuals and validation records specific to Electronic control systems.</x:v>
      </x:c>
      <x:c r="AH236" s="2" t="str">
        <x:v>Software continuity for Electronic control systems requires licences where applicable, updates, cybersecurity patches, backups, calibration files, model validation and technical support.</x:v>
      </x:c>
      <x:c r="AI236" s="2" t="str">
        <x:v>Orgware depends on the institutions, laboratories, training providers, regulators, operators and community interfaces needed to govern Electronic control systems.</x:v>
      </x:c>
      <x:c r="AJ236" s="2" t="str">
        <x:v>The orgware supporting Electronic control systems has mainly indirect energy use from offices, meetings, training and information systems; travel and field supervision may be material at dispersed sites.</x:v>
      </x:c>
      <x:c r="AK236" s="2" t="str">
        <x:v>Its organisational inputs are permits, budgets, trained staff, competence records, contracts, procedures, safeguards, monitoring evidence and stakeholder agreements tailored to Electronic control systems.</x:v>
      </x:c>
      <x:c r="AL236" s="2" t="str">
        <x:v>Sustained implementation of Electronic control systems requires procurement and service contracts, audit protocols, training material, reporting templates, insurance or guarantees and periodic independent review.</x:v>
      </x:c>
      <x:c r="AM236" s="2" t="str">
        <x:v>Iron ore / steel inputs; Copper; Tin; Tantalum</x:v>
      </x:c>
      <x:c r="AN236" s="2" t="str">
        <x:v>Australia; Brazil; China; Chile; Democratic Republic of the Congo; Peru; Indonesia; Myanmar; Rwanda; Nigeria</x:v>
      </x:c>
      <x:c r="AO236" s="2" t="str">
        <x:v>China; India; Japan; Chile; Democratic Republic of the Congo; Indonesia; Malaysia; Germany; United States</x:v>
      </x:c>
      <x:c r="AP236" s="2" t="str">
        <x:v>Electronic control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6" s="2" t="str">
        <x:v>2024–2025</x:v>
      </x:c>
      <x:c r="AR236" s="2" t="str">
        <x:v>https://pubs.usgs.gov/periodicals/mcs2026/mcs2026.pdf</x:v>
      </x:c>
    </x:row>
    <x:row r="237" ht="240" customHeight="1">
      <x:c r="A237" s="2" t="str">
        <x:v>MIT-0230</x:v>
      </x:c>
      <x:c r="B237" s="2" t="str">
        <x:v>Mitigation</x:v>
      </x:c>
      <x:c r="C237" s="2" t="str">
        <x:v>Industry</x:v>
      </x:c>
      <x:c r="D237" s="2" t="str">
        <x:v>Manufacturing industry</x:v>
      </x:c>
      <x:c r="E237" s="2" t="str">
        <x:v>Eco-design</x:v>
      </x:c>
      <x:c r="F237" s="2" t="str">
        <x:v>Eco-design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Eco-design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7" s="2" t="str">
        <x:v>Mixed: adaptable design, site-specific implementation</x:v>
      </x:c>
      <x:c r="H237" s="2" t="str">
        <x:v>Eco-design is adaptable in capacity and configuration but site-specific in final engineering. Its principle remains the same, but resource quality, climate, scale, interfaces and safety constraints must be recalculated for each deployment.</x:v>
      </x:c>
      <x:c r="I237" s="2" t="str">
        <x:v>Primarily hard, with a soft component</x:v>
      </x:c>
      <x:c r="J237" s="2" t="str">
        <x:v>Eco-design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7" s="2" t="str">
        <x:v>Equipment and operation</x:v>
      </x:c>
      <x:c r="L237" s="2" t="str">
        <x:v>Eco-design is embodied mainly as an equipment-and-operation system. The deliverable is accepted only when measurable service, quality, safety and climate-performance criteria are met under real conditions.</x:v>
      </x:c>
      <x:c r="M237" s="2" t="str">
        <x:v>Yes, subject to life-cycle safeguards</x:v>
      </x:c>
      <x:c r="N237" s="2" t="str">
        <x:v>Eco-design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7" s="2" t="str">
        <x:v>Eco-design: process reactors or furnaces, heat exchangers, motors and drives, compressors, burners, controls, pollution abatement, material handling and measurement equipment.</x:v>
      </x:c>
      <x:c r="P237" s="2" t="str">
        <x:v>Eco-design: process simulation, pinch and heat-integration analysis, advanced control, production scheduling, quality control, energy management and life-cycle assessment.</x:v>
      </x:c>
      <x:c r="Q237" s="2" t="str">
        <x:v>Eco-design: industrial permits, product standards, operating procedures, maintenance and competence systems, procurement, energy management and industrial-symbiosis agreements.</x:v>
      </x:c>
      <x:c r="R237" s="2" t="str">
        <x:v>Eco-design: industrial site, utilities, fuel and electricity supply, material storage, process buildings, laboratories, waste handling and logistics.</x:v>
      </x:c>
      <x:c r="S237" s="2" t="str">
        <x:v>Eco-design: electricity, steam, process heat, cooling and fuels; useful-energy efficiency, heat recovery and carbon intensity of supply determine savings.</x:v>
      </x:c>
      <x:c r="T237" s="2" t="str">
        <x:v>Eco-design: process feedstocks, steel and refractory materials, catalysts, solvents, lubricants, insulation, piping, sensors and technology-specific alloying elements.</x:v>
      </x:c>
      <x:c r="U237" s="2" t="str">
        <x:v>Eco-design: refractory linings, bearings, seals, valves, filters, burners, electrodes, sensors, control modules, lubricants and calibrated instruments.</x:v>
      </x:c>
      <x:c r="V237" s="2" t="str">
        <x:v>https://www.ctc-n.org/sites/default/files/resources/ctcn_taxonomy_0.pdf</x:v>
      </x:c>
      <x:c r="W237" s="2" t="str">
        <x:v>https://institutoagricoladepueblobello.edu.co/colegiapp/archivostemas/GUIA%209.%5B25%5D.pdf</x:v>
      </x:c>
      <x:c r="X237" s="2" t="str">
        <x:v>https://iiasa.ac.at/what-is-technology</x:v>
      </x:c>
      <x:c r="Y237" s="2" t="str">
        <x:v>https://www.ipcc.ch/report/ar6/wg3/chapter/chapter-11/</x:v>
      </x:c>
      <x:c r="Z237" s="2" t="str">
        <x:v>Technology-specific analytical synthesis. The CTCN hierarchy is retained; classifications and component dependencies require validation against the selected design, site and supplier documentation before investment or policy use.</x:v>
      </x:c>
      <x:c r="AA237" s="2" t="str">
        <x:v>Physical deployment of Eco-design requires industrial site, utilities, fuel and electricity supply, material storage, process buildings, laboratories, waste handling and logistics; interfaces, foundations, access and environmental protection are sized to the specific resource and design load.</x:v>
      </x:c>
      <x:c r="AB237" s="2" t="str">
        <x:v>For Eco-design,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7" s="2" t="str">
        <x:v>Construction and operation use process feedstocks, steel and refractory materials, catalysts, solvents, lubricants, insulation, piping, sensors and technology-specific alloying elements. For Eco-design, specifications must include durability, compatibility, recycled content and recoverability.</x:v>
      </x:c>
      <x:c r="AD237" s="2" t="str">
        <x:v>Maintenance of Eco-design depends on refractory linings, bearings, seals, valves, filters, burners, electrodes, sensors, control modules, lubricants and calibrated instruments; critical spares are selected from failure-mode, lead-time and safety analysis for its installed configuration.</x:v>
      </x:c>
      <x:c r="AE237" s="2" t="str">
        <x:v>The software stack for Eco-design requires databases, secure communications, version-controlled models, computing, backup and interfaces with field or operational systems.</x:v>
      </x:c>
      <x:c r="AF237" s="2" t="str">
        <x:v>For Eco-design, software-related energy is electricity for sensing, computing, storage, communication and cooling; it is normally secondary but must be included for data-intensive or continuous services.</x:v>
      </x:c>
      <x:c r="AG237" s="2" t="str">
        <x:v>The non-physical inputs are calibrated data, metadata, algorithms, boundary conditions, emission or hazard factors, manuals and validation records specific to Eco-design.</x:v>
      </x:c>
      <x:c r="AH237" s="2" t="str">
        <x:v>Software continuity for Eco-design requires licences where applicable, updates, cybersecurity patches, backups, calibration files, model validation and technical support.</x:v>
      </x:c>
      <x:c r="AI237" s="2" t="str">
        <x:v>Orgware depends on the institutions, laboratories, training providers, regulators, operators and community interfaces needed to govern Eco-design.</x:v>
      </x:c>
      <x:c r="AJ237" s="2" t="str">
        <x:v>The orgware supporting Eco-design has mainly indirect energy use from offices, meetings, training and information systems; travel and field supervision may be material at dispersed sites.</x:v>
      </x:c>
      <x:c r="AK237" s="2" t="str">
        <x:v>Its organisational inputs are permits, budgets, trained staff, competence records, contracts, procedures, safeguards, monitoring evidence and stakeholder agreements tailored to Eco-design.</x:v>
      </x:c>
      <x:c r="AL237" s="2" t="str">
        <x:v>Sustained implementation of Eco-design requires procurement and service contracts, audit protocols, training material, reporting templates, insurance or guarantees and periodic independent review.</x:v>
      </x:c>
      <x:c r="AM237" s="2" t="str">
        <x:v>Iron ore / steel inputs</x:v>
      </x:c>
      <x:c r="AN237" s="2" t="str">
        <x:v>Australia; Brazil; China</x:v>
      </x:c>
      <x:c r="AO237" s="2" t="str">
        <x:v>China; India; Japan</x:v>
      </x:c>
      <x:c r="AP237" s="2" t="str">
        <x:v>Eco-design: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7" s="2" t="str">
        <x:v>2024–2025</x:v>
      </x:c>
      <x:c r="AR237" s="2" t="str">
        <x:v>https://pubs.usgs.gov/periodicals/mcs2026/mcs2026.pdf</x:v>
      </x:c>
    </x:row>
    <x:row r="238" ht="240" customHeight="1">
      <x:c r="A238" s="2" t="str">
        <x:v>MIT-0231</x:v>
      </x:c>
      <x:c r="B238" s="2" t="str">
        <x:v>Mitigation</x:v>
      </x:c>
      <x:c r="C238" s="2" t="str">
        <x:v>Industry</x:v>
      </x:c>
      <x:c r="D238" s="2" t="str">
        <x:v>Manufacturing industry</x:v>
      </x:c>
      <x:c r="E238" s="2" t="str">
        <x:v>Wood products</x:v>
      </x:c>
      <x:c r="F238" s="2" t="str">
        <x:v>Wood products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Wood products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8" s="2" t="str">
        <x:v>Mixed: adaptable design, site-specific implementation</x:v>
      </x:c>
      <x:c r="H238" s="2" t="str">
        <x:v>Wood products is adaptable in capacity and configuration but site-specific in final engineering. Its principle remains the same, but resource quality, climate, scale, interfaces and safety constraints must be recalculated for each deployment.</x:v>
      </x:c>
      <x:c r="I238" s="2" t="str">
        <x:v>Primarily hard, with a soft component</x:v>
      </x:c>
      <x:c r="J238" s="2" t="str">
        <x:v>Wood products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8" s="2" t="str">
        <x:v>Equipment and operation</x:v>
      </x:c>
      <x:c r="L238" s="2" t="str">
        <x:v>Wood products is embodied mainly as an equipment-and-operation system. The deliverable is accepted only when measurable service, quality, safety and climate-performance criteria are met under real conditions.</x:v>
      </x:c>
      <x:c r="M238" s="2" t="str">
        <x:v>Yes, subject to life-cycle safeguards</x:v>
      </x:c>
      <x:c r="N238" s="2" t="str">
        <x:v>Wood products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8" s="2" t="str">
        <x:v>Wood products: process reactors or furnaces, heat exchangers, motors and drives, compressors, burners, controls, pollution abatement, material handling and measurement equipment.</x:v>
      </x:c>
      <x:c r="P238" s="2" t="str">
        <x:v>Wood products: process simulation, pinch and heat-integration analysis, advanced control, production scheduling, quality control, energy management and life-cycle assessment.</x:v>
      </x:c>
      <x:c r="Q238" s="2" t="str">
        <x:v>Wood products: industrial permits, product standards, operating procedures, maintenance and competence systems, procurement, energy management and industrial-symbiosis agreements.</x:v>
      </x:c>
      <x:c r="R238" s="2" t="str">
        <x:v>Wood products: industrial site, utilities, fuel and electricity supply, material storage, process buildings, laboratories, waste handling and logistics.</x:v>
      </x:c>
      <x:c r="S238" s="2" t="str">
        <x:v>Wood products: electricity, steam, process heat, cooling and fuels; useful-energy efficiency, heat recovery and carbon intensity of supply determine savings.</x:v>
      </x:c>
      <x:c r="T238" s="2" t="str">
        <x:v>Wood products: process feedstocks, steel and refractory materials, catalysts, solvents, lubricants, insulation, piping, sensors and technology-specific alloying elements.</x:v>
      </x:c>
      <x:c r="U238" s="2" t="str">
        <x:v>Wood products: refractory linings, bearings, seals, valves, filters, burners, electrodes, sensors, control modules, lubricants and calibrated instruments.</x:v>
      </x:c>
      <x:c r="V238" s="2" t="str">
        <x:v>https://www.ctc-n.org/sites/default/files/resources/ctcn_taxonomy_0.pdf</x:v>
      </x:c>
      <x:c r="W238" s="2" t="str">
        <x:v>https://institutoagricoladepueblobello.edu.co/colegiapp/archivostemas/GUIA%209.%5B25%5D.pdf</x:v>
      </x:c>
      <x:c r="X238" s="2" t="str">
        <x:v>https://iiasa.ac.at/what-is-technology</x:v>
      </x:c>
      <x:c r="Y238" s="2" t="str">
        <x:v>https://www.ipcc.ch/report/ar6/wg3/chapter/chapter-11/</x:v>
      </x:c>
      <x:c r="Z238" s="2" t="str">
        <x:v>Technology-specific analytical synthesis. The CTCN hierarchy is retained; classifications and component dependencies require validation against the selected design, site and supplier documentation before investment or policy use.</x:v>
      </x:c>
      <x:c r="AA238" s="2" t="str">
        <x:v>Physical deployment of Wood products requires industrial site, utilities, fuel and electricity supply, material storage, process buildings, laboratories, waste handling and logistics; interfaces, foundations, access and environmental protection are sized to the specific resource and design load.</x:v>
      </x:c>
      <x:c r="AB238" s="2" t="str">
        <x:v>For Wood products,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8" s="2" t="str">
        <x:v>Construction and operation use process feedstocks, steel and refractory materials, catalysts, solvents, lubricants, insulation, piping, sensors and technology-specific alloying elements. For Wood products, specifications must include durability, compatibility, recycled content and recoverability.</x:v>
      </x:c>
      <x:c r="AD238" s="2" t="str">
        <x:v>Maintenance of Wood products depends on refractory linings, bearings, seals, valves, filters, burners, electrodes, sensors, control modules, lubricants and calibrated instruments; critical spares are selected from failure-mode, lead-time and safety analysis for its installed configuration.</x:v>
      </x:c>
      <x:c r="AE238" s="2" t="str">
        <x:v>The software stack for Wood products requires databases, secure communications, version-controlled models, computing, backup and interfaces with field or operational systems.</x:v>
      </x:c>
      <x:c r="AF238" s="2" t="str">
        <x:v>For Wood products, software-related energy is electricity for sensing, computing, storage, communication and cooling; it is normally secondary but must be included for data-intensive or continuous services.</x:v>
      </x:c>
      <x:c r="AG238" s="2" t="str">
        <x:v>The non-physical inputs are calibrated data, metadata, algorithms, boundary conditions, emission or hazard factors, manuals and validation records specific to Wood products.</x:v>
      </x:c>
      <x:c r="AH238" s="2" t="str">
        <x:v>Software continuity for Wood products requires licences where applicable, updates, cybersecurity patches, backups, calibration files, model validation and technical support.</x:v>
      </x:c>
      <x:c r="AI238" s="2" t="str">
        <x:v>Orgware depends on the institutions, laboratories, training providers, regulators, operators and community interfaces needed to govern Wood products.</x:v>
      </x:c>
      <x:c r="AJ238" s="2" t="str">
        <x:v>The orgware supporting Wood products has mainly indirect energy use from offices, meetings, training and information systems; travel and field supervision may be material at dispersed sites.</x:v>
      </x:c>
      <x:c r="AK238" s="2" t="str">
        <x:v>Its organisational inputs are permits, budgets, trained staff, competence records, contracts, procedures, safeguards, monitoring evidence and stakeholder agreements tailored to Wood products.</x:v>
      </x:c>
      <x:c r="AL238" s="2" t="str">
        <x:v>Sustained implementation of Wood products requires procurement and service contracts, audit protocols, training material, reporting templates, insurance or guarantees and periodic independent review.</x:v>
      </x:c>
      <x:c r="AM238" s="2" t="str">
        <x:v>Iron ore / steel inputs</x:v>
      </x:c>
      <x:c r="AN238" s="2" t="str">
        <x:v>Australia; Brazil; China</x:v>
      </x:c>
      <x:c r="AO238" s="2" t="str">
        <x:v>China; India; Japan</x:v>
      </x:c>
      <x:c r="AP238" s="2" t="str">
        <x:v>Wood products: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8" s="2" t="str">
        <x:v>2024–2025</x:v>
      </x:c>
      <x:c r="AR238" s="2" t="str">
        <x:v>https://pubs.usgs.gov/periodicals/mcs2026/mcs2026.pdf</x:v>
      </x:c>
    </x:row>
    <x:row r="239" ht="240" customHeight="1">
      <x:c r="A239" s="2" t="str">
        <x:v>MIT-0232</x:v>
      </x:c>
      <x:c r="B239" s="2" t="str">
        <x:v>Mitigation</x:v>
      </x:c>
      <x:c r="C239" s="2" t="str">
        <x:v>Industry</x:v>
      </x:c>
      <x:c r="D239" s="2" t="str">
        <x:v>Manufacturing industry</x:v>
      </x:c>
      <x:c r="E239" s="2" t="str">
        <x:v>Mitigation in the pulp and paper industry</x:v>
      </x:c>
      <x:c r="F239" s="2" t="str">
        <x:v>Mitigation in the pulp and paper industry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Mitigation in the pulp and paper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39" s="2" t="str">
        <x:v>Mixed: adaptable design, site-specific implementation</x:v>
      </x:c>
      <x:c r="H239" s="2" t="str">
        <x:v>Mitigation in the pulp and paper industry is adaptable in capacity and configuration but site-specific in final engineering. Its principle remains the same, but resource quality, climate, scale, interfaces and safety constraints must be recalculated for each deployment.</x:v>
      </x:c>
      <x:c r="I239" s="2" t="str">
        <x:v>Primarily hard, with a soft component</x:v>
      </x:c>
      <x:c r="J239" s="2" t="str">
        <x:v>Mitigation in the pulp and paper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39" s="2" t="str">
        <x:v>Equipment and operation</x:v>
      </x:c>
      <x:c r="L239" s="2" t="str">
        <x:v>Mitigation in the pulp and paper industry is embodied mainly as an equipment-and-operation system. The deliverable is accepted only when measurable service, quality, safety and climate-performance criteria are met under real conditions.</x:v>
      </x:c>
      <x:c r="M239" s="2" t="str">
        <x:v>Yes, subject to life-cycle safeguards</x:v>
      </x:c>
      <x:c r="N239" s="2" t="str">
        <x:v>Mitigation in the pulp and paper industry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39" s="2" t="str">
        <x:v>Mitigation in the pulp and paper industry: process reactors or furnaces, heat exchangers, motors and drives, compressors, burners, controls, pollution abatement, material handling and measurement equipment.</x:v>
      </x:c>
      <x:c r="P239" s="2" t="str">
        <x:v>Mitigation in the pulp and paper industry: process simulation, pinch and heat-integration analysis, advanced control, production scheduling, quality control, energy management and life-cycle assessment.</x:v>
      </x:c>
      <x:c r="Q239" s="2" t="str">
        <x:v>Mitigation in the pulp and paper industry: industrial permits, product standards, operating procedures, maintenance and competence systems, procurement, energy management and industrial-symbiosis agreements.</x:v>
      </x:c>
      <x:c r="R239" s="2" t="str">
        <x:v>Mitigation in the pulp and paper industry: industrial site, utilities, fuel and electricity supply, material storage, process buildings, laboratories, waste handling and logistics.</x:v>
      </x:c>
      <x:c r="S239" s="2" t="str">
        <x:v>Mitigation in the pulp and paper industry: electricity, steam, process heat, cooling and fuels; useful-energy efficiency, heat recovery and carbon intensity of supply determine savings.</x:v>
      </x:c>
      <x:c r="T239" s="2" t="str">
        <x:v>Mitigation in the pulp and paper industry: process feedstocks, steel and refractory materials, catalysts, solvents, lubricants, insulation, piping, sensors and technology-specific alloying elements.</x:v>
      </x:c>
      <x:c r="U239" s="2" t="str">
        <x:v>Mitigation in the pulp and paper industry: refractory linings, bearings, seals, valves, filters, burners, electrodes, sensors, control modules, lubricants and calibrated instruments.</x:v>
      </x:c>
      <x:c r="V239" s="2" t="str">
        <x:v>https://www.ctc-n.org/sites/default/files/resources/ctcn_taxonomy_0.pdf</x:v>
      </x:c>
      <x:c r="W239" s="2" t="str">
        <x:v>https://institutoagricoladepueblobello.edu.co/colegiapp/archivostemas/GUIA%209.%5B25%5D.pdf</x:v>
      </x:c>
      <x:c r="X239" s="2" t="str">
        <x:v>https://iiasa.ac.at/what-is-technology</x:v>
      </x:c>
      <x:c r="Y239" s="2" t="str">
        <x:v>https://www.ipcc.ch/report/ar6/wg3/chapter/chapter-11/</x:v>
      </x:c>
      <x:c r="Z239" s="2" t="str">
        <x:v>Technology-specific analytical synthesis. The CTCN hierarchy is retained; classifications and component dependencies require validation against the selected design, site and supplier documentation before investment or policy use.</x:v>
      </x:c>
      <x:c r="AA239" s="2" t="str">
        <x:v>Physical deployment of Mitigation in the pulp and paper industry requires industrial site, utilities, fuel and electricity supply, material storage, process buildings, laboratories, waste handling and logistics; interfaces, foundations, access and environmental protection are sized to the specific resource and design load.</x:v>
      </x:c>
      <x:c r="AB239" s="2" t="str">
        <x:v>For Mitigation in the pulp and paper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39" s="2" t="str">
        <x:v>Construction and operation use process feedstocks, steel and refractory materials, catalysts, solvents, lubricants, insulation, piping, sensors and technology-specific alloying elements. For Mitigation in the pulp and paper industry, specifications must include durability, compatibility, recycled content and recoverability.</x:v>
      </x:c>
      <x:c r="AD239" s="2" t="str">
        <x:v>Maintenance of Mitigation in the pulp and paper industry depends on refractory linings, bearings, seals, valves, filters, burners, electrodes, sensors, control modules, lubricants and calibrated instruments; critical spares are selected from failure-mode, lead-time and safety analysis for its installed configuration.</x:v>
      </x:c>
      <x:c r="AE239" s="2" t="str">
        <x:v>The software stack for Mitigation in the pulp and paper industry requires databases, secure communications, version-controlled models, computing, backup and interfaces with field or operational systems.</x:v>
      </x:c>
      <x:c r="AF239" s="2" t="str">
        <x:v>For Mitigation in the pulp and paper industry, software-related energy is electricity for sensing, computing, storage, communication and cooling; it is normally secondary but must be included for data-intensive or continuous services.</x:v>
      </x:c>
      <x:c r="AG239" s="2" t="str">
        <x:v>The non-physical inputs are calibrated data, metadata, algorithms, boundary conditions, emission or hazard factors, manuals and validation records specific to Mitigation in the pulp and paper industry.</x:v>
      </x:c>
      <x:c r="AH239" s="2" t="str">
        <x:v>Software continuity for Mitigation in the pulp and paper industry requires licences where applicable, updates, cybersecurity patches, backups, calibration files, model validation and technical support.</x:v>
      </x:c>
      <x:c r="AI239" s="2" t="str">
        <x:v>Orgware depends on the institutions, laboratories, training providers, regulators, operators and community interfaces needed to govern Mitigation in the pulp and paper industry.</x:v>
      </x:c>
      <x:c r="AJ239" s="2" t="str">
        <x:v>The orgware supporting Mitigation in the pulp and paper industry has mainly indirect energy use from offices, meetings, training and information systems; travel and field supervision may be material at dispersed sites.</x:v>
      </x:c>
      <x:c r="AK239" s="2" t="str">
        <x:v>Its organisational inputs are permits, budgets, trained staff, competence records, contracts, procedures, safeguards, monitoring evidence and stakeholder agreements tailored to Mitigation in the pulp and paper industry.</x:v>
      </x:c>
      <x:c r="AL239" s="2" t="str">
        <x:v>Sustained implementation of Mitigation in the pulp and paper industry requires procurement and service contracts, audit protocols, training material, reporting templates, insurance or guarantees and periodic independent review.</x:v>
      </x:c>
      <x:c r="AM239" s="2" t="str">
        <x:v>Iron ore / steel inputs</x:v>
      </x:c>
      <x:c r="AN239" s="2" t="str">
        <x:v>Australia; Brazil; China</x:v>
      </x:c>
      <x:c r="AO239" s="2" t="str">
        <x:v>China; India; Japan</x:v>
      </x:c>
      <x:c r="AP239" s="2" t="str">
        <x:v>Mitigation in the pulp and paper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9" s="2" t="str">
        <x:v>2024–2025</x:v>
      </x:c>
      <x:c r="AR239" s="2" t="str">
        <x:v>https://pubs.usgs.gov/periodicals/mcs2026/mcs2026.pdf</x:v>
      </x:c>
    </x:row>
    <x:row r="240" ht="240" customHeight="1">
      <x:c r="A240" s="2" t="str">
        <x:v>MIT-0233</x:v>
      </x:c>
      <x:c r="B240" s="2" t="str">
        <x:v>Mitigation</x:v>
      </x:c>
      <x:c r="C240" s="2" t="str">
        <x:v>Industry</x:v>
      </x:c>
      <x:c r="D240" s="2" t="str">
        <x:v>Manufacturing industry</x:v>
      </x:c>
      <x:c r="E240" s="2" t="str">
        <x:v>Electronic devices</x:v>
      </x:c>
      <x:c r="F240" s="2" t="str">
        <x:v>Electronic devices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Electronic devices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0" s="2" t="str">
        <x:v>Mixed: adaptable design, site-specific implementation</x:v>
      </x:c>
      <x:c r="H240" s="2" t="str">
        <x:v>Electronic devices is adaptable in capacity and configuration but site-specific in final engineering. Its principle remains the same, but resource quality, climate, scale, interfaces and safety constraints must be recalculated for each deployment.</x:v>
      </x:c>
      <x:c r="I240" s="2" t="str">
        <x:v>Primarily hard, with a soft component</x:v>
      </x:c>
      <x:c r="J240" s="2" t="str">
        <x:v>Electronic devices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0" s="2" t="str">
        <x:v>Equipment and operation</x:v>
      </x:c>
      <x:c r="L240" s="2" t="str">
        <x:v>Electronic devices is embodied mainly as an equipment-and-operation system. The deliverable is accepted only when measurable service, quality, safety and climate-performance criteria are met under real conditions.</x:v>
      </x:c>
      <x:c r="M240" s="2" t="str">
        <x:v>Yes, subject to life-cycle safeguards</x:v>
      </x:c>
      <x:c r="N240" s="2" t="str">
        <x:v>Electronic devices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0" s="2" t="str">
        <x:v>Electronic devices: process reactors or furnaces, heat exchangers, motors and drives, compressors, burners, controls, pollution abatement, material handling and measurement equipment.</x:v>
      </x:c>
      <x:c r="P240" s="2" t="str">
        <x:v>Electronic devices: process simulation, pinch and heat-integration analysis, advanced control, production scheduling, quality control, energy management and life-cycle assessment.</x:v>
      </x:c>
      <x:c r="Q240" s="2" t="str">
        <x:v>Electronic devices: industrial permits, product standards, operating procedures, maintenance and competence systems, procurement, energy management and industrial-symbiosis agreements.</x:v>
      </x:c>
      <x:c r="R240" s="2" t="str">
        <x:v>Electronic devices: industrial site, utilities, fuel and electricity supply, material storage, process buildings, laboratories, waste handling and logistics.</x:v>
      </x:c>
      <x:c r="S240" s="2" t="str">
        <x:v>Electronic devices: electricity, steam, process heat, cooling and fuels; useful-energy efficiency, heat recovery and carbon intensity of supply determine savings.</x:v>
      </x:c>
      <x:c r="T240" s="2" t="str">
        <x:v>Electronic devices: process feedstocks, steel and refractory materials, catalysts, solvents, lubricants, insulation, piping, sensors and technology-specific alloying elements.</x:v>
      </x:c>
      <x:c r="U240" s="2" t="str">
        <x:v>Electronic devices: refractory linings, bearings, seals, valves, filters, burners, electrodes, sensors, control modules, lubricants and calibrated instruments.</x:v>
      </x:c>
      <x:c r="V240" s="2" t="str">
        <x:v>https://www.ctc-n.org/sites/default/files/resources/ctcn_taxonomy_0.pdf</x:v>
      </x:c>
      <x:c r="W240" s="2" t="str">
        <x:v>https://institutoagricoladepueblobello.edu.co/colegiapp/archivostemas/GUIA%209.%5B25%5D.pdf</x:v>
      </x:c>
      <x:c r="X240" s="2" t="str">
        <x:v>https://iiasa.ac.at/what-is-technology</x:v>
      </x:c>
      <x:c r="Y240" s="2" t="str">
        <x:v>https://www.ipcc.ch/report/ar6/wg3/chapter/chapter-11/</x:v>
      </x:c>
      <x:c r="Z240" s="2" t="str">
        <x:v>Technology-specific analytical synthesis. The CTCN hierarchy is retained; classifications and component dependencies require validation against the selected design, site and supplier documentation before investment or policy use.</x:v>
      </x:c>
      <x:c r="AA240" s="2" t="str">
        <x:v>Physical deployment of Electronic devices requires industrial site, utilities, fuel and electricity supply, material storage, process buildings, laboratories, waste handling and logistics; interfaces, foundations, access and environmental protection are sized to the specific resource and design load.</x:v>
      </x:c>
      <x:c r="AB240" s="2" t="str">
        <x:v>For Electronic devices,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0" s="2" t="str">
        <x:v>Construction and operation use process feedstocks, steel and refractory materials, catalysts, solvents, lubricants, insulation, piping, sensors and technology-specific alloying elements. For Electronic devices, specifications must include durability, compatibility, recycled content and recoverability.</x:v>
      </x:c>
      <x:c r="AD240" s="2" t="str">
        <x:v>Maintenance of Electronic devices depends on refractory linings, bearings, seals, valves, filters, burners, electrodes, sensors, control modules, lubricants and calibrated instruments; critical spares are selected from failure-mode, lead-time and safety analysis for its installed configuration.</x:v>
      </x:c>
      <x:c r="AE240" s="2" t="str">
        <x:v>The software stack for Electronic devices requires databases, secure communications, version-controlled models, computing, backup and interfaces with field or operational systems.</x:v>
      </x:c>
      <x:c r="AF240" s="2" t="str">
        <x:v>For Electronic devices, software-related energy is electricity for sensing, computing, storage, communication and cooling; it is normally secondary but must be included for data-intensive or continuous services.</x:v>
      </x:c>
      <x:c r="AG240" s="2" t="str">
        <x:v>The non-physical inputs are calibrated data, metadata, algorithms, boundary conditions, emission or hazard factors, manuals and validation records specific to Electronic devices.</x:v>
      </x:c>
      <x:c r="AH240" s="2" t="str">
        <x:v>Software continuity for Electronic devices requires licences where applicable, updates, cybersecurity patches, backups, calibration files, model validation and technical support.</x:v>
      </x:c>
      <x:c r="AI240" s="2" t="str">
        <x:v>Orgware depends on the institutions, laboratories, training providers, regulators, operators and community interfaces needed to govern Electronic devices.</x:v>
      </x:c>
      <x:c r="AJ240" s="2" t="str">
        <x:v>The orgware supporting Electronic devices has mainly indirect energy use from offices, meetings, training and information systems; travel and field supervision may be material at dispersed sites.</x:v>
      </x:c>
      <x:c r="AK240" s="2" t="str">
        <x:v>Its organisational inputs are permits, budgets, trained staff, competence records, contracts, procedures, safeguards, monitoring evidence and stakeholder agreements tailored to Electronic devices.</x:v>
      </x:c>
      <x:c r="AL240" s="2" t="str">
        <x:v>Sustained implementation of Electronic devices requires procurement and service contracts, audit protocols, training material, reporting templates, insurance or guarantees and periodic independent review.</x:v>
      </x:c>
      <x:c r="AM240" s="2" t="str">
        <x:v>Iron ore / steel inputs; Copper; Tin</x:v>
      </x:c>
      <x:c r="AN240" s="2" t="str">
        <x:v>Australia; Brazil; China; Chile; Democratic Republic of the Congo; Peru; Indonesia; Myanmar</x:v>
      </x:c>
      <x:c r="AO240" s="2" t="str">
        <x:v>China; India; Japan; Chile; Democratic Republic of the Congo; Indonesia; Malaysia</x:v>
      </x:c>
      <x:c r="AP240" s="2" t="str">
        <x:v>Electronic devices: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0" s="2" t="str">
        <x:v>2024–2025</x:v>
      </x:c>
      <x:c r="AR240" s="2" t="str">
        <x:v>https://pubs.usgs.gov/periodicals/mcs2026/mcs2026.pdf</x:v>
      </x:c>
    </x:row>
    <x:row r="241" ht="240" customHeight="1">
      <x:c r="A241" s="2" t="str">
        <x:v>MIT-0234</x:v>
      </x:c>
      <x:c r="B241" s="2" t="str">
        <x:v>Mitigation</x:v>
      </x:c>
      <x:c r="C241" s="2" t="str">
        <x:v>Industry</x:v>
      </x:c>
      <x:c r="D241" s="2" t="str">
        <x:v>Manufacturing industry</x:v>
      </x:c>
      <x:c r="E241" s="2" t="str">
        <x:v>Bioplastics</x:v>
      </x:c>
      <x:c r="F241" s="2" t="str">
        <x:v>Bioplastics is a mitigation technology in the Industry sector and the Manufacturing industry technology group. It is defined as a combined hardware–software–orgware system that changes industrial chemistry, heat integration, equipment efficiency, material yield, fuel, process route or product design to reduce direct and energy-related emissions per unit of output. Bioplastics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1" s="2" t="str">
        <x:v>Mixed: adaptable design, site-specific implementation</x:v>
      </x:c>
      <x:c r="H241" s="2" t="str">
        <x:v>Bioplastics is adaptable in capacity and configuration but site-specific in final engineering. Its principle remains the same, but resource quality, climate, scale, interfaces and safety constraints must be recalculated for each deployment.</x:v>
      </x:c>
      <x:c r="I241" s="2" t="str">
        <x:v>Primarily hard, with a soft component</x:v>
      </x:c>
      <x:c r="J241" s="2" t="str">
        <x:v>Bioplastics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1" s="2" t="str">
        <x:v>Product and equipment; complementary operation</x:v>
      </x:c>
      <x:c r="L241" s="2" t="str">
        <x:v>Bioplastics is embodied mainly as a product/equipment package. The deliverable is accepted only when measurable service, quality, safety and climate-performance criteria are met under real conditions.</x:v>
      </x:c>
      <x:c r="M241" s="2" t="str">
        <x:v>Yes, subject to life-cycle safeguards</x:v>
      </x:c>
      <x:c r="N241" s="2" t="str">
        <x:v>Bioplastics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1" s="2" t="str">
        <x:v>Bioplastics: process reactors or furnaces, heat exchangers, motors and drives, compressors, burners, controls, pollution abatement, material handling and measurement equipment.</x:v>
      </x:c>
      <x:c r="P241" s="2" t="str">
        <x:v>Bioplastics: process simulation, pinch and heat-integration analysis, advanced control, production scheduling, quality control, energy management and life-cycle assessment.</x:v>
      </x:c>
      <x:c r="Q241" s="2" t="str">
        <x:v>Bioplastics: industrial permits, product standards, operating procedures, maintenance and competence systems, procurement, energy management and industrial-symbiosis agreements.</x:v>
      </x:c>
      <x:c r="R241" s="2" t="str">
        <x:v>Bioplastics: industrial site, utilities, fuel and electricity supply, material storage, process buildings, laboratories, waste handling and logistics.</x:v>
      </x:c>
      <x:c r="S241" s="2" t="str">
        <x:v>Bioplastics: electricity, steam, process heat, cooling and fuels; useful-energy efficiency, heat recovery and carbon intensity of supply determine savings.</x:v>
      </x:c>
      <x:c r="T241" s="2" t="str">
        <x:v>Bioplastics: process feedstocks, steel and refractory materials, catalysts, solvents, lubricants, insulation, piping, sensors and technology-specific alloying elements.</x:v>
      </x:c>
      <x:c r="U241" s="2" t="str">
        <x:v>Bioplastics: refractory linings, bearings, seals, valves, filters, burners, electrodes, sensors, control modules, lubricants and calibrated instruments.</x:v>
      </x:c>
      <x:c r="V241" s="2" t="str">
        <x:v>https://www.ctc-n.org/sites/default/files/resources/ctcn_taxonomy_0.pdf</x:v>
      </x:c>
      <x:c r="W241" s="2" t="str">
        <x:v>https://institutoagricoladepueblobello.edu.co/colegiapp/archivostemas/GUIA%209.%5B25%5D.pdf</x:v>
      </x:c>
      <x:c r="X241" s="2" t="str">
        <x:v>https://iiasa.ac.at/what-is-technology</x:v>
      </x:c>
      <x:c r="Y241" s="2" t="str">
        <x:v>https://www.ipcc.ch/report/ar6/wg3/chapter/chapter-11/</x:v>
      </x:c>
      <x:c r="Z241" s="2" t="str">
        <x:v>Technology-specific analytical synthesis. The CTCN hierarchy is retained; classifications and component dependencies require validation against the selected design, site and supplier documentation before investment or policy use.</x:v>
      </x:c>
      <x:c r="AA241" s="2" t="str">
        <x:v>Physical deployment of Bioplastics requires industrial site, utilities, fuel and electricity supply, material storage, process buildings, laboratories, waste handling and logistics; interfaces, foundations, access and environmental protection are sized to the specific resource and design load.</x:v>
      </x:c>
      <x:c r="AB241" s="2" t="str">
        <x:v>For Bioplastics,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1" s="2" t="str">
        <x:v>Construction and operation use process feedstocks, steel and refractory materials, catalysts, solvents, lubricants, insulation, piping, sensors and technology-specific alloying elements. For Bioplastics, specifications must include durability, compatibility, recycled content and recoverability.</x:v>
      </x:c>
      <x:c r="AD241" s="2" t="str">
        <x:v>Maintenance of Bioplastics depends on refractory linings, bearings, seals, valves, filters, burners, electrodes, sensors, control modules, lubricants and calibrated instruments; critical spares are selected from failure-mode, lead-time and safety analysis for its installed configuration.</x:v>
      </x:c>
      <x:c r="AE241" s="2" t="str">
        <x:v>The software stack for Bioplastics requires databases, secure communications, version-controlled models, computing, backup and interfaces with field or operational systems.</x:v>
      </x:c>
      <x:c r="AF241" s="2" t="str">
        <x:v>For Bioplastics, software-related energy is electricity for sensing, computing, storage, communication and cooling; it is normally secondary but must be included for data-intensive or continuous services.</x:v>
      </x:c>
      <x:c r="AG241" s="2" t="str">
        <x:v>The non-physical inputs are calibrated data, metadata, algorithms, boundary conditions, emission or hazard factors, manuals and validation records specific to Bioplastics.</x:v>
      </x:c>
      <x:c r="AH241" s="2" t="str">
        <x:v>Software continuity for Bioplastics requires licences where applicable, updates, cybersecurity patches, backups, calibration files, model validation and technical support.</x:v>
      </x:c>
      <x:c r="AI241" s="2" t="str">
        <x:v>Orgware depends on the institutions, laboratories, training providers, regulators, operators and community interfaces needed to govern Bioplastics.</x:v>
      </x:c>
      <x:c r="AJ241" s="2" t="str">
        <x:v>The orgware supporting Bioplastics has mainly indirect energy use from offices, meetings, training and information systems; travel and field supervision may be material at dispersed sites.</x:v>
      </x:c>
      <x:c r="AK241" s="2" t="str">
        <x:v>Its organisational inputs are permits, budgets, trained staff, competence records, contracts, procedures, safeguards, monitoring evidence and stakeholder agreements tailored to Bioplastics.</x:v>
      </x:c>
      <x:c r="AL241" s="2" t="str">
        <x:v>Sustained implementation of Bioplastics requires procurement and service contracts, audit protocols, training material, reporting templates, insurance or guarantees and periodic independent review.</x:v>
      </x:c>
      <x:c r="AM241" s="2" t="str">
        <x:v>Iron ore / steel inputs</x:v>
      </x:c>
      <x:c r="AN241" s="2" t="str">
        <x:v>Australia; Brazil; China</x:v>
      </x:c>
      <x:c r="AO241" s="2" t="str">
        <x:v>China; India; Japan</x:v>
      </x:c>
      <x:c r="AP241" s="2" t="str">
        <x:v>Bioplastics: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1" s="2" t="str">
        <x:v>2024–2025</x:v>
      </x:c>
      <x:c r="AR241" s="2" t="str">
        <x:v>https://pubs.usgs.gov/periodicals/mcs2026/mcs2026.pdf</x:v>
      </x:c>
    </x:row>
    <x:row r="242" ht="240" customHeight="1">
      <x:c r="A242" s="2" t="str">
        <x:v>MIT-0235</x:v>
      </x:c>
      <x:c r="B242" s="2" t="str">
        <x:v>Mitigation</x:v>
      </x:c>
      <x:c r="C242" s="2" t="str">
        <x:v>Industry</x:v>
      </x:c>
      <x:c r="D242" s="2" t="str">
        <x:v>Conventional power plant efficiency</x:v>
      </x:c>
      <x:c r="E242" s="2" t="str">
        <x:v>Power plant rehabilitation</x:v>
      </x:c>
      <x:c r="F242" s="2" t="str">
        <x:v>Power plant rehabilitation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Power plant rehabilitation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2" s="2" t="str">
        <x:v>Primarily fixed</x:v>
      </x:c>
      <x:c r="H242" s="2" t="str">
        <x:v>Power plant rehabilitation is tied to long-lived, site-specific assets and design loads. Its principle remains the same, but resource quality, climate, scale, interfaces and safety constraints must be recalculated for each deployment.</x:v>
      </x:c>
      <x:c r="I242" s="2" t="str">
        <x:v>Primarily hard, with a soft component</x:v>
      </x:c>
      <x:c r="J242" s="2" t="str">
        <x:v>Power plant rehabilitation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2" s="2" t="str">
        <x:v>Equipment and operation</x:v>
      </x:c>
      <x:c r="L242" s="2" t="str">
        <x:v>Power plant rehabilitation is embodied mainly as an equipment-and-operation system. The deliverable is accepted only when measurable service, quality, safety and climate-performance criteria are met under real conditions.</x:v>
      </x:c>
      <x:c r="M242" s="2" t="str">
        <x:v>Yes, subject to life-cycle safeguards</x:v>
      </x:c>
      <x:c r="N242" s="2" t="str">
        <x:v>Power plant rehabilitation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2" s="2" t="str">
        <x:v>Power plant rehabilitation: process reactors or furnaces, heat exchangers, motors and drives, compressors, burners, controls, pollution abatement, material handling and measurement equipment.</x:v>
      </x:c>
      <x:c r="P242" s="2" t="str">
        <x:v>Power plant rehabilitation: process simulation, pinch and heat-integration analysis, advanced control, production scheduling, quality control, energy management and life-cycle assessment.</x:v>
      </x:c>
      <x:c r="Q242" s="2" t="str">
        <x:v>Power plant rehabilitation: industrial permits, product standards, operating procedures, maintenance and competence systems, procurement, energy management and industrial-symbiosis agreements.</x:v>
      </x:c>
      <x:c r="R242" s="2" t="str">
        <x:v>Power plant rehabilitation: industrial site, utilities, fuel and electricity supply, material storage, process buildings, laboratories, waste handling and logistics.</x:v>
      </x:c>
      <x:c r="S242" s="2" t="str">
        <x:v>Power plant rehabilitation: electricity, steam, process heat, cooling and fuels; useful-energy efficiency, heat recovery and carbon intensity of supply determine savings.</x:v>
      </x:c>
      <x:c r="T242" s="2" t="str">
        <x:v>Power plant rehabilitation: process feedstocks, steel and refractory materials, catalysts, solvents, lubricants, insulation, piping, sensors and technology-specific alloying elements.</x:v>
      </x:c>
      <x:c r="U242" s="2" t="str">
        <x:v>Power plant rehabilitation: refractory linings, bearings, seals, valves, filters, burners, electrodes, sensors, control modules, lubricants and calibrated instruments.</x:v>
      </x:c>
      <x:c r="V242" s="2" t="str">
        <x:v>https://www.ctc-n.org/sites/default/files/resources/ctcn_taxonomy_0.pdf</x:v>
      </x:c>
      <x:c r="W242" s="2" t="str">
        <x:v>https://institutoagricoladepueblobello.edu.co/colegiapp/archivostemas/GUIA%209.%5B25%5D.pdf</x:v>
      </x:c>
      <x:c r="X242" s="2" t="str">
        <x:v>https://iiasa.ac.at/what-is-technology</x:v>
      </x:c>
      <x:c r="Y242" s="2" t="str">
        <x:v>https://www.ipcc.ch/report/ar6/wg3/chapter/chapter-11/</x:v>
      </x:c>
      <x:c r="Z242" s="2" t="str">
        <x:v>Technology-specific analytical synthesis. The CTCN hierarchy is retained; classifications and component dependencies require validation against the selected design, site and supplier documentation before investment or policy use.</x:v>
      </x:c>
      <x:c r="AA242" s="2" t="str">
        <x:v>Physical deployment of Power plant rehabilitation requires industrial site, utilities, fuel and electricity supply, material storage, process buildings, laboratories, waste handling and logistics; interfaces, foundations, access and environmental protection are sized to the specific resource and design load.</x:v>
      </x:c>
      <x:c r="AB242" s="2" t="str">
        <x:v>For Power plant rehabilitation,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2" s="2" t="str">
        <x:v>Construction and operation use process feedstocks, steel and refractory materials, catalysts, solvents, lubricants, insulation, piping, sensors and technology-specific alloying elements. For Power plant rehabilitation, specifications must include durability, compatibility, recycled content and recoverability.</x:v>
      </x:c>
      <x:c r="AD242" s="2" t="str">
        <x:v>Maintenance of Power plant rehabilitation depends on refractory linings, bearings, seals, valves, filters, burners, electrodes, sensors, control modules, lubricants and calibrated instruments; critical spares are selected from failure-mode, lead-time and safety analysis for its installed configuration.</x:v>
      </x:c>
      <x:c r="AE242" s="2" t="str">
        <x:v>The software stack for Power plant rehabilitation requires databases, secure communications, version-controlled models, computing, backup and interfaces with field or operational systems.</x:v>
      </x:c>
      <x:c r="AF242" s="2" t="str">
        <x:v>For Power plant rehabilitation, software-related energy is electricity for sensing, computing, storage, communication and cooling; it is normally secondary but must be included for data-intensive or continuous services.</x:v>
      </x:c>
      <x:c r="AG242" s="2" t="str">
        <x:v>The non-physical inputs are calibrated data, metadata, algorithms, boundary conditions, emission or hazard factors, manuals and validation records specific to Power plant rehabilitation.</x:v>
      </x:c>
      <x:c r="AH242" s="2" t="str">
        <x:v>Software continuity for Power plant rehabilitation requires licences where applicable, updates, cybersecurity patches, backups, calibration files, model validation and technical support.</x:v>
      </x:c>
      <x:c r="AI242" s="2" t="str">
        <x:v>Orgware depends on the institutions, laboratories, training providers, regulators, operators and community interfaces needed to govern Power plant rehabilitation.</x:v>
      </x:c>
      <x:c r="AJ242" s="2" t="str">
        <x:v>The orgware supporting Power plant rehabilitation has mainly indirect energy use from offices, meetings, training and information systems; travel and field supervision may be material at dispersed sites.</x:v>
      </x:c>
      <x:c r="AK242" s="2" t="str">
        <x:v>Its organisational inputs are permits, budgets, trained staff, competence records, contracts, procedures, safeguards, monitoring evidence and stakeholder agreements tailored to Power plant rehabilitation.</x:v>
      </x:c>
      <x:c r="AL242" s="2" t="str">
        <x:v>Sustained implementation of Power plant rehabilitation requires procurement and service contracts, audit protocols, training material, reporting templates, insurance or guarantees and periodic independent review.</x:v>
      </x:c>
      <x:c r="AM242" s="2" t="str">
        <x:v>Iron ore / steel inputs</x:v>
      </x:c>
      <x:c r="AN242" s="2" t="str">
        <x:v>Australia; Brazil; China</x:v>
      </x:c>
      <x:c r="AO242" s="2" t="str">
        <x:v>China; India; Japan</x:v>
      </x:c>
      <x:c r="AP242" s="2" t="str">
        <x:v>Power plant rehabilitation: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2" s="2" t="str">
        <x:v>2024–2025</x:v>
      </x:c>
      <x:c r="AR242" s="2" t="str">
        <x:v>https://pubs.usgs.gov/periodicals/mcs2026/mcs2026.pdf</x:v>
      </x:c>
    </x:row>
    <x:row r="243" ht="240" customHeight="1">
      <x:c r="A243" s="2" t="str">
        <x:v>MIT-0236</x:v>
      </x:c>
      <x:c r="B243" s="2" t="str">
        <x:v>Mitigation</x:v>
      </x:c>
      <x:c r="C243" s="2" t="str">
        <x:v>Industry</x:v>
      </x:c>
      <x:c r="D243" s="2" t="str">
        <x:v>Conventional power plant efficiency</x:v>
      </x:c>
      <x:c r="E243" s="2" t="str">
        <x:v>Stirling engine</x:v>
      </x:c>
      <x:c r="F243" s="2" t="str">
        <x:v>Stirling engine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Stirling engine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3" s="2" t="str">
        <x:v>Primarily fixed</x:v>
      </x:c>
      <x:c r="H243" s="2" t="str">
        <x:v>Stirling engine is tied to long-lived, site-specific assets and design loads. Its principle remains the same, but resource quality, climate, scale, interfaces and safety constraints must be recalculated for each deployment.</x:v>
      </x:c>
      <x:c r="I243" s="2" t="str">
        <x:v>Primarily hard, with a soft component</x:v>
      </x:c>
      <x:c r="J243" s="2" t="str">
        <x:v>Stirling engine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3" s="2" t="str">
        <x:v>Equipment and operation</x:v>
      </x:c>
      <x:c r="L243" s="2" t="str">
        <x:v>Stirling engine is embodied mainly as an equipment-and-operation system. The deliverable is accepted only when measurable service, quality, safety and climate-performance criteria are met under real conditions.</x:v>
      </x:c>
      <x:c r="M243" s="2" t="str">
        <x:v>Yes, subject to life-cycle safeguards</x:v>
      </x:c>
      <x:c r="N243" s="2" t="str">
        <x:v>Stirling engine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3" s="2" t="str">
        <x:v>Stirling engine: process reactors or furnaces, heat exchangers, motors and drives, compressors, burners, controls, pollution abatement, material handling and measurement equipment.</x:v>
      </x:c>
      <x:c r="P243" s="2" t="str">
        <x:v>Stirling engine: process simulation, pinch and heat-integration analysis, advanced control, production scheduling, quality control, energy management and life-cycle assessment.</x:v>
      </x:c>
      <x:c r="Q243" s="2" t="str">
        <x:v>Stirling engine: industrial permits, product standards, operating procedures, maintenance and competence systems, procurement, energy management and industrial-symbiosis agreements.</x:v>
      </x:c>
      <x:c r="R243" s="2" t="str">
        <x:v>Stirling engine: industrial site, utilities, fuel and electricity supply, material storage, process buildings, laboratories, waste handling and logistics.</x:v>
      </x:c>
      <x:c r="S243" s="2" t="str">
        <x:v>Stirling engine: electricity, steam, process heat, cooling and fuels; useful-energy efficiency, heat recovery and carbon intensity of supply determine savings.</x:v>
      </x:c>
      <x:c r="T243" s="2" t="str">
        <x:v>Stirling engine: process feedstocks, steel and refractory materials, catalysts, solvents, lubricants, insulation, piping, sensors and technology-specific alloying elements.</x:v>
      </x:c>
      <x:c r="U243" s="2" t="str">
        <x:v>Stirling engine: refractory linings, bearings, seals, valves, filters, burners, electrodes, sensors, control modules, lubricants and calibrated instruments.</x:v>
      </x:c>
      <x:c r="V243" s="2" t="str">
        <x:v>https://www.ctc-n.org/sites/default/files/resources/ctcn_taxonomy_0.pdf</x:v>
      </x:c>
      <x:c r="W243" s="2" t="str">
        <x:v>https://institutoagricoladepueblobello.edu.co/colegiapp/archivostemas/GUIA%209.%5B25%5D.pdf</x:v>
      </x:c>
      <x:c r="X243" s="2" t="str">
        <x:v>https://iiasa.ac.at/what-is-technology</x:v>
      </x:c>
      <x:c r="Y243" s="2" t="str">
        <x:v>https://www.ipcc.ch/report/ar6/wg3/chapter/chapter-11/</x:v>
      </x:c>
      <x:c r="Z243" s="2" t="str">
        <x:v>Technology-specific analytical synthesis. The CTCN hierarchy is retained; classifications and component dependencies require validation against the selected design, site and supplier documentation before investment or policy use.</x:v>
      </x:c>
      <x:c r="AA243" s="2" t="str">
        <x:v>Physical deployment of Stirling engine requires industrial site, utilities, fuel and electricity supply, material storage, process buildings, laboratories, waste handling and logistics; interfaces, foundations, access and environmental protection are sized to the specific resource and design load.</x:v>
      </x:c>
      <x:c r="AB243" s="2" t="str">
        <x:v>For Stirling engine,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3" s="2" t="str">
        <x:v>Construction and operation use process feedstocks, steel and refractory materials, catalysts, solvents, lubricants, insulation, piping, sensors and technology-specific alloying elements. For Stirling engine, specifications must include durability, compatibility, recycled content and recoverability.</x:v>
      </x:c>
      <x:c r="AD243" s="2" t="str">
        <x:v>Maintenance of Stirling engine depends on refractory linings, bearings, seals, valves, filters, burners, electrodes, sensors, control modules, lubricants and calibrated instruments; critical spares are selected from failure-mode, lead-time and safety analysis for its installed configuration.</x:v>
      </x:c>
      <x:c r="AE243" s="2" t="str">
        <x:v>The software stack for Stirling engine requires databases, secure communications, version-controlled models, computing, backup and interfaces with field or operational systems.</x:v>
      </x:c>
      <x:c r="AF243" s="2" t="str">
        <x:v>For Stirling engine, software-related energy is electricity for sensing, computing, storage, communication and cooling; it is normally secondary but must be included for data-intensive or continuous services.</x:v>
      </x:c>
      <x:c r="AG243" s="2" t="str">
        <x:v>The non-physical inputs are calibrated data, metadata, algorithms, boundary conditions, emission or hazard factors, manuals and validation records specific to Stirling engine.</x:v>
      </x:c>
      <x:c r="AH243" s="2" t="str">
        <x:v>Software continuity for Stirling engine requires licences where applicable, updates, cybersecurity patches, backups, calibration files, model validation and technical support.</x:v>
      </x:c>
      <x:c r="AI243" s="2" t="str">
        <x:v>Orgware depends on the institutions, laboratories, training providers, regulators, operators and community interfaces needed to govern Stirling engine.</x:v>
      </x:c>
      <x:c r="AJ243" s="2" t="str">
        <x:v>The orgware supporting Stirling engine has mainly indirect energy use from offices, meetings, training and information systems; travel and field supervision may be material at dispersed sites.</x:v>
      </x:c>
      <x:c r="AK243" s="2" t="str">
        <x:v>Its organisational inputs are permits, budgets, trained staff, competence records, contracts, procedures, safeguards, monitoring evidence and stakeholder agreements tailored to Stirling engine.</x:v>
      </x:c>
      <x:c r="AL243" s="2" t="str">
        <x:v>Sustained implementation of Stirling engine requires procurement and service contracts, audit protocols, training material, reporting templates, insurance or guarantees and periodic independent review.</x:v>
      </x:c>
      <x:c r="AM243" s="2" t="str">
        <x:v>Iron ore / steel inputs</x:v>
      </x:c>
      <x:c r="AN243" s="2" t="str">
        <x:v>Australia; Brazil; China</x:v>
      </x:c>
      <x:c r="AO243" s="2" t="str">
        <x:v>China; India; Japan</x:v>
      </x:c>
      <x:c r="AP243" s="2" t="str">
        <x:v>Stirling engine: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3" s="2" t="str">
        <x:v>2024–2025</x:v>
      </x:c>
      <x:c r="AR243" s="2" t="str">
        <x:v>https://pubs.usgs.gov/periodicals/mcs2026/mcs2026.pdf</x:v>
      </x:c>
    </x:row>
    <x:row r="244" ht="240" customHeight="1">
      <x:c r="A244" s="2" t="str">
        <x:v>MIT-0237</x:v>
      </x:c>
      <x:c r="B244" s="2" t="str">
        <x:v>Mitigation</x:v>
      </x:c>
      <x:c r="C244" s="2" t="str">
        <x:v>Industry</x:v>
      </x:c>
      <x:c r="D244" s="2" t="str">
        <x:v>Conventional power plant efficiency</x:v>
      </x:c>
      <x:c r="E244" s="2" t="str">
        <x:v>Natural gas combined cycle plants</x:v>
      </x:c>
      <x:c r="F244" s="2" t="str">
        <x:v>Natural gas combined cycle plants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Natural gas combined cycle plants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4" s="2" t="str">
        <x:v>Primarily fixed</x:v>
      </x:c>
      <x:c r="H244" s="2" t="str">
        <x:v>Natural gas combined cycle plants is tied to long-lived, site-specific assets and design loads. Its principle remains the same, but resource quality, climate, scale, interfaces and safety constraints must be recalculated for each deployment.</x:v>
      </x:c>
      <x:c r="I244" s="2" t="str">
        <x:v>Primarily hard, with a soft component</x:v>
      </x:c>
      <x:c r="J244" s="2" t="str">
        <x:v>Natural gas combined cycle plants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4" s="2" t="str">
        <x:v>Equipment and operation</x:v>
      </x:c>
      <x:c r="L244" s="2" t="str">
        <x:v>Natural gas combined cycle plants is embodied mainly as an equipment-and-operation system. The deliverable is accepted only when measurable service, quality, safety and climate-performance criteria are met under real conditions.</x:v>
      </x:c>
      <x:c r="M244" s="2" t="str">
        <x:v>Conditional on performance and life cycle</x:v>
      </x:c>
      <x:c r="N244" s="2" t="str">
        <x:v>Natural gas combined cycle plants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4" s="2" t="str">
        <x:v>Natural gas combined cycle plants: process reactors or furnaces, heat exchangers, motors and drives, compressors, burners, controls, pollution abatement, material handling and measurement equipment.</x:v>
      </x:c>
      <x:c r="P244" s="2" t="str">
        <x:v>Natural gas combined cycle plants: process simulation, pinch and heat-integration analysis, advanced control, production scheduling, quality control, energy management and life-cycle assessment.</x:v>
      </x:c>
      <x:c r="Q244" s="2" t="str">
        <x:v>Natural gas combined cycle plants: industrial permits, product standards, operating procedures, maintenance and competence systems, procurement, energy management and industrial-symbiosis agreements.</x:v>
      </x:c>
      <x:c r="R244" s="2" t="str">
        <x:v>Natural gas combined cycle plants: industrial site, utilities, fuel and electricity supply, material storage, process buildings, laboratories, waste handling and logistics.</x:v>
      </x:c>
      <x:c r="S244" s="2" t="str">
        <x:v>Natural gas combined cycle plants: electricity, steam, process heat, cooling and fuels; useful-energy efficiency, heat recovery and carbon intensity of supply determine savings.</x:v>
      </x:c>
      <x:c r="T244" s="2" t="str">
        <x:v>Natural gas combined cycle plants: process feedstocks, steel and refractory materials, catalysts, solvents, lubricants, insulation, piping, sensors and technology-specific alloying elements.</x:v>
      </x:c>
      <x:c r="U244" s="2" t="str">
        <x:v>Natural gas combined cycle plants: refractory linings, bearings, seals, valves, filters, burners, electrodes, sensors, control modules, lubricants and calibrated instruments.</x:v>
      </x:c>
      <x:c r="V244" s="2" t="str">
        <x:v>https://www.ctc-n.org/sites/default/files/resources/ctcn_taxonomy_0.pdf</x:v>
      </x:c>
      <x:c r="W244" s="2" t="str">
        <x:v>https://institutoagricoladepueblobello.edu.co/colegiapp/archivostemas/GUIA%209.%5B25%5D.pdf</x:v>
      </x:c>
      <x:c r="X244" s="2" t="str">
        <x:v>https://iiasa.ac.at/what-is-technology</x:v>
      </x:c>
      <x:c r="Y244" s="2" t="str">
        <x:v>https://www.ipcc.ch/report/ar6/wg3/chapter/chapter-11/</x:v>
      </x:c>
      <x:c r="Z244" s="2" t="str">
        <x:v>Technology-specific analytical synthesis. The CTCN hierarchy is retained; classifications and component dependencies require validation against the selected design, site and supplier documentation before investment or policy use.</x:v>
      </x:c>
      <x:c r="AA244" s="2" t="str">
        <x:v>Physical deployment of Natural gas combined cycle plants requires industrial site, utilities, fuel and electricity supply, material storage, process buildings, laboratories, waste handling and logistics; interfaces, foundations, access and environmental protection are sized to the specific resource and design load.</x:v>
      </x:c>
      <x:c r="AB244" s="2" t="str">
        <x:v>For Natural gas combined cycle plants,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4" s="2" t="str">
        <x:v>Construction and operation use process feedstocks, steel and refractory materials, catalysts, solvents, lubricants, insulation, piping, sensors and technology-specific alloying elements. For Natural gas combined cycle plants, specifications must include durability, compatibility, recycled content and recoverability.</x:v>
      </x:c>
      <x:c r="AD244" s="2" t="str">
        <x:v>Maintenance of Natural gas combined cycle plants depends on refractory linings, bearings, seals, valves, filters, burners, electrodes, sensors, control modules, lubricants and calibrated instruments; critical spares are selected from failure-mode, lead-time and safety analysis for its installed configuration.</x:v>
      </x:c>
      <x:c r="AE244" s="2" t="str">
        <x:v>The software stack for Natural gas combined cycle plants requires databases, secure communications, version-controlled models, computing, backup and interfaces with field or operational systems.</x:v>
      </x:c>
      <x:c r="AF244" s="2" t="str">
        <x:v>For Natural gas combined cycle plants, software-related energy is electricity for sensing, computing, storage, communication and cooling; it is normally secondary but must be included for data-intensive or continuous services.</x:v>
      </x:c>
      <x:c r="AG244" s="2" t="str">
        <x:v>The non-physical inputs are calibrated data, metadata, algorithms, boundary conditions, emission or hazard factors, manuals and validation records specific to Natural gas combined cycle plants.</x:v>
      </x:c>
      <x:c r="AH244" s="2" t="str">
        <x:v>Software continuity for Natural gas combined cycle plants requires licences where applicable, updates, cybersecurity patches, backups, calibration files, model validation and technical support.</x:v>
      </x:c>
      <x:c r="AI244" s="2" t="str">
        <x:v>Orgware depends on the institutions, laboratories, training providers, regulators, operators and community interfaces needed to govern Natural gas combined cycle plants.</x:v>
      </x:c>
      <x:c r="AJ244" s="2" t="str">
        <x:v>The orgware supporting Natural gas combined cycle plants has mainly indirect energy use from offices, meetings, training and information systems; travel and field supervision may be material at dispersed sites.</x:v>
      </x:c>
      <x:c r="AK244" s="2" t="str">
        <x:v>Its organisational inputs are permits, budgets, trained staff, competence records, contracts, procedures, safeguards, monitoring evidence and stakeholder agreements tailored to Natural gas combined cycle plants.</x:v>
      </x:c>
      <x:c r="AL244" s="2" t="str">
        <x:v>Sustained implementation of Natural gas combined cycle plants requires procurement and service contracts, audit protocols, training material, reporting templates, insurance or guarantees and periodic independent review.</x:v>
      </x:c>
      <x:c r="AM244" s="2" t="str">
        <x:v>Iron ore / steel inputs</x:v>
      </x:c>
      <x:c r="AN244" s="2" t="str">
        <x:v>Australia; Brazil; China</x:v>
      </x:c>
      <x:c r="AO244" s="2" t="str">
        <x:v>China; India; Japan</x:v>
      </x:c>
      <x:c r="AP244" s="2" t="str">
        <x:v>Natural gas combined cycle plants: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4" s="2" t="str">
        <x:v>2024–2025</x:v>
      </x:c>
      <x:c r="AR244" s="2" t="str">
        <x:v>https://pubs.usgs.gov/periodicals/mcs2026/mcs2026.pdf</x:v>
      </x:c>
    </x:row>
    <x:row r="245" ht="240" customHeight="1">
      <x:c r="A245" s="2" t="str">
        <x:v>MIT-0238</x:v>
      </x:c>
      <x:c r="B245" s="2" t="str">
        <x:v>Mitigation</x:v>
      </x:c>
      <x:c r="C245" s="2" t="str">
        <x:v>Industry</x:v>
      </x:c>
      <x:c r="D245" s="2" t="str">
        <x:v>Conventional power plant efficiency</x:v>
      </x:c>
      <x:c r="E245" s="2" t="str">
        <x:v>Integrated gasification combined-cycle</x:v>
      </x:c>
      <x:c r="F245" s="2" t="str">
        <x:v>Integrated gasification combined-cycle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Integrated gasification combined-cycle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5" s="2" t="str">
        <x:v>Primarily fixed</x:v>
      </x:c>
      <x:c r="H245" s="2" t="str">
        <x:v>Integrated gasification combined-cycle is tied to long-lived, site-specific assets and design loads. Its principle remains the same, but resource quality, climate, scale, interfaces and safety constraints must be recalculated for each deployment.</x:v>
      </x:c>
      <x:c r="I245" s="2" t="str">
        <x:v>Primarily hard, with a soft component</x:v>
      </x:c>
      <x:c r="J245" s="2" t="str">
        <x:v>Integrated gasification combined-cycle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5" s="2" t="str">
        <x:v>Equipment and operation</x:v>
      </x:c>
      <x:c r="L245" s="2" t="str">
        <x:v>Integrated gasification combined-cycle is embodied mainly as an equipment-and-operation system. The deliverable is accepted only when measurable service, quality, safety and climate-performance criteria are met under real conditions.</x:v>
      </x:c>
      <x:c r="M245" s="2" t="str">
        <x:v>Yes, subject to life-cycle safeguards</x:v>
      </x:c>
      <x:c r="N245" s="2" t="str">
        <x:v>Integrated gasification combined-cycle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5" s="2" t="str">
        <x:v>Integrated gasification combined-cycle: process reactors or furnaces, heat exchangers, motors and drives, compressors, burners, controls, pollution abatement, material handling and measurement equipment.</x:v>
      </x:c>
      <x:c r="P245" s="2" t="str">
        <x:v>Integrated gasification combined-cycle: process simulation, pinch and heat-integration analysis, advanced control, production scheduling, quality control, energy management and life-cycle assessment.</x:v>
      </x:c>
      <x:c r="Q245" s="2" t="str">
        <x:v>Integrated gasification combined-cycle: industrial permits, product standards, operating procedures, maintenance and competence systems, procurement, energy management and industrial-symbiosis agreements.</x:v>
      </x:c>
      <x:c r="R245" s="2" t="str">
        <x:v>Integrated gasification combined-cycle: industrial site, utilities, fuel and electricity supply, material storage, process buildings, laboratories, waste handling and logistics.</x:v>
      </x:c>
      <x:c r="S245" s="2" t="str">
        <x:v>Integrated gasification combined-cycle: electricity, steam, process heat, cooling and fuels; useful-energy efficiency, heat recovery and carbon intensity of supply determine savings.</x:v>
      </x:c>
      <x:c r="T245" s="2" t="str">
        <x:v>Integrated gasification combined-cycle: process feedstocks, steel and refractory materials, catalysts, solvents, lubricants, insulation, piping, sensors and technology-specific alloying elements.</x:v>
      </x:c>
      <x:c r="U245" s="2" t="str">
        <x:v>Integrated gasification combined-cycle: refractory linings, bearings, seals, valves, filters, burners, electrodes, sensors, control modules, lubricants and calibrated instruments.</x:v>
      </x:c>
      <x:c r="V245" s="2" t="str">
        <x:v>https://www.ctc-n.org/sites/default/files/resources/ctcn_taxonomy_0.pdf</x:v>
      </x:c>
      <x:c r="W245" s="2" t="str">
        <x:v>https://institutoagricoladepueblobello.edu.co/colegiapp/archivostemas/GUIA%209.%5B25%5D.pdf</x:v>
      </x:c>
      <x:c r="X245" s="2" t="str">
        <x:v>https://iiasa.ac.at/what-is-technology</x:v>
      </x:c>
      <x:c r="Y245" s="2" t="str">
        <x:v>https://www.ipcc.ch/report/ar6/wg3/chapter/chapter-11/</x:v>
      </x:c>
      <x:c r="Z245" s="2" t="str">
        <x:v>Technology-specific analytical synthesis. The CTCN hierarchy is retained; classifications and component dependencies require validation against the selected design, site and supplier documentation before investment or policy use.</x:v>
      </x:c>
      <x:c r="AA245" s="2" t="str">
        <x:v>Physical deployment of Integrated gasification combined-cycle requires industrial site, utilities, fuel and electricity supply, material storage, process buildings, laboratories, waste handling and logistics; interfaces, foundations, access and environmental protection are sized to the specific resource and design load.</x:v>
      </x:c>
      <x:c r="AB245" s="2" t="str">
        <x:v>For Integrated gasification combined-cycle,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5" s="2" t="str">
        <x:v>Construction and operation use process feedstocks, steel and refractory materials, catalysts, solvents, lubricants, insulation, piping, sensors and technology-specific alloying elements. For Integrated gasification combined-cycle, specifications must include durability, compatibility, recycled content and recoverability.</x:v>
      </x:c>
      <x:c r="AD245" s="2" t="str">
        <x:v>Maintenance of Integrated gasification combined-cycle depends on refractory linings, bearings, seals, valves, filters, burners, electrodes, sensors, control modules, lubricants and calibrated instruments; critical spares are selected from failure-mode, lead-time and safety analysis for its installed configuration.</x:v>
      </x:c>
      <x:c r="AE245" s="2" t="str">
        <x:v>The software stack for Integrated gasification combined-cycle requires databases, secure communications, version-controlled models, computing, backup and interfaces with field or operational systems.</x:v>
      </x:c>
      <x:c r="AF245" s="2" t="str">
        <x:v>For Integrated gasification combined-cycle, software-related energy is electricity for sensing, computing, storage, communication and cooling; it is normally secondary but must be included for data-intensive or continuous services.</x:v>
      </x:c>
      <x:c r="AG245" s="2" t="str">
        <x:v>The non-physical inputs are calibrated data, metadata, algorithms, boundary conditions, emission or hazard factors, manuals and validation records specific to Integrated gasification combined-cycle.</x:v>
      </x:c>
      <x:c r="AH245" s="2" t="str">
        <x:v>Software continuity for Integrated gasification combined-cycle requires licences where applicable, updates, cybersecurity patches, backups, calibration files, model validation and technical support.</x:v>
      </x:c>
      <x:c r="AI245" s="2" t="str">
        <x:v>Orgware depends on the institutions, laboratories, training providers, regulators, operators and community interfaces needed to govern Integrated gasification combined-cycle.</x:v>
      </x:c>
      <x:c r="AJ245" s="2" t="str">
        <x:v>The orgware supporting Integrated gasification combined-cycle has mainly indirect energy use from offices, meetings, training and information systems; travel and field supervision may be material at dispersed sites.</x:v>
      </x:c>
      <x:c r="AK245" s="2" t="str">
        <x:v>Its organisational inputs are permits, budgets, trained staff, competence records, contracts, procedures, safeguards, monitoring evidence and stakeholder agreements tailored to Integrated gasification combined-cycle.</x:v>
      </x:c>
      <x:c r="AL245" s="2" t="str">
        <x:v>Sustained implementation of Integrated gasification combined-cycle requires procurement and service contracts, audit protocols, training material, reporting templates, insurance or guarantees and periodic independent review.</x:v>
      </x:c>
      <x:c r="AM245" s="2" t="str">
        <x:v>Iron ore / steel inputs</x:v>
      </x:c>
      <x:c r="AN245" s="2" t="str">
        <x:v>Australia; Brazil; China</x:v>
      </x:c>
      <x:c r="AO245" s="2" t="str">
        <x:v>China; India; Japan</x:v>
      </x:c>
      <x:c r="AP245" s="2" t="str">
        <x:v>Integrated gasification combined-cycle: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5" s="2" t="str">
        <x:v>2024–2025</x:v>
      </x:c>
      <x:c r="AR245" s="2" t="str">
        <x:v>https://pubs.usgs.gov/periodicals/mcs2026/mcs2026.pdf</x:v>
      </x:c>
    </x:row>
    <x:row r="246" ht="240" customHeight="1">
      <x:c r="A246" s="2" t="str">
        <x:v>MIT-0239</x:v>
      </x:c>
      <x:c r="B246" s="2" t="str">
        <x:v>Mitigation</x:v>
      </x:c>
      <x:c r="C246" s="2" t="str">
        <x:v>Industry</x:v>
      </x:c>
      <x:c r="D246" s="2" t="str">
        <x:v>Conventional power plant efficiency</x:v>
      </x:c>
      <x:c r="E246" s="2" t="str">
        <x:v>Single cycle to combined cycle power generation</x:v>
      </x:c>
      <x:c r="F246" s="2" t="str">
        <x:v>Single cycle to combined cycle power generation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Single cycle to combined cycle power generation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6" s="2" t="str">
        <x:v>Primarily fixed</x:v>
      </x:c>
      <x:c r="H246" s="2" t="str">
        <x:v>Single cycle to combined cycle power generation is tied to long-lived, site-specific assets and design loads. Its principle remains the same, but resource quality, climate, scale, interfaces and safety constraints must be recalculated for each deployment.</x:v>
      </x:c>
      <x:c r="I246" s="2" t="str">
        <x:v>Primarily hard, with a soft component</x:v>
      </x:c>
      <x:c r="J246" s="2" t="str">
        <x:v>Single cycle to combined cycle power generation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6" s="2" t="str">
        <x:v>Equipment and operation</x:v>
      </x:c>
      <x:c r="L246" s="2" t="str">
        <x:v>Single cycle to combined cycle power generation is embodied mainly as an equipment-and-operation system. The deliverable is accepted only when measurable service, quality, safety and climate-performance criteria are met under real conditions.</x:v>
      </x:c>
      <x:c r="M246" s="2" t="str">
        <x:v>Yes, subject to life-cycle safeguards</x:v>
      </x:c>
      <x:c r="N246" s="2" t="str">
        <x:v>Single cycle to combined cycle power generation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6" s="2" t="str">
        <x:v>Single cycle to combined cycle power generation: process reactors or furnaces, heat exchangers, motors and drives, compressors, burners, controls, pollution abatement, material handling and measurement equipment.</x:v>
      </x:c>
      <x:c r="P246" s="2" t="str">
        <x:v>Single cycle to combined cycle power generation: process simulation, pinch and heat-integration analysis, advanced control, production scheduling, quality control, energy management and life-cycle assessment.</x:v>
      </x:c>
      <x:c r="Q246" s="2" t="str">
        <x:v>Single cycle to combined cycle power generation: industrial permits, product standards, operating procedures, maintenance and competence systems, procurement, energy management and industrial-symbiosis agreements.</x:v>
      </x:c>
      <x:c r="R246" s="2" t="str">
        <x:v>Single cycle to combined cycle power generation: industrial site, utilities, fuel and electricity supply, material storage, process buildings, laboratories, waste handling and logistics.</x:v>
      </x:c>
      <x:c r="S246" s="2" t="str">
        <x:v>Single cycle to combined cycle power generation: electricity, steam, process heat, cooling and fuels; useful-energy efficiency, heat recovery and carbon intensity of supply determine savings.</x:v>
      </x:c>
      <x:c r="T246" s="2" t="str">
        <x:v>Single cycle to combined cycle power generation: process feedstocks, steel and refractory materials, catalysts, solvents, lubricants, insulation, piping, sensors and technology-specific alloying elements.</x:v>
      </x:c>
      <x:c r="U246" s="2" t="str">
        <x:v>Single cycle to combined cycle power generation: refractory linings, bearings, seals, valves, filters, burners, electrodes, sensors, control modules, lubricants and calibrated instruments.</x:v>
      </x:c>
      <x:c r="V246" s="2" t="str">
        <x:v>https://www.ctc-n.org/sites/default/files/resources/ctcn_taxonomy_0.pdf</x:v>
      </x:c>
      <x:c r="W246" s="2" t="str">
        <x:v>https://institutoagricoladepueblobello.edu.co/colegiapp/archivostemas/GUIA%209.%5B25%5D.pdf</x:v>
      </x:c>
      <x:c r="X246" s="2" t="str">
        <x:v>https://iiasa.ac.at/what-is-technology</x:v>
      </x:c>
      <x:c r="Y246" s="2" t="str">
        <x:v>https://www.ipcc.ch/report/ar6/wg3/chapter/chapter-11/</x:v>
      </x:c>
      <x:c r="Z246" s="2" t="str">
        <x:v>Technology-specific analytical synthesis. The CTCN hierarchy is retained; classifications and component dependencies require validation against the selected design, site and supplier documentation before investment or policy use.</x:v>
      </x:c>
      <x:c r="AA246" s="2" t="str">
        <x:v>Physical deployment of Single cycle to combined cycle power generation requires industrial site, utilities, fuel and electricity supply, material storage, process buildings, laboratories, waste handling and logistics; interfaces, foundations, access and environmental protection are sized to the specific resource and design load.</x:v>
      </x:c>
      <x:c r="AB246" s="2" t="str">
        <x:v>For Single cycle to combined cycle power generation,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6" s="2" t="str">
        <x:v>Construction and operation use process feedstocks, steel and refractory materials, catalysts, solvents, lubricants, insulation, piping, sensors and technology-specific alloying elements. For Single cycle to combined cycle power generation, specifications must include durability, compatibility, recycled content and recoverability.</x:v>
      </x:c>
      <x:c r="AD246" s="2" t="str">
        <x:v>Maintenance of Single cycle to combined cycle power generation depends on refractory linings, bearings, seals, valves, filters, burners, electrodes, sensors, control modules, lubricants and calibrated instruments; critical spares are selected from failure-mode, lead-time and safety analysis for its installed configuration.</x:v>
      </x:c>
      <x:c r="AE246" s="2" t="str">
        <x:v>The software stack for Single cycle to combined cycle power generation requires databases, secure communications, version-controlled models, computing, backup and interfaces with field or operational systems.</x:v>
      </x:c>
      <x:c r="AF246" s="2" t="str">
        <x:v>For Single cycle to combined cycle power generation, software-related energy is electricity for sensing, computing, storage, communication and cooling; it is normally secondary but must be included for data-intensive or continuous services.</x:v>
      </x:c>
      <x:c r="AG246" s="2" t="str">
        <x:v>The non-physical inputs are calibrated data, metadata, algorithms, boundary conditions, emission or hazard factors, manuals and validation records specific to Single cycle to combined cycle power generation.</x:v>
      </x:c>
      <x:c r="AH246" s="2" t="str">
        <x:v>Software continuity for Single cycle to combined cycle power generation requires licences where applicable, updates, cybersecurity patches, backups, calibration files, model validation and technical support.</x:v>
      </x:c>
      <x:c r="AI246" s="2" t="str">
        <x:v>Orgware depends on the institutions, laboratories, training providers, regulators, operators and community interfaces needed to govern Single cycle to combined cycle power generation.</x:v>
      </x:c>
      <x:c r="AJ246" s="2" t="str">
        <x:v>The orgware supporting Single cycle to combined cycle power generation has mainly indirect energy use from offices, meetings, training and information systems; travel and field supervision may be material at dispersed sites.</x:v>
      </x:c>
      <x:c r="AK246" s="2" t="str">
        <x:v>Its organisational inputs are permits, budgets, trained staff, competence records, contracts, procedures, safeguards, monitoring evidence and stakeholder agreements tailored to Single cycle to combined cycle power generation.</x:v>
      </x:c>
      <x:c r="AL246" s="2" t="str">
        <x:v>Sustained implementation of Single cycle to combined cycle power generation requires procurement and service contracts, audit protocols, training material, reporting templates, insurance or guarantees and periodic independent review.</x:v>
      </x:c>
      <x:c r="AM246" s="2" t="str">
        <x:v>Iron ore / steel inputs</x:v>
      </x:c>
      <x:c r="AN246" s="2" t="str">
        <x:v>Australia; Brazil; China</x:v>
      </x:c>
      <x:c r="AO246" s="2" t="str">
        <x:v>China; India; Japan</x:v>
      </x:c>
      <x:c r="AP246" s="2" t="str">
        <x:v>Single cycle to combined cycle power generation: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6" s="2" t="str">
        <x:v>2024–2025</x:v>
      </x:c>
      <x:c r="AR246" s="2" t="str">
        <x:v>https://pubs.usgs.gov/periodicals/mcs2026/mcs2026.pdf</x:v>
      </x:c>
    </x:row>
    <x:row r="247" ht="240" customHeight="1">
      <x:c r="A247" s="2" t="str">
        <x:v>MIT-0240</x:v>
      </x:c>
      <x:c r="B247" s="2" t="str">
        <x:v>Mitigation</x:v>
      </x:c>
      <x:c r="C247" s="2" t="str">
        <x:v>Industry</x:v>
      </x:c>
      <x:c r="D247" s="2" t="str">
        <x:v>Conventional power plant efficiency</x:v>
      </x:c>
      <x:c r="E247" s="2" t="str">
        <x:v>Replacement of district heating boilers</x:v>
      </x:c>
      <x:c r="F247" s="2" t="str">
        <x:v>Replacement of district heating boilers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Replacement of district heating boilers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7" s="2" t="str">
        <x:v>Primarily fixed</x:v>
      </x:c>
      <x:c r="H247" s="2" t="str">
        <x:v>Replacement of district heating boilers is tied to long-lived, site-specific assets and design loads. Its principle remains the same, but resource quality, climate, scale, interfaces and safety constraints must be recalculated for each deployment.</x:v>
      </x:c>
      <x:c r="I247" s="2" t="str">
        <x:v>Primarily hard, with a soft component</x:v>
      </x:c>
      <x:c r="J247" s="2" t="str">
        <x:v>Replacement of district heating boilers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7" s="2" t="str">
        <x:v>Equipment and operation</x:v>
      </x:c>
      <x:c r="L247" s="2" t="str">
        <x:v>Replacement of district heating boilers is embodied mainly as an equipment-and-operation system. The deliverable is accepted only when measurable service, quality, safety and climate-performance criteria are met under real conditions.</x:v>
      </x:c>
      <x:c r="M247" s="2" t="str">
        <x:v>Yes, subject to life-cycle safeguards</x:v>
      </x:c>
      <x:c r="N247" s="2" t="str">
        <x:v>Replacement of district heating boilers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7" s="2" t="str">
        <x:v>Replacement of district heating boilers: process reactors or furnaces, heat exchangers, motors and drives, compressors, burners, controls, pollution abatement, material handling and measurement equipment.</x:v>
      </x:c>
      <x:c r="P247" s="2" t="str">
        <x:v>Replacement of district heating boilers: process simulation, pinch and heat-integration analysis, advanced control, production scheduling, quality control, energy management and life-cycle assessment.</x:v>
      </x:c>
      <x:c r="Q247" s="2" t="str">
        <x:v>Replacement of district heating boilers: industrial permits, product standards, operating procedures, maintenance and competence systems, procurement, energy management and industrial-symbiosis agreements.</x:v>
      </x:c>
      <x:c r="R247" s="2" t="str">
        <x:v>Replacement of district heating boilers: industrial site, utilities, fuel and electricity supply, material storage, process buildings, laboratories, waste handling and logistics.</x:v>
      </x:c>
      <x:c r="S247" s="2" t="str">
        <x:v>Replacement of district heating boilers: electricity, steam, process heat, cooling and fuels; useful-energy efficiency, heat recovery and carbon intensity of supply determine savings.</x:v>
      </x:c>
      <x:c r="T247" s="2" t="str">
        <x:v>Replacement of district heating boilers: process feedstocks, steel and refractory materials, catalysts, solvents, lubricants, insulation, piping, sensors and technology-specific alloying elements.</x:v>
      </x:c>
      <x:c r="U247" s="2" t="str">
        <x:v>Replacement of district heating boilers: refractory linings, bearings, seals, valves, filters, burners, electrodes, sensors, control modules, lubricants and calibrated instruments.</x:v>
      </x:c>
      <x:c r="V247" s="2" t="str">
        <x:v>https://www.ctc-n.org/sites/default/files/resources/ctcn_taxonomy_0.pdf</x:v>
      </x:c>
      <x:c r="W247" s="2" t="str">
        <x:v>https://institutoagricoladepueblobello.edu.co/colegiapp/archivostemas/GUIA%209.%5B25%5D.pdf</x:v>
      </x:c>
      <x:c r="X247" s="2" t="str">
        <x:v>https://iiasa.ac.at/what-is-technology</x:v>
      </x:c>
      <x:c r="Y247" s="2" t="str">
        <x:v>https://www.ipcc.ch/report/ar6/wg3/chapter/chapter-11/</x:v>
      </x:c>
      <x:c r="Z247" s="2" t="str">
        <x:v>Technology-specific analytical synthesis. The CTCN hierarchy is retained; classifications and component dependencies require validation against the selected design, site and supplier documentation before investment or policy use.</x:v>
      </x:c>
      <x:c r="AA247" s="2" t="str">
        <x:v>Physical deployment of Replacement of district heating boilers requires industrial site, utilities, fuel and electricity supply, material storage, process buildings, laboratories, waste handling and logistics; interfaces, foundations, access and environmental protection are sized to the specific resource and design load.</x:v>
      </x:c>
      <x:c r="AB247" s="2" t="str">
        <x:v>For Replacement of district heating boilers,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7" s="2" t="str">
        <x:v>Construction and operation use process feedstocks, steel and refractory materials, catalysts, solvents, lubricants, insulation, piping, sensors and technology-specific alloying elements. For Replacement of district heating boilers, specifications must include durability, compatibility, recycled content and recoverability.</x:v>
      </x:c>
      <x:c r="AD247" s="2" t="str">
        <x:v>Maintenance of Replacement of district heating boilers depends on refractory linings, bearings, seals, valves, filters, burners, electrodes, sensors, control modules, lubricants and calibrated instruments; critical spares are selected from failure-mode, lead-time and safety analysis for its installed configuration.</x:v>
      </x:c>
      <x:c r="AE247" s="2" t="str">
        <x:v>The software stack for Replacement of district heating boilers requires databases, secure communications, version-controlled models, computing, backup and interfaces with field or operational systems.</x:v>
      </x:c>
      <x:c r="AF247" s="2" t="str">
        <x:v>For Replacement of district heating boilers, software-related energy is electricity for sensing, computing, storage, communication and cooling; it is normally secondary but must be included for data-intensive or continuous services.</x:v>
      </x:c>
      <x:c r="AG247" s="2" t="str">
        <x:v>The non-physical inputs are calibrated data, metadata, algorithms, boundary conditions, emission or hazard factors, manuals and validation records specific to Replacement of district heating boilers.</x:v>
      </x:c>
      <x:c r="AH247" s="2" t="str">
        <x:v>Software continuity for Replacement of district heating boilers requires licences where applicable, updates, cybersecurity patches, backups, calibration files, model validation and technical support.</x:v>
      </x:c>
      <x:c r="AI247" s="2" t="str">
        <x:v>Orgware depends on the institutions, laboratories, training providers, regulators, operators and community interfaces needed to govern Replacement of district heating boilers.</x:v>
      </x:c>
      <x:c r="AJ247" s="2" t="str">
        <x:v>The orgware supporting Replacement of district heating boilers has mainly indirect energy use from offices, meetings, training and information systems; travel and field supervision may be material at dispersed sites.</x:v>
      </x:c>
      <x:c r="AK247" s="2" t="str">
        <x:v>Its organisational inputs are permits, budgets, trained staff, competence records, contracts, procedures, safeguards, monitoring evidence and stakeholder agreements tailored to Replacement of district heating boilers.</x:v>
      </x:c>
      <x:c r="AL247" s="2" t="str">
        <x:v>Sustained implementation of Replacement of district heating boilers requires procurement and service contracts, audit protocols, training material, reporting templates, insurance or guarantees and periodic independent review.</x:v>
      </x:c>
      <x:c r="AM247" s="2" t="str">
        <x:v>Iron ore / steel inputs; Nickel; Chromium; Limestone / cement raw materials</x:v>
      </x:c>
      <x:c r="AN247" s="2" t="str">
        <x:v>Australia; Brazil; China; Indonesia; Philippines; Russia; South Africa; Kazakhstan; Turkey; India; Vietnam</x:v>
      </x:c>
      <x:c r="AO247" s="2" t="str">
        <x:v>China; India; Japan; Indonesia; South Africa; Kazakhstan; Vietnam</x:v>
      </x:c>
      <x:c r="AP247" s="2" t="str">
        <x:v>Replacement of district heating boilers: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7" s="2" t="str">
        <x:v>2024–2025</x:v>
      </x:c>
      <x:c r="AR247" s="2" t="str">
        <x:v>https://pubs.usgs.gov/periodicals/mcs2026/mcs2026.pdf; https://www.iea.org/reports/global-critical-minerals-outlook-2025</x:v>
      </x:c>
    </x:row>
    <x:row r="248" ht="240" customHeight="1">
      <x:c r="A248" s="2" t="str">
        <x:v>MIT-0241</x:v>
      </x:c>
      <x:c r="B248" s="2" t="str">
        <x:v>Mitigation</x:v>
      </x:c>
      <x:c r="C248" s="2" t="str">
        <x:v>Industry</x:v>
      </x:c>
      <x:c r="D248" s="2" t="str">
        <x:v>Conventional power plant efficiency</x:v>
      </x:c>
      <x:c r="E248" s="2" t="str">
        <x:v>Higher efficiency oil power</x:v>
      </x:c>
      <x:c r="F248" s="2" t="str">
        <x:v>Higher efficiency oil power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Higher efficiency oil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8" s="2" t="str">
        <x:v>Primarily fixed</x:v>
      </x:c>
      <x:c r="H248" s="2" t="str">
        <x:v>Higher efficiency oil power is tied to long-lived, site-specific assets and design loads. Its principle remains the same, but resource quality, climate, scale, interfaces and safety constraints must be recalculated for each deployment.</x:v>
      </x:c>
      <x:c r="I248" s="2" t="str">
        <x:v>Primarily hard, with a soft component</x:v>
      </x:c>
      <x:c r="J248" s="2" t="str">
        <x:v>Higher efficiency oil power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8" s="2" t="str">
        <x:v>Equipment and operation</x:v>
      </x:c>
      <x:c r="L248" s="2" t="str">
        <x:v>Higher efficiency oil power is embodied mainly as an equipment-and-operation system. The deliverable is accepted only when measurable service, quality, safety and climate-performance criteria are met under real conditions.</x:v>
      </x:c>
      <x:c r="M248" s="2" t="str">
        <x:v>Not necessarily</x:v>
      </x:c>
      <x:c r="N248" s="2" t="str">
        <x:v>Higher efficiency oil power is classified as not inherently clean.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8" s="2" t="str">
        <x:v>Higher efficiency oil power: process reactors or furnaces, heat exchangers, motors and drives, compressors, burners, controls, pollution abatement, material handling and measurement equipment.</x:v>
      </x:c>
      <x:c r="P248" s="2" t="str">
        <x:v>Higher efficiency oil power: process simulation, pinch and heat-integration analysis, advanced control, production scheduling, quality control, energy management and life-cycle assessment.</x:v>
      </x:c>
      <x:c r="Q248" s="2" t="str">
        <x:v>Higher efficiency oil power: industrial permits, product standards, operating procedures, maintenance and competence systems, procurement, energy management and industrial-symbiosis agreements.</x:v>
      </x:c>
      <x:c r="R248" s="2" t="str">
        <x:v>Higher efficiency oil power: industrial site, utilities, fuel and electricity supply, material storage, process buildings, laboratories, waste handling and logistics.</x:v>
      </x:c>
      <x:c r="S248" s="2" t="str">
        <x:v>Higher efficiency oil power: electricity, steam, process heat, cooling and fuels; useful-energy efficiency, heat recovery and carbon intensity of supply determine savings.</x:v>
      </x:c>
      <x:c r="T248" s="2" t="str">
        <x:v>Higher efficiency oil power: process feedstocks, steel and refractory materials, catalysts, solvents, lubricants, insulation, piping, sensors and technology-specific alloying elements.</x:v>
      </x:c>
      <x:c r="U248" s="2" t="str">
        <x:v>Higher efficiency oil power: refractory linings, bearings, seals, valves, filters, burners, electrodes, sensors, control modules, lubricants and calibrated instruments.</x:v>
      </x:c>
      <x:c r="V248" s="2" t="str">
        <x:v>https://www.ctc-n.org/sites/default/files/resources/ctcn_taxonomy_0.pdf</x:v>
      </x:c>
      <x:c r="W248" s="2" t="str">
        <x:v>https://institutoagricoladepueblobello.edu.co/colegiapp/archivostemas/GUIA%209.%5B25%5D.pdf</x:v>
      </x:c>
      <x:c r="X248" s="2" t="str">
        <x:v>https://iiasa.ac.at/what-is-technology</x:v>
      </x:c>
      <x:c r="Y248" s="2" t="str">
        <x:v>https://www.ipcc.ch/report/ar6/wg3/chapter/chapter-11/</x:v>
      </x:c>
      <x:c r="Z248" s="2" t="str">
        <x:v>Technology-specific analytical synthesis. The CTCN hierarchy is retained; classifications and component dependencies require validation against the selected design, site and supplier documentation before investment or policy use.</x:v>
      </x:c>
      <x:c r="AA248" s="2" t="str">
        <x:v>Physical deployment of Higher efficiency oil power requires industrial site, utilities, fuel and electricity supply, material storage, process buildings, laboratories, waste handling and logistics; interfaces, foundations, access and environmental protection are sized to the specific resource and design load.</x:v>
      </x:c>
      <x:c r="AB248" s="2" t="str">
        <x:v>For Higher efficiency oil power,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8" s="2" t="str">
        <x:v>Construction and operation use process feedstocks, steel and refractory materials, catalysts, solvents, lubricants, insulation, piping, sensors and technology-specific alloying elements. For Higher efficiency oil power, specifications must include durability, compatibility, recycled content and recoverability.</x:v>
      </x:c>
      <x:c r="AD248" s="2" t="str">
        <x:v>Maintenance of Higher efficiency oil power depends on refractory linings, bearings, seals, valves, filters, burners, electrodes, sensors, control modules, lubricants and calibrated instruments; critical spares are selected from failure-mode, lead-time and safety analysis for its installed configuration.</x:v>
      </x:c>
      <x:c r="AE248" s="2" t="str">
        <x:v>The software stack for Higher efficiency oil power requires databases, secure communications, version-controlled models, computing, backup and interfaces with field or operational systems.</x:v>
      </x:c>
      <x:c r="AF248" s="2" t="str">
        <x:v>For Higher efficiency oil power, software-related energy is electricity for sensing, computing, storage, communication and cooling; it is normally secondary but must be included for data-intensive or continuous services.</x:v>
      </x:c>
      <x:c r="AG248" s="2" t="str">
        <x:v>The non-physical inputs are calibrated data, metadata, algorithms, boundary conditions, emission or hazard factors, manuals and validation records specific to Higher efficiency oil power.</x:v>
      </x:c>
      <x:c r="AH248" s="2" t="str">
        <x:v>Software continuity for Higher efficiency oil power requires licences where applicable, updates, cybersecurity patches, backups, calibration files, model validation and technical support.</x:v>
      </x:c>
      <x:c r="AI248" s="2" t="str">
        <x:v>Orgware depends on the institutions, laboratories, training providers, regulators, operators and community interfaces needed to govern Higher efficiency oil power.</x:v>
      </x:c>
      <x:c r="AJ248" s="2" t="str">
        <x:v>The orgware supporting Higher efficiency oil power has mainly indirect energy use from offices, meetings, training and information systems; travel and field supervision may be material at dispersed sites.</x:v>
      </x:c>
      <x:c r="AK248" s="2" t="str">
        <x:v>Its organisational inputs are permits, budgets, trained staff, competence records, contracts, procedures, safeguards, monitoring evidence and stakeholder agreements tailored to Higher efficiency oil power.</x:v>
      </x:c>
      <x:c r="AL248" s="2" t="str">
        <x:v>Sustained implementation of Higher efficiency oil power requires procurement and service contracts, audit protocols, training material, reporting templates, insurance or guarantees and periodic independent review.</x:v>
      </x:c>
      <x:c r="AM248" s="2" t="str">
        <x:v>Iron ore / steel inputs</x:v>
      </x:c>
      <x:c r="AN248" s="2" t="str">
        <x:v>Australia; Brazil; China</x:v>
      </x:c>
      <x:c r="AO248" s="2" t="str">
        <x:v>China; India; Japan</x:v>
      </x:c>
      <x:c r="AP248" s="2" t="str">
        <x:v>Higher efficiency oil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8" s="2" t="str">
        <x:v>2024–2025</x:v>
      </x:c>
      <x:c r="AR248" s="2" t="str">
        <x:v>https://pubs.usgs.gov/periodicals/mcs2026/mcs2026.pdf</x:v>
      </x:c>
    </x:row>
    <x:row r="249" ht="240" customHeight="1">
      <x:c r="A249" s="2" t="str">
        <x:v>MIT-0242</x:v>
      </x:c>
      <x:c r="B249" s="2" t="str">
        <x:v>Mitigation</x:v>
      </x:c>
      <x:c r="C249" s="2" t="str">
        <x:v>Industry</x:v>
      </x:c>
      <x:c r="D249" s="2" t="str">
        <x:v>Conventional power plant efficiency</x:v>
      </x:c>
      <x:c r="E249" s="2" t="str">
        <x:v>Higher efficiency steam boiler</x:v>
      </x:c>
      <x:c r="F249" s="2" t="str">
        <x:v>Higher efficiency steam boiler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Higher efficiency steam boiler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49" s="2" t="str">
        <x:v>Primarily fixed</x:v>
      </x:c>
      <x:c r="H249" s="2" t="str">
        <x:v>Higher efficiency steam boiler is tied to long-lived, site-specific assets and design loads. Its principle remains the same, but resource quality, climate, scale, interfaces and safety constraints must be recalculated for each deployment.</x:v>
      </x:c>
      <x:c r="I249" s="2" t="str">
        <x:v>Primarily hard, with a soft component</x:v>
      </x:c>
      <x:c r="J249" s="2" t="str">
        <x:v>Higher efficiency steam boiler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49" s="2" t="str">
        <x:v>Equipment and operation</x:v>
      </x:c>
      <x:c r="L249" s="2" t="str">
        <x:v>Higher efficiency steam boiler is embodied mainly as an equipment-and-operation system. The deliverable is accepted only when measurable service, quality, safety and climate-performance criteria are met under real conditions.</x:v>
      </x:c>
      <x:c r="M249" s="2" t="str">
        <x:v>Yes, subject to life-cycle safeguards</x:v>
      </x:c>
      <x:c r="N249" s="2" t="str">
        <x:v>Higher efficiency steam boiler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49" s="2" t="str">
        <x:v>Higher efficiency steam boiler: process reactors or furnaces, heat exchangers, motors and drives, compressors, burners, controls, pollution abatement, material handling and measurement equipment.</x:v>
      </x:c>
      <x:c r="P249" s="2" t="str">
        <x:v>Higher efficiency steam boiler: process simulation, pinch and heat-integration analysis, advanced control, production scheduling, quality control, energy management and life-cycle assessment.</x:v>
      </x:c>
      <x:c r="Q249" s="2" t="str">
        <x:v>Higher efficiency steam boiler: industrial permits, product standards, operating procedures, maintenance and competence systems, procurement, energy management and industrial-symbiosis agreements.</x:v>
      </x:c>
      <x:c r="R249" s="2" t="str">
        <x:v>Higher efficiency steam boiler: industrial site, utilities, fuel and electricity supply, material storage, process buildings, laboratories, waste handling and logistics.</x:v>
      </x:c>
      <x:c r="S249" s="2" t="str">
        <x:v>Higher efficiency steam boiler: electricity, steam, process heat, cooling and fuels; useful-energy efficiency, heat recovery and carbon intensity of supply determine savings.</x:v>
      </x:c>
      <x:c r="T249" s="2" t="str">
        <x:v>Higher efficiency steam boiler: process feedstocks, steel and refractory materials, catalysts, solvents, lubricants, insulation, piping, sensors and technology-specific alloying elements.</x:v>
      </x:c>
      <x:c r="U249" s="2" t="str">
        <x:v>Higher efficiency steam boiler: refractory linings, bearings, seals, valves, filters, burners, electrodes, sensors, control modules, lubricants and calibrated instruments.</x:v>
      </x:c>
      <x:c r="V249" s="2" t="str">
        <x:v>https://www.ctc-n.org/sites/default/files/resources/ctcn_taxonomy_0.pdf</x:v>
      </x:c>
      <x:c r="W249" s="2" t="str">
        <x:v>https://institutoagricoladepueblobello.edu.co/colegiapp/archivostemas/GUIA%209.%5B25%5D.pdf</x:v>
      </x:c>
      <x:c r="X249" s="2" t="str">
        <x:v>https://iiasa.ac.at/what-is-technology</x:v>
      </x:c>
      <x:c r="Y249" s="2" t="str">
        <x:v>https://www.ipcc.ch/report/ar6/wg3/chapter/chapter-11/</x:v>
      </x:c>
      <x:c r="Z249" s="2" t="str">
        <x:v>Technology-specific analytical synthesis. The CTCN hierarchy is retained; classifications and component dependencies require validation against the selected design, site and supplier documentation before investment or policy use.</x:v>
      </x:c>
      <x:c r="AA249" s="2" t="str">
        <x:v>Physical deployment of Higher efficiency steam boiler requires industrial site, utilities, fuel and electricity supply, material storage, process buildings, laboratories, waste handling and logistics; interfaces, foundations, access and environmental protection are sized to the specific resource and design load.</x:v>
      </x:c>
      <x:c r="AB249" s="2" t="str">
        <x:v>For Higher efficiency steam boiler,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49" s="2" t="str">
        <x:v>Construction and operation use process feedstocks, steel and refractory materials, catalysts, solvents, lubricants, insulation, piping, sensors and technology-specific alloying elements. For Higher efficiency steam boiler, specifications must include durability, compatibility, recycled content and recoverability.</x:v>
      </x:c>
      <x:c r="AD249" s="2" t="str">
        <x:v>Maintenance of Higher efficiency steam boiler depends on refractory linings, bearings, seals, valves, filters, burners, electrodes, sensors, control modules, lubricants and calibrated instruments; critical spares are selected from failure-mode, lead-time and safety analysis for its installed configuration.</x:v>
      </x:c>
      <x:c r="AE249" s="2" t="str">
        <x:v>The software stack for Higher efficiency steam boiler requires databases, secure communications, version-controlled models, computing, backup and interfaces with field or operational systems.</x:v>
      </x:c>
      <x:c r="AF249" s="2" t="str">
        <x:v>For Higher efficiency steam boiler, software-related energy is electricity for sensing, computing, storage, communication and cooling; it is normally secondary but must be included for data-intensive or continuous services.</x:v>
      </x:c>
      <x:c r="AG249" s="2" t="str">
        <x:v>The non-physical inputs are calibrated data, metadata, algorithms, boundary conditions, emission or hazard factors, manuals and validation records specific to Higher efficiency steam boiler.</x:v>
      </x:c>
      <x:c r="AH249" s="2" t="str">
        <x:v>Software continuity for Higher efficiency steam boiler requires licences where applicable, updates, cybersecurity patches, backups, calibration files, model validation and technical support.</x:v>
      </x:c>
      <x:c r="AI249" s="2" t="str">
        <x:v>Orgware depends on the institutions, laboratories, training providers, regulators, operators and community interfaces needed to govern Higher efficiency steam boiler.</x:v>
      </x:c>
      <x:c r="AJ249" s="2" t="str">
        <x:v>The orgware supporting Higher efficiency steam boiler has mainly indirect energy use from offices, meetings, training and information systems; travel and field supervision may be material at dispersed sites.</x:v>
      </x:c>
      <x:c r="AK249" s="2" t="str">
        <x:v>Its organisational inputs are permits, budgets, trained staff, competence records, contracts, procedures, safeguards, monitoring evidence and stakeholder agreements tailored to Higher efficiency steam boiler.</x:v>
      </x:c>
      <x:c r="AL249" s="2" t="str">
        <x:v>Sustained implementation of Higher efficiency steam boiler requires procurement and service contracts, audit protocols, training material, reporting templates, insurance or guarantees and periodic independent review.</x:v>
      </x:c>
      <x:c r="AM249" s="2" t="str">
        <x:v>Iron ore / steel inputs</x:v>
      </x:c>
      <x:c r="AN249" s="2" t="str">
        <x:v>Australia; Brazil; China</x:v>
      </x:c>
      <x:c r="AO249" s="2" t="str">
        <x:v>China; India; Japan</x:v>
      </x:c>
      <x:c r="AP249" s="2" t="str">
        <x:v>Higher efficiency steam boiler: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9" s="2" t="str">
        <x:v>2024–2025</x:v>
      </x:c>
      <x:c r="AR249" s="2" t="str">
        <x:v>https://pubs.usgs.gov/periodicals/mcs2026/mcs2026.pdf</x:v>
      </x:c>
    </x:row>
    <x:row r="250" ht="240" customHeight="1">
      <x:c r="A250" s="2" t="str">
        <x:v>MIT-0243</x:v>
      </x:c>
      <x:c r="B250" s="2" t="str">
        <x:v>Mitigation</x:v>
      </x:c>
      <x:c r="C250" s="2" t="str">
        <x:v>Industry</x:v>
      </x:c>
      <x:c r="D250" s="2" t="str">
        <x:v>Conventional power plant efficiency</x:v>
      </x:c>
      <x:c r="E250" s="2" t="str">
        <x:v>Waste heat recovery</x:v>
      </x:c>
      <x:c r="F250" s="2" t="str">
        <x:v>Waste heat recovery is a mitigation technology in the Industry sector and the Conventional power plant efficiency technology group. It is defined as a combined hardware–software–orgware system that controls biological or thermochemical conversion of biomass, residues, solid waste or wastewater to avoid methane, recover materials and energy, or stabilise organic matter. Heat exchangers recover sensible or latent heat from hot exhausts, products or cooling streams and transfer it to preheating, steam generation or another useful sink.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250" s="2" t="str">
        <x:v>Primarily fixed</x:v>
      </x:c>
      <x:c r="H250" s="2" t="str">
        <x:v>Waste heat recovery is tied to long-lived, site-specific assets and design loads. Its principle remains the same, but resource quality, climate, scale, interfaces and safety constraints must be recalculated for each deployment.</x:v>
      </x:c>
      <x:c r="I250" s="2" t="str">
        <x:v>Primarily hard, with a soft component</x:v>
      </x:c>
      <x:c r="J250" s="2" t="str">
        <x:v>Waste heat recovery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250" s="2" t="str">
        <x:v>Equipment and operation</x:v>
      </x:c>
      <x:c r="L250" s="2" t="str">
        <x:v>Waste heat recovery is embodied mainly as an equipment-and-operation system. The deliverable is accepted only when measurable service, quality, safety and climate-performance criteria are met under real conditions.</x:v>
      </x:c>
      <x:c r="M250" s="2" t="str">
        <x:v>Yes, subject to life-cycle safeguards</x:v>
      </x:c>
      <x:c r="N250" s="2" t="str">
        <x:v>Waste heat recovery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250" s="2" t="str">
        <x:v>Waste heat recovery: collection and sorting equipment, reactors or digesters, aeration, gas handling, thermal conversion, pollution control and product conditioning.</x:v>
      </x:c>
      <x:c r="P250" s="2" t="str">
        <x:v>Waste heat recovery: feedstock characterisation, mass balances, biological or thermal process control, methane accounting, quality assurance and logistics optimisation.</x:v>
      </x:c>
      <x:c r="Q250" s="2" t="str">
        <x:v>Waste heat recovery: waste hierarchy, source separation, collection contracts, emission permits, digestate or product standards, occupational safety and informal-sector inclusion.</x:v>
      </x:c>
      <x:c r="R250" s="2" t="str">
        <x:v>Waste heat recovery: collection network, transfer and treatment sites, weighbridge, drainage, electricity or heat connection, gas line and residue disposal.</x:v>
      </x:c>
      <x:c r="S250" s="2" t="str">
        <x:v>Waste heat recovery: electricity, process heat or auxiliary fuel; recovered biogas, syngas, heat or electricity may offset external energy.</x:v>
      </x:c>
      <x:c r="T250" s="2" t="str">
        <x:v>Waste heat recovery: steel, concrete, polymers, filters, catalysts or sorbents, biological inoculum and treatment chemicals according to the process.</x:v>
      </x:c>
      <x:c r="U250" s="2" t="str">
        <x:v>Waste heat recovery: pumps, screens, blowers, mixers, seals, burners, analysers, filter media, reagents and personal protective equipment.</x:v>
      </x:c>
      <x:c r="V250" s="2" t="str">
        <x:v>https://www.ctc-n.org/sites/default/files/resources/ctcn_taxonomy_0.pdf</x:v>
      </x:c>
      <x:c r="W250" s="2" t="str">
        <x:v>https://institutoagricoladepueblobello.edu.co/colegiapp/archivostemas/GUIA%209.%5B25%5D.pdf</x:v>
      </x:c>
      <x:c r="X250" s="2" t="str">
        <x:v>https://iiasa.ac.at/what-is-technology</x:v>
      </x:c>
      <x:c r="Y250" s="2" t="str">
        <x:v>https://www.ipcc.ch/report/ar6/wg3/chapter/chapter-11/; https://www.unep.org/resources/report/global-waste-management-outlook-2024</x:v>
      </x:c>
      <x:c r="Z250" s="2" t="str">
        <x:v>Technology-specific analytical synthesis. The CTCN hierarchy is retained; classifications and component dependencies require validation against the selected design, site and supplier documentation before investment or policy use.</x:v>
      </x:c>
      <x:c r="AA250" s="2" t="str">
        <x:v>Physical deployment of Waste heat recovery requires collection network, transfer and treatment sites, weighbridge, drainage, electricity or heat connection, gas line and residue disposal; interfaces, foundations, access and environmental protection are sized to the specific resource and design load.</x:v>
      </x:c>
      <x:c r="AB250" s="2" t="str">
        <x:v>For Waste heat recovery, the hardware energy balance comprises electricity, process heat or auxiliary fuel; recovered biogas, syngas, heat or electricity may offset external energy; metering must separate useful output, conversion losses and auxiliaries for the selected design.</x:v>
      </x:c>
      <x:c r="AC250" s="2" t="str">
        <x:v>Construction and operation use steel, concrete, polymers, filters, catalysts or sorbents, biological inoculum and treatment chemicals according to the process. For Waste heat recovery, specifications must include durability, compatibility, recycled content and recoverability.</x:v>
      </x:c>
      <x:c r="AD250" s="2" t="str">
        <x:v>Maintenance of Waste heat recovery depends on pumps, screens, blowers, mixers, seals, burners, analysers, filter media, reagents and personal protective equipment; critical spares are selected from failure-mode, lead-time and safety analysis for its installed configuration.</x:v>
      </x:c>
      <x:c r="AE250" s="2" t="str">
        <x:v>The software stack for Waste heat recovery requires databases, secure communications, version-controlled models, computing, backup and interfaces with field or operational systems.</x:v>
      </x:c>
      <x:c r="AF250" s="2" t="str">
        <x:v>For Waste heat recovery, software-related energy is electricity for sensing, computing, storage, communication and cooling; it is normally secondary but must be included for data-intensive or continuous services.</x:v>
      </x:c>
      <x:c r="AG250" s="2" t="str">
        <x:v>The non-physical inputs are calibrated data, metadata, algorithms, boundary conditions, emission or hazard factors, manuals and validation records specific to Waste heat recovery.</x:v>
      </x:c>
      <x:c r="AH250" s="2" t="str">
        <x:v>Software continuity for Waste heat recovery requires licences where applicable, updates, cybersecurity patches, backups, calibration files, model validation and technical support.</x:v>
      </x:c>
      <x:c r="AI250" s="2" t="str">
        <x:v>Orgware depends on the institutions, laboratories, training providers, regulators, operators and community interfaces needed to govern Waste heat recovery.</x:v>
      </x:c>
      <x:c r="AJ250" s="2" t="str">
        <x:v>The orgware supporting Waste heat recovery has mainly indirect energy use from offices, meetings, training and information systems; travel and field supervision may be material at dispersed sites.</x:v>
      </x:c>
      <x:c r="AK250" s="2" t="str">
        <x:v>Its organisational inputs are permits, budgets, trained staff, competence records, contracts, procedures, safeguards, monitoring evidence and stakeholder agreements tailored to Waste heat recovery.</x:v>
      </x:c>
      <x:c r="AL250" s="2" t="str">
        <x:v>Sustained implementation of Waste heat recovery requires procurement and service contracts, audit protocols, training material, reporting templates, insurance or guarantees and periodic independent review.</x:v>
      </x:c>
      <x:c r="AM250" s="2" t="str">
        <x:v>Iron ore / steel inputs</x:v>
      </x:c>
      <x:c r="AN250" s="2" t="str">
        <x:v>Australia; Brazil; China</x:v>
      </x:c>
      <x:c r="AO250" s="2" t="str">
        <x:v>China; India; Japan</x:v>
      </x:c>
      <x:c r="AP250" s="2" t="str">
        <x:v>Waste heat recovery: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0" s="2" t="str">
        <x:v>2024–2025</x:v>
      </x:c>
      <x:c r="AR250" s="2" t="str">
        <x:v>https://pubs.usgs.gov/periodicals/mcs2026/mcs2026.pdf</x:v>
      </x:c>
    </x:row>
    <x:row r="251" ht="240" customHeight="1">
      <x:c r="A251" s="2" t="str">
        <x:v>MIT-0244</x:v>
      </x:c>
      <x:c r="B251" s="2" t="str">
        <x:v>Mitigation</x:v>
      </x:c>
      <x:c r="C251" s="2" t="str">
        <x:v>Industry</x:v>
      </x:c>
      <x:c r="D251" s="2" t="str">
        <x:v>Conventional power plant efficiency</x:v>
      </x:c>
      <x:c r="E251" s="2" t="str">
        <x:v>Trigeneration</x:v>
      </x:c>
      <x:c r="F251" s="2" t="str">
        <x:v>Trigeneration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Trigeneration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1" s="2" t="str">
        <x:v>Primarily fixed</x:v>
      </x:c>
      <x:c r="H251" s="2" t="str">
        <x:v>Trigeneration is tied to long-lived, site-specific assets and design loads. Its principle remains the same, but resource quality, climate, scale, interfaces and safety constraints must be recalculated for each deployment.</x:v>
      </x:c>
      <x:c r="I251" s="2" t="str">
        <x:v>Primarily hard, with a soft component</x:v>
      </x:c>
      <x:c r="J251" s="2" t="str">
        <x:v>Trigeneration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1" s="2" t="str">
        <x:v>Equipment and operation</x:v>
      </x:c>
      <x:c r="L251" s="2" t="str">
        <x:v>Trigeneration is embodied mainly as an equipment-and-operation system. The deliverable is accepted only when measurable service, quality, safety and climate-performance criteria are met under real conditions.</x:v>
      </x:c>
      <x:c r="M251" s="2" t="str">
        <x:v>Yes, subject to life-cycle safeguards</x:v>
      </x:c>
      <x:c r="N251" s="2" t="str">
        <x:v>Trigeneration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1" s="2" t="str">
        <x:v>Trigeneration: process reactors or furnaces, heat exchangers, motors and drives, compressors, burners, controls, pollution abatement, material handling and measurement equipment.</x:v>
      </x:c>
      <x:c r="P251" s="2" t="str">
        <x:v>Trigeneration: process simulation, pinch and heat-integration analysis, advanced control, production scheduling, quality control, energy management and life-cycle assessment.</x:v>
      </x:c>
      <x:c r="Q251" s="2" t="str">
        <x:v>Trigeneration: industrial permits, product standards, operating procedures, maintenance and competence systems, procurement, energy management and industrial-symbiosis agreements.</x:v>
      </x:c>
      <x:c r="R251" s="2" t="str">
        <x:v>Trigeneration: industrial site, utilities, fuel and electricity supply, material storage, process buildings, laboratories, waste handling and logistics.</x:v>
      </x:c>
      <x:c r="S251" s="2" t="str">
        <x:v>Trigeneration: electricity, steam, process heat, cooling and fuels; useful-energy efficiency, heat recovery and carbon intensity of supply determine savings.</x:v>
      </x:c>
      <x:c r="T251" s="2" t="str">
        <x:v>Trigeneration: process feedstocks, steel and refractory materials, catalysts, solvents, lubricants, insulation, piping, sensors and technology-specific alloying elements.</x:v>
      </x:c>
      <x:c r="U251" s="2" t="str">
        <x:v>Trigeneration: refractory linings, bearings, seals, valves, filters, burners, electrodes, sensors, control modules, lubricants and calibrated instruments.</x:v>
      </x:c>
      <x:c r="V251" s="2" t="str">
        <x:v>https://www.ctc-n.org/sites/default/files/resources/ctcn_taxonomy_0.pdf</x:v>
      </x:c>
      <x:c r="W251" s="2" t="str">
        <x:v>https://institutoagricoladepueblobello.edu.co/colegiapp/archivostemas/GUIA%209.%5B25%5D.pdf</x:v>
      </x:c>
      <x:c r="X251" s="2" t="str">
        <x:v>https://iiasa.ac.at/what-is-technology</x:v>
      </x:c>
      <x:c r="Y251" s="2" t="str">
        <x:v>https://www.ipcc.ch/report/ar6/wg3/chapter/chapter-11/</x:v>
      </x:c>
      <x:c r="Z251" s="2" t="str">
        <x:v>Technology-specific analytical synthesis. The CTCN hierarchy is retained; classifications and component dependencies require validation against the selected design, site and supplier documentation before investment or policy use.</x:v>
      </x:c>
      <x:c r="AA251" s="2" t="str">
        <x:v>Physical deployment of Trigeneration requires industrial site, utilities, fuel and electricity supply, material storage, process buildings, laboratories, waste handling and logistics; interfaces, foundations, access and environmental protection are sized to the specific resource and design load.</x:v>
      </x:c>
      <x:c r="AB251" s="2" t="str">
        <x:v>For Trigeneration,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1" s="2" t="str">
        <x:v>Construction and operation use process feedstocks, steel and refractory materials, catalysts, solvents, lubricants, insulation, piping, sensors and technology-specific alloying elements. For Trigeneration, specifications must include durability, compatibility, recycled content and recoverability.</x:v>
      </x:c>
      <x:c r="AD251" s="2" t="str">
        <x:v>Maintenance of Trigeneration depends on refractory linings, bearings, seals, valves, filters, burners, electrodes, sensors, control modules, lubricants and calibrated instruments; critical spares are selected from failure-mode, lead-time and safety analysis for its installed configuration.</x:v>
      </x:c>
      <x:c r="AE251" s="2" t="str">
        <x:v>The software stack for Trigeneration requires databases, secure communications, version-controlled models, computing, backup and interfaces with field or operational systems.</x:v>
      </x:c>
      <x:c r="AF251" s="2" t="str">
        <x:v>For Trigeneration, software-related energy is electricity for sensing, computing, storage, communication and cooling; it is normally secondary but must be included for data-intensive or continuous services.</x:v>
      </x:c>
      <x:c r="AG251" s="2" t="str">
        <x:v>The non-physical inputs are calibrated data, metadata, algorithms, boundary conditions, emission or hazard factors, manuals and validation records specific to Trigeneration.</x:v>
      </x:c>
      <x:c r="AH251" s="2" t="str">
        <x:v>Software continuity for Trigeneration requires licences where applicable, updates, cybersecurity patches, backups, calibration files, model validation and technical support.</x:v>
      </x:c>
      <x:c r="AI251" s="2" t="str">
        <x:v>Orgware depends on the institutions, laboratories, training providers, regulators, operators and community interfaces needed to govern Trigeneration.</x:v>
      </x:c>
      <x:c r="AJ251" s="2" t="str">
        <x:v>The orgware supporting Trigeneration has mainly indirect energy use from offices, meetings, training and information systems; travel and field supervision may be material at dispersed sites.</x:v>
      </x:c>
      <x:c r="AK251" s="2" t="str">
        <x:v>Its organisational inputs are permits, budgets, trained staff, competence records, contracts, procedures, safeguards, monitoring evidence and stakeholder agreements tailored to Trigeneration.</x:v>
      </x:c>
      <x:c r="AL251" s="2" t="str">
        <x:v>Sustained implementation of Trigeneration requires procurement and service contracts, audit protocols, training material, reporting templates, insurance or guarantees and periodic independent review.</x:v>
      </x:c>
      <x:c r="AM251" s="2" t="str">
        <x:v>Iron ore / steel inputs</x:v>
      </x:c>
      <x:c r="AN251" s="2" t="str">
        <x:v>Australia; Brazil; China</x:v>
      </x:c>
      <x:c r="AO251" s="2" t="str">
        <x:v>China; India; Japan</x:v>
      </x:c>
      <x:c r="AP251" s="2" t="str">
        <x:v>Trigeneration: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1" s="2" t="str">
        <x:v>2024–2025</x:v>
      </x:c>
      <x:c r="AR251" s="2" t="str">
        <x:v>https://pubs.usgs.gov/periodicals/mcs2026/mcs2026.pdf</x:v>
      </x:c>
    </x:row>
    <x:row r="252" ht="240" customHeight="1">
      <x:c r="A252" s="2" t="str">
        <x:v>MIT-0245</x:v>
      </x:c>
      <x:c r="B252" s="2" t="str">
        <x:v>Mitigation</x:v>
      </x:c>
      <x:c r="C252" s="2" t="str">
        <x:v>Industry</x:v>
      </x:c>
      <x:c r="D252" s="2" t="str">
        <x:v>Conventional power plant efficiency</x:v>
      </x:c>
      <x:c r="E252" s="2" t="str">
        <x:v>Small-scale Combined Heat and Power</x:v>
      </x:c>
      <x:c r="F252" s="2" t="str">
        <x:v>Small-scale Combined Heat and Power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Small-scale Combined Heat and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2" s="2" t="str">
        <x:v>Primarily fixed</x:v>
      </x:c>
      <x:c r="H252" s="2" t="str">
        <x:v>Small-scale Combined Heat and Power is tied to long-lived, site-specific assets and design loads. Its principle remains the same, but resource quality, climate, scale, interfaces and safety constraints must be recalculated for each deployment.</x:v>
      </x:c>
      <x:c r="I252" s="2" t="str">
        <x:v>Primarily hard, with a soft component</x:v>
      </x:c>
      <x:c r="J252" s="2" t="str">
        <x:v>Small-scale Combined Heat and Power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2" s="2" t="str">
        <x:v>Equipment and operation</x:v>
      </x:c>
      <x:c r="L252" s="2" t="str">
        <x:v>Small-scale Combined Heat and Power is embodied mainly as an equipment-and-operation system. The deliverable is accepted only when measurable service, quality, safety and climate-performance criteria are met under real conditions.</x:v>
      </x:c>
      <x:c r="M252" s="2" t="str">
        <x:v>Yes, subject to life-cycle safeguards</x:v>
      </x:c>
      <x:c r="N252" s="2" t="str">
        <x:v>Small-scale Combined Heat and Power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2" s="2" t="str">
        <x:v>Small-scale Combined Heat and Power: process reactors or furnaces, heat exchangers, motors and drives, compressors, burners, controls, pollution abatement, material handling and measurement equipment.</x:v>
      </x:c>
      <x:c r="P252" s="2" t="str">
        <x:v>Small-scale Combined Heat and Power: process simulation, pinch and heat-integration analysis, advanced control, production scheduling, quality control, energy management and life-cycle assessment.</x:v>
      </x:c>
      <x:c r="Q252" s="2" t="str">
        <x:v>Small-scale Combined Heat and Power: industrial permits, product standards, operating procedures, maintenance and competence systems, procurement, energy management and industrial-symbiosis agreements.</x:v>
      </x:c>
      <x:c r="R252" s="2" t="str">
        <x:v>Small-scale Combined Heat and Power: industrial site, utilities, fuel and electricity supply, material storage, process buildings, laboratories, waste handling and logistics.</x:v>
      </x:c>
      <x:c r="S252" s="2" t="str">
        <x:v>Small-scale Combined Heat and Power: electricity, steam, process heat, cooling and fuels; useful-energy efficiency, heat recovery and carbon intensity of supply determine savings.</x:v>
      </x:c>
      <x:c r="T252" s="2" t="str">
        <x:v>Small-scale Combined Heat and Power: process feedstocks, steel and refractory materials, catalysts, solvents, lubricants, insulation, piping, sensors and technology-specific alloying elements.</x:v>
      </x:c>
      <x:c r="U252" s="2" t="str">
        <x:v>Small-scale Combined Heat and Power: refractory linings, bearings, seals, valves, filters, burners, electrodes, sensors, control modules, lubricants and calibrated instruments.</x:v>
      </x:c>
      <x:c r="V252" s="2" t="str">
        <x:v>https://www.ctc-n.org/sites/default/files/resources/ctcn_taxonomy_0.pdf</x:v>
      </x:c>
      <x:c r="W252" s="2" t="str">
        <x:v>https://institutoagricoladepueblobello.edu.co/colegiapp/archivostemas/GUIA%209.%5B25%5D.pdf</x:v>
      </x:c>
      <x:c r="X252" s="2" t="str">
        <x:v>https://iiasa.ac.at/what-is-technology</x:v>
      </x:c>
      <x:c r="Y252" s="2" t="str">
        <x:v>https://www.ipcc.ch/report/ar6/wg3/chapter/chapter-11/</x:v>
      </x:c>
      <x:c r="Z252" s="2" t="str">
        <x:v>Technology-specific analytical synthesis. The CTCN hierarchy is retained; classifications and component dependencies require validation against the selected design, site and supplier documentation before investment or policy use.</x:v>
      </x:c>
      <x:c r="AA252" s="2" t="str">
        <x:v>Physical deployment of Small-scale Combined Heat and Power requires industrial site, utilities, fuel and electricity supply, material storage, process buildings, laboratories, waste handling and logistics; interfaces, foundations, access and environmental protection are sized to the specific resource and design load.</x:v>
      </x:c>
      <x:c r="AB252" s="2" t="str">
        <x:v>For Small-scale Combined Heat and Power,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2" s="2" t="str">
        <x:v>Construction and operation use process feedstocks, steel and refractory materials, catalysts, solvents, lubricants, insulation, piping, sensors and technology-specific alloying elements. For Small-scale Combined Heat and Power, specifications must include durability, compatibility, recycled content and recoverability.</x:v>
      </x:c>
      <x:c r="AD252" s="2" t="str">
        <x:v>Maintenance of Small-scale Combined Heat and Power depends on refractory linings, bearings, seals, valves, filters, burners, electrodes, sensors, control modules, lubricants and calibrated instruments; critical spares are selected from failure-mode, lead-time and safety analysis for its installed configuration.</x:v>
      </x:c>
      <x:c r="AE252" s="2" t="str">
        <x:v>The software stack for Small-scale Combined Heat and Power requires databases, secure communications, version-controlled models, computing, backup and interfaces with field or operational systems.</x:v>
      </x:c>
      <x:c r="AF252" s="2" t="str">
        <x:v>For Small-scale Combined Heat and Power, software-related energy is electricity for sensing, computing, storage, communication and cooling; it is normally secondary but must be included for data-intensive or continuous services.</x:v>
      </x:c>
      <x:c r="AG252" s="2" t="str">
        <x:v>The non-physical inputs are calibrated data, metadata, algorithms, boundary conditions, emission or hazard factors, manuals and validation records specific to Small-scale Combined Heat and Power.</x:v>
      </x:c>
      <x:c r="AH252" s="2" t="str">
        <x:v>Software continuity for Small-scale Combined Heat and Power requires licences where applicable, updates, cybersecurity patches, backups, calibration files, model validation and technical support.</x:v>
      </x:c>
      <x:c r="AI252" s="2" t="str">
        <x:v>Orgware depends on the institutions, laboratories, training providers, regulators, operators and community interfaces needed to govern Small-scale Combined Heat and Power.</x:v>
      </x:c>
      <x:c r="AJ252" s="2" t="str">
        <x:v>The orgware supporting Small-scale Combined Heat and Power has mainly indirect energy use from offices, meetings, training and information systems; travel and field supervision may be material at dispersed sites.</x:v>
      </x:c>
      <x:c r="AK252" s="2" t="str">
        <x:v>Its organisational inputs are permits, budgets, trained staff, competence records, contracts, procedures, safeguards, monitoring evidence and stakeholder agreements tailored to Small-scale Combined Heat and Power.</x:v>
      </x:c>
      <x:c r="AL252" s="2" t="str">
        <x:v>Sustained implementation of Small-scale Combined Heat and Power requires procurement and service contracts, audit protocols, training material, reporting templates, insurance or guarantees and periodic independent review.</x:v>
      </x:c>
      <x:c r="AM252" s="2" t="str">
        <x:v>Iron ore / steel inputs</x:v>
      </x:c>
      <x:c r="AN252" s="2" t="str">
        <x:v>Australia; Brazil; China</x:v>
      </x:c>
      <x:c r="AO252" s="2" t="str">
        <x:v>China; India; Japan</x:v>
      </x:c>
      <x:c r="AP252" s="2" t="str">
        <x:v>Small-scale Combined Heat and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2" s="2" t="str">
        <x:v>2024–2025</x:v>
      </x:c>
      <x:c r="AR252" s="2" t="str">
        <x:v>https://pubs.usgs.gov/periodicals/mcs2026/mcs2026.pdf</x:v>
      </x:c>
    </x:row>
    <x:row r="253" ht="240" customHeight="1">
      <x:c r="A253" s="2" t="str">
        <x:v>MIT-0246</x:v>
      </x:c>
      <x:c r="B253" s="2" t="str">
        <x:v>Mitigation</x:v>
      </x:c>
      <x:c r="C253" s="2" t="str">
        <x:v>Industry</x:v>
      </x:c>
      <x:c r="D253" s="2" t="str">
        <x:v>Conventional power plant efficiency</x:v>
      </x:c>
      <x:c r="E253" s="2" t="str">
        <x:v>Large-scale Combined Heat and Power</x:v>
      </x:c>
      <x:c r="F253" s="2" t="str">
        <x:v>Large-scale Combined Heat and Power is a mitigation technology in the Industry sector and the Conventional power plant efficiency technology group. It is defined as a combined hardware–software–orgware system that changes industrial chemistry, heat integration, equipment efficiency, material yield, fuel, process route or product design to reduce direct and energy-related emissions per unit of output. Large-scale Combined Heat and 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3" s="2" t="str">
        <x:v>Primarily fixed</x:v>
      </x:c>
      <x:c r="H253" s="2" t="str">
        <x:v>Large-scale Combined Heat and Power is tied to long-lived, site-specific assets and design loads. Its principle remains the same, but resource quality, climate, scale, interfaces and safety constraints must be recalculated for each deployment.</x:v>
      </x:c>
      <x:c r="I253" s="2" t="str">
        <x:v>Primarily hard, with a soft component</x:v>
      </x:c>
      <x:c r="J253" s="2" t="str">
        <x:v>Large-scale Combined Heat and Power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3" s="2" t="str">
        <x:v>Equipment and operation</x:v>
      </x:c>
      <x:c r="L253" s="2" t="str">
        <x:v>Large-scale Combined Heat and Power is embodied mainly as an equipment-and-operation system. The deliverable is accepted only when measurable service, quality, safety and climate-performance criteria are met under real conditions.</x:v>
      </x:c>
      <x:c r="M253" s="2" t="str">
        <x:v>Yes, subject to life-cycle safeguards</x:v>
      </x:c>
      <x:c r="N253" s="2" t="str">
        <x:v>Large-scale Combined Heat and Power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3" s="2" t="str">
        <x:v>Large-scale Combined Heat and Power: process reactors or furnaces, heat exchangers, motors and drives, compressors, burners, controls, pollution abatement, material handling and measurement equipment.</x:v>
      </x:c>
      <x:c r="P253" s="2" t="str">
        <x:v>Large-scale Combined Heat and Power: process simulation, pinch and heat-integration analysis, advanced control, production scheduling, quality control, energy management and life-cycle assessment.</x:v>
      </x:c>
      <x:c r="Q253" s="2" t="str">
        <x:v>Large-scale Combined Heat and Power: industrial permits, product standards, operating procedures, maintenance and competence systems, procurement, energy management and industrial-symbiosis agreements.</x:v>
      </x:c>
      <x:c r="R253" s="2" t="str">
        <x:v>Large-scale Combined Heat and Power: industrial site, utilities, fuel and electricity supply, material storage, process buildings, laboratories, waste handling and logistics.</x:v>
      </x:c>
      <x:c r="S253" s="2" t="str">
        <x:v>Large-scale Combined Heat and Power: electricity, steam, process heat, cooling and fuels; useful-energy efficiency, heat recovery and carbon intensity of supply determine savings.</x:v>
      </x:c>
      <x:c r="T253" s="2" t="str">
        <x:v>Large-scale Combined Heat and Power: process feedstocks, steel and refractory materials, catalysts, solvents, lubricants, insulation, piping, sensors and technology-specific alloying elements.</x:v>
      </x:c>
      <x:c r="U253" s="2" t="str">
        <x:v>Large-scale Combined Heat and Power: refractory linings, bearings, seals, valves, filters, burners, electrodes, sensors, control modules, lubricants and calibrated instruments.</x:v>
      </x:c>
      <x:c r="V253" s="2" t="str">
        <x:v>https://www.ctc-n.org/sites/default/files/resources/ctcn_taxonomy_0.pdf</x:v>
      </x:c>
      <x:c r="W253" s="2" t="str">
        <x:v>https://institutoagricoladepueblobello.edu.co/colegiapp/archivostemas/GUIA%209.%5B25%5D.pdf</x:v>
      </x:c>
      <x:c r="X253" s="2" t="str">
        <x:v>https://iiasa.ac.at/what-is-technology</x:v>
      </x:c>
      <x:c r="Y253" s="2" t="str">
        <x:v>https://www.ipcc.ch/report/ar6/wg3/chapter/chapter-11/</x:v>
      </x:c>
      <x:c r="Z253" s="2" t="str">
        <x:v>Technology-specific analytical synthesis. The CTCN hierarchy is retained; classifications and component dependencies require validation against the selected design, site and supplier documentation before investment or policy use.</x:v>
      </x:c>
      <x:c r="AA253" s="2" t="str">
        <x:v>Physical deployment of Large-scale Combined Heat and Power requires industrial site, utilities, fuel and electricity supply, material storage, process buildings, laboratories, waste handling and logistics; interfaces, foundations, access and environmental protection are sized to the specific resource and design load.</x:v>
      </x:c>
      <x:c r="AB253" s="2" t="str">
        <x:v>For Large-scale Combined Heat and Power,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3" s="2" t="str">
        <x:v>Construction and operation use process feedstocks, steel and refractory materials, catalysts, solvents, lubricants, insulation, piping, sensors and technology-specific alloying elements. For Large-scale Combined Heat and Power, specifications must include durability, compatibility, recycled content and recoverability.</x:v>
      </x:c>
      <x:c r="AD253" s="2" t="str">
        <x:v>Maintenance of Large-scale Combined Heat and Power depends on refractory linings, bearings, seals, valves, filters, burners, electrodes, sensors, control modules, lubricants and calibrated instruments; critical spares are selected from failure-mode, lead-time and safety analysis for its installed configuration.</x:v>
      </x:c>
      <x:c r="AE253" s="2" t="str">
        <x:v>The software stack for Large-scale Combined Heat and Power requires databases, secure communications, version-controlled models, computing, backup and interfaces with field or operational systems.</x:v>
      </x:c>
      <x:c r="AF253" s="2" t="str">
        <x:v>For Large-scale Combined Heat and Power, software-related energy is electricity for sensing, computing, storage, communication and cooling; it is normally secondary but must be included for data-intensive or continuous services.</x:v>
      </x:c>
      <x:c r="AG253" s="2" t="str">
        <x:v>The non-physical inputs are calibrated data, metadata, algorithms, boundary conditions, emission or hazard factors, manuals and validation records specific to Large-scale Combined Heat and Power.</x:v>
      </x:c>
      <x:c r="AH253" s="2" t="str">
        <x:v>Software continuity for Large-scale Combined Heat and Power requires licences where applicable, updates, cybersecurity patches, backups, calibration files, model validation and technical support.</x:v>
      </x:c>
      <x:c r="AI253" s="2" t="str">
        <x:v>Orgware depends on the institutions, laboratories, training providers, regulators, operators and community interfaces needed to govern Large-scale Combined Heat and Power.</x:v>
      </x:c>
      <x:c r="AJ253" s="2" t="str">
        <x:v>The orgware supporting Large-scale Combined Heat and Power has mainly indirect energy use from offices, meetings, training and information systems; travel and field supervision may be material at dispersed sites.</x:v>
      </x:c>
      <x:c r="AK253" s="2" t="str">
        <x:v>Its organisational inputs are permits, budgets, trained staff, competence records, contracts, procedures, safeguards, monitoring evidence and stakeholder agreements tailored to Large-scale Combined Heat and Power.</x:v>
      </x:c>
      <x:c r="AL253" s="2" t="str">
        <x:v>Sustained implementation of Large-scale Combined Heat and Power requires procurement and service contracts, audit protocols, training material, reporting templates, insurance or guarantees and periodic independent review.</x:v>
      </x:c>
      <x:c r="AM253" s="2" t="str">
        <x:v>Iron ore / steel inputs</x:v>
      </x:c>
      <x:c r="AN253" s="2" t="str">
        <x:v>Australia; Brazil; China</x:v>
      </x:c>
      <x:c r="AO253" s="2" t="str">
        <x:v>China; India; Japan</x:v>
      </x:c>
      <x:c r="AP253" s="2" t="str">
        <x:v>Large-scale Combined Heat and 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3" s="2" t="str">
        <x:v>2024–2025</x:v>
      </x:c>
      <x:c r="AR253" s="2" t="str">
        <x:v>https://pubs.usgs.gov/periodicals/mcs2026/mcs2026.pdf</x:v>
      </x:c>
    </x:row>
    <x:row r="254" ht="240" customHeight="1">
      <x:c r="A254" s="2" t="str">
        <x:v>MIT-0247</x:v>
      </x:c>
      <x:c r="B254" s="2" t="str">
        <x:v>Mitigation</x:v>
      </x:c>
      <x:c r="C254" s="2" t="str">
        <x:v>Industry</x:v>
      </x:c>
      <x:c r="D254" s="2" t="str">
        <x:v>Chemicals management</x:v>
      </x:c>
      <x:c r="E254" s="2" t="str">
        <x:v>N2O reduction</x:v>
      </x:c>
      <x:c r="F254" s="2" t="str">
        <x:v>N2O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It suppresses N₂O formation through process optimisation or destroys N₂O catalytically in the process or tail gas; performance is verified by continuous concentration and flow measurement.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4" s="2" t="str">
        <x:v>Flexible</x:v>
      </x:c>
      <x:c r="H254" s="2" t="str">
        <x:v>N2O reduction is transferable through configurable methods, rules and operating parameters. Its principle remains the same, but resource quality, climate, scale, interfaces and safety constraints must be recalculated for each deployment.</x:v>
      </x:c>
      <x:c r="I254" s="2" t="str">
        <x:v>Primarily soft, with physical support</x:v>
      </x:c>
      <x:c r="J254" s="2" t="str">
        <x:v>N2O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4" s="2" t="str">
        <x:v>Operation</x:v>
      </x:c>
      <x:c r="L254" s="2" t="str">
        <x:v>N2O reduction is embodied mainly as an operating practice. The deliverable is accepted only when measurable service, quality, safety and climate-performance criteria are met under real conditions.</x:v>
      </x:c>
      <x:c r="M254" s="2" t="str">
        <x:v>Yes, subject to life-cycle safeguards</x:v>
      </x:c>
      <x:c r="N254" s="2" t="str">
        <x:v>N2O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4" s="2" t="str">
        <x:v>N2O reduction: process reactors or furnaces, heat exchangers, motors and drives, compressors, burners, controls, pollution abatement, material handling and measurement equipment.</x:v>
      </x:c>
      <x:c r="P254" s="2" t="str">
        <x:v>N2O reduction: process simulation, pinch and heat-integration analysis, advanced control, production scheduling, quality control, energy management and life-cycle assessment.</x:v>
      </x:c>
      <x:c r="Q254" s="2" t="str">
        <x:v>N2O reduction: industrial permits, product standards, operating procedures, maintenance and competence systems, procurement, energy management and industrial-symbiosis agreements.</x:v>
      </x:c>
      <x:c r="R254" s="2" t="str">
        <x:v>N2O reduction: industrial site, utilities, fuel and electricity supply, material storage, process buildings, laboratories, waste handling and logistics.</x:v>
      </x:c>
      <x:c r="S254" s="2" t="str">
        <x:v>N2O reduction: electricity, steam, process heat, cooling and fuels; useful-energy efficiency, heat recovery and carbon intensity of supply determine savings.</x:v>
      </x:c>
      <x:c r="T254" s="2" t="str">
        <x:v>N2O reduction: process feedstocks, steel and refractory materials, catalysts, solvents, lubricants, insulation, piping, sensors and technology-specific alloying elements.</x:v>
      </x:c>
      <x:c r="U254" s="2" t="str">
        <x:v>N2O reduction: refractory linings, bearings, seals, valves, filters, burners, electrodes, sensors, control modules, lubricants and calibrated instruments.</x:v>
      </x:c>
      <x:c r="V254" s="2" t="str">
        <x:v>https://www.ctc-n.org/sites/default/files/resources/ctcn_taxonomy_0.pdf</x:v>
      </x:c>
      <x:c r="W254" s="2" t="str">
        <x:v>https://institutoagricoladepueblobello.edu.co/colegiapp/archivostemas/GUIA%209.%5B25%5D.pdf</x:v>
      </x:c>
      <x:c r="X254" s="2" t="str">
        <x:v>https://iiasa.ac.at/what-is-technology</x:v>
      </x:c>
      <x:c r="Y254" s="2" t="str">
        <x:v>https://www.ipcc.ch/report/ar6/wg3/chapter/chapter-11/</x:v>
      </x:c>
      <x:c r="Z254" s="2" t="str">
        <x:v>Technology-specific analytical synthesis. The CTCN hierarchy is retained; classifications and component dependencies require validation against the selected design, site and supplier documentation before investment or policy use.</x:v>
      </x:c>
      <x:c r="AA254" s="2" t="str">
        <x:v>Physical deployment of N2O reduction requires industrial site, utilities, fuel and electricity supply, material storage, process buildings, laboratories, waste handling and logistics; interfaces, foundations, access and environmental protection are sized to the specific resource and design load.</x:v>
      </x:c>
      <x:c r="AB254" s="2" t="str">
        <x:v>For N2O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4" s="2" t="str">
        <x:v>Construction and operation use process feedstocks, steel and refractory materials, catalysts, solvents, lubricants, insulation, piping, sensors and technology-specific alloying elements. For N2O reduction, specifications must include durability, compatibility, recycled content and recoverability.</x:v>
      </x:c>
      <x:c r="AD254" s="2" t="str">
        <x:v>Maintenance of N2O reduction depends on refractory linings, bearings, seals, valves, filters, burners, electrodes, sensors, control modules, lubricants and calibrated instruments; critical spares are selected from failure-mode, lead-time and safety analysis for its installed configuration.</x:v>
      </x:c>
      <x:c r="AE254" s="2" t="str">
        <x:v>The software stack for N2O reduction requires databases, secure communications, version-controlled models, computing, backup and interfaces with field or operational systems.</x:v>
      </x:c>
      <x:c r="AF254" s="2" t="str">
        <x:v>For N2O reduction, software-related energy is electricity for sensing, computing, storage, communication and cooling; it is normally secondary but must be included for data-intensive or continuous services.</x:v>
      </x:c>
      <x:c r="AG254" s="2" t="str">
        <x:v>The non-physical inputs are calibrated data, metadata, algorithms, boundary conditions, emission or hazard factors, manuals and validation records specific to N2O reduction.</x:v>
      </x:c>
      <x:c r="AH254" s="2" t="str">
        <x:v>Software continuity for N2O reduction requires licences where applicable, updates, cybersecurity patches, backups, calibration files, model validation and technical support.</x:v>
      </x:c>
      <x:c r="AI254" s="2" t="str">
        <x:v>Orgware depends on the institutions, laboratories, training providers, regulators, operators and community interfaces needed to govern N2O reduction.</x:v>
      </x:c>
      <x:c r="AJ254" s="2" t="str">
        <x:v>The orgware supporting N2O reduction has mainly indirect energy use from offices, meetings, training and information systems; travel and field supervision may be material at dispersed sites.</x:v>
      </x:c>
      <x:c r="AK254" s="2" t="str">
        <x:v>Its organisational inputs are permits, budgets, trained staff, competence records, contracts, procedures, safeguards, monitoring evidence and stakeholder agreements tailored to N2O reduction.</x:v>
      </x:c>
      <x:c r="AL254" s="2" t="str">
        <x:v>Sustained implementation of N2O reduction requires procurement and service contracts, audit protocols, training material, reporting templates, insurance or guarantees and periodic independent review.</x:v>
      </x:c>
      <x:c r="AM254" s="2" t="str">
        <x:v>Iron ore / steel inputs; Nickel; Chromium</x:v>
      </x:c>
      <x:c r="AN254" s="2" t="str">
        <x:v>Australia; Brazil; China; Indonesia; Philippines; Russia; South Africa; Kazakhstan; Turkey</x:v>
      </x:c>
      <x:c r="AO254" s="2" t="str">
        <x:v>China; India; Japan; Indonesia; South Africa; Kazakhstan</x:v>
      </x:c>
      <x:c r="AP254" s="2" t="str">
        <x:v>N2O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4" s="2" t="str">
        <x:v>2024–2025</x:v>
      </x:c>
      <x:c r="AR254" s="2" t="str">
        <x:v>https://pubs.usgs.gov/periodicals/mcs2026/mcs2026.pdf; https://www.iea.org/reports/global-critical-minerals-outlook-2025</x:v>
      </x:c>
    </x:row>
    <x:row r="255" ht="240" customHeight="1">
      <x:c r="A255" s="2" t="str">
        <x:v>MIT-0248</x:v>
      </x:c>
      <x:c r="B255" s="2" t="str">
        <x:v>Mitigation</x:v>
      </x:c>
      <x:c r="C255" s="2" t="str">
        <x:v>Industry</x:v>
      </x:c>
      <x:c r="D255" s="2" t="str">
        <x:v>Chemicals management</x:v>
      </x:c>
      <x:c r="E255" s="2" t="str">
        <x:v>Shift to coolants and refrigerants with lower GWP</x:v>
      </x:c>
      <x:c r="F255" s="2" t="str">
        <x:v>Shift to coolants and refrigerants with lower GWP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Shift to coolants and refrigerants with lower GWP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5" s="2" t="str">
        <x:v>Flexible</x:v>
      </x:c>
      <x:c r="H255" s="2" t="str">
        <x:v>Shift to coolants and refrigerants with lower GWP is transferable through configurable methods, rules and operating parameters. Its principle remains the same, but resource quality, climate, scale, interfaces and safety constraints must be recalculated for each deployment.</x:v>
      </x:c>
      <x:c r="I255" s="2" t="str">
        <x:v>Primarily soft, with physical support</x:v>
      </x:c>
      <x:c r="J255" s="2" t="str">
        <x:v>Shift to coolants and refrigerants with lower GWP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5" s="2" t="str">
        <x:v>Operation</x:v>
      </x:c>
      <x:c r="L255" s="2" t="str">
        <x:v>Shift to coolants and refrigerants with lower GWP is embodied mainly as an operating practice. The deliverable is accepted only when measurable service, quality, safety and climate-performance criteria are met under real conditions.</x:v>
      </x:c>
      <x:c r="M255" s="2" t="str">
        <x:v>Yes, subject to life-cycle safeguards</x:v>
      </x:c>
      <x:c r="N255" s="2" t="str">
        <x:v>Shift to coolants and refrigerants with lower GWP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5" s="2" t="str">
        <x:v>Shift to coolants and refrigerants with lower GWP: process reactors or furnaces, heat exchangers, motors and drives, compressors, burners, controls, pollution abatement, material handling and measurement equipment.</x:v>
      </x:c>
      <x:c r="P255" s="2" t="str">
        <x:v>Shift to coolants and refrigerants with lower GWP: process simulation, pinch and heat-integration analysis, advanced control, production scheduling, quality control, energy management and life-cycle assessment.</x:v>
      </x:c>
      <x:c r="Q255" s="2" t="str">
        <x:v>Shift to coolants and refrigerants with lower GWP: industrial permits, product standards, operating procedures, maintenance and competence systems, procurement, energy management and industrial-symbiosis agreements.</x:v>
      </x:c>
      <x:c r="R255" s="2" t="str">
        <x:v>Shift to coolants and refrigerants with lower GWP: industrial site, utilities, fuel and electricity supply, material storage, process buildings, laboratories, waste handling and logistics.</x:v>
      </x:c>
      <x:c r="S255" s="2" t="str">
        <x:v>Shift to coolants and refrigerants with lower GWP: electricity, steam, process heat, cooling and fuels; useful-energy efficiency, heat recovery and carbon intensity of supply determine savings.</x:v>
      </x:c>
      <x:c r="T255" s="2" t="str">
        <x:v>Shift to coolants and refrigerants with lower GWP: process feedstocks, steel and refractory materials, catalysts, solvents, lubricants, insulation, piping, sensors and technology-specific alloying elements.</x:v>
      </x:c>
      <x:c r="U255" s="2" t="str">
        <x:v>Shift to coolants and refrigerants with lower GWP: refractory linings, bearings, seals, valves, filters, burners, electrodes, sensors, control modules, lubricants and calibrated instruments.</x:v>
      </x:c>
      <x:c r="V255" s="2" t="str">
        <x:v>https://www.ctc-n.org/sites/default/files/resources/ctcn_taxonomy_0.pdf</x:v>
      </x:c>
      <x:c r="W255" s="2" t="str">
        <x:v>https://institutoagricoladepueblobello.edu.co/colegiapp/archivostemas/GUIA%209.%5B25%5D.pdf</x:v>
      </x:c>
      <x:c r="X255" s="2" t="str">
        <x:v>https://iiasa.ac.at/what-is-technology</x:v>
      </x:c>
      <x:c r="Y255" s="2" t="str">
        <x:v>https://www.ipcc.ch/report/ar6/wg3/chapter/chapter-11/</x:v>
      </x:c>
      <x:c r="Z255" s="2" t="str">
        <x:v>Technology-specific analytical synthesis. The CTCN hierarchy is retained; classifications and component dependencies require validation against the selected design, site and supplier documentation before investment or policy use.</x:v>
      </x:c>
      <x:c r="AA255" s="2" t="str">
        <x:v>Physical deployment of Shift to coolants and refrigerants with lower GWP requires industrial site, utilities, fuel and electricity supply, material storage, process buildings, laboratories, waste handling and logistics; interfaces, foundations, access and environmental protection are sized to the specific resource and design load.</x:v>
      </x:c>
      <x:c r="AB255" s="2" t="str">
        <x:v>For Shift to coolants and refrigerants with lower GWP,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5" s="2" t="str">
        <x:v>Construction and operation use process feedstocks, steel and refractory materials, catalysts, solvents, lubricants, insulation, piping, sensors and technology-specific alloying elements. For Shift to coolants and refrigerants with lower GWP, specifications must include durability, compatibility, recycled content and recoverability.</x:v>
      </x:c>
      <x:c r="AD255" s="2" t="str">
        <x:v>Maintenance of Shift to coolants and refrigerants with lower GWP depends on refractory linings, bearings, seals, valves, filters, burners, electrodes, sensors, control modules, lubricants and calibrated instruments; critical spares are selected from failure-mode, lead-time and safety analysis for its installed configuration.</x:v>
      </x:c>
      <x:c r="AE255" s="2" t="str">
        <x:v>The software stack for Shift to coolants and refrigerants with lower GWP requires databases, secure communications, version-controlled models, computing, backup and interfaces with field or operational systems.</x:v>
      </x:c>
      <x:c r="AF255" s="2" t="str">
        <x:v>For Shift to coolants and refrigerants with lower GWP, software-related energy is electricity for sensing, computing, storage, communication and cooling; it is normally secondary but must be included for data-intensive or continuous services.</x:v>
      </x:c>
      <x:c r="AG255" s="2" t="str">
        <x:v>The non-physical inputs are calibrated data, metadata, algorithms, boundary conditions, emission or hazard factors, manuals and validation records specific to Shift to coolants and refrigerants with lower GWP.</x:v>
      </x:c>
      <x:c r="AH255" s="2" t="str">
        <x:v>Software continuity for Shift to coolants and refrigerants with lower GWP requires licences where applicable, updates, cybersecurity patches, backups, calibration files, model validation and technical support.</x:v>
      </x:c>
      <x:c r="AI255" s="2" t="str">
        <x:v>Orgware depends on the institutions, laboratories, training providers, regulators, operators and community interfaces needed to govern Shift to coolants and refrigerants with lower GWP.</x:v>
      </x:c>
      <x:c r="AJ255" s="2" t="str">
        <x:v>The orgware supporting Shift to coolants and refrigerants with lower GWP has mainly indirect energy use from offices, meetings, training and information systems; travel and field supervision may be material at dispersed sites.</x:v>
      </x:c>
      <x:c r="AK255" s="2" t="str">
        <x:v>Its organisational inputs are permits, budgets, trained staff, competence records, contracts, procedures, safeguards, monitoring evidence and stakeholder agreements tailored to Shift to coolants and refrigerants with lower GWP.</x:v>
      </x:c>
      <x:c r="AL255" s="2" t="str">
        <x:v>Sustained implementation of Shift to coolants and refrigerants with lower GWP requires procurement and service contracts, audit protocols, training material, reporting templates, insurance or guarantees and periodic independent review.</x:v>
      </x:c>
      <x:c r="AM255" s="2" t="str">
        <x:v>Iron ore / steel inputs; Copper; Tin; Nickel; Chromium</x:v>
      </x:c>
      <x:c r="AN255" s="2" t="str">
        <x:v>Australia; Brazil; China; Chile; Democratic Republic of the Congo; Peru; Indonesia; Myanmar; Philippines; Russia; South Africa; Kazakhstan; Turkey</x:v>
      </x:c>
      <x:c r="AO255" s="2" t="str">
        <x:v>China; India; Japan; Chile; Democratic Republic of the Congo; Indonesia; Malaysia; South Africa; Kazakhstan</x:v>
      </x:c>
      <x:c r="AP255" s="2" t="str">
        <x:v>Shift to coolants and refrigerants with lower GWP: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5" s="2" t="str">
        <x:v>2024–2025</x:v>
      </x:c>
      <x:c r="AR255" s="2" t="str">
        <x:v>https://pubs.usgs.gov/periodicals/mcs2026/mcs2026.pdf; https://www.iea.org/reports/global-critical-minerals-outlook-2025</x:v>
      </x:c>
    </x:row>
    <x:row r="256" ht="240" customHeight="1">
      <x:c r="A256" s="2" t="str">
        <x:v>MIT-0249</x:v>
      </x:c>
      <x:c r="B256" s="2" t="str">
        <x:v>Mitigation</x:v>
      </x:c>
      <x:c r="C256" s="2" t="str">
        <x:v>Industry</x:v>
      </x:c>
      <x:c r="D256" s="2" t="str">
        <x:v>Chemicals management</x:v>
      </x:c>
      <x:c r="E256" s="2" t="str">
        <x:v>SF6 reduction</x:v>
      </x:c>
      <x:c r="F256" s="2" t="str">
        <x:v>SF6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SF6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6" s="2" t="str">
        <x:v>Flexible</x:v>
      </x:c>
      <x:c r="H256" s="2" t="str">
        <x:v>SF6 reduction is transferable through configurable methods, rules and operating parameters. Its principle remains the same, but resource quality, climate, scale, interfaces and safety constraints must be recalculated for each deployment.</x:v>
      </x:c>
      <x:c r="I256" s="2" t="str">
        <x:v>Primarily soft, with physical support</x:v>
      </x:c>
      <x:c r="J256" s="2" t="str">
        <x:v>SF6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6" s="2" t="str">
        <x:v>Operation</x:v>
      </x:c>
      <x:c r="L256" s="2" t="str">
        <x:v>SF6 reduction is embodied mainly as an operating practice. The deliverable is accepted only when measurable service, quality, safety and climate-performance criteria are met under real conditions.</x:v>
      </x:c>
      <x:c r="M256" s="2" t="str">
        <x:v>Yes, subject to life-cycle safeguards</x:v>
      </x:c>
      <x:c r="N256" s="2" t="str">
        <x:v>SF6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6" s="2" t="str">
        <x:v>SF6 reduction: process reactors or furnaces, heat exchangers, motors and drives, compressors, burners, controls, pollution abatement, material handling and measurement equipment.</x:v>
      </x:c>
      <x:c r="P256" s="2" t="str">
        <x:v>SF6 reduction: process simulation, pinch and heat-integration analysis, advanced control, production scheduling, quality control, energy management and life-cycle assessment.</x:v>
      </x:c>
      <x:c r="Q256" s="2" t="str">
        <x:v>SF6 reduction: industrial permits, product standards, operating procedures, maintenance and competence systems, procurement, energy management and industrial-symbiosis agreements.</x:v>
      </x:c>
      <x:c r="R256" s="2" t="str">
        <x:v>SF6 reduction: industrial site, utilities, fuel and electricity supply, material storage, process buildings, laboratories, waste handling and logistics.</x:v>
      </x:c>
      <x:c r="S256" s="2" t="str">
        <x:v>SF6 reduction: electricity, steam, process heat, cooling and fuels; useful-energy efficiency, heat recovery and carbon intensity of supply determine savings.</x:v>
      </x:c>
      <x:c r="T256" s="2" t="str">
        <x:v>SF6 reduction: process feedstocks, steel and refractory materials, catalysts, solvents, lubricants, insulation, piping, sensors and technology-specific alloying elements.</x:v>
      </x:c>
      <x:c r="U256" s="2" t="str">
        <x:v>SF6 reduction: refractory linings, bearings, seals, valves, filters, burners, electrodes, sensors, control modules, lubricants and calibrated instruments.</x:v>
      </x:c>
      <x:c r="V256" s="2" t="str">
        <x:v>https://www.ctc-n.org/sites/default/files/resources/ctcn_taxonomy_0.pdf</x:v>
      </x:c>
      <x:c r="W256" s="2" t="str">
        <x:v>https://institutoagricoladepueblobello.edu.co/colegiapp/archivostemas/GUIA%209.%5B25%5D.pdf</x:v>
      </x:c>
      <x:c r="X256" s="2" t="str">
        <x:v>https://iiasa.ac.at/what-is-technology</x:v>
      </x:c>
      <x:c r="Y256" s="2" t="str">
        <x:v>https://www.ipcc.ch/report/ar6/wg3/chapter/chapter-11/</x:v>
      </x:c>
      <x:c r="Z256" s="2" t="str">
        <x:v>Technology-specific analytical synthesis. The CTCN hierarchy is retained; classifications and component dependencies require validation against the selected design, site and supplier documentation before investment or policy use.</x:v>
      </x:c>
      <x:c r="AA256" s="2" t="str">
        <x:v>Physical deployment of SF6 reduction requires industrial site, utilities, fuel and electricity supply, material storage, process buildings, laboratories, waste handling and logistics; interfaces, foundations, access and environmental protection are sized to the specific resource and design load.</x:v>
      </x:c>
      <x:c r="AB256" s="2" t="str">
        <x:v>For SF6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6" s="2" t="str">
        <x:v>Construction and operation use process feedstocks, steel and refractory materials, catalysts, solvents, lubricants, insulation, piping, sensors and technology-specific alloying elements. For SF6 reduction, specifications must include durability, compatibility, recycled content and recoverability.</x:v>
      </x:c>
      <x:c r="AD256" s="2" t="str">
        <x:v>Maintenance of SF6 reduction depends on refractory linings, bearings, seals, valves, filters, burners, electrodes, sensors, control modules, lubricants and calibrated instruments; critical spares are selected from failure-mode, lead-time and safety analysis for its installed configuration.</x:v>
      </x:c>
      <x:c r="AE256" s="2" t="str">
        <x:v>The software stack for SF6 reduction requires databases, secure communications, version-controlled models, computing, backup and interfaces with field or operational systems.</x:v>
      </x:c>
      <x:c r="AF256" s="2" t="str">
        <x:v>For SF6 reduction, software-related energy is electricity for sensing, computing, storage, communication and cooling; it is normally secondary but must be included for data-intensive or continuous services.</x:v>
      </x:c>
      <x:c r="AG256" s="2" t="str">
        <x:v>The non-physical inputs are calibrated data, metadata, algorithms, boundary conditions, emission or hazard factors, manuals and validation records specific to SF6 reduction.</x:v>
      </x:c>
      <x:c r="AH256" s="2" t="str">
        <x:v>Software continuity for SF6 reduction requires licences where applicable, updates, cybersecurity patches, backups, calibration files, model validation and technical support.</x:v>
      </x:c>
      <x:c r="AI256" s="2" t="str">
        <x:v>Orgware depends on the institutions, laboratories, training providers, regulators, operators and community interfaces needed to govern SF6 reduction.</x:v>
      </x:c>
      <x:c r="AJ256" s="2" t="str">
        <x:v>The orgware supporting SF6 reduction has mainly indirect energy use from offices, meetings, training and information systems; travel and field supervision may be material at dispersed sites.</x:v>
      </x:c>
      <x:c r="AK256" s="2" t="str">
        <x:v>Its organisational inputs are permits, budgets, trained staff, competence records, contracts, procedures, safeguards, monitoring evidence and stakeholder agreements tailored to SF6 reduction.</x:v>
      </x:c>
      <x:c r="AL256" s="2" t="str">
        <x:v>Sustained implementation of SF6 reduction requires procurement and service contracts, audit protocols, training material, reporting templates, insurance or guarantees and periodic independent review.</x:v>
      </x:c>
      <x:c r="AM256" s="2" t="str">
        <x:v>Iron ore / steel inputs; Nickel; Chromium</x:v>
      </x:c>
      <x:c r="AN256" s="2" t="str">
        <x:v>Australia; Brazil; China; Indonesia; Philippines; Russia; South Africa; Kazakhstan; Turkey</x:v>
      </x:c>
      <x:c r="AO256" s="2" t="str">
        <x:v>China; India; Japan; Indonesia; South Africa; Kazakhstan</x:v>
      </x:c>
      <x:c r="AP256" s="2" t="str">
        <x:v>SF6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6" s="2" t="str">
        <x:v>2024–2025</x:v>
      </x:c>
      <x:c r="AR256" s="2" t="str">
        <x:v>https://pubs.usgs.gov/periodicals/mcs2026/mcs2026.pdf; https://www.iea.org/reports/global-critical-minerals-outlook-2025</x:v>
      </x:c>
    </x:row>
    <x:row r="257" ht="240" customHeight="1">
      <x:c r="A257" s="2" t="str">
        <x:v>MIT-0250</x:v>
      </x:c>
      <x:c r="B257" s="2" t="str">
        <x:v>Mitigation</x:v>
      </x:c>
      <x:c r="C257" s="2" t="str">
        <x:v>Industry</x:v>
      </x:c>
      <x:c r="D257" s="2" t="str">
        <x:v>Chemicals management</x:v>
      </x:c>
      <x:c r="E257" s="2" t="str">
        <x:v>Adipic acid</x:v>
      </x:c>
      <x:c r="F257" s="2" t="str">
        <x:v>Adipic acid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It suppresses N₂O formation through process optimisation or destroys N₂O catalytically in the process or tail gas; performance is verified by continuous concentration and flow measurement.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7" s="2" t="str">
        <x:v>Flexible</x:v>
      </x:c>
      <x:c r="H257" s="2" t="str">
        <x:v>Adipic acid is transferable through configurable methods, rules and operating parameters. Its principle remains the same, but resource quality, climate, scale, interfaces and safety constraints must be recalculated for each deployment.</x:v>
      </x:c>
      <x:c r="I257" s="2" t="str">
        <x:v>Primarily soft, with physical support</x:v>
      </x:c>
      <x:c r="J257" s="2" t="str">
        <x:v>Adipic acid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7" s="2" t="str">
        <x:v>Operation</x:v>
      </x:c>
      <x:c r="L257" s="2" t="str">
        <x:v>Adipic acid is embodied mainly as an operating practice. The deliverable is accepted only when measurable service, quality, safety and climate-performance criteria are met under real conditions.</x:v>
      </x:c>
      <x:c r="M257" s="2" t="str">
        <x:v>Yes, subject to life-cycle safeguards</x:v>
      </x:c>
      <x:c r="N257" s="2" t="str">
        <x:v>Adipic acid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7" s="2" t="str">
        <x:v>Adipic acid: process reactors or furnaces, heat exchangers, motors and drives, compressors, burners, controls, pollution abatement, material handling and measurement equipment.</x:v>
      </x:c>
      <x:c r="P257" s="2" t="str">
        <x:v>Adipic acid: process simulation, pinch and heat-integration analysis, advanced control, production scheduling, quality control, energy management and life-cycle assessment.</x:v>
      </x:c>
      <x:c r="Q257" s="2" t="str">
        <x:v>Adipic acid: industrial permits, product standards, operating procedures, maintenance and competence systems, procurement, energy management and industrial-symbiosis agreements.</x:v>
      </x:c>
      <x:c r="R257" s="2" t="str">
        <x:v>Adipic acid: industrial site, utilities, fuel and electricity supply, material storage, process buildings, laboratories, waste handling and logistics.</x:v>
      </x:c>
      <x:c r="S257" s="2" t="str">
        <x:v>Adipic acid: electricity, steam, process heat, cooling and fuels; useful-energy efficiency, heat recovery and carbon intensity of supply determine savings.</x:v>
      </x:c>
      <x:c r="T257" s="2" t="str">
        <x:v>Adipic acid: process feedstocks, steel and refractory materials, catalysts, solvents, lubricants, insulation, piping, sensors and technology-specific alloying elements.</x:v>
      </x:c>
      <x:c r="U257" s="2" t="str">
        <x:v>Adipic acid: refractory linings, bearings, seals, valves, filters, burners, electrodes, sensors, control modules, lubricants and calibrated instruments.</x:v>
      </x:c>
      <x:c r="V257" s="2" t="str">
        <x:v>https://www.ctc-n.org/sites/default/files/resources/ctcn_taxonomy_0.pdf</x:v>
      </x:c>
      <x:c r="W257" s="2" t="str">
        <x:v>https://institutoagricoladepueblobello.edu.co/colegiapp/archivostemas/GUIA%209.%5B25%5D.pdf</x:v>
      </x:c>
      <x:c r="X257" s="2" t="str">
        <x:v>https://iiasa.ac.at/what-is-technology</x:v>
      </x:c>
      <x:c r="Y257" s="2" t="str">
        <x:v>https://www.ipcc.ch/report/ar6/wg3/chapter/chapter-11/</x:v>
      </x:c>
      <x:c r="Z257" s="2" t="str">
        <x:v>Technology-specific analytical synthesis. The CTCN hierarchy is retained; classifications and component dependencies require validation against the selected design, site and supplier documentation before investment or policy use.</x:v>
      </x:c>
      <x:c r="AA257" s="2" t="str">
        <x:v>Physical deployment of Adipic acid requires industrial site, utilities, fuel and electricity supply, material storage, process buildings, laboratories, waste handling and logistics; interfaces, foundations, access and environmental protection are sized to the specific resource and design load.</x:v>
      </x:c>
      <x:c r="AB257" s="2" t="str">
        <x:v>For Adipic acid,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7" s="2" t="str">
        <x:v>Construction and operation use process feedstocks, steel and refractory materials, catalysts, solvents, lubricants, insulation, piping, sensors and technology-specific alloying elements. For Adipic acid, specifications must include durability, compatibility, recycled content and recoverability.</x:v>
      </x:c>
      <x:c r="AD257" s="2" t="str">
        <x:v>Maintenance of Adipic acid depends on refractory linings, bearings, seals, valves, filters, burners, electrodes, sensors, control modules, lubricants and calibrated instruments; critical spares are selected from failure-mode, lead-time and safety analysis for its installed configuration.</x:v>
      </x:c>
      <x:c r="AE257" s="2" t="str">
        <x:v>The software stack for Adipic acid requires databases, secure communications, version-controlled models, computing, backup and interfaces with field or operational systems.</x:v>
      </x:c>
      <x:c r="AF257" s="2" t="str">
        <x:v>For Adipic acid, software-related energy is electricity for sensing, computing, storage, communication and cooling; it is normally secondary but must be included for data-intensive or continuous services.</x:v>
      </x:c>
      <x:c r="AG257" s="2" t="str">
        <x:v>The non-physical inputs are calibrated data, metadata, algorithms, boundary conditions, emission or hazard factors, manuals and validation records specific to Adipic acid.</x:v>
      </x:c>
      <x:c r="AH257" s="2" t="str">
        <x:v>Software continuity for Adipic acid requires licences where applicable, updates, cybersecurity patches, backups, calibration files, model validation and technical support.</x:v>
      </x:c>
      <x:c r="AI257" s="2" t="str">
        <x:v>Orgware depends on the institutions, laboratories, training providers, regulators, operators and community interfaces needed to govern Adipic acid.</x:v>
      </x:c>
      <x:c r="AJ257" s="2" t="str">
        <x:v>The orgware supporting Adipic acid has mainly indirect energy use from offices, meetings, training and information systems; travel and field supervision may be material at dispersed sites.</x:v>
      </x:c>
      <x:c r="AK257" s="2" t="str">
        <x:v>Its organisational inputs are permits, budgets, trained staff, competence records, contracts, procedures, safeguards, monitoring evidence and stakeholder agreements tailored to Adipic acid.</x:v>
      </x:c>
      <x:c r="AL257" s="2" t="str">
        <x:v>Sustained implementation of Adipic acid requires procurement and service contracts, audit protocols, training material, reporting templates, insurance or guarantees and periodic independent review.</x:v>
      </x:c>
      <x:c r="AM257" s="2" t="str">
        <x:v>Iron ore / steel inputs; Platinum-group metals; Nickel; Chromium</x:v>
      </x:c>
      <x:c r="AN257" s="2" t="str">
        <x:v>Australia; Brazil; China; South Africa; Russia; Zimbabwe; Indonesia; Philippines; Kazakhstan; Turkey</x:v>
      </x:c>
      <x:c r="AO257" s="2" t="str">
        <x:v>China; India; Japan; South Africa; Russia; Germany; Indonesia; Kazakhstan</x:v>
      </x:c>
      <x:c r="AP257" s="2" t="str">
        <x:v>Adipic acid: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7" s="2" t="str">
        <x:v>2024–2025</x:v>
      </x:c>
      <x:c r="AR257" s="2" t="str">
        <x:v>https://pubs.usgs.gov/periodicals/mcs2026/mcs2026.pdf; https://www.iea.org/reports/global-critical-minerals-outlook-2025</x:v>
      </x:c>
    </x:row>
    <x:row r="258" ht="240" customHeight="1">
      <x:c r="A258" s="2" t="str">
        <x:v>MIT-0251</x:v>
      </x:c>
      <x:c r="B258" s="2" t="str">
        <x:v>Mitigation</x:v>
      </x:c>
      <x:c r="C258" s="2" t="str">
        <x:v>Industry</x:v>
      </x:c>
      <x:c r="D258" s="2" t="str">
        <x:v>Chemicals management</x:v>
      </x:c>
      <x:c r="E258" s="2" t="str">
        <x:v>Biopolymer production for petrochemical sector</x:v>
      </x:c>
      <x:c r="F258" s="2" t="str">
        <x:v>Biopolymer production for petrochemical sector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Biopolymer production for petrochemical sector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8" s="2" t="str">
        <x:v>Flexible</x:v>
      </x:c>
      <x:c r="H258" s="2" t="str">
        <x:v>Biopolymer production for petrochemical sector is transferable through configurable methods, rules and operating parameters. Its principle remains the same, but resource quality, climate, scale, interfaces and safety constraints must be recalculated for each deployment.</x:v>
      </x:c>
      <x:c r="I258" s="2" t="str">
        <x:v>Primarily soft, with physical support</x:v>
      </x:c>
      <x:c r="J258" s="2" t="str">
        <x:v>Biopolymer production for petrochemical sector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8" s="2" t="str">
        <x:v>Operation</x:v>
      </x:c>
      <x:c r="L258" s="2" t="str">
        <x:v>Biopolymer production for petrochemical sector is embodied mainly as an operating practice. The deliverable is accepted only when measurable service, quality, safety and climate-performance criteria are met under real conditions.</x:v>
      </x:c>
      <x:c r="M258" s="2" t="str">
        <x:v>Yes, subject to life-cycle safeguards</x:v>
      </x:c>
      <x:c r="N258" s="2" t="str">
        <x:v>Biopolymer production for petrochemical sector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8" s="2" t="str">
        <x:v>Biopolymer production for petrochemical sector: process reactors or furnaces, heat exchangers, motors and drives, compressors, burners, controls, pollution abatement, material handling and measurement equipment.</x:v>
      </x:c>
      <x:c r="P258" s="2" t="str">
        <x:v>Biopolymer production for petrochemical sector: process simulation, pinch and heat-integration analysis, advanced control, production scheduling, quality control, energy management and life-cycle assessment.</x:v>
      </x:c>
      <x:c r="Q258" s="2" t="str">
        <x:v>Biopolymer production for petrochemical sector: industrial permits, product standards, operating procedures, maintenance and competence systems, procurement, energy management and industrial-symbiosis agreements.</x:v>
      </x:c>
      <x:c r="R258" s="2" t="str">
        <x:v>Biopolymer production for petrochemical sector: industrial site, utilities, fuel and electricity supply, material storage, process buildings, laboratories, waste handling and logistics.</x:v>
      </x:c>
      <x:c r="S258" s="2" t="str">
        <x:v>Biopolymer production for petrochemical sector: electricity, steam, process heat, cooling and fuels; useful-energy efficiency, heat recovery and carbon intensity of supply determine savings.</x:v>
      </x:c>
      <x:c r="T258" s="2" t="str">
        <x:v>Biopolymer production for petrochemical sector: process feedstocks, steel and refractory materials, catalysts, solvents, lubricants, insulation, piping, sensors and technology-specific alloying elements.</x:v>
      </x:c>
      <x:c r="U258" s="2" t="str">
        <x:v>Biopolymer production for petrochemical sector: refractory linings, bearings, seals, valves, filters, burners, electrodes, sensors, control modules, lubricants and calibrated instruments.</x:v>
      </x:c>
      <x:c r="V258" s="2" t="str">
        <x:v>https://www.ctc-n.org/sites/default/files/resources/ctcn_taxonomy_0.pdf</x:v>
      </x:c>
      <x:c r="W258" s="2" t="str">
        <x:v>https://institutoagricoladepueblobello.edu.co/colegiapp/archivostemas/GUIA%209.%5B25%5D.pdf</x:v>
      </x:c>
      <x:c r="X258" s="2" t="str">
        <x:v>https://iiasa.ac.at/what-is-technology</x:v>
      </x:c>
      <x:c r="Y258" s="2" t="str">
        <x:v>https://www.ipcc.ch/report/ar6/wg3/chapter/chapter-11/</x:v>
      </x:c>
      <x:c r="Z258" s="2" t="str">
        <x:v>Technology-specific analytical synthesis. The CTCN hierarchy is retained; classifications and component dependencies require validation against the selected design, site and supplier documentation before investment or policy use.</x:v>
      </x:c>
      <x:c r="AA258" s="2" t="str">
        <x:v>Physical deployment of Biopolymer production for petrochemical sector requires industrial site, utilities, fuel and electricity supply, material storage, process buildings, laboratories, waste handling and logistics; interfaces, foundations, access and environmental protection are sized to the specific resource and design load.</x:v>
      </x:c>
      <x:c r="AB258" s="2" t="str">
        <x:v>For Biopolymer production for petrochemical sector,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8" s="2" t="str">
        <x:v>Construction and operation use process feedstocks, steel and refractory materials, catalysts, solvents, lubricants, insulation, piping, sensors and technology-specific alloying elements. For Biopolymer production for petrochemical sector, specifications must include durability, compatibility, recycled content and recoverability.</x:v>
      </x:c>
      <x:c r="AD258" s="2" t="str">
        <x:v>Maintenance of Biopolymer production for petrochemical sector depends on refractory linings, bearings, seals, valves, filters, burners, electrodes, sensors, control modules, lubricants and calibrated instruments; critical spares are selected from failure-mode, lead-time and safety analysis for its installed configuration.</x:v>
      </x:c>
      <x:c r="AE258" s="2" t="str">
        <x:v>The software stack for Biopolymer production for petrochemical sector requires databases, secure communications, version-controlled models, computing, backup and interfaces with field or operational systems.</x:v>
      </x:c>
      <x:c r="AF258" s="2" t="str">
        <x:v>For Biopolymer production for petrochemical sector, software-related energy is electricity for sensing, computing, storage, communication and cooling; it is normally secondary but must be included for data-intensive or continuous services.</x:v>
      </x:c>
      <x:c r="AG258" s="2" t="str">
        <x:v>The non-physical inputs are calibrated data, metadata, algorithms, boundary conditions, emission or hazard factors, manuals and validation records specific to Biopolymer production for petrochemical sector.</x:v>
      </x:c>
      <x:c r="AH258" s="2" t="str">
        <x:v>Software continuity for Biopolymer production for petrochemical sector requires licences where applicable, updates, cybersecurity patches, backups, calibration files, model validation and technical support.</x:v>
      </x:c>
      <x:c r="AI258" s="2" t="str">
        <x:v>Orgware depends on the institutions, laboratories, training providers, regulators, operators and community interfaces needed to govern Biopolymer production for petrochemical sector.</x:v>
      </x:c>
      <x:c r="AJ258" s="2" t="str">
        <x:v>The orgware supporting Biopolymer production for petrochemical sector has mainly indirect energy use from offices, meetings, training and information systems; travel and field supervision may be material at dispersed sites.</x:v>
      </x:c>
      <x:c r="AK258" s="2" t="str">
        <x:v>Its organisational inputs are permits, budgets, trained staff, competence records, contracts, procedures, safeguards, monitoring evidence and stakeholder agreements tailored to Biopolymer production for petrochemical sector.</x:v>
      </x:c>
      <x:c r="AL258" s="2" t="str">
        <x:v>Sustained implementation of Biopolymer production for petrochemical sector requires procurement and service contracts, audit protocols, training material, reporting templates, insurance or guarantees and periodic independent review.</x:v>
      </x:c>
      <x:c r="AM258" s="2" t="str">
        <x:v>Iron ore / steel inputs; Nickel; Chromium</x:v>
      </x:c>
      <x:c r="AN258" s="2" t="str">
        <x:v>Australia; Brazil; China; Indonesia; Philippines; Russia; South Africa; Kazakhstan; Turkey</x:v>
      </x:c>
      <x:c r="AO258" s="2" t="str">
        <x:v>China; India; Japan; Indonesia; South Africa; Kazakhstan</x:v>
      </x:c>
      <x:c r="AP258" s="2" t="str">
        <x:v>Biopolymer production for petrochemical sector: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8" s="2" t="str">
        <x:v>2024–2025</x:v>
      </x:c>
      <x:c r="AR258" s="2" t="str">
        <x:v>https://pubs.usgs.gov/periodicals/mcs2026/mcs2026.pdf; https://www.iea.org/reports/global-critical-minerals-outlook-2025</x:v>
      </x:c>
    </x:row>
    <x:row r="259" ht="240" customHeight="1">
      <x:c r="A259" s="2" t="str">
        <x:v>MIT-0252</x:v>
      </x:c>
      <x:c r="B259" s="2" t="str">
        <x:v>Mitigation</x:v>
      </x:c>
      <x:c r="C259" s="2" t="str">
        <x:v>Industry</x:v>
      </x:c>
      <x:c r="D259" s="2" t="str">
        <x:v>Chemicals management</x:v>
      </x:c>
      <x:c r="E259" s="2" t="str">
        <x:v>CH4 reduction</x:v>
      </x:c>
      <x:c r="F259" s="2" t="str">
        <x:v>CH4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CH4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59" s="2" t="str">
        <x:v>Flexible</x:v>
      </x:c>
      <x:c r="H259" s="2" t="str">
        <x:v>CH4 reduction is transferable through configurable methods, rules and operating parameters. Its principle remains the same, but resource quality, climate, scale, interfaces and safety constraints must be recalculated for each deployment.</x:v>
      </x:c>
      <x:c r="I259" s="2" t="str">
        <x:v>Primarily soft, with physical support</x:v>
      </x:c>
      <x:c r="J259" s="2" t="str">
        <x:v>CH4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59" s="2" t="str">
        <x:v>Operation</x:v>
      </x:c>
      <x:c r="L259" s="2" t="str">
        <x:v>CH4 reduction is embodied mainly as an operating practice. The deliverable is accepted only when measurable service, quality, safety and climate-performance criteria are met under real conditions.</x:v>
      </x:c>
      <x:c r="M259" s="2" t="str">
        <x:v>Yes, subject to life-cycle safeguards</x:v>
      </x:c>
      <x:c r="N259" s="2" t="str">
        <x:v>CH4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59" s="2" t="str">
        <x:v>CH4 reduction: process reactors or furnaces, heat exchangers, motors and drives, compressors, burners, controls, pollution abatement, material handling and measurement equipment.</x:v>
      </x:c>
      <x:c r="P259" s="2" t="str">
        <x:v>CH4 reduction: process simulation, pinch and heat-integration analysis, advanced control, production scheduling, quality control, energy management and life-cycle assessment.</x:v>
      </x:c>
      <x:c r="Q259" s="2" t="str">
        <x:v>CH4 reduction: industrial permits, product standards, operating procedures, maintenance and competence systems, procurement, energy management and industrial-symbiosis agreements.</x:v>
      </x:c>
      <x:c r="R259" s="2" t="str">
        <x:v>CH4 reduction: industrial site, utilities, fuel and electricity supply, material storage, process buildings, laboratories, waste handling and logistics.</x:v>
      </x:c>
      <x:c r="S259" s="2" t="str">
        <x:v>CH4 reduction: electricity, steam, process heat, cooling and fuels; useful-energy efficiency, heat recovery and carbon intensity of supply determine savings.</x:v>
      </x:c>
      <x:c r="T259" s="2" t="str">
        <x:v>CH4 reduction: process feedstocks, steel and refractory materials, catalysts, solvents, lubricants, insulation, piping, sensors and technology-specific alloying elements.</x:v>
      </x:c>
      <x:c r="U259" s="2" t="str">
        <x:v>CH4 reduction: refractory linings, bearings, seals, valves, filters, burners, electrodes, sensors, control modules, lubricants and calibrated instruments.</x:v>
      </x:c>
      <x:c r="V259" s="2" t="str">
        <x:v>https://www.ctc-n.org/sites/default/files/resources/ctcn_taxonomy_0.pdf</x:v>
      </x:c>
      <x:c r="W259" s="2" t="str">
        <x:v>https://institutoagricoladepueblobello.edu.co/colegiapp/archivostemas/GUIA%209.%5B25%5D.pdf</x:v>
      </x:c>
      <x:c r="X259" s="2" t="str">
        <x:v>https://iiasa.ac.at/what-is-technology</x:v>
      </x:c>
      <x:c r="Y259" s="2" t="str">
        <x:v>https://www.ipcc.ch/report/ar6/wg3/chapter/chapter-11/</x:v>
      </x:c>
      <x:c r="Z259" s="2" t="str">
        <x:v>Technology-specific analytical synthesis. The CTCN hierarchy is retained; classifications and component dependencies require validation against the selected design, site and supplier documentation before investment or policy use.</x:v>
      </x:c>
      <x:c r="AA259" s="2" t="str">
        <x:v>Physical deployment of CH4 reduction requires industrial site, utilities, fuel and electricity supply, material storage, process buildings, laboratories, waste handling and logistics; interfaces, foundations, access and environmental protection are sized to the specific resource and design load.</x:v>
      </x:c>
      <x:c r="AB259" s="2" t="str">
        <x:v>For CH4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59" s="2" t="str">
        <x:v>Construction and operation use process feedstocks, steel and refractory materials, catalysts, solvents, lubricants, insulation, piping, sensors and technology-specific alloying elements. For CH4 reduction, specifications must include durability, compatibility, recycled content and recoverability.</x:v>
      </x:c>
      <x:c r="AD259" s="2" t="str">
        <x:v>Maintenance of CH4 reduction depends on refractory linings, bearings, seals, valves, filters, burners, electrodes, sensors, control modules, lubricants and calibrated instruments; critical spares are selected from failure-mode, lead-time and safety analysis for its installed configuration.</x:v>
      </x:c>
      <x:c r="AE259" s="2" t="str">
        <x:v>The software stack for CH4 reduction requires databases, secure communications, version-controlled models, computing, backup and interfaces with field or operational systems.</x:v>
      </x:c>
      <x:c r="AF259" s="2" t="str">
        <x:v>For CH4 reduction, software-related energy is electricity for sensing, computing, storage, communication and cooling; it is normally secondary but must be included for data-intensive or continuous services.</x:v>
      </x:c>
      <x:c r="AG259" s="2" t="str">
        <x:v>The non-physical inputs are calibrated data, metadata, algorithms, boundary conditions, emission or hazard factors, manuals and validation records specific to CH4 reduction.</x:v>
      </x:c>
      <x:c r="AH259" s="2" t="str">
        <x:v>Software continuity for CH4 reduction requires licences where applicable, updates, cybersecurity patches, backups, calibration files, model validation and technical support.</x:v>
      </x:c>
      <x:c r="AI259" s="2" t="str">
        <x:v>Orgware depends on the institutions, laboratories, training providers, regulators, operators and community interfaces needed to govern CH4 reduction.</x:v>
      </x:c>
      <x:c r="AJ259" s="2" t="str">
        <x:v>The orgware supporting CH4 reduction has mainly indirect energy use from offices, meetings, training and information systems; travel and field supervision may be material at dispersed sites.</x:v>
      </x:c>
      <x:c r="AK259" s="2" t="str">
        <x:v>Its organisational inputs are permits, budgets, trained staff, competence records, contracts, procedures, safeguards, monitoring evidence and stakeholder agreements tailored to CH4 reduction.</x:v>
      </x:c>
      <x:c r="AL259" s="2" t="str">
        <x:v>Sustained implementation of CH4 reduction requires procurement and service contracts, audit protocols, training material, reporting templates, insurance or guarantees and periodic independent review.</x:v>
      </x:c>
      <x:c r="AM259" s="2" t="str">
        <x:v>Iron ore / steel inputs; Nickel; Chromium</x:v>
      </x:c>
      <x:c r="AN259" s="2" t="str">
        <x:v>Australia; Brazil; China; Indonesia; Philippines; Russia; South Africa; Kazakhstan; Turkey</x:v>
      </x:c>
      <x:c r="AO259" s="2" t="str">
        <x:v>China; India; Japan; Indonesia; South Africa; Kazakhstan</x:v>
      </x:c>
      <x:c r="AP259" s="2" t="str">
        <x:v>CH4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9" s="2" t="str">
        <x:v>2024–2025</x:v>
      </x:c>
      <x:c r="AR259" s="2" t="str">
        <x:v>https://pubs.usgs.gov/periodicals/mcs2026/mcs2026.pdf; https://www.iea.org/reports/global-critical-minerals-outlook-2025</x:v>
      </x:c>
    </x:row>
    <x:row r="260" ht="240" customHeight="1">
      <x:c r="A260" s="2" t="str">
        <x:v>MIT-0253</x:v>
      </x:c>
      <x:c r="B260" s="2" t="str">
        <x:v>Mitigation</x:v>
      </x:c>
      <x:c r="C260" s="2" t="str">
        <x:v>Industry</x:v>
      </x:c>
      <x:c r="D260" s="2" t="str">
        <x:v>Chemicals management</x:v>
      </x:c>
      <x:c r="E260" s="2" t="str">
        <x:v>CO2 replacement</x:v>
      </x:c>
      <x:c r="F260" s="2" t="str">
        <x:v>CO2 replacement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CO2 replacement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0" s="2" t="str">
        <x:v>Flexible</x:v>
      </x:c>
      <x:c r="H260" s="2" t="str">
        <x:v>CO2 replacement is transferable through configurable methods, rules and operating parameters. Its principle remains the same, but resource quality, climate, scale, interfaces and safety constraints must be recalculated for each deployment.</x:v>
      </x:c>
      <x:c r="I260" s="2" t="str">
        <x:v>Primarily soft, with physical support</x:v>
      </x:c>
      <x:c r="J260" s="2" t="str">
        <x:v>CO2 replacement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0" s="2" t="str">
        <x:v>Operation</x:v>
      </x:c>
      <x:c r="L260" s="2" t="str">
        <x:v>CO2 replacement is embodied mainly as an operating practice. The deliverable is accepted only when measurable service, quality, safety and climate-performance criteria are met under real conditions.</x:v>
      </x:c>
      <x:c r="M260" s="2" t="str">
        <x:v>Yes, subject to life-cycle safeguards</x:v>
      </x:c>
      <x:c r="N260" s="2" t="str">
        <x:v>CO2 replacement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0" s="2" t="str">
        <x:v>CO2 replacement: process reactors or furnaces, heat exchangers, motors and drives, compressors, burners, controls, pollution abatement, material handling and measurement equipment.</x:v>
      </x:c>
      <x:c r="P260" s="2" t="str">
        <x:v>CO2 replacement: process simulation, pinch and heat-integration analysis, advanced control, production scheduling, quality control, energy management and life-cycle assessment.</x:v>
      </x:c>
      <x:c r="Q260" s="2" t="str">
        <x:v>CO2 replacement: industrial permits, product standards, operating procedures, maintenance and competence systems, procurement, energy management and industrial-symbiosis agreements.</x:v>
      </x:c>
      <x:c r="R260" s="2" t="str">
        <x:v>CO2 replacement: industrial site, utilities, fuel and electricity supply, material storage, process buildings, laboratories, waste handling and logistics.</x:v>
      </x:c>
      <x:c r="S260" s="2" t="str">
        <x:v>CO2 replacement: electricity, steam, process heat, cooling and fuels; useful-energy efficiency, heat recovery and carbon intensity of supply determine savings.</x:v>
      </x:c>
      <x:c r="T260" s="2" t="str">
        <x:v>CO2 replacement: process feedstocks, steel and refractory materials, catalysts, solvents, lubricants, insulation, piping, sensors and technology-specific alloying elements.</x:v>
      </x:c>
      <x:c r="U260" s="2" t="str">
        <x:v>CO2 replacement: refractory linings, bearings, seals, valves, filters, burners, electrodes, sensors, control modules, lubricants and calibrated instruments.</x:v>
      </x:c>
      <x:c r="V260" s="2" t="str">
        <x:v>https://www.ctc-n.org/sites/default/files/resources/ctcn_taxonomy_0.pdf</x:v>
      </x:c>
      <x:c r="W260" s="2" t="str">
        <x:v>https://institutoagricoladepueblobello.edu.co/colegiapp/archivostemas/GUIA%209.%5B25%5D.pdf</x:v>
      </x:c>
      <x:c r="X260" s="2" t="str">
        <x:v>https://iiasa.ac.at/what-is-technology</x:v>
      </x:c>
      <x:c r="Y260" s="2" t="str">
        <x:v>https://www.ipcc.ch/report/ar6/wg3/chapter/chapter-11/</x:v>
      </x:c>
      <x:c r="Z260" s="2" t="str">
        <x:v>Technology-specific analytical synthesis. The CTCN hierarchy is retained; classifications and component dependencies require validation against the selected design, site and supplier documentation before investment or policy use.</x:v>
      </x:c>
      <x:c r="AA260" s="2" t="str">
        <x:v>Physical deployment of CO2 replacement requires industrial site, utilities, fuel and electricity supply, material storage, process buildings, laboratories, waste handling and logistics; interfaces, foundations, access and environmental protection are sized to the specific resource and design load.</x:v>
      </x:c>
      <x:c r="AB260" s="2" t="str">
        <x:v>For CO2 replacement,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0" s="2" t="str">
        <x:v>Construction and operation use process feedstocks, steel and refractory materials, catalysts, solvents, lubricants, insulation, piping, sensors and technology-specific alloying elements. For CO2 replacement, specifications must include durability, compatibility, recycled content and recoverability.</x:v>
      </x:c>
      <x:c r="AD260" s="2" t="str">
        <x:v>Maintenance of CO2 replacement depends on refractory linings, bearings, seals, valves, filters, burners, electrodes, sensors, control modules, lubricants and calibrated instruments; critical spares are selected from failure-mode, lead-time and safety analysis for its installed configuration.</x:v>
      </x:c>
      <x:c r="AE260" s="2" t="str">
        <x:v>The software stack for CO2 replacement requires databases, secure communications, version-controlled models, computing, backup and interfaces with field or operational systems.</x:v>
      </x:c>
      <x:c r="AF260" s="2" t="str">
        <x:v>For CO2 replacement, software-related energy is electricity for sensing, computing, storage, communication and cooling; it is normally secondary but must be included for data-intensive or continuous services.</x:v>
      </x:c>
      <x:c r="AG260" s="2" t="str">
        <x:v>The non-physical inputs are calibrated data, metadata, algorithms, boundary conditions, emission or hazard factors, manuals and validation records specific to CO2 replacement.</x:v>
      </x:c>
      <x:c r="AH260" s="2" t="str">
        <x:v>Software continuity for CO2 replacement requires licences where applicable, updates, cybersecurity patches, backups, calibration files, model validation and technical support.</x:v>
      </x:c>
      <x:c r="AI260" s="2" t="str">
        <x:v>Orgware depends on the institutions, laboratories, training providers, regulators, operators and community interfaces needed to govern CO2 replacement.</x:v>
      </x:c>
      <x:c r="AJ260" s="2" t="str">
        <x:v>The orgware supporting CO2 replacement has mainly indirect energy use from offices, meetings, training and information systems; travel and field supervision may be material at dispersed sites.</x:v>
      </x:c>
      <x:c r="AK260" s="2" t="str">
        <x:v>Its organisational inputs are permits, budgets, trained staff, competence records, contracts, procedures, safeguards, monitoring evidence and stakeholder agreements tailored to CO2 replacement.</x:v>
      </x:c>
      <x:c r="AL260" s="2" t="str">
        <x:v>Sustained implementation of CO2 replacement requires procurement and service contracts, audit protocols, training material, reporting templates, insurance or guarantees and periodic independent review.</x:v>
      </x:c>
      <x:c r="AM260" s="2" t="str">
        <x:v>Iron ore / steel inputs; Nickel; Chromium; Limestone / cement raw materials</x:v>
      </x:c>
      <x:c r="AN260" s="2" t="str">
        <x:v>Australia; Brazil; China; Indonesia; Philippines; Russia; South Africa; Kazakhstan; Turkey; India; Vietnam</x:v>
      </x:c>
      <x:c r="AO260" s="2" t="str">
        <x:v>China; India; Japan; Indonesia; South Africa; Kazakhstan; Vietnam</x:v>
      </x:c>
      <x:c r="AP260" s="2" t="str">
        <x:v>CO2 replacement: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0" s="2" t="str">
        <x:v>2024–2025</x:v>
      </x:c>
      <x:c r="AR260" s="2" t="str">
        <x:v>https://pubs.usgs.gov/periodicals/mcs2026/mcs2026.pdf; https://www.iea.org/reports/global-critical-minerals-outlook-2025</x:v>
      </x:c>
    </x:row>
    <x:row r="261" ht="240" customHeight="1">
      <x:c r="A261" s="2" t="str">
        <x:v>MIT-0254</x:v>
      </x:c>
      <x:c r="B261" s="2" t="str">
        <x:v>Mitigation</x:v>
      </x:c>
      <x:c r="C261" s="2" t="str">
        <x:v>Industry</x:v>
      </x:c>
      <x:c r="D261" s="2" t="str">
        <x:v>Chemicals management</x:v>
      </x:c>
      <x:c r="E261" s="2" t="str">
        <x:v>CO2 recycling</x:v>
      </x:c>
      <x:c r="F261" s="2" t="str">
        <x:v>CO2 recycling is a mitigation technology in the Industry sector and the Chemicals management technology group. It is defined as a combined hardware–software–orgware system that changes vehicle kilometres, modal share, occupancy, speed profiles, routing or logistics so that the same mobility service is delivered with less final energy and fewer tailpipe emissions. CO2 recycling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261" s="2" t="str">
        <x:v>Flexible</x:v>
      </x:c>
      <x:c r="H261" s="2" t="str">
        <x:v>CO2 recycling is transferable through configurable methods, rules and operating parameters. Its principle remains the same, but resource quality, climate, scale, interfaces and safety constraints must be recalculated for each deployment.</x:v>
      </x:c>
      <x:c r="I261" s="2" t="str">
        <x:v>Primarily soft, with physical support</x:v>
      </x:c>
      <x:c r="J261" s="2" t="str">
        <x:v>CO2 recycling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261" s="2" t="str">
        <x:v>Operation</x:v>
      </x:c>
      <x:c r="L261" s="2" t="str">
        <x:v>CO2 recycling is embodied mainly as an operating practice. The deliverable is accepted only when measurable service, quality, safety and climate-performance criteria are met under real conditions.</x:v>
      </x:c>
      <x:c r="M261" s="2" t="str">
        <x:v>Yes, subject to life-cycle safeguards</x:v>
      </x:c>
      <x:c r="N261" s="2" t="str">
        <x:v>CO2 recycling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261" s="2" t="str">
        <x:v>CO2 recycling: corridor and station infrastructure, signalling, ticketing, communications, fleet equipment, traffic sensors and user interfaces as applicable.</x:v>
      </x:c>
      <x:c r="P261" s="2" t="str">
        <x:v>CO2 recycling: network and timetable design, demand models, traffic control, fleet dispatch, logistics optimisation, safety analysis and service-performance analytics.</x:v>
      </x:c>
      <x:c r="Q261" s="2" t="str">
        <x:v>CO2 recycling: transport authority mandates, operating contracts, tariffs, enforcement, street-space allocation, accessibility rules and coordination with land-use planning.</x:v>
      </x:c>
      <x:c r="R261" s="2" t="str">
        <x:v>CO2 recycling: rights-of-way, stops or terminals, depots, interchanges, control centres, communications and safe pedestrian or cycling access.</x:v>
      </x:c>
      <x:c r="S261" s="2" t="str">
        <x:v>CO2 recycling: electricity for control and stations plus the energy used by the affected vehicle fleet; the net result is governed by modal shift and occupancy.</x:v>
      </x:c>
      <x:c r="T261" s="2" t="str">
        <x:v>CO2 recycling: concrete, steel, asphalt, copper, signalling electronics, pavement materials and vehicle-related materials where new infrastructure is built.</x:v>
      </x:c>
      <x:c r="U261" s="2" t="str">
        <x:v>CO2 recycling: signal modules, communications equipment, validators, sensors, pavement components, station equipment and fleet consumables.</x:v>
      </x:c>
      <x:c r="V261" s="2" t="str">
        <x:v>https://www.ctc-n.org/sites/default/files/resources/ctcn_taxonomy_0.pdf</x:v>
      </x:c>
      <x:c r="W261" s="2" t="str">
        <x:v>https://institutoagricoladepueblobello.edu.co/colegiapp/archivostemas/GUIA%209.%5B25%5D.pdf</x:v>
      </x:c>
      <x:c r="X261" s="2" t="str">
        <x:v>https://iiasa.ac.at/what-is-technology</x:v>
      </x:c>
      <x:c r="Y261" s="2" t="str">
        <x:v>https://www.ipcc.ch/report/ar6/wg3/chapter/chapter-11/; https://www.ipcc.ch/report/ar6/wg3/chapter/chapter-10/; https://ppp.worldbank.org/print/pdf/node/7300</x:v>
      </x:c>
      <x:c r="Z261" s="2" t="str">
        <x:v>Technology-specific analytical synthesis. The CTCN hierarchy is retained; classifications and component dependencies require validation against the selected design, site and supplier documentation before investment or policy use.</x:v>
      </x:c>
      <x:c r="AA261" s="2" t="str">
        <x:v>Physical deployment of CO2 recycling requires rights-of-way, stops or terminals, depots, interchanges, control centres, communications and safe pedestrian or cycling access; interfaces, foundations, access and environmental protection are sized to the specific resource and design load.</x:v>
      </x:c>
      <x:c r="AB261" s="2" t="str">
        <x:v>For CO2 recycling,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261" s="2" t="str">
        <x:v>Construction and operation use concrete, steel, asphalt, copper, signalling electronics, pavement materials and vehicle-related materials where new infrastructure is built. For CO2 recycling, specifications must include durability, compatibility, recycled content and recoverability.</x:v>
      </x:c>
      <x:c r="AD261" s="2" t="str">
        <x:v>Maintenance of CO2 recycling depends on signal modules, communications equipment, validators, sensors, pavement components, station equipment and fleet consumables; critical spares are selected from failure-mode, lead-time and safety analysis for its installed configuration.</x:v>
      </x:c>
      <x:c r="AE261" s="2" t="str">
        <x:v>The software stack for CO2 recycling requires databases, secure communications, version-controlled models, computing, backup and interfaces with field or operational systems.</x:v>
      </x:c>
      <x:c r="AF261" s="2" t="str">
        <x:v>For CO2 recycling, software-related energy is electricity for sensing, computing, storage, communication and cooling; it is normally secondary but must be included for data-intensive or continuous services.</x:v>
      </x:c>
      <x:c r="AG261" s="2" t="str">
        <x:v>The non-physical inputs are calibrated data, metadata, algorithms, boundary conditions, emission or hazard factors, manuals and validation records specific to CO2 recycling.</x:v>
      </x:c>
      <x:c r="AH261" s="2" t="str">
        <x:v>Software continuity for CO2 recycling requires licences where applicable, updates, cybersecurity patches, backups, calibration files, model validation and technical support.</x:v>
      </x:c>
      <x:c r="AI261" s="2" t="str">
        <x:v>Orgware depends on the institutions, laboratories, training providers, regulators, operators and community interfaces needed to govern CO2 recycling.</x:v>
      </x:c>
      <x:c r="AJ261" s="2" t="str">
        <x:v>The orgware supporting CO2 recycling has mainly indirect energy use from offices, meetings, training and information systems; travel and field supervision may be material at dispersed sites.</x:v>
      </x:c>
      <x:c r="AK261" s="2" t="str">
        <x:v>Its organisational inputs are permits, budgets, trained staff, competence records, contracts, procedures, safeguards, monitoring evidence and stakeholder agreements tailored to CO2 recycling.</x:v>
      </x:c>
      <x:c r="AL261" s="2" t="str">
        <x:v>Sustained implementation of CO2 recycling requires procurement and service contracts, audit protocols, training material, reporting templates, insurance or guarantees and periodic independent review.</x:v>
      </x:c>
      <x:c r="AM261" s="2" t="str">
        <x:v>Iron ore / steel inputs; Nickel; Chromium</x:v>
      </x:c>
      <x:c r="AN261" s="2" t="str">
        <x:v>Australia; Brazil; China; Indonesia; Philippines; Russia; South Africa; Kazakhstan; Turkey</x:v>
      </x:c>
      <x:c r="AO261" s="2" t="str">
        <x:v>China; India; Japan; Indonesia; South Africa; Kazakhstan</x:v>
      </x:c>
      <x:c r="AP261" s="2" t="str">
        <x:v>CO2 recycling: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1" s="2" t="str">
        <x:v>2024–2025</x:v>
      </x:c>
      <x:c r="AR261" s="2" t="str">
        <x:v>https://pubs.usgs.gov/periodicals/mcs2026/mcs2026.pdf; https://www.iea.org/reports/global-critical-minerals-outlook-2025</x:v>
      </x:c>
    </x:row>
    <x:row r="262" ht="240" customHeight="1">
      <x:c r="A262" s="2" t="str">
        <x:v>MIT-0255</x:v>
      </x:c>
      <x:c r="B262" s="2" t="str">
        <x:v>Mitigation</x:v>
      </x:c>
      <x:c r="C262" s="2" t="str">
        <x:v>Industry</x:v>
      </x:c>
      <x:c r="D262" s="2" t="str">
        <x:v>Chemicals management</x:v>
      </x:c>
      <x:c r="E262" s="2" t="str">
        <x:v>PFCs reduction</x:v>
      </x:c>
      <x:c r="F262" s="2" t="str">
        <x:v>PFCs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PFCs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2" s="2" t="str">
        <x:v>Flexible</x:v>
      </x:c>
      <x:c r="H262" s="2" t="str">
        <x:v>PFCs reduction is transferable through configurable methods, rules and operating parameters. Its principle remains the same, but resource quality, climate, scale, interfaces and safety constraints must be recalculated for each deployment.</x:v>
      </x:c>
      <x:c r="I262" s="2" t="str">
        <x:v>Primarily soft, with physical support</x:v>
      </x:c>
      <x:c r="J262" s="2" t="str">
        <x:v>PFCs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2" s="2" t="str">
        <x:v>Operation</x:v>
      </x:c>
      <x:c r="L262" s="2" t="str">
        <x:v>PFCs reduction is embodied mainly as an operating practice. The deliverable is accepted only when measurable service, quality, safety and climate-performance criteria are met under real conditions.</x:v>
      </x:c>
      <x:c r="M262" s="2" t="str">
        <x:v>Yes, subject to life-cycle safeguards</x:v>
      </x:c>
      <x:c r="N262" s="2" t="str">
        <x:v>PFCs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2" s="2" t="str">
        <x:v>PFCs reduction: process reactors or furnaces, heat exchangers, motors and drives, compressors, burners, controls, pollution abatement, material handling and measurement equipment.</x:v>
      </x:c>
      <x:c r="P262" s="2" t="str">
        <x:v>PFCs reduction: process simulation, pinch and heat-integration analysis, advanced control, production scheduling, quality control, energy management and life-cycle assessment.</x:v>
      </x:c>
      <x:c r="Q262" s="2" t="str">
        <x:v>PFCs reduction: industrial permits, product standards, operating procedures, maintenance and competence systems, procurement, energy management and industrial-symbiosis agreements.</x:v>
      </x:c>
      <x:c r="R262" s="2" t="str">
        <x:v>PFCs reduction: industrial site, utilities, fuel and electricity supply, material storage, process buildings, laboratories, waste handling and logistics.</x:v>
      </x:c>
      <x:c r="S262" s="2" t="str">
        <x:v>PFCs reduction: electricity, steam, process heat, cooling and fuels; useful-energy efficiency, heat recovery and carbon intensity of supply determine savings.</x:v>
      </x:c>
      <x:c r="T262" s="2" t="str">
        <x:v>PFCs reduction: process feedstocks, steel and refractory materials, catalysts, solvents, lubricants, insulation, piping, sensors and technology-specific alloying elements.</x:v>
      </x:c>
      <x:c r="U262" s="2" t="str">
        <x:v>PFCs reduction: refractory linings, bearings, seals, valves, filters, burners, electrodes, sensors, control modules, lubricants and calibrated instruments.</x:v>
      </x:c>
      <x:c r="V262" s="2" t="str">
        <x:v>https://www.ctc-n.org/sites/default/files/resources/ctcn_taxonomy_0.pdf</x:v>
      </x:c>
      <x:c r="W262" s="2" t="str">
        <x:v>https://institutoagricoladepueblobello.edu.co/colegiapp/archivostemas/GUIA%209.%5B25%5D.pdf</x:v>
      </x:c>
      <x:c r="X262" s="2" t="str">
        <x:v>https://iiasa.ac.at/what-is-technology</x:v>
      </x:c>
      <x:c r="Y262" s="2" t="str">
        <x:v>https://www.ipcc.ch/report/ar6/wg3/chapter/chapter-11/</x:v>
      </x:c>
      <x:c r="Z262" s="2" t="str">
        <x:v>Technology-specific analytical synthesis. The CTCN hierarchy is retained; classifications and component dependencies require validation against the selected design, site and supplier documentation before investment or policy use.</x:v>
      </x:c>
      <x:c r="AA262" s="2" t="str">
        <x:v>Physical deployment of PFCs reduction requires industrial site, utilities, fuel and electricity supply, material storage, process buildings, laboratories, waste handling and logistics; interfaces, foundations, access and environmental protection are sized to the specific resource and design load.</x:v>
      </x:c>
      <x:c r="AB262" s="2" t="str">
        <x:v>For PFCs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2" s="2" t="str">
        <x:v>Construction and operation use process feedstocks, steel and refractory materials, catalysts, solvents, lubricants, insulation, piping, sensors and technology-specific alloying elements. For PFCs reduction, specifications must include durability, compatibility, recycled content and recoverability.</x:v>
      </x:c>
      <x:c r="AD262" s="2" t="str">
        <x:v>Maintenance of PFCs reduction depends on refractory linings, bearings, seals, valves, filters, burners, electrodes, sensors, control modules, lubricants and calibrated instruments; critical spares are selected from failure-mode, lead-time and safety analysis for its installed configuration.</x:v>
      </x:c>
      <x:c r="AE262" s="2" t="str">
        <x:v>The software stack for PFCs reduction requires databases, secure communications, version-controlled models, computing, backup and interfaces with field or operational systems.</x:v>
      </x:c>
      <x:c r="AF262" s="2" t="str">
        <x:v>For PFCs reduction, software-related energy is electricity for sensing, computing, storage, communication and cooling; it is normally secondary but must be included for data-intensive or continuous services.</x:v>
      </x:c>
      <x:c r="AG262" s="2" t="str">
        <x:v>The non-physical inputs are calibrated data, metadata, algorithms, boundary conditions, emission or hazard factors, manuals and validation records specific to PFCs reduction.</x:v>
      </x:c>
      <x:c r="AH262" s="2" t="str">
        <x:v>Software continuity for PFCs reduction requires licences where applicable, updates, cybersecurity patches, backups, calibration files, model validation and technical support.</x:v>
      </x:c>
      <x:c r="AI262" s="2" t="str">
        <x:v>Orgware depends on the institutions, laboratories, training providers, regulators, operators and community interfaces needed to govern PFCs reduction.</x:v>
      </x:c>
      <x:c r="AJ262" s="2" t="str">
        <x:v>The orgware supporting PFCs reduction has mainly indirect energy use from offices, meetings, training and information systems; travel and field supervision may be material at dispersed sites.</x:v>
      </x:c>
      <x:c r="AK262" s="2" t="str">
        <x:v>Its organisational inputs are permits, budgets, trained staff, competence records, contracts, procedures, safeguards, monitoring evidence and stakeholder agreements tailored to PFCs reduction.</x:v>
      </x:c>
      <x:c r="AL262" s="2" t="str">
        <x:v>Sustained implementation of PFCs reduction requires procurement and service contracts, audit protocols, training material, reporting templates, insurance or guarantees and periodic independent review.</x:v>
      </x:c>
      <x:c r="AM262" s="2" t="str">
        <x:v>Iron ore / steel inputs; Nickel; Chromium</x:v>
      </x:c>
      <x:c r="AN262" s="2" t="str">
        <x:v>Australia; Brazil; China; Indonesia; Philippines; Russia; South Africa; Kazakhstan; Turkey</x:v>
      </x:c>
      <x:c r="AO262" s="2" t="str">
        <x:v>China; India; Japan; Indonesia; South Africa; Kazakhstan</x:v>
      </x:c>
      <x:c r="AP262" s="2" t="str">
        <x:v>PFCs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2" s="2" t="str">
        <x:v>2024–2025</x:v>
      </x:c>
      <x:c r="AR262" s="2" t="str">
        <x:v>https://pubs.usgs.gov/periodicals/mcs2026/mcs2026.pdf; https://www.iea.org/reports/global-critical-minerals-outlook-2025</x:v>
      </x:c>
    </x:row>
    <x:row r="263" ht="240" customHeight="1">
      <x:c r="A263" s="2" t="str">
        <x:v>MIT-0256</x:v>
      </x:c>
      <x:c r="B263" s="2" t="str">
        <x:v>Mitigation</x:v>
      </x:c>
      <x:c r="C263" s="2" t="str">
        <x:v>Industry</x:v>
      </x:c>
      <x:c r="D263" s="2" t="str">
        <x:v>Chemicals management</x:v>
      </x:c>
      <x:c r="E263" s="2" t="str">
        <x:v>Carbon black</x:v>
      </x:c>
      <x:c r="F263" s="2" t="str">
        <x:v>Carbon black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Carbon black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3" s="2" t="str">
        <x:v>Flexible</x:v>
      </x:c>
      <x:c r="H263" s="2" t="str">
        <x:v>Carbon black is transferable through configurable methods, rules and operating parameters. Its principle remains the same, but resource quality, climate, scale, interfaces and safety constraints must be recalculated for each deployment.</x:v>
      </x:c>
      <x:c r="I263" s="2" t="str">
        <x:v>Primarily soft, with physical support</x:v>
      </x:c>
      <x:c r="J263" s="2" t="str">
        <x:v>Carbon black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3" s="2" t="str">
        <x:v>Operation</x:v>
      </x:c>
      <x:c r="L263" s="2" t="str">
        <x:v>Carbon black is embodied mainly as an operating practice. The deliverable is accepted only when measurable service, quality, safety and climate-performance criteria are met under real conditions.</x:v>
      </x:c>
      <x:c r="M263" s="2" t="str">
        <x:v>Yes, subject to life-cycle safeguards</x:v>
      </x:c>
      <x:c r="N263" s="2" t="str">
        <x:v>Carbon black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3" s="2" t="str">
        <x:v>Carbon black: process reactors or furnaces, heat exchangers, motors and drives, compressors, burners, controls, pollution abatement, material handling and measurement equipment.</x:v>
      </x:c>
      <x:c r="P263" s="2" t="str">
        <x:v>Carbon black: process simulation, pinch and heat-integration analysis, advanced control, production scheduling, quality control, energy management and life-cycle assessment.</x:v>
      </x:c>
      <x:c r="Q263" s="2" t="str">
        <x:v>Carbon black: industrial permits, product standards, operating procedures, maintenance and competence systems, procurement, energy management and industrial-symbiosis agreements.</x:v>
      </x:c>
      <x:c r="R263" s="2" t="str">
        <x:v>Carbon black: industrial site, utilities, fuel and electricity supply, material storage, process buildings, laboratories, waste handling and logistics.</x:v>
      </x:c>
      <x:c r="S263" s="2" t="str">
        <x:v>Carbon black: electricity, steam, process heat, cooling and fuels; useful-energy efficiency, heat recovery and carbon intensity of supply determine savings.</x:v>
      </x:c>
      <x:c r="T263" s="2" t="str">
        <x:v>Carbon black: process feedstocks, steel and refractory materials, catalysts, solvents, lubricants, insulation, piping, sensors and technology-specific alloying elements.</x:v>
      </x:c>
      <x:c r="U263" s="2" t="str">
        <x:v>Carbon black: refractory linings, bearings, seals, valves, filters, burners, electrodes, sensors, control modules, lubricants and calibrated instruments.</x:v>
      </x:c>
      <x:c r="V263" s="2" t="str">
        <x:v>https://www.ctc-n.org/sites/default/files/resources/ctcn_taxonomy_0.pdf</x:v>
      </x:c>
      <x:c r="W263" s="2" t="str">
        <x:v>https://institutoagricoladepueblobello.edu.co/colegiapp/archivostemas/GUIA%209.%5B25%5D.pdf</x:v>
      </x:c>
      <x:c r="X263" s="2" t="str">
        <x:v>https://iiasa.ac.at/what-is-technology</x:v>
      </x:c>
      <x:c r="Y263" s="2" t="str">
        <x:v>https://www.ipcc.ch/report/ar6/wg3/chapter/chapter-11/</x:v>
      </x:c>
      <x:c r="Z263" s="2" t="str">
        <x:v>Technology-specific analytical synthesis. The CTCN hierarchy is retained; classifications and component dependencies require validation against the selected design, site and supplier documentation before investment or policy use.</x:v>
      </x:c>
      <x:c r="AA263" s="2" t="str">
        <x:v>Physical deployment of Carbon black requires industrial site, utilities, fuel and electricity supply, material storage, process buildings, laboratories, waste handling and logistics; interfaces, foundations, access and environmental protection are sized to the specific resource and design load.</x:v>
      </x:c>
      <x:c r="AB263" s="2" t="str">
        <x:v>For Carbon black,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3" s="2" t="str">
        <x:v>Construction and operation use process feedstocks, steel and refractory materials, catalysts, solvents, lubricants, insulation, piping, sensors and technology-specific alloying elements. For Carbon black, specifications must include durability, compatibility, recycled content and recoverability.</x:v>
      </x:c>
      <x:c r="AD263" s="2" t="str">
        <x:v>Maintenance of Carbon black depends on refractory linings, bearings, seals, valves, filters, burners, electrodes, sensors, control modules, lubricants and calibrated instruments; critical spares are selected from failure-mode, lead-time and safety analysis for its installed configuration.</x:v>
      </x:c>
      <x:c r="AE263" s="2" t="str">
        <x:v>The software stack for Carbon black requires databases, secure communications, version-controlled models, computing, backup and interfaces with field or operational systems.</x:v>
      </x:c>
      <x:c r="AF263" s="2" t="str">
        <x:v>For Carbon black, software-related energy is electricity for sensing, computing, storage, communication and cooling; it is normally secondary but must be included for data-intensive or continuous services.</x:v>
      </x:c>
      <x:c r="AG263" s="2" t="str">
        <x:v>The non-physical inputs are calibrated data, metadata, algorithms, boundary conditions, emission or hazard factors, manuals and validation records specific to Carbon black.</x:v>
      </x:c>
      <x:c r="AH263" s="2" t="str">
        <x:v>Software continuity for Carbon black requires licences where applicable, updates, cybersecurity patches, backups, calibration files, model validation and technical support.</x:v>
      </x:c>
      <x:c r="AI263" s="2" t="str">
        <x:v>Orgware depends on the institutions, laboratories, training providers, regulators, operators and community interfaces needed to govern Carbon black.</x:v>
      </x:c>
      <x:c r="AJ263" s="2" t="str">
        <x:v>The orgware supporting Carbon black has mainly indirect energy use from offices, meetings, training and information systems; travel and field supervision may be material at dispersed sites.</x:v>
      </x:c>
      <x:c r="AK263" s="2" t="str">
        <x:v>Its organisational inputs are permits, budgets, trained staff, competence records, contracts, procedures, safeguards, monitoring evidence and stakeholder agreements tailored to Carbon black.</x:v>
      </x:c>
      <x:c r="AL263" s="2" t="str">
        <x:v>Sustained implementation of Carbon black requires procurement and service contracts, audit protocols, training material, reporting templates, insurance or guarantees and periodic independent review.</x:v>
      </x:c>
      <x:c r="AM263" s="2" t="str">
        <x:v>Iron ore / steel inputs; Nickel; Chromium</x:v>
      </x:c>
      <x:c r="AN263" s="2" t="str">
        <x:v>Australia; Brazil; China; Indonesia; Philippines; Russia; South Africa; Kazakhstan; Turkey</x:v>
      </x:c>
      <x:c r="AO263" s="2" t="str">
        <x:v>China; India; Japan; Indonesia; South Africa; Kazakhstan</x:v>
      </x:c>
      <x:c r="AP263" s="2" t="str">
        <x:v>Carbon black: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3" s="2" t="str">
        <x:v>2024–2025</x:v>
      </x:c>
      <x:c r="AR263" s="2" t="str">
        <x:v>https://pubs.usgs.gov/periodicals/mcs2026/mcs2026.pdf; https://www.iea.org/reports/global-critical-minerals-outlook-2025</x:v>
      </x:c>
    </x:row>
    <x:row r="264" ht="240" customHeight="1">
      <x:c r="A264" s="2" t="str">
        <x:v>MIT-0257</x:v>
      </x:c>
      <x:c r="B264" s="2" t="str">
        <x:v>Mitigation</x:v>
      </x:c>
      <x:c r="C264" s="2" t="str">
        <x:v>Industry</x:v>
      </x:c>
      <x:c r="D264" s="2" t="str">
        <x:v>Chemicals management</x:v>
      </x:c>
      <x:c r="E264" s="2" t="str">
        <x:v>Ammonia</x:v>
      </x:c>
      <x:c r="F264" s="2" t="str">
        <x:v>Ammonia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Ammonia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4" s="2" t="str">
        <x:v>Flexible</x:v>
      </x:c>
      <x:c r="H264" s="2" t="str">
        <x:v>Ammonia is transferable through configurable methods, rules and operating parameters. Its principle remains the same, but resource quality, climate, scale, interfaces and safety constraints must be recalculated for each deployment.</x:v>
      </x:c>
      <x:c r="I264" s="2" t="str">
        <x:v>Primarily soft, with physical support</x:v>
      </x:c>
      <x:c r="J264" s="2" t="str">
        <x:v>Ammonia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4" s="2" t="str">
        <x:v>Operation</x:v>
      </x:c>
      <x:c r="L264" s="2" t="str">
        <x:v>Ammonia is embodied mainly as an operating practice. The deliverable is accepted only when measurable service, quality, safety and climate-performance criteria are met under real conditions.</x:v>
      </x:c>
      <x:c r="M264" s="2" t="str">
        <x:v>Yes, subject to life-cycle safeguards</x:v>
      </x:c>
      <x:c r="N264" s="2" t="str">
        <x:v>Ammonia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4" s="2" t="str">
        <x:v>Ammonia: process reactors or furnaces, heat exchangers, motors and drives, compressors, burners, controls, pollution abatement, material handling and measurement equipment.</x:v>
      </x:c>
      <x:c r="P264" s="2" t="str">
        <x:v>Ammonia: process simulation, pinch and heat-integration analysis, advanced control, production scheduling, quality control, energy management and life-cycle assessment.</x:v>
      </x:c>
      <x:c r="Q264" s="2" t="str">
        <x:v>Ammonia: industrial permits, product standards, operating procedures, maintenance and competence systems, procurement, energy management and industrial-symbiosis agreements.</x:v>
      </x:c>
      <x:c r="R264" s="2" t="str">
        <x:v>Ammonia: industrial site, utilities, fuel and electricity supply, material storage, process buildings, laboratories, waste handling and logistics.</x:v>
      </x:c>
      <x:c r="S264" s="2" t="str">
        <x:v>Ammonia: electricity, steam, process heat, cooling and fuels; useful-energy efficiency, heat recovery and carbon intensity of supply determine savings.</x:v>
      </x:c>
      <x:c r="T264" s="2" t="str">
        <x:v>Ammonia: process feedstocks, steel and refractory materials, catalysts, solvents, lubricants, insulation, piping, sensors and technology-specific alloying elements.</x:v>
      </x:c>
      <x:c r="U264" s="2" t="str">
        <x:v>Ammonia: refractory linings, bearings, seals, valves, filters, burners, electrodes, sensors, control modules, lubricants and calibrated instruments.</x:v>
      </x:c>
      <x:c r="V264" s="2" t="str">
        <x:v>https://www.ctc-n.org/sites/default/files/resources/ctcn_taxonomy_0.pdf</x:v>
      </x:c>
      <x:c r="W264" s="2" t="str">
        <x:v>https://institutoagricoladepueblobello.edu.co/colegiapp/archivostemas/GUIA%209.%5B25%5D.pdf</x:v>
      </x:c>
      <x:c r="X264" s="2" t="str">
        <x:v>https://iiasa.ac.at/what-is-technology</x:v>
      </x:c>
      <x:c r="Y264" s="2" t="str">
        <x:v>https://www.ipcc.ch/report/ar6/wg3/chapter/chapter-11/</x:v>
      </x:c>
      <x:c r="Z264" s="2" t="str">
        <x:v>Technology-specific analytical synthesis. The CTCN hierarchy is retained; classifications and component dependencies require validation against the selected design, site and supplier documentation before investment or policy use.</x:v>
      </x:c>
      <x:c r="AA264" s="2" t="str">
        <x:v>Physical deployment of Ammonia requires industrial site, utilities, fuel and electricity supply, material storage, process buildings, laboratories, waste handling and logistics; interfaces, foundations, access and environmental protection are sized to the specific resource and design load.</x:v>
      </x:c>
      <x:c r="AB264" s="2" t="str">
        <x:v>For Ammonia,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4" s="2" t="str">
        <x:v>Construction and operation use process feedstocks, steel and refractory materials, catalysts, solvents, lubricants, insulation, piping, sensors and technology-specific alloying elements. For Ammonia, specifications must include durability, compatibility, recycled content and recoverability.</x:v>
      </x:c>
      <x:c r="AD264" s="2" t="str">
        <x:v>Maintenance of Ammonia depends on refractory linings, bearings, seals, valves, filters, burners, electrodes, sensors, control modules, lubricants and calibrated instruments; critical spares are selected from failure-mode, lead-time and safety analysis for its installed configuration.</x:v>
      </x:c>
      <x:c r="AE264" s="2" t="str">
        <x:v>The software stack for Ammonia requires databases, secure communications, version-controlled models, computing, backup and interfaces with field or operational systems.</x:v>
      </x:c>
      <x:c r="AF264" s="2" t="str">
        <x:v>For Ammonia, software-related energy is electricity for sensing, computing, storage, communication and cooling; it is normally secondary but must be included for data-intensive or continuous services.</x:v>
      </x:c>
      <x:c r="AG264" s="2" t="str">
        <x:v>The non-physical inputs are calibrated data, metadata, algorithms, boundary conditions, emission or hazard factors, manuals and validation records specific to Ammonia.</x:v>
      </x:c>
      <x:c r="AH264" s="2" t="str">
        <x:v>Software continuity for Ammonia requires licences where applicable, updates, cybersecurity patches, backups, calibration files, model validation and technical support.</x:v>
      </x:c>
      <x:c r="AI264" s="2" t="str">
        <x:v>Orgware depends on the institutions, laboratories, training providers, regulators, operators and community interfaces needed to govern Ammonia.</x:v>
      </x:c>
      <x:c r="AJ264" s="2" t="str">
        <x:v>The orgware supporting Ammonia has mainly indirect energy use from offices, meetings, training and information systems; travel and field supervision may be material at dispersed sites.</x:v>
      </x:c>
      <x:c r="AK264" s="2" t="str">
        <x:v>Its organisational inputs are permits, budgets, trained staff, competence records, contracts, procedures, safeguards, monitoring evidence and stakeholder agreements tailored to Ammonia.</x:v>
      </x:c>
      <x:c r="AL264" s="2" t="str">
        <x:v>Sustained implementation of Ammonia requires procurement and service contracts, audit protocols, training material, reporting templates, insurance or guarantees and periodic independent review.</x:v>
      </x:c>
      <x:c r="AM264" s="2" t="str">
        <x:v>Iron ore / steel inputs; Platinum-group metals; Nickel; Chromium</x:v>
      </x:c>
      <x:c r="AN264" s="2" t="str">
        <x:v>Australia; Brazil; China; South Africa; Russia; Zimbabwe; Indonesia; Philippines; Kazakhstan; Turkey</x:v>
      </x:c>
      <x:c r="AO264" s="2" t="str">
        <x:v>China; India; Japan; South Africa; Russia; Germany; Indonesia; Kazakhstan</x:v>
      </x:c>
      <x:c r="AP264" s="2" t="str">
        <x:v>Ammonia: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4" s="2" t="str">
        <x:v>2024–2025</x:v>
      </x:c>
      <x:c r="AR264" s="2" t="str">
        <x:v>https://pubs.usgs.gov/periodicals/mcs2026/mcs2026.pdf; https://www.iea.org/reports/global-critical-minerals-outlook-2025</x:v>
      </x:c>
    </x:row>
    <x:row r="265" ht="240" customHeight="1">
      <x:c r="A265" s="2" t="str">
        <x:v>MIT-0258</x:v>
      </x:c>
      <x:c r="B265" s="2" t="str">
        <x:v>Mitigation</x:v>
      </x:c>
      <x:c r="C265" s="2" t="str">
        <x:v>Industry</x:v>
      </x:c>
      <x:c r="D265" s="2" t="str">
        <x:v>Chemicals management</x:v>
      </x:c>
      <x:c r="E265" s="2" t="str">
        <x:v>Nitric acid</x:v>
      </x:c>
      <x:c r="F265" s="2" t="str">
        <x:v>Nitric acid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It suppresses N₂O formation through process optimisation or destroys N₂O catalytically in the process or tail gas; performance is verified by continuous concentration and flow measurement.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5" s="2" t="str">
        <x:v>Flexible</x:v>
      </x:c>
      <x:c r="H265" s="2" t="str">
        <x:v>Nitric acid is transferable through configurable methods, rules and operating parameters. Its principle remains the same, but resource quality, climate, scale, interfaces and safety constraints must be recalculated for each deployment.</x:v>
      </x:c>
      <x:c r="I265" s="2" t="str">
        <x:v>Primarily soft, with physical support</x:v>
      </x:c>
      <x:c r="J265" s="2" t="str">
        <x:v>Nitric acid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5" s="2" t="str">
        <x:v>Operation</x:v>
      </x:c>
      <x:c r="L265" s="2" t="str">
        <x:v>Nitric acid is embodied mainly as an operating practice. The deliverable is accepted only when measurable service, quality, safety and climate-performance criteria are met under real conditions.</x:v>
      </x:c>
      <x:c r="M265" s="2" t="str">
        <x:v>Yes, subject to life-cycle safeguards</x:v>
      </x:c>
      <x:c r="N265" s="2" t="str">
        <x:v>Nitric acid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5" s="2" t="str">
        <x:v>Nitric acid: process reactors or furnaces, heat exchangers, motors and drives, compressors, burners, controls, pollution abatement, material handling and measurement equipment.</x:v>
      </x:c>
      <x:c r="P265" s="2" t="str">
        <x:v>Nitric acid: process simulation, pinch and heat-integration analysis, advanced control, production scheduling, quality control, energy management and life-cycle assessment.</x:v>
      </x:c>
      <x:c r="Q265" s="2" t="str">
        <x:v>Nitric acid: industrial permits, product standards, operating procedures, maintenance and competence systems, procurement, energy management and industrial-symbiosis agreements.</x:v>
      </x:c>
      <x:c r="R265" s="2" t="str">
        <x:v>Nitric acid: industrial site, utilities, fuel and electricity supply, material storage, process buildings, laboratories, waste handling and logistics.</x:v>
      </x:c>
      <x:c r="S265" s="2" t="str">
        <x:v>Nitric acid: electricity, steam, process heat, cooling and fuels; useful-energy efficiency, heat recovery and carbon intensity of supply determine savings.</x:v>
      </x:c>
      <x:c r="T265" s="2" t="str">
        <x:v>Nitric acid: process feedstocks, steel and refractory materials, catalysts, solvents, lubricants, insulation, piping, sensors and technology-specific alloying elements.</x:v>
      </x:c>
      <x:c r="U265" s="2" t="str">
        <x:v>Nitric acid: refractory linings, bearings, seals, valves, filters, burners, electrodes, sensors, control modules, lubricants and calibrated instruments.</x:v>
      </x:c>
      <x:c r="V265" s="2" t="str">
        <x:v>https://www.ctc-n.org/sites/default/files/resources/ctcn_taxonomy_0.pdf</x:v>
      </x:c>
      <x:c r="W265" s="2" t="str">
        <x:v>https://institutoagricoladepueblobello.edu.co/colegiapp/archivostemas/GUIA%209.%5B25%5D.pdf</x:v>
      </x:c>
      <x:c r="X265" s="2" t="str">
        <x:v>https://iiasa.ac.at/what-is-technology</x:v>
      </x:c>
      <x:c r="Y265" s="2" t="str">
        <x:v>https://www.ipcc.ch/report/ar6/wg3/chapter/chapter-11/</x:v>
      </x:c>
      <x:c r="Z265" s="2" t="str">
        <x:v>Technology-specific analytical synthesis. The CTCN hierarchy is retained; classifications and component dependencies require validation against the selected design, site and supplier documentation before investment or policy use.</x:v>
      </x:c>
      <x:c r="AA265" s="2" t="str">
        <x:v>Physical deployment of Nitric acid requires industrial site, utilities, fuel and electricity supply, material storage, process buildings, laboratories, waste handling and logistics; interfaces, foundations, access and environmental protection are sized to the specific resource and design load.</x:v>
      </x:c>
      <x:c r="AB265" s="2" t="str">
        <x:v>For Nitric acid,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5" s="2" t="str">
        <x:v>Construction and operation use process feedstocks, steel and refractory materials, catalysts, solvents, lubricants, insulation, piping, sensors and technology-specific alloying elements. For Nitric acid, specifications must include durability, compatibility, recycled content and recoverability.</x:v>
      </x:c>
      <x:c r="AD265" s="2" t="str">
        <x:v>Maintenance of Nitric acid depends on refractory linings, bearings, seals, valves, filters, burners, electrodes, sensors, control modules, lubricants and calibrated instruments; critical spares are selected from failure-mode, lead-time and safety analysis for its installed configuration.</x:v>
      </x:c>
      <x:c r="AE265" s="2" t="str">
        <x:v>The software stack for Nitric acid requires databases, secure communications, version-controlled models, computing, backup and interfaces with field or operational systems.</x:v>
      </x:c>
      <x:c r="AF265" s="2" t="str">
        <x:v>For Nitric acid, software-related energy is electricity for sensing, computing, storage, communication and cooling; it is normally secondary but must be included for data-intensive or continuous services.</x:v>
      </x:c>
      <x:c r="AG265" s="2" t="str">
        <x:v>The non-physical inputs are calibrated data, metadata, algorithms, boundary conditions, emission or hazard factors, manuals and validation records specific to Nitric acid.</x:v>
      </x:c>
      <x:c r="AH265" s="2" t="str">
        <x:v>Software continuity for Nitric acid requires licences where applicable, updates, cybersecurity patches, backups, calibration files, model validation and technical support.</x:v>
      </x:c>
      <x:c r="AI265" s="2" t="str">
        <x:v>Orgware depends on the institutions, laboratories, training providers, regulators, operators and community interfaces needed to govern Nitric acid.</x:v>
      </x:c>
      <x:c r="AJ265" s="2" t="str">
        <x:v>The orgware supporting Nitric acid has mainly indirect energy use from offices, meetings, training and information systems; travel and field supervision may be material at dispersed sites.</x:v>
      </x:c>
      <x:c r="AK265" s="2" t="str">
        <x:v>Its organisational inputs are permits, budgets, trained staff, competence records, contracts, procedures, safeguards, monitoring evidence and stakeholder agreements tailored to Nitric acid.</x:v>
      </x:c>
      <x:c r="AL265" s="2" t="str">
        <x:v>Sustained implementation of Nitric acid requires procurement and service contracts, audit protocols, training material, reporting templates, insurance or guarantees and periodic independent review.</x:v>
      </x:c>
      <x:c r="AM265" s="2" t="str">
        <x:v>Iron ore / steel inputs; Platinum-group metals; Nickel; Chromium</x:v>
      </x:c>
      <x:c r="AN265" s="2" t="str">
        <x:v>Australia; Brazil; China; South Africa; Russia; Zimbabwe; Indonesia; Philippines; Kazakhstan; Turkey</x:v>
      </x:c>
      <x:c r="AO265" s="2" t="str">
        <x:v>China; India; Japan; South Africa; Russia; Germany; Indonesia; Kazakhstan</x:v>
      </x:c>
      <x:c r="AP265" s="2" t="str">
        <x:v>Nitric acid: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5" s="2" t="str">
        <x:v>2024–2025</x:v>
      </x:c>
      <x:c r="AR265" s="2" t="str">
        <x:v>https://pubs.usgs.gov/periodicals/mcs2026/mcs2026.pdf; https://www.iea.org/reports/global-critical-minerals-outlook-2025</x:v>
      </x:c>
    </x:row>
    <x:row r="266" ht="240" customHeight="1">
      <x:c r="A266" s="2" t="str">
        <x:v>MIT-0259</x:v>
      </x:c>
      <x:c r="B266" s="2" t="str">
        <x:v>Mitigation</x:v>
      </x:c>
      <x:c r="C266" s="2" t="str">
        <x:v>Industry</x:v>
      </x:c>
      <x:c r="D266" s="2" t="str">
        <x:v>Chemicals management</x:v>
      </x:c>
      <x:c r="E266" s="2" t="str">
        <x:v>NF3 reduction</x:v>
      </x:c>
      <x:c r="F266" s="2" t="str">
        <x:v>NF3 reduction is a mitigation technology in the Industry sector and the Chemicals management technology group. It is defined as a combined hardware–software–orgware system that changes industrial chemistry, heat integration, equipment efficiency, material yield, fuel, process route or product design to reduce direct and energy-related emissions per unit of output. NF3 reduction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6" s="2" t="str">
        <x:v>Flexible</x:v>
      </x:c>
      <x:c r="H266" s="2" t="str">
        <x:v>NF3 reduction is transferable through configurable methods, rules and operating parameters. Its principle remains the same, but resource quality, climate, scale, interfaces and safety constraints must be recalculated for each deployment.</x:v>
      </x:c>
      <x:c r="I266" s="2" t="str">
        <x:v>Primarily soft, with physical support</x:v>
      </x:c>
      <x:c r="J266" s="2" t="str">
        <x:v>NF3 reduction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6" s="2" t="str">
        <x:v>Operation</x:v>
      </x:c>
      <x:c r="L266" s="2" t="str">
        <x:v>NF3 reduction is embodied mainly as an operating practice. The deliverable is accepted only when measurable service, quality, safety and climate-performance criteria are met under real conditions.</x:v>
      </x:c>
      <x:c r="M266" s="2" t="str">
        <x:v>Yes, subject to life-cycle safeguards</x:v>
      </x:c>
      <x:c r="N266" s="2" t="str">
        <x:v>NF3 reduction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6" s="2" t="str">
        <x:v>NF3 reduction: process reactors or furnaces, heat exchangers, motors and drives, compressors, burners, controls, pollution abatement, material handling and measurement equipment.</x:v>
      </x:c>
      <x:c r="P266" s="2" t="str">
        <x:v>NF3 reduction: process simulation, pinch and heat-integration analysis, advanced control, production scheduling, quality control, energy management and life-cycle assessment.</x:v>
      </x:c>
      <x:c r="Q266" s="2" t="str">
        <x:v>NF3 reduction: industrial permits, product standards, operating procedures, maintenance and competence systems, procurement, energy management and industrial-symbiosis agreements.</x:v>
      </x:c>
      <x:c r="R266" s="2" t="str">
        <x:v>NF3 reduction: industrial site, utilities, fuel and electricity supply, material storage, process buildings, laboratories, waste handling and logistics.</x:v>
      </x:c>
      <x:c r="S266" s="2" t="str">
        <x:v>NF3 reduction: electricity, steam, process heat, cooling and fuels; useful-energy efficiency, heat recovery and carbon intensity of supply determine savings.</x:v>
      </x:c>
      <x:c r="T266" s="2" t="str">
        <x:v>NF3 reduction: process feedstocks, steel and refractory materials, catalysts, solvents, lubricants, insulation, piping, sensors and technology-specific alloying elements.</x:v>
      </x:c>
      <x:c r="U266" s="2" t="str">
        <x:v>NF3 reduction: refractory linings, bearings, seals, valves, filters, burners, electrodes, sensors, control modules, lubricants and calibrated instruments.</x:v>
      </x:c>
      <x:c r="V266" s="2" t="str">
        <x:v>https://www.ctc-n.org/sites/default/files/resources/ctcn_taxonomy_0.pdf</x:v>
      </x:c>
      <x:c r="W266" s="2" t="str">
        <x:v>https://institutoagricoladepueblobello.edu.co/colegiapp/archivostemas/GUIA%209.%5B25%5D.pdf</x:v>
      </x:c>
      <x:c r="X266" s="2" t="str">
        <x:v>https://iiasa.ac.at/what-is-technology</x:v>
      </x:c>
      <x:c r="Y266" s="2" t="str">
        <x:v>https://www.ipcc.ch/report/ar6/wg3/chapter/chapter-11/</x:v>
      </x:c>
      <x:c r="Z266" s="2" t="str">
        <x:v>Technology-specific analytical synthesis. The CTCN hierarchy is retained; classifications and component dependencies require validation against the selected design, site and supplier documentation before investment or policy use.</x:v>
      </x:c>
      <x:c r="AA266" s="2" t="str">
        <x:v>Physical deployment of NF3 reduction requires industrial site, utilities, fuel and electricity supply, material storage, process buildings, laboratories, waste handling and logistics; interfaces, foundations, access and environmental protection are sized to the specific resource and design load.</x:v>
      </x:c>
      <x:c r="AB266" s="2" t="str">
        <x:v>For NF3 reduction,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6" s="2" t="str">
        <x:v>Construction and operation use process feedstocks, steel and refractory materials, catalysts, solvents, lubricants, insulation, piping, sensors and technology-specific alloying elements. For NF3 reduction, specifications must include durability, compatibility, recycled content and recoverability.</x:v>
      </x:c>
      <x:c r="AD266" s="2" t="str">
        <x:v>Maintenance of NF3 reduction depends on refractory linings, bearings, seals, valves, filters, burners, electrodes, sensors, control modules, lubricants and calibrated instruments; critical spares are selected from failure-mode, lead-time and safety analysis for its installed configuration.</x:v>
      </x:c>
      <x:c r="AE266" s="2" t="str">
        <x:v>The software stack for NF3 reduction requires databases, secure communications, version-controlled models, computing, backup and interfaces with field or operational systems.</x:v>
      </x:c>
      <x:c r="AF266" s="2" t="str">
        <x:v>For NF3 reduction, software-related energy is electricity for sensing, computing, storage, communication and cooling; it is normally secondary but must be included for data-intensive or continuous services.</x:v>
      </x:c>
      <x:c r="AG266" s="2" t="str">
        <x:v>The non-physical inputs are calibrated data, metadata, algorithms, boundary conditions, emission or hazard factors, manuals and validation records specific to NF3 reduction.</x:v>
      </x:c>
      <x:c r="AH266" s="2" t="str">
        <x:v>Software continuity for NF3 reduction requires licences where applicable, updates, cybersecurity patches, backups, calibration files, model validation and technical support.</x:v>
      </x:c>
      <x:c r="AI266" s="2" t="str">
        <x:v>Orgware depends on the institutions, laboratories, training providers, regulators, operators and community interfaces needed to govern NF3 reduction.</x:v>
      </x:c>
      <x:c r="AJ266" s="2" t="str">
        <x:v>The orgware supporting NF3 reduction has mainly indirect energy use from offices, meetings, training and information systems; travel and field supervision may be material at dispersed sites.</x:v>
      </x:c>
      <x:c r="AK266" s="2" t="str">
        <x:v>Its organisational inputs are permits, budgets, trained staff, competence records, contracts, procedures, safeguards, monitoring evidence and stakeholder agreements tailored to NF3 reduction.</x:v>
      </x:c>
      <x:c r="AL266" s="2" t="str">
        <x:v>Sustained implementation of NF3 reduction requires procurement and service contracts, audit protocols, training material, reporting templates, insurance or guarantees and periodic independent review.</x:v>
      </x:c>
      <x:c r="AM266" s="2" t="str">
        <x:v>Iron ore / steel inputs; Nickel; Chromium</x:v>
      </x:c>
      <x:c r="AN266" s="2" t="str">
        <x:v>Australia; Brazil; China; Indonesia; Philippines; Russia; South Africa; Kazakhstan; Turkey</x:v>
      </x:c>
      <x:c r="AO266" s="2" t="str">
        <x:v>China; India; Japan; Indonesia; South Africa; Kazakhstan</x:v>
      </x:c>
      <x:c r="AP266" s="2" t="str">
        <x:v>NF3 reduction: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6" s="2" t="str">
        <x:v>2024–2025</x:v>
      </x:c>
      <x:c r="AR266" s="2" t="str">
        <x:v>https://pubs.usgs.gov/periodicals/mcs2026/mcs2026.pdf; https://www.iea.org/reports/global-critical-minerals-outlook-2025</x:v>
      </x:c>
    </x:row>
    <x:row r="267" ht="240" customHeight="1">
      <x:c r="A267" s="2" t="str">
        <x:v>MIT-0260</x:v>
      </x:c>
      <x:c r="B267" s="2" t="str">
        <x:v>Mitigation</x:v>
      </x:c>
      <x:c r="C267" s="2" t="str">
        <x:v>Industry</x:v>
      </x:c>
      <x:c r="D267" s="2" t="str">
        <x:v>Transport of raw fuels</x:v>
      </x:c>
      <x:c r="E267" s="2" t="str">
        <x:v>Coal transport</x:v>
      </x:c>
      <x:c r="F267" s="2" t="str">
        <x:v>Coal transport is a mitigation technology in the Industry sector and the Transport of raw fuels technology group. It is defined as a combined hardware–software–orgware system that changes industrial chemistry, heat integration, equipment efficiency, material yield, fuel, process route or product design to reduce direct and energy-related emissions per unit of output. Coal transport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7" s="2" t="str">
        <x:v>Mixed: adaptable design, site-specific implementation</x:v>
      </x:c>
      <x:c r="H267" s="2" t="str">
        <x:v>Coal transport is adaptable in capacity and configuration but site-specific in final engineering. Its principle remains the same, but resource quality, climate, scale, interfaces and safety constraints must be recalculated for each deployment.</x:v>
      </x:c>
      <x:c r="I267" s="2" t="str">
        <x:v>Primarily hard, with a soft component</x:v>
      </x:c>
      <x:c r="J267" s="2" t="str">
        <x:v>Coal transport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7" s="2" t="str">
        <x:v>Equipment and operation</x:v>
      </x:c>
      <x:c r="L267" s="2" t="str">
        <x:v>Coal transport is embodied mainly as an equipment-and-operation system. The deliverable is accepted only when measurable service, quality, safety and climate-performance criteria are met under real conditions.</x:v>
      </x:c>
      <x:c r="M267" s="2" t="str">
        <x:v>Yes, subject to life-cycle safeguards</x:v>
      </x:c>
      <x:c r="N267" s="2" t="str">
        <x:v>Coal transport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7" s="2" t="str">
        <x:v>Coal transport: process reactors or furnaces, heat exchangers, motors and drives, compressors, burners, controls, pollution abatement, material handling and measurement equipment.</x:v>
      </x:c>
      <x:c r="P267" s="2" t="str">
        <x:v>Coal transport: process simulation, pinch and heat-integration analysis, advanced control, production scheduling, quality control, energy management and life-cycle assessment.</x:v>
      </x:c>
      <x:c r="Q267" s="2" t="str">
        <x:v>Coal transport: industrial permits, product standards, operating procedures, maintenance and competence systems, procurement, energy management and industrial-symbiosis agreements.</x:v>
      </x:c>
      <x:c r="R267" s="2" t="str">
        <x:v>Coal transport: industrial site, utilities, fuel and electricity supply, material storage, process buildings, laboratories, waste handling and logistics.</x:v>
      </x:c>
      <x:c r="S267" s="2" t="str">
        <x:v>Coal transport: electricity, steam, process heat, cooling and fuels; useful-energy efficiency, heat recovery and carbon intensity of supply determine savings.</x:v>
      </x:c>
      <x:c r="T267" s="2" t="str">
        <x:v>Coal transport: process feedstocks, steel and refractory materials, catalysts, solvents, lubricants, insulation, piping, sensors and technology-specific alloying elements.</x:v>
      </x:c>
      <x:c r="U267" s="2" t="str">
        <x:v>Coal transport: refractory linings, bearings, seals, valves, filters, burners, electrodes, sensors, control modules, lubricants and calibrated instruments.</x:v>
      </x:c>
      <x:c r="V267" s="2" t="str">
        <x:v>https://www.ctc-n.org/sites/default/files/resources/ctcn_taxonomy_0.pdf</x:v>
      </x:c>
      <x:c r="W267" s="2" t="str">
        <x:v>https://institutoagricoladepueblobello.edu.co/colegiapp/archivostemas/GUIA%209.%5B25%5D.pdf</x:v>
      </x:c>
      <x:c r="X267" s="2" t="str">
        <x:v>https://iiasa.ac.at/what-is-technology</x:v>
      </x:c>
      <x:c r="Y267" s="2" t="str">
        <x:v>https://www.ipcc.ch/report/ar6/wg3/chapter/chapter-11/</x:v>
      </x:c>
      <x:c r="Z267" s="2" t="str">
        <x:v>Technology-specific analytical synthesis. The CTCN hierarchy is retained; classifications and component dependencies require validation against the selected design, site and supplier documentation before investment or policy use.</x:v>
      </x:c>
      <x:c r="AA267" s="2" t="str">
        <x:v>Physical deployment of Coal transport requires industrial site, utilities, fuel and electricity supply, material storage, process buildings, laboratories, waste handling and logistics; interfaces, foundations, access and environmental protection are sized to the specific resource and design load.</x:v>
      </x:c>
      <x:c r="AB267" s="2" t="str">
        <x:v>For Coal transport,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7" s="2" t="str">
        <x:v>Construction and operation use process feedstocks, steel and refractory materials, catalysts, solvents, lubricants, insulation, piping, sensors and technology-specific alloying elements. For Coal transport, specifications must include durability, compatibility, recycled content and recoverability.</x:v>
      </x:c>
      <x:c r="AD267" s="2" t="str">
        <x:v>Maintenance of Coal transport depends on refractory linings, bearings, seals, valves, filters, burners, electrodes, sensors, control modules, lubricants and calibrated instruments; critical spares are selected from failure-mode, lead-time and safety analysis for its installed configuration.</x:v>
      </x:c>
      <x:c r="AE267" s="2" t="str">
        <x:v>The software stack for Coal transport requires databases, secure communications, version-controlled models, computing, backup and interfaces with field or operational systems.</x:v>
      </x:c>
      <x:c r="AF267" s="2" t="str">
        <x:v>For Coal transport, software-related energy is electricity for sensing, computing, storage, communication and cooling; it is normally secondary but must be included for data-intensive or continuous services.</x:v>
      </x:c>
      <x:c r="AG267" s="2" t="str">
        <x:v>The non-physical inputs are calibrated data, metadata, algorithms, boundary conditions, emission or hazard factors, manuals and validation records specific to Coal transport.</x:v>
      </x:c>
      <x:c r="AH267" s="2" t="str">
        <x:v>Software continuity for Coal transport requires licences where applicable, updates, cybersecurity patches, backups, calibration files, model validation and technical support.</x:v>
      </x:c>
      <x:c r="AI267" s="2" t="str">
        <x:v>Orgware depends on the institutions, laboratories, training providers, regulators, operators and community interfaces needed to govern Coal transport.</x:v>
      </x:c>
      <x:c r="AJ267" s="2" t="str">
        <x:v>The orgware supporting Coal transport has mainly indirect energy use from offices, meetings, training and information systems; travel and field supervision may be material at dispersed sites.</x:v>
      </x:c>
      <x:c r="AK267" s="2" t="str">
        <x:v>Its organisational inputs are permits, budgets, trained staff, competence records, contracts, procedures, safeguards, monitoring evidence and stakeholder agreements tailored to Coal transport.</x:v>
      </x:c>
      <x:c r="AL267" s="2" t="str">
        <x:v>Sustained implementation of Coal transport requires procurement and service contracts, audit protocols, training material, reporting templates, insurance or guarantees and periodic independent review.</x:v>
      </x:c>
      <x:c r="AM267" s="2" t="str">
        <x:v>Iron ore / steel inputs</x:v>
      </x:c>
      <x:c r="AN267" s="2" t="str">
        <x:v>Australia; Brazil; China</x:v>
      </x:c>
      <x:c r="AO267" s="2" t="str">
        <x:v>China; India; Japan</x:v>
      </x:c>
      <x:c r="AP267" s="2" t="str">
        <x:v>Coal transport: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7" s="2" t="str">
        <x:v>2024–2025</x:v>
      </x:c>
      <x:c r="AR267" s="2" t="str">
        <x:v>https://pubs.usgs.gov/periodicals/mcs2026/mcs2026.pdf</x:v>
      </x:c>
    </x:row>
    <x:row r="268" ht="240" customHeight="1">
      <x:c r="A268" s="2" t="str">
        <x:v>MIT-0261</x:v>
      </x:c>
      <x:c r="B268" s="2" t="str">
        <x:v>Mitigation</x:v>
      </x:c>
      <x:c r="C268" s="2" t="str">
        <x:v>Industry</x:v>
      </x:c>
      <x:c r="D268" s="2" t="str">
        <x:v>Transport of raw fuels</x:v>
      </x:c>
      <x:c r="E268" s="2" t="str">
        <x:v>Biomass transport</x:v>
      </x:c>
      <x:c r="F268" s="2" t="str">
        <x:v>Biomass transport is a mitigation technology in the Industry sector and the Transport of raw fuels technology group. It is defined as a combined hardware–software–orgware system that controls biological or thermochemical conversion of biomass, residues, solid waste or wastewater to avoid methane, recover materials and energy, or stabilise organic matter. Biomass transport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268" s="2" t="str">
        <x:v>Mixed: adaptable design, site-specific implementation</x:v>
      </x:c>
      <x:c r="H268" s="2" t="str">
        <x:v>Biomass transport is adaptable in capacity and configuration but site-specific in final engineering. Its principle remains the same, but resource quality, climate, scale, interfaces and safety constraints must be recalculated for each deployment.</x:v>
      </x:c>
      <x:c r="I268" s="2" t="str">
        <x:v>Primarily hard, with a soft component</x:v>
      </x:c>
      <x:c r="J268" s="2" t="str">
        <x:v>Biomass transport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268" s="2" t="str">
        <x:v>Equipment and operation</x:v>
      </x:c>
      <x:c r="L268" s="2" t="str">
        <x:v>Biomass transport is embodied mainly as an equipment-and-operation system. The deliverable is accepted only when measurable service, quality, safety and climate-performance criteria are met under real conditions.</x:v>
      </x:c>
      <x:c r="M268" s="2" t="str">
        <x:v>Yes, subject to life-cycle safeguards</x:v>
      </x:c>
      <x:c r="N268" s="2" t="str">
        <x:v>Biomass transport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268" s="2" t="str">
        <x:v>Biomass transport: collection and sorting equipment, reactors or digesters, aeration, gas handling, thermal conversion, pollution control and product conditioning.</x:v>
      </x:c>
      <x:c r="P268" s="2" t="str">
        <x:v>Biomass transport: feedstock characterisation, mass balances, biological or thermal process control, methane accounting, quality assurance and logistics optimisation.</x:v>
      </x:c>
      <x:c r="Q268" s="2" t="str">
        <x:v>Biomass transport: waste hierarchy, source separation, collection contracts, emission permits, digestate or product standards, occupational safety and informal-sector inclusion.</x:v>
      </x:c>
      <x:c r="R268" s="2" t="str">
        <x:v>Biomass transport: collection network, transfer and treatment sites, weighbridge, drainage, electricity or heat connection, gas line and residue disposal.</x:v>
      </x:c>
      <x:c r="S268" s="2" t="str">
        <x:v>Biomass transport: electricity, process heat or auxiliary fuel; recovered biogas, syngas, heat or electricity may offset external energy.</x:v>
      </x:c>
      <x:c r="T268" s="2" t="str">
        <x:v>Biomass transport: steel, concrete, polymers, filters, catalysts or sorbents, biological inoculum and treatment chemicals according to the process.</x:v>
      </x:c>
      <x:c r="U268" s="2" t="str">
        <x:v>Biomass transport: pumps, screens, blowers, mixers, seals, burners, analysers, filter media, reagents and personal protective equipment.</x:v>
      </x:c>
      <x:c r="V268" s="2" t="str">
        <x:v>https://www.ctc-n.org/sites/default/files/resources/ctcn_taxonomy_0.pdf</x:v>
      </x:c>
      <x:c r="W268" s="2" t="str">
        <x:v>https://institutoagricoladepueblobello.edu.co/colegiapp/archivostemas/GUIA%209.%5B25%5D.pdf</x:v>
      </x:c>
      <x:c r="X268" s="2" t="str">
        <x:v>https://iiasa.ac.at/what-is-technology</x:v>
      </x:c>
      <x:c r="Y268" s="2" t="str">
        <x:v>https://www.ipcc.ch/report/ar6/wg3/chapter/chapter-11/; https://www.unep.org/resources/report/global-waste-management-outlook-2024</x:v>
      </x:c>
      <x:c r="Z268" s="2" t="str">
        <x:v>Technology-specific analytical synthesis. The CTCN hierarchy is retained; classifications and component dependencies require validation against the selected design, site and supplier documentation before investment or policy use.</x:v>
      </x:c>
      <x:c r="AA268" s="2" t="str">
        <x:v>Physical deployment of Biomass transport requires collection network, transfer and treatment sites, weighbridge, drainage, electricity or heat connection, gas line and residue disposal; interfaces, foundations, access and environmental protection are sized to the specific resource and design load.</x:v>
      </x:c>
      <x:c r="AB268" s="2" t="str">
        <x:v>For Biomass transport, the hardware energy balance comprises electricity, process heat or auxiliary fuel; recovered biogas, syngas, heat or electricity may offset external energy; metering must separate useful output, conversion losses and auxiliaries for the selected design.</x:v>
      </x:c>
      <x:c r="AC268" s="2" t="str">
        <x:v>Construction and operation use steel, concrete, polymers, filters, catalysts or sorbents, biological inoculum and treatment chemicals according to the process. For Biomass transport, specifications must include durability, compatibility, recycled content and recoverability.</x:v>
      </x:c>
      <x:c r="AD268" s="2" t="str">
        <x:v>Maintenance of Biomass transport depends on pumps, screens, blowers, mixers, seals, burners, analysers, filter media, reagents and personal protective equipment; critical spares are selected from failure-mode, lead-time and safety analysis for its installed configuration.</x:v>
      </x:c>
      <x:c r="AE268" s="2" t="str">
        <x:v>The software stack for Biomass transport requires databases, secure communications, version-controlled models, computing, backup and interfaces with field or operational systems.</x:v>
      </x:c>
      <x:c r="AF268" s="2" t="str">
        <x:v>For Biomass transport, software-related energy is electricity for sensing, computing, storage, communication and cooling; it is normally secondary but must be included for data-intensive or continuous services.</x:v>
      </x:c>
      <x:c r="AG268" s="2" t="str">
        <x:v>The non-physical inputs are calibrated data, metadata, algorithms, boundary conditions, emission or hazard factors, manuals and validation records specific to Biomass transport.</x:v>
      </x:c>
      <x:c r="AH268" s="2" t="str">
        <x:v>Software continuity for Biomass transport requires licences where applicable, updates, cybersecurity patches, backups, calibration files, model validation and technical support.</x:v>
      </x:c>
      <x:c r="AI268" s="2" t="str">
        <x:v>Orgware depends on the institutions, laboratories, training providers, regulators, operators and community interfaces needed to govern Biomass transport.</x:v>
      </x:c>
      <x:c r="AJ268" s="2" t="str">
        <x:v>The orgware supporting Biomass transport has mainly indirect energy use from offices, meetings, training and information systems; travel and field supervision may be material at dispersed sites.</x:v>
      </x:c>
      <x:c r="AK268" s="2" t="str">
        <x:v>Its organisational inputs are permits, budgets, trained staff, competence records, contracts, procedures, safeguards, monitoring evidence and stakeholder agreements tailored to Biomass transport.</x:v>
      </x:c>
      <x:c r="AL268" s="2" t="str">
        <x:v>Sustained implementation of Biomass transport requires procurement and service contracts, audit protocols, training material, reporting templates, insurance or guarantees and periodic independent review.</x:v>
      </x:c>
      <x:c r="AM268" s="2" t="str">
        <x:v>Iron ore / steel inputs</x:v>
      </x:c>
      <x:c r="AN268" s="2" t="str">
        <x:v>Australia; Brazil; China</x:v>
      </x:c>
      <x:c r="AO268" s="2" t="str">
        <x:v>China; India; Japan</x:v>
      </x:c>
      <x:c r="AP268" s="2" t="str">
        <x:v>Biomass transport: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8" s="2" t="str">
        <x:v>2024–2025</x:v>
      </x:c>
      <x:c r="AR268" s="2" t="str">
        <x:v>https://pubs.usgs.gov/periodicals/mcs2026/mcs2026.pdf</x:v>
      </x:c>
    </x:row>
    <x:row r="269" ht="240" customHeight="1">
      <x:c r="A269" s="2" t="str">
        <x:v>MIT-0262</x:v>
      </x:c>
      <x:c r="B269" s="2" t="str">
        <x:v>Mitigation</x:v>
      </x:c>
      <x:c r="C269" s="2" t="str">
        <x:v>Industry</x:v>
      </x:c>
      <x:c r="D269" s="2" t="str">
        <x:v>Transport of raw fuels</x:v>
      </x:c>
      <x:c r="E269" s="2" t="str">
        <x:v>Liquefaction plants</x:v>
      </x:c>
      <x:c r="F269" s="2" t="str">
        <x:v>Liquefaction plants is a mitigation technology in the Industry sector and the Transport of raw fuels technology group. It is defined as a combined hardware–software–orgware system that changes industrial chemistry, heat integration, equipment efficiency, material yield, fuel, process route or product design to reduce direct and energy-related emissions per unit of output. Liquefaction plants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69" s="2" t="str">
        <x:v>Primarily fixed</x:v>
      </x:c>
      <x:c r="H269" s="2" t="str">
        <x:v>Liquefaction plants is tied to long-lived, site-specific assets and design loads. Its principle remains the same, but resource quality, climate, scale, interfaces and safety constraints must be recalculated for each deployment.</x:v>
      </x:c>
      <x:c r="I269" s="2" t="str">
        <x:v>Primarily hard, with a soft component</x:v>
      </x:c>
      <x:c r="J269" s="2" t="str">
        <x:v>Liquefaction plants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69" s="2" t="str">
        <x:v>Equipment and operation</x:v>
      </x:c>
      <x:c r="L269" s="2" t="str">
        <x:v>Liquefaction plants is embodied mainly as an equipment-and-operation system. The deliverable is accepted only when measurable service, quality, safety and climate-performance criteria are met under real conditions.</x:v>
      </x:c>
      <x:c r="M269" s="2" t="str">
        <x:v>Yes, subject to life-cycle safeguards</x:v>
      </x:c>
      <x:c r="N269" s="2" t="str">
        <x:v>Liquefaction plants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69" s="2" t="str">
        <x:v>Liquefaction plants: process reactors or furnaces, heat exchangers, motors and drives, compressors, burners, controls, pollution abatement, material handling and measurement equipment.</x:v>
      </x:c>
      <x:c r="P269" s="2" t="str">
        <x:v>Liquefaction plants: process simulation, pinch and heat-integration analysis, advanced control, production scheduling, quality control, energy management and life-cycle assessment.</x:v>
      </x:c>
      <x:c r="Q269" s="2" t="str">
        <x:v>Liquefaction plants: industrial permits, product standards, operating procedures, maintenance and competence systems, procurement, energy management and industrial-symbiosis agreements.</x:v>
      </x:c>
      <x:c r="R269" s="2" t="str">
        <x:v>Liquefaction plants: industrial site, utilities, fuel and electricity supply, material storage, process buildings, laboratories, waste handling and logistics.</x:v>
      </x:c>
      <x:c r="S269" s="2" t="str">
        <x:v>Liquefaction plants: electricity, steam, process heat, cooling and fuels; useful-energy efficiency, heat recovery and carbon intensity of supply determine savings.</x:v>
      </x:c>
      <x:c r="T269" s="2" t="str">
        <x:v>Liquefaction plants: process feedstocks, steel and refractory materials, catalysts, solvents, lubricants, insulation, piping, sensors and technology-specific alloying elements.</x:v>
      </x:c>
      <x:c r="U269" s="2" t="str">
        <x:v>Liquefaction plants: refractory linings, bearings, seals, valves, filters, burners, electrodes, sensors, control modules, lubricants and calibrated instruments.</x:v>
      </x:c>
      <x:c r="V269" s="2" t="str">
        <x:v>https://www.ctc-n.org/sites/default/files/resources/ctcn_taxonomy_0.pdf</x:v>
      </x:c>
      <x:c r="W269" s="2" t="str">
        <x:v>https://institutoagricoladepueblobello.edu.co/colegiapp/archivostemas/GUIA%209.%5B25%5D.pdf</x:v>
      </x:c>
      <x:c r="X269" s="2" t="str">
        <x:v>https://iiasa.ac.at/what-is-technology</x:v>
      </x:c>
      <x:c r="Y269" s="2" t="str">
        <x:v>https://www.ipcc.ch/report/ar6/wg3/chapter/chapter-11/</x:v>
      </x:c>
      <x:c r="Z269" s="2" t="str">
        <x:v>Technology-specific analytical synthesis. The CTCN hierarchy is retained; classifications and component dependencies require validation against the selected design, site and supplier documentation before investment or policy use.</x:v>
      </x:c>
      <x:c r="AA269" s="2" t="str">
        <x:v>Physical deployment of Liquefaction plants requires industrial site, utilities, fuel and electricity supply, material storage, process buildings, laboratories, waste handling and logistics; interfaces, foundations, access and environmental protection are sized to the specific resource and design load.</x:v>
      </x:c>
      <x:c r="AB269" s="2" t="str">
        <x:v>For Liquefaction plants,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69" s="2" t="str">
        <x:v>Construction and operation use process feedstocks, steel and refractory materials, catalysts, solvents, lubricants, insulation, piping, sensors and technology-specific alloying elements. For Liquefaction plants, specifications must include durability, compatibility, recycled content and recoverability.</x:v>
      </x:c>
      <x:c r="AD269" s="2" t="str">
        <x:v>Maintenance of Liquefaction plants depends on refractory linings, bearings, seals, valves, filters, burners, electrodes, sensors, control modules, lubricants and calibrated instruments; critical spares are selected from failure-mode, lead-time and safety analysis for its installed configuration.</x:v>
      </x:c>
      <x:c r="AE269" s="2" t="str">
        <x:v>The software stack for Liquefaction plants requires databases, secure communications, version-controlled models, computing, backup and interfaces with field or operational systems.</x:v>
      </x:c>
      <x:c r="AF269" s="2" t="str">
        <x:v>For Liquefaction plants, software-related energy is electricity for sensing, computing, storage, communication and cooling; it is normally secondary but must be included for data-intensive or continuous services.</x:v>
      </x:c>
      <x:c r="AG269" s="2" t="str">
        <x:v>The non-physical inputs are calibrated data, metadata, algorithms, boundary conditions, emission or hazard factors, manuals and validation records specific to Liquefaction plants.</x:v>
      </x:c>
      <x:c r="AH269" s="2" t="str">
        <x:v>Software continuity for Liquefaction plants requires licences where applicable, updates, cybersecurity patches, backups, calibration files, model validation and technical support.</x:v>
      </x:c>
      <x:c r="AI269" s="2" t="str">
        <x:v>Orgware depends on the institutions, laboratories, training providers, regulators, operators and community interfaces needed to govern Liquefaction plants.</x:v>
      </x:c>
      <x:c r="AJ269" s="2" t="str">
        <x:v>The orgware supporting Liquefaction plants has mainly indirect energy use from offices, meetings, training and information systems; travel and field supervision may be material at dispersed sites.</x:v>
      </x:c>
      <x:c r="AK269" s="2" t="str">
        <x:v>Its organisational inputs are permits, budgets, trained staff, competence records, contracts, procedures, safeguards, monitoring evidence and stakeholder agreements tailored to Liquefaction plants.</x:v>
      </x:c>
      <x:c r="AL269" s="2" t="str">
        <x:v>Sustained implementation of Liquefaction plants requires procurement and service contracts, audit protocols, training material, reporting templates, insurance or guarantees and periodic independent review.</x:v>
      </x:c>
      <x:c r="AM269" s="2" t="str">
        <x:v>Iron ore / steel inputs</x:v>
      </x:c>
      <x:c r="AN269" s="2" t="str">
        <x:v>Australia; Brazil; China</x:v>
      </x:c>
      <x:c r="AO269" s="2" t="str">
        <x:v>China; India; Japan</x:v>
      </x:c>
      <x:c r="AP269" s="2" t="str">
        <x:v>Liquefaction plants: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9" s="2" t="str">
        <x:v>2024–2025</x:v>
      </x:c>
      <x:c r="AR269" s="2" t="str">
        <x:v>https://pubs.usgs.gov/periodicals/mcs2026/mcs2026.pdf</x:v>
      </x:c>
    </x:row>
    <x:row r="270" ht="240" customHeight="1">
      <x:c r="A270" s="2" t="str">
        <x:v>MIT-0263</x:v>
      </x:c>
      <x:c r="B270" s="2" t="str">
        <x:v>Mitigation</x:v>
      </x:c>
      <x:c r="C270" s="2" t="str">
        <x:v>Industry</x:v>
      </x:c>
      <x:c r="D270" s="2" t="str">
        <x:v>Transport of raw fuels</x:v>
      </x:c>
      <x:c r="E270" s="2" t="str">
        <x:v>LNG and LPG carrier</x:v>
      </x:c>
      <x:c r="F270" s="2" t="str">
        <x:v>LNG and LPG carrier is a mitigation technology in the Industry sector and the Transport of raw fuels technology group. It is defined as a combined hardware–software–orgware system that changes industrial chemistry, heat integration, equipment efficiency, material yield, fuel, process route or product design to reduce direct and energy-related emissions per unit of output. LNG and LPG carrier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270" s="2" t="str">
        <x:v>Mixed: adaptable design, site-specific implementation</x:v>
      </x:c>
      <x:c r="H270" s="2" t="str">
        <x:v>LNG and LPG carrier is adaptable in capacity and configuration but site-specific in final engineering. Its principle remains the same, but resource quality, climate, scale, interfaces and safety constraints must be recalculated for each deployment.</x:v>
      </x:c>
      <x:c r="I270" s="2" t="str">
        <x:v>Primarily hard, with a soft component</x:v>
      </x:c>
      <x:c r="J270" s="2" t="str">
        <x:v>LNG and LPG carrier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270" s="2" t="str">
        <x:v>Equipment and operation</x:v>
      </x:c>
      <x:c r="L270" s="2" t="str">
        <x:v>LNG and LPG carrier is embodied mainly as an equipment-and-operation system. The deliverable is accepted only when measurable service, quality, safety and climate-performance criteria are met under real conditions.</x:v>
      </x:c>
      <x:c r="M270" s="2" t="str">
        <x:v>Conditional on performance and life cycle</x:v>
      </x:c>
      <x:c r="N270" s="2" t="str">
        <x:v>LNG and LPG carrier is classified as conditional.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270" s="2" t="str">
        <x:v>LNG and LPG carrier: process reactors or furnaces, heat exchangers, motors and drives, compressors, burners, controls, pollution abatement, material handling and measurement equipment.</x:v>
      </x:c>
      <x:c r="P270" s="2" t="str">
        <x:v>LNG and LPG carrier: process simulation, pinch and heat-integration analysis, advanced control, production scheduling, quality control, energy management and life-cycle assessment.</x:v>
      </x:c>
      <x:c r="Q270" s="2" t="str">
        <x:v>LNG and LPG carrier: industrial permits, product standards, operating procedures, maintenance and competence systems, procurement, energy management and industrial-symbiosis agreements.</x:v>
      </x:c>
      <x:c r="R270" s="2" t="str">
        <x:v>LNG and LPG carrier: industrial site, utilities, fuel and electricity supply, material storage, process buildings, laboratories, waste handling and logistics.</x:v>
      </x:c>
      <x:c r="S270" s="2" t="str">
        <x:v>LNG and LPG carrier: electricity, steam, process heat, cooling and fuels; useful-energy efficiency, heat recovery and carbon intensity of supply determine savings.</x:v>
      </x:c>
      <x:c r="T270" s="2" t="str">
        <x:v>LNG and LPG carrier: process feedstocks, steel and refractory materials, catalysts, solvents, lubricants, insulation, piping, sensors and technology-specific alloying elements.</x:v>
      </x:c>
      <x:c r="U270" s="2" t="str">
        <x:v>LNG and LPG carrier: refractory linings, bearings, seals, valves, filters, burners, electrodes, sensors, control modules, lubricants and calibrated instruments.</x:v>
      </x:c>
      <x:c r="V270" s="2" t="str">
        <x:v>https://www.ctc-n.org/sites/default/files/resources/ctcn_taxonomy_0.pdf</x:v>
      </x:c>
      <x:c r="W270" s="2" t="str">
        <x:v>https://institutoagricoladepueblobello.edu.co/colegiapp/archivostemas/GUIA%209.%5B25%5D.pdf</x:v>
      </x:c>
      <x:c r="X270" s="2" t="str">
        <x:v>https://iiasa.ac.at/what-is-technology</x:v>
      </x:c>
      <x:c r="Y270" s="2" t="str">
        <x:v>https://www.ipcc.ch/report/ar6/wg3/chapter/chapter-11/</x:v>
      </x:c>
      <x:c r="Z270" s="2" t="str">
        <x:v>Technology-specific analytical synthesis. The CTCN hierarchy is retained; classifications and component dependencies require validation against the selected design, site and supplier documentation before investment or policy use.</x:v>
      </x:c>
      <x:c r="AA270" s="2" t="str">
        <x:v>Physical deployment of LNG and LPG carrier requires industrial site, utilities, fuel and electricity supply, material storage, process buildings, laboratories, waste handling and logistics; interfaces, foundations, access and environmental protection are sized to the specific resource and design load.</x:v>
      </x:c>
      <x:c r="AB270" s="2" t="str">
        <x:v>For LNG and LPG carrier,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270" s="2" t="str">
        <x:v>Construction and operation use process feedstocks, steel and refractory materials, catalysts, solvents, lubricants, insulation, piping, sensors and technology-specific alloying elements. For LNG and LPG carrier, specifications must include durability, compatibility, recycled content and recoverability.</x:v>
      </x:c>
      <x:c r="AD270" s="2" t="str">
        <x:v>Maintenance of LNG and LPG carrier depends on refractory linings, bearings, seals, valves, filters, burners, electrodes, sensors, control modules, lubricants and calibrated instruments; critical spares are selected from failure-mode, lead-time and safety analysis for its installed configuration.</x:v>
      </x:c>
      <x:c r="AE270" s="2" t="str">
        <x:v>The software stack for LNG and LPG carrier requires databases, secure communications, version-controlled models, computing, backup and interfaces with field or operational systems.</x:v>
      </x:c>
      <x:c r="AF270" s="2" t="str">
        <x:v>For LNG and LPG carrier, software-related energy is electricity for sensing, computing, storage, communication and cooling; it is normally secondary but must be included for data-intensive or continuous services.</x:v>
      </x:c>
      <x:c r="AG270" s="2" t="str">
        <x:v>The non-physical inputs are calibrated data, metadata, algorithms, boundary conditions, emission or hazard factors, manuals and validation records specific to LNG and LPG carrier.</x:v>
      </x:c>
      <x:c r="AH270" s="2" t="str">
        <x:v>Software continuity for LNG and LPG carrier requires licences where applicable, updates, cybersecurity patches, backups, calibration files, model validation and technical support.</x:v>
      </x:c>
      <x:c r="AI270" s="2" t="str">
        <x:v>Orgware depends on the institutions, laboratories, training providers, regulators, operators and community interfaces needed to govern LNG and LPG carrier.</x:v>
      </x:c>
      <x:c r="AJ270" s="2" t="str">
        <x:v>The orgware supporting LNG and LPG carrier has mainly indirect energy use from offices, meetings, training and information systems; travel and field supervision may be material at dispersed sites.</x:v>
      </x:c>
      <x:c r="AK270" s="2" t="str">
        <x:v>Its organisational inputs are permits, budgets, trained staff, competence records, contracts, procedures, safeguards, monitoring evidence and stakeholder agreements tailored to LNG and LPG carrier.</x:v>
      </x:c>
      <x:c r="AL270" s="2" t="str">
        <x:v>Sustained implementation of LNG and LPG carrier requires procurement and service contracts, audit protocols, training material, reporting templates, insurance or guarantees and periodic independent review.</x:v>
      </x:c>
      <x:c r="AM270" s="2" t="str">
        <x:v>Iron ore / steel inputs</x:v>
      </x:c>
      <x:c r="AN270" s="2" t="str">
        <x:v>Australia; Brazil; China</x:v>
      </x:c>
      <x:c r="AO270" s="2" t="str">
        <x:v>China; India; Japan</x:v>
      </x:c>
      <x:c r="AP270" s="2" t="str">
        <x:v>LNG and LPG carrier: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0" s="2" t="str">
        <x:v>2024–2025</x:v>
      </x:c>
      <x:c r="AR270" s="2" t="str">
        <x:v>https://pubs.usgs.gov/periodicals/mcs2026/mcs2026.pdf</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d52ebf4f97c94222"/>
  </x:tableParts>
</x:worksheet>
</file>

<file path=xl/worksheets/sheet3.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COMPLETE ADAPTATION PACKAGE</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Technology-by-technology analytical expansion of the CTCN hierarchy. Each record explains the climate function, operating mechanism, life cycle, typology, hardware, software, orgware, implementation requirements, supply dependencies and traceability limits. Examples are representative real applications and do not imply endorsement. Validate every investment decision against site and supplier data.</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REQUIREMENTS AND DEPENDENCIES</x:v>
      </x:c>
      <x:c r="AB6" s="14"/>
      <x:c r="AC6" s="14"/>
      <x:c r="AD6" s="14"/>
      <x:c r="AE6" s="18" t="str">
        <x:v>SOFTWARE — REQUIREMENTS AND DEPENDENCIES</x:v>
      </x:c>
      <x:c r="AF6" s="18"/>
      <x:c r="AG6" s="18"/>
      <x:c r="AH6" s="18"/>
      <x:c r="AI6" s="22" t="str">
        <x:v>ORGWARE — REQUIREMENTS AND DEPENDENCIES</x:v>
      </x:c>
      <x:c r="AJ6" s="22"/>
      <x:c r="AK6" s="22"/>
      <x:c r="AL6" s="22"/>
      <x:c r="AM6" s="24" t="str">
        <x:v>RAW MATERIALS AND SUPPLY GEOGRAPHY</x:v>
      </x:c>
      <x:c r="AN6" s="24"/>
      <x:c r="AO6" s="24"/>
      <x:c r="AP6" s="24"/>
      <x:c r="AQ6" s="24"/>
      <x:c r="AR6" s="24"/>
    </x:row>
    <x:row r="7" ht="40.5" customHeight="1">
      <x:c r="A7" s="29" t="str">
        <x:v>technology_id</x:v>
      </x:c>
      <x:c r="B7" s="34" t="str">
        <x:v>CTCN branch</x:v>
      </x:c>
      <x:c r="C7" s="34" t="str">
        <x:v>A. Sector (CTCN)</x:v>
      </x:c>
      <x:c r="D7" s="34" t="str">
        <x:v>B. Technology group (CTCN)</x:v>
      </x:c>
      <x:c r="E7" s="34" t="str">
        <x:v>C. Technology (CTCN)</x:v>
      </x:c>
      <x:c r="F7" s="29" t="str">
        <x:v>Technology description / function</x:v>
      </x:c>
      <x:c r="G7" s="39" t="str">
        <x:v>Flexible / fixed</x:v>
      </x:c>
      <x:c r="H7" s="39" t="str">
        <x:v>Technical justification — flexible / fixed</x:v>
      </x:c>
      <x:c r="I7" s="39" t="str">
        <x:v>Hard / soft</x:v>
      </x:c>
      <x:c r="J7" s="39" t="str">
        <x:v>Technical justification — hard / soft</x:v>
      </x:c>
      <x:c r="K7" s="39" t="str">
        <x:v>Equipment / operation / product</x:v>
      </x:c>
      <x:c r="L7" s="39" t="str">
        <x:v>Technical justification — equipment / operation / product</x:v>
      </x:c>
      <x:c r="M7" s="39" t="str">
        <x:v>Clean technology</x:v>
      </x:c>
      <x:c r="N7" s="39" t="str">
        <x:v>Technical justification — clean technology</x:v>
      </x:c>
      <x:c r="O7" s="44" t="str">
        <x:v>Hardware</x:v>
      </x:c>
      <x:c r="P7" s="47" t="str">
        <x:v>Software</x:v>
      </x:c>
      <x:c r="Q7" s="50" t="str">
        <x:v>Orgware</x:v>
      </x:c>
      <x:c r="R7" s="55" t="str">
        <x:v>Associated infrastructure</x:v>
      </x:c>
      <x:c r="S7" s="55" t="str">
        <x:v>Energy carriers</x:v>
      </x:c>
      <x:c r="T7" s="55" t="str">
        <x:v>Raw materials and inputs</x:v>
      </x:c>
      <x:c r="U7" s="55" t="str">
        <x:v>Supplies and spare parts</x:v>
      </x:c>
      <x:c r="V7" s="29" t="str">
        <x:v>CTCN source</x:v>
      </x:c>
      <x:c r="W7" s="29" t="str">
        <x:v>Typology source</x:v>
      </x:c>
      <x:c r="X7" s="29" t="str">
        <x:v>IIASA source</x:v>
      </x:c>
      <x:c r="Y7" s="29" t="str">
        <x:v>Additional technical sources</x:v>
      </x:c>
      <x:c r="Z7" s="29" t="str">
        <x:v>Observations</x:v>
      </x:c>
      <x:c r="AA7" s="60" t="str">
        <x:v>Hardware — infrastructure</x:v>
      </x:c>
      <x:c r="AB7" s="60" t="str">
        <x:v>Hardware — energy</x:v>
      </x:c>
      <x:c r="AC7" s="60" t="str">
        <x:v>Hardware — materials and inputs</x:v>
      </x:c>
      <x:c r="AD7" s="60" t="str">
        <x:v>Hardware — supplies and spare parts</x:v>
      </x:c>
      <x:c r="AE7" s="65" t="str">
        <x:v>Software — infrastructure</x:v>
      </x:c>
      <x:c r="AF7" s="65" t="str">
        <x:v>Software — energy</x:v>
      </x:c>
      <x:c r="AG7" s="65" t="str">
        <x:v>Software — materials and inputs</x:v>
      </x:c>
      <x:c r="AH7" s="65" t="str">
        <x:v>Software — supplies and spare parts</x:v>
      </x:c>
      <x:c r="AI7" s="70" t="str">
        <x:v>Orgware — infrastructure</x:v>
      </x:c>
      <x:c r="AJ7" s="70" t="str">
        <x:v>Orgware — energy</x:v>
      </x:c>
      <x:c r="AK7" s="70" t="str">
        <x:v>Orgware — materials and inputs</x:v>
      </x:c>
      <x:c r="AL7" s="70" t="str">
        <x:v>Orgware — supplies and spare parts</x:v>
      </x:c>
      <x:c r="AM7" s="75" t="str">
        <x:v>Identified critical / strategic raw materials</x:v>
      </x:c>
      <x:c r="AN7" s="75" t="str">
        <x:v>Main extraction / production countries</x:v>
      </x:c>
      <x:c r="AO7" s="75" t="str">
        <x:v>Main refining / processing countries</x:v>
      </x:c>
      <x:c r="AP7" s="75" t="str">
        <x:v>Geographic and traceability note</x:v>
      </x:c>
      <x:c r="AQ7" s="75" t="str">
        <x:v>Geographic reference year</x:v>
      </x:c>
      <x:c r="AR7" s="75" t="str">
        <x:v>Raw-material and country source</x:v>
      </x:c>
    </x:row>
    <x:row r="8" ht="240" customHeight="1">
      <x:c r="A8" s="2" t="str">
        <x:v>ADP-0001</x:v>
      </x:c>
      <x:c r="B8" s="2" t="str">
        <x:v>Adaptation</x:v>
      </x:c>
      <x:c r="C8" s="2" t="str">
        <x:v>Early Warning and Environmental Assesment</x:v>
      </x:c>
      <x:c r="D8" s="2" t="str">
        <x:v>Remote sensing &amp; GIS</x:v>
      </x:c>
      <x:c r="E8" s="2" t="str">
        <x:v>Remote sensing &amp; GIS</x:v>
      </x:c>
      <x:c r="F8" s="2" t="str">
        <x:v>Remote sensing &amp; GIS is a adaptation technology in the Early Warning and Environmental Assesment sector and the Remote sensing &amp; GIS technology group. It is defined as a combined hardware–software–orgware system that observes hazards and exposure, assimilates data, models possible evolution, converts forecasts into impact-based warnings and disseminates actionable information before thresholds are exceeded. It measures reflected or emitted electromagnetic energy—or laser travel time—to derive georeferenced surface, vegetation, moisture or elevation variables over areas that cannot be sampled continuously on the ground.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8" s="2" t="str">
        <x:v>Mixed: adaptable design, site-specific implementation</x:v>
      </x:c>
      <x:c r="H8" s="2" t="str">
        <x:v>Remote sensing &amp; GIS is adaptable in capacity and configuration but site-specific in final engineering. Its principle remains the same, but resource quality, climate, scale, interfaces and safety constraints must be recalculated for each deployment.</x:v>
      </x:c>
      <x:c r="I8" s="2" t="str">
        <x:v>Primarily hard, with a soft component</x:v>
      </x:c>
      <x:c r="J8" s="2" t="str">
        <x:v>Remote sensing &amp; GIS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8" s="2" t="str">
        <x:v>Operation</x:v>
      </x:c>
      <x:c r="L8" s="2" t="str">
        <x:v>Remote sensing &amp; GIS is embodied mainly as an operating practice. The deliverable is accepted only when measurable service, quality, safety and climate-performance criteria are met under real conditions.</x:v>
      </x:c>
      <x:c r="M8" s="2" t="str">
        <x:v>Yes, subject to life-cycle safeguards</x:v>
      </x:c>
      <x:c r="N8" s="2" t="str">
        <x:v>Remote sensing &amp; GIS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8" s="2" t="str">
        <x:v>Remote sensing &amp; GIS: in-situ stations, remote sensors, radar or lidar, satellites or receivers, telemetry, servers, backup power, sirens and communication terminals.</x:v>
      </x:c>
      <x:c r="P8" s="2" t="str">
        <x:v>Remote sensing &amp; GIS: quality control, geospatial processing, data assimilation, forecasting, downscaling, hazard and impact models, uncertainty treatment, alert logic and visualisation.</x:v>
      </x:c>
      <x:c r="Q8" s="2" t="str">
        <x:v>Remote sensing &amp; GIS: institutional mandates, data-sharing agreements, warning authority, standard operating procedures, last-mile communication, accessibility, drills and feedback.</x:v>
      </x:c>
      <x:c r="R8" s="2" t="str">
        <x:v>Remote sensing &amp; GIS: observation network, telecommunications, data centre or cloud, operations room, redundant power and multiple dissemination channels.</x:v>
      </x:c>
      <x:c r="S8" s="2" t="str">
        <x:v>Remote sensing &amp; GIS: electricity for sensing, communications, computing, cooling and warning devices, with batteries or generators for continuity during emergencies.</x:v>
      </x:c>
      <x:c r="T8" s="2" t="str">
        <x:v>Remote sensing &amp; GIS: electronics, semiconductors, copper cabling, batteries, antenna and mast materials, optical components, enclosures and calibration standards.</x:v>
      </x:c>
      <x:c r="U8" s="2" t="str">
        <x:v>Remote sensing &amp; GIS: sensor heads, batteries, solar modules, data loggers, modems, cables, connectors, storage media, calibration equipment and siren parts.</x:v>
      </x:c>
      <x:c r="V8" s="2" t="str">
        <x:v>https://www.ctc-n.org/sites/default/files/resources/ctcn_taxonomy_0.pdf</x:v>
      </x:c>
      <x:c r="W8" s="2" t="str">
        <x:v>https://institutoagricoladepueblobello.edu.co/colegiapp/archivostemas/GUIA%209.%5B25%5D.pdf</x:v>
      </x:c>
      <x:c r="X8" s="2" t="str">
        <x:v>https://iiasa.ac.at/what-is-technology</x:v>
      </x:c>
      <x:c r="Y8" s="2" t="str">
        <x:v>https://wmo.int/topics/early-warning-system; https://wmo.int/resources/publication-series/global-status-of-multi-hazard-early-warning-systems/global-status-of-multi-hazard-early-warning-systems-2025</x:v>
      </x:c>
      <x:c r="Z8" s="2" t="str">
        <x:v>Technology-specific analytical synthesis. The CTCN hierarchy is retained; classifications and component dependencies require validation against the selected design, site and supplier documentation before investment or policy use.</x:v>
      </x:c>
      <x:c r="AA8" s="2" t="str">
        <x:v>Physical deployment of Remote sensing &amp; GIS requires observation network, telecommunications, data centre or cloud, operations room, redundant power and multiple dissemination channels; interfaces, foundations, access and environmental protection are sized to the specific resource and design load.</x:v>
      </x:c>
      <x:c r="AB8" s="2" t="str">
        <x:v>For Remote sensing &amp; GIS,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8" s="2" t="str">
        <x:v>Construction and operation use electronics, semiconductors, copper cabling, batteries, antenna and mast materials, optical components, enclosures and calibration standards. For Remote sensing &amp; GIS, specifications must include durability, compatibility, recycled content and recoverability.</x:v>
      </x:c>
      <x:c r="AD8" s="2" t="str">
        <x:v>Maintenance of Remote sensing &amp; GIS depends on sensor heads, batteries, solar modules, data loggers, modems, cables, connectors, storage media, calibration equipment and siren parts; critical spares are selected from failure-mode, lead-time and safety analysis for its installed configuration.</x:v>
      </x:c>
      <x:c r="AE8" s="2" t="str">
        <x:v>The software stack for Remote sensing &amp; GIS requires databases, secure communications, version-controlled models, computing, backup and interfaces with field or operational systems.</x:v>
      </x:c>
      <x:c r="AF8" s="2" t="str">
        <x:v>For Remote sensing &amp; GIS, software-related energy is electricity for sensing, computing, storage, communication and cooling; it is normally secondary but must be included for data-intensive or continuous services.</x:v>
      </x:c>
      <x:c r="AG8" s="2" t="str">
        <x:v>The non-physical inputs are calibrated data, metadata, algorithms, boundary conditions, emission or hazard factors, manuals and validation records specific to Remote sensing &amp; GIS.</x:v>
      </x:c>
      <x:c r="AH8" s="2" t="str">
        <x:v>Software continuity for Remote sensing &amp; GIS requires licences where applicable, updates, cybersecurity patches, backups, calibration files, model validation and technical support.</x:v>
      </x:c>
      <x:c r="AI8" s="2" t="str">
        <x:v>Orgware depends on the institutions, laboratories, training providers, regulators, operators and community interfaces needed to govern Remote sensing &amp; GIS.</x:v>
      </x:c>
      <x:c r="AJ8" s="2" t="str">
        <x:v>The orgware supporting Remote sensing &amp; GIS has mainly indirect energy use from offices, meetings, training and information systems; travel and field supervision may be material at dispersed sites.</x:v>
      </x:c>
      <x:c r="AK8" s="2" t="str">
        <x:v>Its organisational inputs are permits, budgets, trained staff, competence records, contracts, procedures, safeguards, monitoring evidence and stakeholder agreements tailored to Remote sensing &amp; GIS.</x:v>
      </x:c>
      <x:c r="AL8" s="2" t="str">
        <x:v>Sustained implementation of Remote sensing &amp; GIS requires procurement and service contracts, audit protocols, training material, reporting templates, insurance or guarantees and periodic independent review.</x:v>
      </x:c>
      <x:c r="AM8" s="2" t="str">
        <x:v>Iron ore / steel inputs</x:v>
      </x:c>
      <x:c r="AN8" s="2" t="str">
        <x:v>Australia; Brazil; China</x:v>
      </x:c>
      <x:c r="AO8" s="2" t="str">
        <x:v>China; India; Japan</x:v>
      </x:c>
      <x:c r="AP8" s="2" t="str">
        <x:v>Remote sensing &amp; GIS: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 s="2" t="str">
        <x:v>2024–2025</x:v>
      </x:c>
      <x:c r="AR8" s="2" t="str">
        <x:v>https://pubs.usgs.gov/periodicals/mcs2026/mcs2026.pdf</x:v>
      </x:c>
    </x:row>
    <x:row r="9" ht="240" customHeight="1">
      <x:c r="A9" s="2" t="str">
        <x:v>ADP-0002</x:v>
      </x:c>
      <x:c r="B9" s="2" t="str">
        <x:v>Adaptation</x:v>
      </x:c>
      <x:c r="C9" s="2" t="str">
        <x:v>Early Warning and Environmental Assesment</x:v>
      </x:c>
      <x:c r="D9" s="2" t="str">
        <x:v>Hazard mapping</x:v>
      </x:c>
      <x:c r="E9" s="2" t="str">
        <x:v>seasonal to interannual weather forecast</x:v>
      </x:c>
      <x:c r="F9" s="2" t="str">
        <x:v>seasonal to interannual weather forecast is a adaptation technology in the Early Warning and Environmental Assesment sector and the Hazard mapping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9" s="2" t="str">
        <x:v>Mixed: adaptable design, site-specific implementation</x:v>
      </x:c>
      <x:c r="H9" s="2" t="str">
        <x:v>seasonal to interannual weather forecast is adaptable in capacity and configuration but site-specific in final engineering. Its principle remains the same, but resource quality, climate, scale, interfaces and safety constraints must be recalculated for each deployment.</x:v>
      </x:c>
      <x:c r="I9" s="2" t="str">
        <x:v>Hard and soft</x:v>
      </x:c>
      <x:c r="J9" s="2" t="str">
        <x:v>seasonal to interannual weather forecast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9" s="2" t="str">
        <x:v>Operation and information service</x:v>
      </x:c>
      <x:c r="L9" s="2" t="str">
        <x:v>seasonal to interannual weather forecast is embodied mainly as an information and decision service. The deliverable is accepted only when measurable service, quality, safety and climate-performance criteria are met under real conditions.</x:v>
      </x:c>
      <x:c r="M9" s="2" t="str">
        <x:v>Yes, subject to life-cycle safeguards</x:v>
      </x:c>
      <x:c r="N9" s="2" t="str">
        <x:v>seasonal to interannual weather forecast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9" s="2" t="str">
        <x:v>seasonal to interannual weather forecast: in-situ stations, remote sensors, radar or lidar, satellites or receivers, telemetry, servers, backup power, sirens and communication terminals.</x:v>
      </x:c>
      <x:c r="P9" s="2" t="str">
        <x:v>seasonal to interannual weather forecast: quality control, geospatial processing, data assimilation, forecasting, downscaling, hazard and impact models, uncertainty treatment, alert logic and visualisation.</x:v>
      </x:c>
      <x:c r="Q9" s="2" t="str">
        <x:v>seasonal to interannual weather forecast: institutional mandates, data-sharing agreements, warning authority, standard operating procedures, last-mile communication, accessibility, drills and feedback.</x:v>
      </x:c>
      <x:c r="R9" s="2" t="str">
        <x:v>seasonal to interannual weather forecast: observation network, telecommunications, data centre or cloud, operations room, redundant power and multiple dissemination channels.</x:v>
      </x:c>
      <x:c r="S9" s="2" t="str">
        <x:v>seasonal to interannual weather forecast: electricity for sensing, communications, computing, cooling and warning devices, with batteries or generators for continuity during emergencies.</x:v>
      </x:c>
      <x:c r="T9" s="2" t="str">
        <x:v>seasonal to interannual weather forecast: electronics, semiconductors, copper cabling, batteries, antenna and mast materials, optical components, enclosures and calibration standards.</x:v>
      </x:c>
      <x:c r="U9" s="2" t="str">
        <x:v>seasonal to interannual weather forecast: sensor heads, batteries, solar modules, data loggers, modems, cables, connectors, storage media, calibration equipment and siren parts.</x:v>
      </x:c>
      <x:c r="V9" s="2" t="str">
        <x:v>https://www.ctc-n.org/sites/default/files/resources/ctcn_taxonomy_0.pdf</x:v>
      </x:c>
      <x:c r="W9" s="2" t="str">
        <x:v>https://institutoagricoladepueblobello.edu.co/colegiapp/archivostemas/GUIA%209.%5B25%5D.pdf</x:v>
      </x:c>
      <x:c r="X9" s="2" t="str">
        <x:v>https://iiasa.ac.at/what-is-technology</x:v>
      </x:c>
      <x:c r="Y9" s="2" t="str">
        <x:v>https://wmo.int/topics/early-warning-system; https://wmo.int/resources/publication-series/global-status-of-multi-hazard-early-warning-systems/global-status-of-multi-hazard-early-warning-systems-2025</x:v>
      </x:c>
      <x:c r="Z9" s="2" t="str">
        <x:v>Technology-specific analytical synthesis. The CTCN hierarchy is retained; classifications and component dependencies require validation against the selected design, site and supplier documentation before investment or policy use.</x:v>
      </x:c>
      <x:c r="AA9" s="2" t="str">
        <x:v>Physical deployment of seasonal to interannual weather forecast requires observation network, telecommunications, data centre or cloud, operations room, redundant power and multiple dissemination channels; interfaces, foundations, access and environmental protection are sized to the specific resource and design load.</x:v>
      </x:c>
      <x:c r="AB9" s="2" t="str">
        <x:v>For seasonal to interannual weather forecast,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9" s="2" t="str">
        <x:v>Construction and operation use electronics, semiconductors, copper cabling, batteries, antenna and mast materials, optical components, enclosures and calibration standards. For seasonal to interannual weather forecast, specifications must include durability, compatibility, recycled content and recoverability.</x:v>
      </x:c>
      <x:c r="AD9" s="2" t="str">
        <x:v>Maintenance of seasonal to interannual weather forecast depends on sensor heads, batteries, solar modules, data loggers, modems, cables, connectors, storage media, calibration equipment and siren parts; critical spares are selected from failure-mode, lead-time and safety analysis for its installed configuration.</x:v>
      </x:c>
      <x:c r="AE9" s="2" t="str">
        <x:v>The software stack for seasonal to interannual weather forecast requires databases, secure communications, version-controlled models, computing, backup and interfaces with field or operational systems.</x:v>
      </x:c>
      <x:c r="AF9" s="2" t="str">
        <x:v>For seasonal to interannual weather forecast, software-related energy is electricity for sensing, computing, storage, communication and cooling; it is normally secondary but must be included for data-intensive or continuous services.</x:v>
      </x:c>
      <x:c r="AG9" s="2" t="str">
        <x:v>The non-physical inputs are calibrated data, metadata, algorithms, boundary conditions, emission or hazard factors, manuals and validation records specific to seasonal to interannual weather forecast.</x:v>
      </x:c>
      <x:c r="AH9" s="2" t="str">
        <x:v>Software continuity for seasonal to interannual weather forecast requires licences where applicable, updates, cybersecurity patches, backups, calibration files, model validation and technical support.</x:v>
      </x:c>
      <x:c r="AI9" s="2" t="str">
        <x:v>Orgware depends on the institutions, laboratories, training providers, regulators, operators and community interfaces needed to govern seasonal to interannual weather forecast.</x:v>
      </x:c>
      <x:c r="AJ9" s="2" t="str">
        <x:v>The orgware supporting seasonal to interannual weather forecast has mainly indirect energy use from offices, meetings, training and information systems; travel and field supervision may be material at dispersed sites.</x:v>
      </x:c>
      <x:c r="AK9" s="2" t="str">
        <x:v>Its organisational inputs are permits, budgets, trained staff, competence records, contracts, procedures, safeguards, monitoring evidence and stakeholder agreements tailored to seasonal to interannual weather forecast.</x:v>
      </x:c>
      <x:c r="AL9" s="2" t="str">
        <x:v>Sustained implementation of seasonal to interannual weather forecast requires procurement and service contracts, audit protocols, training material, reporting templates, insurance or guarantees and periodic independent review.</x:v>
      </x:c>
      <x:c r="AM9" s="2" t="str">
        <x:v>Iron ore / steel inputs; Copper; Tin</x:v>
      </x:c>
      <x:c r="AN9" s="2" t="str">
        <x:v>Australia; Brazil; China; Chile; Democratic Republic of the Congo; Peru; Indonesia; Myanmar</x:v>
      </x:c>
      <x:c r="AO9" s="2" t="str">
        <x:v>China; India; Japan; Chile; Democratic Republic of the Congo; Indonesia; Malaysia</x:v>
      </x:c>
      <x:c r="AP9" s="2" t="str">
        <x:v>seasonal to interannual weather forecast: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 s="2" t="str">
        <x:v>2024–2025</x:v>
      </x:c>
      <x:c r="AR9" s="2" t="str">
        <x:v>https://pubs.usgs.gov/periodicals/mcs2026/mcs2026.pdf</x:v>
      </x:c>
    </x:row>
    <x:row r="10" ht="240" customHeight="1">
      <x:c r="A10" s="2" t="str">
        <x:v>ADP-0003</x:v>
      </x:c>
      <x:c r="B10" s="2" t="str">
        <x:v>Adaptation</x:v>
      </x:c>
      <x:c r="C10" s="2" t="str">
        <x:v>Early Warning and Environmental Assesment</x:v>
      </x:c>
      <x:c r="D10" s="2" t="str">
        <x:v>Hazard mapping</x:v>
      </x:c>
      <x:c r="E10" s="2" t="str">
        <x:v>Disaster risk assessment tools</x:v>
      </x:c>
      <x:c r="F10" s="2" t="str">
        <x:v>Disaster risk assessment tools is a adaptation technology in the Early Warning and Environmental Assesment sector and the Hazard mapping technology group. It is defined as a combined hardware–software–orgware system that observes hazards and exposure, assimilates data, models possible evolution, converts forecasts into impact-based warnings and disseminates actionable information before thresholds are exceeded. Disaster risk assessment tools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0" s="2" t="str">
        <x:v>Flexible</x:v>
      </x:c>
      <x:c r="H10" s="2" t="str">
        <x:v>Disaster risk assessment tools is transferable through configurable methods, rules and operating parameters. Its principle remains the same, but resource quality, climate, scale, interfaces and safety constraints must be recalculated for each deployment.</x:v>
      </x:c>
      <x:c r="I10" s="2" t="str">
        <x:v>Hard and soft</x:v>
      </x:c>
      <x:c r="J10" s="2" t="str">
        <x:v>Disaster risk assessment tools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0" s="2" t="str">
        <x:v>Operation and information service</x:v>
      </x:c>
      <x:c r="L10" s="2" t="str">
        <x:v>Disaster risk assessment tools is embodied mainly as an information and decision service. The deliverable is accepted only when measurable service, quality, safety and climate-performance criteria are met under real conditions.</x:v>
      </x:c>
      <x:c r="M10" s="2" t="str">
        <x:v>Yes, subject to life-cycle safeguards</x:v>
      </x:c>
      <x:c r="N10" s="2" t="str">
        <x:v>Disaster risk assessment tools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0" s="2" t="str">
        <x:v>Disaster risk assessment tools: in-situ stations, remote sensors, radar or lidar, satellites or receivers, telemetry, servers, backup power, sirens and communication terminals.</x:v>
      </x:c>
      <x:c r="P10" s="2" t="str">
        <x:v>Disaster risk assessment tools: quality control, geospatial processing, data assimilation, forecasting, downscaling, hazard and impact models, uncertainty treatment, alert logic and visualisation.</x:v>
      </x:c>
      <x:c r="Q10" s="2" t="str">
        <x:v>Disaster risk assessment tools: institutional mandates, data-sharing agreements, warning authority, standard operating procedures, last-mile communication, accessibility, drills and feedback.</x:v>
      </x:c>
      <x:c r="R10" s="2" t="str">
        <x:v>Disaster risk assessment tools: observation network, telecommunications, data centre or cloud, operations room, redundant power and multiple dissemination channels.</x:v>
      </x:c>
      <x:c r="S10" s="2" t="str">
        <x:v>Disaster risk assessment tools: electricity for sensing, communications, computing, cooling and warning devices, with batteries or generators for continuity during emergencies.</x:v>
      </x:c>
      <x:c r="T10" s="2" t="str">
        <x:v>Disaster risk assessment tools: electronics, semiconductors, copper cabling, batteries, antenna and mast materials, optical components, enclosures and calibration standards.</x:v>
      </x:c>
      <x:c r="U10" s="2" t="str">
        <x:v>Disaster risk assessment tools: sensor heads, batteries, solar modules, data loggers, modems, cables, connectors, storage media, calibration equipment and siren parts.</x:v>
      </x:c>
      <x:c r="V10" s="2" t="str">
        <x:v>https://www.ctc-n.org/sites/default/files/resources/ctcn_taxonomy_0.pdf</x:v>
      </x:c>
      <x:c r="W10" s="2" t="str">
        <x:v>https://institutoagricoladepueblobello.edu.co/colegiapp/archivostemas/GUIA%209.%5B25%5D.pdf</x:v>
      </x:c>
      <x:c r="X10" s="2" t="str">
        <x:v>https://iiasa.ac.at/what-is-technology</x:v>
      </x:c>
      <x:c r="Y10" s="2" t="str">
        <x:v>https://wmo.int/topics/early-warning-system; https://wmo.int/resources/publication-series/global-status-of-multi-hazard-early-warning-systems/global-status-of-multi-hazard-early-warning-systems-2025</x:v>
      </x:c>
      <x:c r="Z10" s="2" t="str">
        <x:v>Technology-specific analytical synthesis. The CTCN hierarchy is retained; classifications and component dependencies require validation against the selected design, site and supplier documentation before investment or policy use.</x:v>
      </x:c>
      <x:c r="AA10" s="2" t="str">
        <x:v>Physical deployment of Disaster risk assessment tools requires observation network, telecommunications, data centre or cloud, operations room, redundant power and multiple dissemination channels; interfaces, foundations, access and environmental protection are sized to the specific resource and design load.</x:v>
      </x:c>
      <x:c r="AB10" s="2" t="str">
        <x:v>For Disaster risk assessment tools,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0" s="2" t="str">
        <x:v>Construction and operation use electronics, semiconductors, copper cabling, batteries, antenna and mast materials, optical components, enclosures and calibration standards. For Disaster risk assessment tools, specifications must include durability, compatibility, recycled content and recoverability.</x:v>
      </x:c>
      <x:c r="AD10" s="2" t="str">
        <x:v>Maintenance of Disaster risk assessment tools depends on sensor heads, batteries, solar modules, data loggers, modems, cables, connectors, storage media, calibration equipment and siren parts; critical spares are selected from failure-mode, lead-time and safety analysis for its installed configuration.</x:v>
      </x:c>
      <x:c r="AE10" s="2" t="str">
        <x:v>The software stack for Disaster risk assessment tools requires databases, secure communications, version-controlled models, computing, backup and interfaces with field or operational systems.</x:v>
      </x:c>
      <x:c r="AF10" s="2" t="str">
        <x:v>For Disaster risk assessment tools, software-related energy is electricity for sensing, computing, storage, communication and cooling; it is normally secondary but must be included for data-intensive or continuous services.</x:v>
      </x:c>
      <x:c r="AG10" s="2" t="str">
        <x:v>The non-physical inputs are calibrated data, metadata, algorithms, boundary conditions, emission or hazard factors, manuals and validation records specific to Disaster risk assessment tools.</x:v>
      </x:c>
      <x:c r="AH10" s="2" t="str">
        <x:v>Software continuity for Disaster risk assessment tools requires licences where applicable, updates, cybersecurity patches, backups, calibration files, model validation and technical support.</x:v>
      </x:c>
      <x:c r="AI10" s="2" t="str">
        <x:v>Orgware depends on the institutions, laboratories, training providers, regulators, operators and community interfaces needed to govern Disaster risk assessment tools.</x:v>
      </x:c>
      <x:c r="AJ10" s="2" t="str">
        <x:v>The orgware supporting Disaster risk assessment tools has mainly indirect energy use from offices, meetings, training and information systems; travel and field supervision may be material at dispersed sites.</x:v>
      </x:c>
      <x:c r="AK10" s="2" t="str">
        <x:v>Its organisational inputs are permits, budgets, trained staff, competence records, contracts, procedures, safeguards, monitoring evidence and stakeholder agreements tailored to Disaster risk assessment tools.</x:v>
      </x:c>
      <x:c r="AL10" s="2" t="str">
        <x:v>Sustained implementation of Disaster risk assessment tools requires procurement and service contracts, audit protocols, training material, reporting templates, insurance or guarantees and periodic independent review.</x:v>
      </x:c>
      <x:c r="AM10" s="2" t="str">
        <x:v>Iron ore / steel inputs; Copper; Tin</x:v>
      </x:c>
      <x:c r="AN10" s="2" t="str">
        <x:v>Australia; Brazil; China; Chile; Democratic Republic of the Congo; Peru; Indonesia; Myanmar</x:v>
      </x:c>
      <x:c r="AO10" s="2" t="str">
        <x:v>China; India; Japan; Chile; Democratic Republic of the Congo; Indonesia; Malaysia</x:v>
      </x:c>
      <x:c r="AP10" s="2" t="str">
        <x:v>Disaster risk assessment tools: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 s="2" t="str">
        <x:v>2024–2025</x:v>
      </x:c>
      <x:c r="AR10" s="2" t="str">
        <x:v>https://pubs.usgs.gov/periodicals/mcs2026/mcs2026.pdf</x:v>
      </x:c>
    </x:row>
    <x:row r="11" ht="240" customHeight="1">
      <x:c r="A11" s="2" t="str">
        <x:v>ADP-0004</x:v>
      </x:c>
      <x:c r="B11" s="2" t="str">
        <x:v>Adaptation</x:v>
      </x:c>
      <x:c r="C11" s="2" t="str">
        <x:v>Early Warning and Environmental Assesment</x:v>
      </x:c>
      <x:c r="D11" s="2" t="str">
        <x:v>Hazard mapping</x:v>
      </x:c>
      <x:c r="E11" s="2" t="str">
        <x:v>Hazard mapping solutions</x:v>
      </x:c>
      <x:c r="F11" s="2" t="str">
        <x:v>Hazard mapping solutions is a adaptation technology in the Early Warning and Environmental Assesment sector and the Hazard mapping technology group. It is defined as a combined hardware–software–orgware system that observes hazards and exposure, assimilates data, models possible evolution, converts forecasts into impact-based warnings and disseminates actionable information before thresholds are exceeded. Hazard mapping solutions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1" s="2" t="str">
        <x:v>Mixed: adaptable design, site-specific implementation</x:v>
      </x:c>
      <x:c r="H11" s="2" t="str">
        <x:v>Hazard mapping solutions is adaptable in capacity and configuration but site-specific in final engineering. Its principle remains the same, but resource quality, climate, scale, interfaces and safety constraints must be recalculated for each deployment.</x:v>
      </x:c>
      <x:c r="I11" s="2" t="str">
        <x:v>Hard and soft</x:v>
      </x:c>
      <x:c r="J11" s="2" t="str">
        <x:v>Hazard mapping solutions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1" s="2" t="str">
        <x:v>Operation and information service</x:v>
      </x:c>
      <x:c r="L11" s="2" t="str">
        <x:v>Hazard mapping solutions is embodied mainly as an information and decision service. The deliverable is accepted only when measurable service, quality, safety and climate-performance criteria are met under real conditions.</x:v>
      </x:c>
      <x:c r="M11" s="2" t="str">
        <x:v>Yes, subject to life-cycle safeguards</x:v>
      </x:c>
      <x:c r="N11" s="2" t="str">
        <x:v>Hazard mapping solutions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1" s="2" t="str">
        <x:v>Hazard mapping solutions: in-situ stations, remote sensors, radar or lidar, satellites or receivers, telemetry, servers, backup power, sirens and communication terminals.</x:v>
      </x:c>
      <x:c r="P11" s="2" t="str">
        <x:v>Hazard mapping solutions: quality control, geospatial processing, data assimilation, forecasting, downscaling, hazard and impact models, uncertainty treatment, alert logic and visualisation.</x:v>
      </x:c>
      <x:c r="Q11" s="2" t="str">
        <x:v>Hazard mapping solutions: institutional mandates, data-sharing agreements, warning authority, standard operating procedures, last-mile communication, accessibility, drills and feedback.</x:v>
      </x:c>
      <x:c r="R11" s="2" t="str">
        <x:v>Hazard mapping solutions: observation network, telecommunications, data centre or cloud, operations room, redundant power and multiple dissemination channels.</x:v>
      </x:c>
      <x:c r="S11" s="2" t="str">
        <x:v>Hazard mapping solutions: electricity for sensing, communications, computing, cooling and warning devices, with batteries or generators for continuity during emergencies.</x:v>
      </x:c>
      <x:c r="T11" s="2" t="str">
        <x:v>Hazard mapping solutions: electronics, semiconductors, copper cabling, batteries, antenna and mast materials, optical components, enclosures and calibration standards.</x:v>
      </x:c>
      <x:c r="U11" s="2" t="str">
        <x:v>Hazard mapping solutions: sensor heads, batteries, solar modules, data loggers, modems, cables, connectors, storage media, calibration equipment and siren parts.</x:v>
      </x:c>
      <x:c r="V11" s="2" t="str">
        <x:v>https://www.ctc-n.org/sites/default/files/resources/ctcn_taxonomy_0.pdf</x:v>
      </x:c>
      <x:c r="W11" s="2" t="str">
        <x:v>https://institutoagricoladepueblobello.edu.co/colegiapp/archivostemas/GUIA%209.%5B25%5D.pdf</x:v>
      </x:c>
      <x:c r="X11" s="2" t="str">
        <x:v>https://iiasa.ac.at/what-is-technology</x:v>
      </x:c>
      <x:c r="Y11" s="2" t="str">
        <x:v>https://wmo.int/topics/early-warning-system; https://wmo.int/resources/publication-series/global-status-of-multi-hazard-early-warning-systems/global-status-of-multi-hazard-early-warning-systems-2025</x:v>
      </x:c>
      <x:c r="Z11" s="2" t="str">
        <x:v>Technology-specific analytical synthesis. The CTCN hierarchy is retained; classifications and component dependencies require validation against the selected design, site and supplier documentation before investment or policy use.</x:v>
      </x:c>
      <x:c r="AA11" s="2" t="str">
        <x:v>Physical deployment of Hazard mapping solutions requires observation network, telecommunications, data centre or cloud, operations room, redundant power and multiple dissemination channels; interfaces, foundations, access and environmental protection are sized to the specific resource and design load.</x:v>
      </x:c>
      <x:c r="AB11" s="2" t="str">
        <x:v>For Hazard mapping solutions,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1" s="2" t="str">
        <x:v>Construction and operation use electronics, semiconductors, copper cabling, batteries, antenna and mast materials, optical components, enclosures and calibration standards. For Hazard mapping solutions, specifications must include durability, compatibility, recycled content and recoverability.</x:v>
      </x:c>
      <x:c r="AD11" s="2" t="str">
        <x:v>Maintenance of Hazard mapping solutions depends on sensor heads, batteries, solar modules, data loggers, modems, cables, connectors, storage media, calibration equipment and siren parts; critical spares are selected from failure-mode, lead-time and safety analysis for its installed configuration.</x:v>
      </x:c>
      <x:c r="AE11" s="2" t="str">
        <x:v>The software stack for Hazard mapping solutions requires databases, secure communications, version-controlled models, computing, backup and interfaces with field or operational systems.</x:v>
      </x:c>
      <x:c r="AF11" s="2" t="str">
        <x:v>For Hazard mapping solutions, software-related energy is electricity for sensing, computing, storage, communication and cooling; it is normally secondary but must be included for data-intensive or continuous services.</x:v>
      </x:c>
      <x:c r="AG11" s="2" t="str">
        <x:v>The non-physical inputs are calibrated data, metadata, algorithms, boundary conditions, emission or hazard factors, manuals and validation records specific to Hazard mapping solutions.</x:v>
      </x:c>
      <x:c r="AH11" s="2" t="str">
        <x:v>Software continuity for Hazard mapping solutions requires licences where applicable, updates, cybersecurity patches, backups, calibration files, model validation and technical support.</x:v>
      </x:c>
      <x:c r="AI11" s="2" t="str">
        <x:v>Orgware depends on the institutions, laboratories, training providers, regulators, operators and community interfaces needed to govern Hazard mapping solutions.</x:v>
      </x:c>
      <x:c r="AJ11" s="2" t="str">
        <x:v>The orgware supporting Hazard mapping solutions has mainly indirect energy use from offices, meetings, training and information systems; travel and field supervision may be material at dispersed sites.</x:v>
      </x:c>
      <x:c r="AK11" s="2" t="str">
        <x:v>Its organisational inputs are permits, budgets, trained staff, competence records, contracts, procedures, safeguards, monitoring evidence and stakeholder agreements tailored to Hazard mapping solutions.</x:v>
      </x:c>
      <x:c r="AL11" s="2" t="str">
        <x:v>Sustained implementation of Hazard mapping solutions requires procurement and service contracts, audit protocols, training material, reporting templates, insurance or guarantees and periodic independent review.</x:v>
      </x:c>
      <x:c r="AM11" s="2" t="str">
        <x:v>Iron ore / steel inputs; Copper; Tin</x:v>
      </x:c>
      <x:c r="AN11" s="2" t="str">
        <x:v>Australia; Brazil; China; Chile; Democratic Republic of the Congo; Peru; Indonesia; Myanmar</x:v>
      </x:c>
      <x:c r="AO11" s="2" t="str">
        <x:v>China; India; Japan; Chile; Democratic Republic of the Congo; Indonesia; Malaysia</x:v>
      </x:c>
      <x:c r="AP11" s="2" t="str">
        <x:v>Hazard mapping solutions: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 s="2" t="str">
        <x:v>2024–2025</x:v>
      </x:c>
      <x:c r="AR11" s="2" t="str">
        <x:v>https://pubs.usgs.gov/periodicals/mcs2026/mcs2026.pdf</x:v>
      </x:c>
    </x:row>
    <x:row r="12" ht="240" customHeight="1">
      <x:c r="A12" s="2" t="str">
        <x:v>ADP-0005</x:v>
      </x:c>
      <x:c r="B12" s="2" t="str">
        <x:v>Adaptation</x:v>
      </x:c>
      <x:c r="C12" s="2" t="str">
        <x:v>Early Warning and Environmental Assesment</x:v>
      </x:c>
      <x:c r="D12" s="2" t="str">
        <x:v>Hazard mapping</x:v>
      </x:c>
      <x:c r="E12" s="2" t="str">
        <x:v>Flood hazard mapping</x:v>
      </x:c>
      <x:c r="F12" s="2" t="str">
        <x:v>Flood hazard mapping is a adaptation technology in the Early Warning and Environmental Assesment sector and the Hazard mapping technology group. It is defined as a combined hardware–software–orgware system that observes hazards and exposure, assimilates data, models possible evolution, converts forecasts into impact-based warnings and disseminates actionable information before thresholds are exceeded. Flood hazard mapping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2" s="2" t="str">
        <x:v>Mixed: adaptable design, site-specific implementation</x:v>
      </x:c>
      <x:c r="H12" s="2" t="str">
        <x:v>Flood hazard mapping is adaptable in capacity and configuration but site-specific in final engineering. Its principle remains the same, but resource quality, climate, scale, interfaces and safety constraints must be recalculated for each deployment.</x:v>
      </x:c>
      <x:c r="I12" s="2" t="str">
        <x:v>Hard and soft</x:v>
      </x:c>
      <x:c r="J12" s="2" t="str">
        <x:v>Flood hazard mapping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2" s="2" t="str">
        <x:v>Operation and information service</x:v>
      </x:c>
      <x:c r="L12" s="2" t="str">
        <x:v>Flood hazard mapping is embodied mainly as an information and decision service. The deliverable is accepted only when measurable service, quality, safety and climate-performance criteria are met under real conditions.</x:v>
      </x:c>
      <x:c r="M12" s="2" t="str">
        <x:v>Yes, subject to life-cycle safeguards</x:v>
      </x:c>
      <x:c r="N12" s="2" t="str">
        <x:v>Flood hazard mapping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2" s="2" t="str">
        <x:v>Flood hazard mapping: in-situ stations, remote sensors, radar or lidar, satellites or receivers, telemetry, servers, backup power, sirens and communication terminals.</x:v>
      </x:c>
      <x:c r="P12" s="2" t="str">
        <x:v>Flood hazard mapping: quality control, geospatial processing, data assimilation, forecasting, downscaling, hazard and impact models, uncertainty treatment, alert logic and visualisation.</x:v>
      </x:c>
      <x:c r="Q12" s="2" t="str">
        <x:v>Flood hazard mapping: institutional mandates, data-sharing agreements, warning authority, standard operating procedures, last-mile communication, accessibility, drills and feedback.</x:v>
      </x:c>
      <x:c r="R12" s="2" t="str">
        <x:v>Flood hazard mapping: observation network, telecommunications, data centre or cloud, operations room, redundant power and multiple dissemination channels.</x:v>
      </x:c>
      <x:c r="S12" s="2" t="str">
        <x:v>Flood hazard mapping: electricity for sensing, communications, computing, cooling and warning devices, with batteries or generators for continuity during emergencies.</x:v>
      </x:c>
      <x:c r="T12" s="2" t="str">
        <x:v>Flood hazard mapping: electronics, semiconductors, copper cabling, batteries, antenna and mast materials, optical components, enclosures and calibration standards.</x:v>
      </x:c>
      <x:c r="U12" s="2" t="str">
        <x:v>Flood hazard mapping: sensor heads, batteries, solar modules, data loggers, modems, cables, connectors, storage media, calibration equipment and siren parts.</x:v>
      </x:c>
      <x:c r="V12" s="2" t="str">
        <x:v>https://www.ctc-n.org/sites/default/files/resources/ctcn_taxonomy_0.pdf</x:v>
      </x:c>
      <x:c r="W12" s="2" t="str">
        <x:v>https://institutoagricoladepueblobello.edu.co/colegiapp/archivostemas/GUIA%209.%5B25%5D.pdf</x:v>
      </x:c>
      <x:c r="X12" s="2" t="str">
        <x:v>https://iiasa.ac.at/what-is-technology</x:v>
      </x:c>
      <x:c r="Y12" s="2" t="str">
        <x:v>https://wmo.int/topics/early-warning-system; https://wmo.int/resources/publication-series/global-status-of-multi-hazard-early-warning-systems/global-status-of-multi-hazard-early-warning-systems-2025</x:v>
      </x:c>
      <x:c r="Z12" s="2" t="str">
        <x:v>Technology-specific analytical synthesis. The CTCN hierarchy is retained; classifications and component dependencies require validation against the selected design, site and supplier documentation before investment or policy use.</x:v>
      </x:c>
      <x:c r="AA12" s="2" t="str">
        <x:v>Physical deployment of Flood hazard mapping requires observation network, telecommunications, data centre or cloud, operations room, redundant power and multiple dissemination channels; interfaces, foundations, access and environmental protection are sized to the specific resource and design load.</x:v>
      </x:c>
      <x:c r="AB12" s="2" t="str">
        <x:v>For Flood hazard mapping,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2" s="2" t="str">
        <x:v>Construction and operation use electronics, semiconductors, copper cabling, batteries, antenna and mast materials, optical components, enclosures and calibration standards. For Flood hazard mapping, specifications must include durability, compatibility, recycled content and recoverability.</x:v>
      </x:c>
      <x:c r="AD12" s="2" t="str">
        <x:v>Maintenance of Flood hazard mapping depends on sensor heads, batteries, solar modules, data loggers, modems, cables, connectors, storage media, calibration equipment and siren parts; critical spares are selected from failure-mode, lead-time and safety analysis for its installed configuration.</x:v>
      </x:c>
      <x:c r="AE12" s="2" t="str">
        <x:v>The software stack for Flood hazard mapping requires databases, secure communications, version-controlled models, computing, backup and interfaces with field or operational systems.</x:v>
      </x:c>
      <x:c r="AF12" s="2" t="str">
        <x:v>For Flood hazard mapping, software-related energy is electricity for sensing, computing, storage, communication and cooling; it is normally secondary but must be included for data-intensive or continuous services.</x:v>
      </x:c>
      <x:c r="AG12" s="2" t="str">
        <x:v>The non-physical inputs are calibrated data, metadata, algorithms, boundary conditions, emission or hazard factors, manuals and validation records specific to Flood hazard mapping.</x:v>
      </x:c>
      <x:c r="AH12" s="2" t="str">
        <x:v>Software continuity for Flood hazard mapping requires licences where applicable, updates, cybersecurity patches, backups, calibration files, model validation and technical support.</x:v>
      </x:c>
      <x:c r="AI12" s="2" t="str">
        <x:v>Orgware depends on the institutions, laboratories, training providers, regulators, operators and community interfaces needed to govern Flood hazard mapping.</x:v>
      </x:c>
      <x:c r="AJ12" s="2" t="str">
        <x:v>The orgware supporting Flood hazard mapping has mainly indirect energy use from offices, meetings, training and information systems; travel and field supervision may be material at dispersed sites.</x:v>
      </x:c>
      <x:c r="AK12" s="2" t="str">
        <x:v>Its organisational inputs are permits, budgets, trained staff, competence records, contracts, procedures, safeguards, monitoring evidence and stakeholder agreements tailored to Flood hazard mapping.</x:v>
      </x:c>
      <x:c r="AL12" s="2" t="str">
        <x:v>Sustained implementation of Flood hazard mapping requires procurement and service contracts, audit protocols, training material, reporting templates, insurance or guarantees and periodic independent review.</x:v>
      </x:c>
      <x:c r="AM12" s="2" t="str">
        <x:v>Iron ore / steel inputs; Copper; Tin</x:v>
      </x:c>
      <x:c r="AN12" s="2" t="str">
        <x:v>Australia; Brazil; China; Chile; Democratic Republic of the Congo; Peru; Indonesia; Myanmar</x:v>
      </x:c>
      <x:c r="AO12" s="2" t="str">
        <x:v>China; India; Japan; Chile; Democratic Republic of the Congo; Indonesia; Malaysia</x:v>
      </x:c>
      <x:c r="AP12" s="2" t="str">
        <x:v>Flood hazard mapping: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 s="2" t="str">
        <x:v>2024–2025</x:v>
      </x:c>
      <x:c r="AR12" s="2" t="str">
        <x:v>https://pubs.usgs.gov/periodicals/mcs2026/mcs2026.pdf</x:v>
      </x:c>
    </x:row>
    <x:row r="13" ht="240" customHeight="1">
      <x:c r="A13" s="2" t="str">
        <x:v>ADP-0006</x:v>
      </x:c>
      <x:c r="B13" s="2" t="str">
        <x:v>Adaptation</x:v>
      </x:c>
      <x:c r="C13" s="2" t="str">
        <x:v>Early Warning and Environmental Assesment</x:v>
      </x:c>
      <x:c r="D13" s="2" t="str">
        <x:v>Early warning systems</x:v>
      </x:c>
      <x:c r="E13" s="2" t="str">
        <x:v>Early Warning Systems Communication</x:v>
      </x:c>
      <x:c r="F13" s="2" t="str">
        <x:v>Early Warning Systems Communication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3" s="2" t="str">
        <x:v>Mixed: adaptable design, site-specific implementation</x:v>
      </x:c>
      <x:c r="H13" s="2" t="str">
        <x:v>Early Warning Systems Communication is adaptable in capacity and configuration but site-specific in final engineering. Its principle remains the same, but resource quality, climate, scale, interfaces and safety constraints must be recalculated for each deployment.</x:v>
      </x:c>
      <x:c r="I13" s="2" t="str">
        <x:v>Primarily hard, with a soft component</x:v>
      </x:c>
      <x:c r="J13" s="2" t="str">
        <x:v>Early Warning Systems Communication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3" s="2" t="str">
        <x:v>Operation</x:v>
      </x:c>
      <x:c r="L13" s="2" t="str">
        <x:v>Early Warning Systems Communication is embodied mainly as an operating practice. The deliverable is accepted only when measurable service, quality, safety and climate-performance criteria are met under real conditions.</x:v>
      </x:c>
      <x:c r="M13" s="2" t="str">
        <x:v>Yes, subject to life-cycle safeguards</x:v>
      </x:c>
      <x:c r="N13" s="2" t="str">
        <x:v>Early Warning Systems Communication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3" s="2" t="str">
        <x:v>Early Warning Systems Communication: in-situ stations, remote sensors, radar or lidar, satellites or receivers, telemetry, servers, backup power, sirens and communication terminals.</x:v>
      </x:c>
      <x:c r="P13" s="2" t="str">
        <x:v>Early Warning Systems Communication: quality control, geospatial processing, data assimilation, forecasting, downscaling, hazard and impact models, uncertainty treatment, alert logic and visualisation.</x:v>
      </x:c>
      <x:c r="Q13" s="2" t="str">
        <x:v>Early Warning Systems Communication: institutional mandates, data-sharing agreements, warning authority, standard operating procedures, last-mile communication, accessibility, drills and feedback.</x:v>
      </x:c>
      <x:c r="R13" s="2" t="str">
        <x:v>Early Warning Systems Communication: observation network, telecommunications, data centre or cloud, operations room, redundant power and multiple dissemination channels.</x:v>
      </x:c>
      <x:c r="S13" s="2" t="str">
        <x:v>Early Warning Systems Communication: electricity for sensing, communications, computing, cooling and warning devices, with batteries or generators for continuity during emergencies.</x:v>
      </x:c>
      <x:c r="T13" s="2" t="str">
        <x:v>Early Warning Systems Communication: electronics, semiconductors, copper cabling, batteries, antenna and mast materials, optical components, enclosures and calibration standards.</x:v>
      </x:c>
      <x:c r="U13" s="2" t="str">
        <x:v>Early Warning Systems Communication: sensor heads, batteries, solar modules, data loggers, modems, cables, connectors, storage media, calibration equipment and siren parts.</x:v>
      </x:c>
      <x:c r="V13" s="2" t="str">
        <x:v>https://www.ctc-n.org/sites/default/files/resources/ctcn_taxonomy_0.pdf</x:v>
      </x:c>
      <x:c r="W13" s="2" t="str">
        <x:v>https://institutoagricoladepueblobello.edu.co/colegiapp/archivostemas/GUIA%209.%5B25%5D.pdf</x:v>
      </x:c>
      <x:c r="X13" s="2" t="str">
        <x:v>https://iiasa.ac.at/what-is-technology</x:v>
      </x:c>
      <x:c r="Y13" s="2" t="str">
        <x:v>https://wmo.int/topics/early-warning-system; https://wmo.int/resources/publication-series/global-status-of-multi-hazard-early-warning-systems/global-status-of-multi-hazard-early-warning-systems-2025</x:v>
      </x:c>
      <x:c r="Z13" s="2" t="str">
        <x:v>Technology-specific analytical synthesis. The CTCN hierarchy is retained; classifications and component dependencies require validation against the selected design, site and supplier documentation before investment or policy use.</x:v>
      </x:c>
      <x:c r="AA13" s="2" t="str">
        <x:v>Physical deployment of Early Warning Systems Communication requires observation network, telecommunications, data centre or cloud, operations room, redundant power and multiple dissemination channels; interfaces, foundations, access and environmental protection are sized to the specific resource and design load.</x:v>
      </x:c>
      <x:c r="AB13" s="2" t="str">
        <x:v>For Early Warning Systems Communication,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3" s="2" t="str">
        <x:v>Construction and operation use electronics, semiconductors, copper cabling, batteries, antenna and mast materials, optical components, enclosures and calibration standards. For Early Warning Systems Communication, specifications must include durability, compatibility, recycled content and recoverability.</x:v>
      </x:c>
      <x:c r="AD13" s="2" t="str">
        <x:v>Maintenance of Early Warning Systems Communication depends on sensor heads, batteries, solar modules, data loggers, modems, cables, connectors, storage media, calibration equipment and siren parts; critical spares are selected from failure-mode, lead-time and safety analysis for its installed configuration.</x:v>
      </x:c>
      <x:c r="AE13" s="2" t="str">
        <x:v>The software stack for Early Warning Systems Communication requires databases, secure communications, version-controlled models, computing, backup and interfaces with field or operational systems.</x:v>
      </x:c>
      <x:c r="AF13" s="2" t="str">
        <x:v>For Early Warning Systems Communication, software-related energy is electricity for sensing, computing, storage, communication and cooling; it is normally secondary but must be included for data-intensive or continuous services.</x:v>
      </x:c>
      <x:c r="AG13" s="2" t="str">
        <x:v>The non-physical inputs are calibrated data, metadata, algorithms, boundary conditions, emission or hazard factors, manuals and validation records specific to Early Warning Systems Communication.</x:v>
      </x:c>
      <x:c r="AH13" s="2" t="str">
        <x:v>Software continuity for Early Warning Systems Communication requires licences where applicable, updates, cybersecurity patches, backups, calibration files, model validation and technical support.</x:v>
      </x:c>
      <x:c r="AI13" s="2" t="str">
        <x:v>Orgware depends on the institutions, laboratories, training providers, regulators, operators and community interfaces needed to govern Early Warning Systems Communication.</x:v>
      </x:c>
      <x:c r="AJ13" s="2" t="str">
        <x:v>The orgware supporting Early Warning Systems Communication has mainly indirect energy use from offices, meetings, training and information systems; travel and field supervision may be material at dispersed sites.</x:v>
      </x:c>
      <x:c r="AK13" s="2" t="str">
        <x:v>Its organisational inputs are permits, budgets, trained staff, competence records, contracts, procedures, safeguards, monitoring evidence and stakeholder agreements tailored to Early Warning Systems Communication.</x:v>
      </x:c>
      <x:c r="AL13" s="2" t="str">
        <x:v>Sustained implementation of Early Warning Systems Communication requires procurement and service contracts, audit protocols, training material, reporting templates, insurance or guarantees and periodic independent review.</x:v>
      </x:c>
      <x:c r="AM13" s="2" t="str">
        <x:v>Iron ore / steel inputs</x:v>
      </x:c>
      <x:c r="AN13" s="2" t="str">
        <x:v>Australia; Brazil; China</x:v>
      </x:c>
      <x:c r="AO13" s="2" t="str">
        <x:v>China; India; Japan</x:v>
      </x:c>
      <x:c r="AP13" s="2" t="str">
        <x:v>Early Warning Systems Communication: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 s="2" t="str">
        <x:v>2024–2025</x:v>
      </x:c>
      <x:c r="AR13" s="2" t="str">
        <x:v>https://pubs.usgs.gov/periodicals/mcs2026/mcs2026.pdf</x:v>
      </x:c>
    </x:row>
    <x:row r="14" ht="240" customHeight="1">
      <x:c r="A14" s="2" t="str">
        <x:v>ADP-0007</x:v>
      </x:c>
      <x:c r="B14" s="2" t="str">
        <x:v>Adaptation</x:v>
      </x:c>
      <x:c r="C14" s="2" t="str">
        <x:v>Early Warning and Environmental Assesment</x:v>
      </x:c>
      <x:c r="D14" s="2" t="str">
        <x:v>Early warning systems</x:v>
      </x:c>
      <x:c r="E14" s="2" t="str">
        <x:v>Community-run early warning systems</x:v>
      </x:c>
      <x:c r="F14" s="2" t="str">
        <x:v>Community-run early warning systems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4" s="2" t="str">
        <x:v>Mixed: adaptable design, site-specific implementation</x:v>
      </x:c>
      <x:c r="H14" s="2" t="str">
        <x:v>Community-run early warning systems is adaptable in capacity and configuration but site-specific in final engineering. Its principle remains the same, but resource quality, climate, scale, interfaces and safety constraints must be recalculated for each deployment.</x:v>
      </x:c>
      <x:c r="I14" s="2" t="str">
        <x:v>Primarily hard, with a soft component</x:v>
      </x:c>
      <x:c r="J14" s="2" t="str">
        <x:v>Community-run early warning systems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4" s="2" t="str">
        <x:v>Operation</x:v>
      </x:c>
      <x:c r="L14" s="2" t="str">
        <x:v>Community-run early warning systems is embodied mainly as an operating practice. The deliverable is accepted only when measurable service, quality, safety and climate-performance criteria are met under real conditions.</x:v>
      </x:c>
      <x:c r="M14" s="2" t="str">
        <x:v>Yes, subject to life-cycle safeguards</x:v>
      </x:c>
      <x:c r="N14" s="2" t="str">
        <x:v>Community-run early warning systems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4" s="2" t="str">
        <x:v>Community-run early warning systems: in-situ stations, remote sensors, radar or lidar, satellites or receivers, telemetry, servers, backup power, sirens and communication terminals.</x:v>
      </x:c>
      <x:c r="P14" s="2" t="str">
        <x:v>Community-run early warning systems: quality control, geospatial processing, data assimilation, forecasting, downscaling, hazard and impact models, uncertainty treatment, alert logic and visualisation.</x:v>
      </x:c>
      <x:c r="Q14" s="2" t="str">
        <x:v>Community-run early warning systems: institutional mandates, data-sharing agreements, warning authority, standard operating procedures, last-mile communication, accessibility, drills and feedback.</x:v>
      </x:c>
      <x:c r="R14" s="2" t="str">
        <x:v>Community-run early warning systems: observation network, telecommunications, data centre or cloud, operations room, redundant power and multiple dissemination channels.</x:v>
      </x:c>
      <x:c r="S14" s="2" t="str">
        <x:v>Community-run early warning systems: electricity for sensing, communications, computing, cooling and warning devices, with batteries or generators for continuity during emergencies.</x:v>
      </x:c>
      <x:c r="T14" s="2" t="str">
        <x:v>Community-run early warning systems: electronics, semiconductors, copper cabling, batteries, antenna and mast materials, optical components, enclosures and calibration standards.</x:v>
      </x:c>
      <x:c r="U14" s="2" t="str">
        <x:v>Community-run early warning systems: sensor heads, batteries, solar modules, data loggers, modems, cables, connectors, storage media, calibration equipment and siren parts.</x:v>
      </x:c>
      <x:c r="V14" s="2" t="str">
        <x:v>https://www.ctc-n.org/sites/default/files/resources/ctcn_taxonomy_0.pdf</x:v>
      </x:c>
      <x:c r="W14" s="2" t="str">
        <x:v>https://institutoagricoladepueblobello.edu.co/colegiapp/archivostemas/GUIA%209.%5B25%5D.pdf</x:v>
      </x:c>
      <x:c r="X14" s="2" t="str">
        <x:v>https://iiasa.ac.at/what-is-technology</x:v>
      </x:c>
      <x:c r="Y14" s="2" t="str">
        <x:v>https://wmo.int/topics/early-warning-system; https://wmo.int/resources/publication-series/global-status-of-multi-hazard-early-warning-systems/global-status-of-multi-hazard-early-warning-systems-2025</x:v>
      </x:c>
      <x:c r="Z14" s="2" t="str">
        <x:v>Technology-specific analytical synthesis. The CTCN hierarchy is retained; classifications and component dependencies require validation against the selected design, site and supplier documentation before investment or policy use.</x:v>
      </x:c>
      <x:c r="AA14" s="2" t="str">
        <x:v>Physical deployment of Community-run early warning systems requires observation network, telecommunications, data centre or cloud, operations room, redundant power and multiple dissemination channels; interfaces, foundations, access and environmental protection are sized to the specific resource and design load.</x:v>
      </x:c>
      <x:c r="AB14" s="2" t="str">
        <x:v>For Community-run early warning systems,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4" s="2" t="str">
        <x:v>Construction and operation use electronics, semiconductors, copper cabling, batteries, antenna and mast materials, optical components, enclosures and calibration standards. For Community-run early warning systems, specifications must include durability, compatibility, recycled content and recoverability.</x:v>
      </x:c>
      <x:c r="AD14" s="2" t="str">
        <x:v>Maintenance of Community-run early warning systems depends on sensor heads, batteries, solar modules, data loggers, modems, cables, connectors, storage media, calibration equipment and siren parts; critical spares are selected from failure-mode, lead-time and safety analysis for its installed configuration.</x:v>
      </x:c>
      <x:c r="AE14" s="2" t="str">
        <x:v>The software stack for Community-run early warning systems requires databases, secure communications, version-controlled models, computing, backup and interfaces with field or operational systems.</x:v>
      </x:c>
      <x:c r="AF14" s="2" t="str">
        <x:v>For Community-run early warning systems, software-related energy is electricity for sensing, computing, storage, communication and cooling; it is normally secondary but must be included for data-intensive or continuous services.</x:v>
      </x:c>
      <x:c r="AG14" s="2" t="str">
        <x:v>The non-physical inputs are calibrated data, metadata, algorithms, boundary conditions, emission or hazard factors, manuals and validation records specific to Community-run early warning systems.</x:v>
      </x:c>
      <x:c r="AH14" s="2" t="str">
        <x:v>Software continuity for Community-run early warning systems requires licences where applicable, updates, cybersecurity patches, backups, calibration files, model validation and technical support.</x:v>
      </x:c>
      <x:c r="AI14" s="2" t="str">
        <x:v>Orgware depends on the institutions, laboratories, training providers, regulators, operators and community interfaces needed to govern Community-run early warning systems.</x:v>
      </x:c>
      <x:c r="AJ14" s="2" t="str">
        <x:v>The orgware supporting Community-run early warning systems has mainly indirect energy use from offices, meetings, training and information systems; travel and field supervision may be material at dispersed sites.</x:v>
      </x:c>
      <x:c r="AK14" s="2" t="str">
        <x:v>Its organisational inputs are permits, budgets, trained staff, competence records, contracts, procedures, safeguards, monitoring evidence and stakeholder agreements tailored to Community-run early warning systems.</x:v>
      </x:c>
      <x:c r="AL14" s="2" t="str">
        <x:v>Sustained implementation of Community-run early warning systems requires procurement and service contracts, audit protocols, training material, reporting templates, insurance or guarantees and periodic independent review.</x:v>
      </x:c>
      <x:c r="AM14" s="2" t="str">
        <x:v>Iron ore / steel inputs</x:v>
      </x:c>
      <x:c r="AN14" s="2" t="str">
        <x:v>Australia; Brazil; China</x:v>
      </x:c>
      <x:c r="AO14" s="2" t="str">
        <x:v>China; India; Japan</x:v>
      </x:c>
      <x:c r="AP14" s="2" t="str">
        <x:v>Community-run early warning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 s="2" t="str">
        <x:v>2024–2025</x:v>
      </x:c>
      <x:c r="AR14" s="2" t="str">
        <x:v>https://pubs.usgs.gov/periodicals/mcs2026/mcs2026.pdf</x:v>
      </x:c>
    </x:row>
    <x:row r="15" ht="240" customHeight="1">
      <x:c r="A15" s="2" t="str">
        <x:v>ADP-0008</x:v>
      </x:c>
      <x:c r="B15" s="2" t="str">
        <x:v>Adaptation</x:v>
      </x:c>
      <x:c r="C15" s="2" t="str">
        <x:v>Early Warning and Environmental Assesment</x:v>
      </x:c>
      <x:c r="D15" s="2" t="str">
        <x:v>Early warning systems</x:v>
      </x:c>
      <x:c r="E15" s="2" t="str">
        <x:v>Climate scenario development</x:v>
      </x:c>
      <x:c r="F15" s="2" t="str">
        <x:v>Climate scenario development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Climate scenario development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5" s="2" t="str">
        <x:v>Mixed: adaptable design, site-specific implementation</x:v>
      </x:c>
      <x:c r="H15" s="2" t="str">
        <x:v>Climate scenario development is adaptable in capacity and configuration but site-specific in final engineering. Its principle remains the same, but resource quality, climate, scale, interfaces and safety constraints must be recalculated for each deployment.</x:v>
      </x:c>
      <x:c r="I15" s="2" t="str">
        <x:v>Primarily hard, with a soft component</x:v>
      </x:c>
      <x:c r="J15" s="2" t="str">
        <x:v>Climate scenario development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5" s="2" t="str">
        <x:v>Operation</x:v>
      </x:c>
      <x:c r="L15" s="2" t="str">
        <x:v>Climate scenario development is embodied mainly as an operating practice. The deliverable is accepted only when measurable service, quality, safety and climate-performance criteria are met under real conditions.</x:v>
      </x:c>
      <x:c r="M15" s="2" t="str">
        <x:v>Yes, subject to life-cycle safeguards</x:v>
      </x:c>
      <x:c r="N15" s="2" t="str">
        <x:v>Climate scenario development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5" s="2" t="str">
        <x:v>Climate scenario development: in-situ stations, remote sensors, radar or lidar, satellites or receivers, telemetry, servers, backup power, sirens and communication terminals.</x:v>
      </x:c>
      <x:c r="P15" s="2" t="str">
        <x:v>Climate scenario development: quality control, geospatial processing, data assimilation, forecasting, downscaling, hazard and impact models, uncertainty treatment, alert logic and visualisation.</x:v>
      </x:c>
      <x:c r="Q15" s="2" t="str">
        <x:v>Climate scenario development: institutional mandates, data-sharing agreements, warning authority, standard operating procedures, last-mile communication, accessibility, drills and feedback.</x:v>
      </x:c>
      <x:c r="R15" s="2" t="str">
        <x:v>Climate scenario development: observation network, telecommunications, data centre or cloud, operations room, redundant power and multiple dissemination channels.</x:v>
      </x:c>
      <x:c r="S15" s="2" t="str">
        <x:v>Climate scenario development: electricity for sensing, communications, computing, cooling and warning devices, with batteries or generators for continuity during emergencies.</x:v>
      </x:c>
      <x:c r="T15" s="2" t="str">
        <x:v>Climate scenario development: electronics, semiconductors, copper cabling, batteries, antenna and mast materials, optical components, enclosures and calibration standards.</x:v>
      </x:c>
      <x:c r="U15" s="2" t="str">
        <x:v>Climate scenario development: sensor heads, batteries, solar modules, data loggers, modems, cables, connectors, storage media, calibration equipment and siren parts.</x:v>
      </x:c>
      <x:c r="V15" s="2" t="str">
        <x:v>https://www.ctc-n.org/sites/default/files/resources/ctcn_taxonomy_0.pdf</x:v>
      </x:c>
      <x:c r="W15" s="2" t="str">
        <x:v>https://institutoagricoladepueblobello.edu.co/colegiapp/archivostemas/GUIA%209.%5B25%5D.pdf</x:v>
      </x:c>
      <x:c r="X15" s="2" t="str">
        <x:v>https://iiasa.ac.at/what-is-technology</x:v>
      </x:c>
      <x:c r="Y15" s="2" t="str">
        <x:v>https://wmo.int/topics/early-warning-system; https://wmo.int/resources/publication-series/global-status-of-multi-hazard-early-warning-systems/global-status-of-multi-hazard-early-warning-systems-2025</x:v>
      </x:c>
      <x:c r="Z15" s="2" t="str">
        <x:v>Technology-specific analytical synthesis. The CTCN hierarchy is retained; classifications and component dependencies require validation against the selected design, site and supplier documentation before investment or policy use.</x:v>
      </x:c>
      <x:c r="AA15" s="2" t="str">
        <x:v>Physical deployment of Climate scenario development requires observation network, telecommunications, data centre or cloud, operations room, redundant power and multiple dissemination channels; interfaces, foundations, access and environmental protection are sized to the specific resource and design load.</x:v>
      </x:c>
      <x:c r="AB15" s="2" t="str">
        <x:v>For Climate scenario development,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5" s="2" t="str">
        <x:v>Construction and operation use electronics, semiconductors, copper cabling, batteries, antenna and mast materials, optical components, enclosures and calibration standards. For Climate scenario development, specifications must include durability, compatibility, recycled content and recoverability.</x:v>
      </x:c>
      <x:c r="AD15" s="2" t="str">
        <x:v>Maintenance of Climate scenario development depends on sensor heads, batteries, solar modules, data loggers, modems, cables, connectors, storage media, calibration equipment and siren parts; critical spares are selected from failure-mode, lead-time and safety analysis for its installed configuration.</x:v>
      </x:c>
      <x:c r="AE15" s="2" t="str">
        <x:v>The software stack for Climate scenario development requires databases, secure communications, version-controlled models, computing, backup and interfaces with field or operational systems.</x:v>
      </x:c>
      <x:c r="AF15" s="2" t="str">
        <x:v>For Climate scenario development, software-related energy is electricity for sensing, computing, storage, communication and cooling; it is normally secondary but must be included for data-intensive or continuous services.</x:v>
      </x:c>
      <x:c r="AG15" s="2" t="str">
        <x:v>The non-physical inputs are calibrated data, metadata, algorithms, boundary conditions, emission or hazard factors, manuals and validation records specific to Climate scenario development.</x:v>
      </x:c>
      <x:c r="AH15" s="2" t="str">
        <x:v>Software continuity for Climate scenario development requires licences where applicable, updates, cybersecurity patches, backups, calibration files, model validation and technical support.</x:v>
      </x:c>
      <x:c r="AI15" s="2" t="str">
        <x:v>Orgware depends on the institutions, laboratories, training providers, regulators, operators and community interfaces needed to govern Climate scenario development.</x:v>
      </x:c>
      <x:c r="AJ15" s="2" t="str">
        <x:v>The orgware supporting Climate scenario development has mainly indirect energy use from offices, meetings, training and information systems; travel and field supervision may be material at dispersed sites.</x:v>
      </x:c>
      <x:c r="AK15" s="2" t="str">
        <x:v>Its organisational inputs are permits, budgets, trained staff, competence records, contracts, procedures, safeguards, monitoring evidence and stakeholder agreements tailored to Climate scenario development.</x:v>
      </x:c>
      <x:c r="AL15" s="2" t="str">
        <x:v>Sustained implementation of Climate scenario development requires procurement and service contracts, audit protocols, training material, reporting templates, insurance or guarantees and periodic independent review.</x:v>
      </x:c>
      <x:c r="AM15" s="2" t="str">
        <x:v>Iron ore / steel inputs</x:v>
      </x:c>
      <x:c r="AN15" s="2" t="str">
        <x:v>Australia; Brazil; China</x:v>
      </x:c>
      <x:c r="AO15" s="2" t="str">
        <x:v>China; India; Japan</x:v>
      </x:c>
      <x:c r="AP15" s="2" t="str">
        <x:v>Climate scenario development: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 s="2" t="str">
        <x:v>2024–2025</x:v>
      </x:c>
      <x:c r="AR15" s="2" t="str">
        <x:v>https://pubs.usgs.gov/periodicals/mcs2026/mcs2026.pdf</x:v>
      </x:c>
    </x:row>
    <x:row r="16" ht="240" customHeight="1">
      <x:c r="A16" s="2" t="str">
        <x:v>ADP-0009</x:v>
      </x:c>
      <x:c r="B16" s="2" t="str">
        <x:v>Adaptation</x:v>
      </x:c>
      <x:c r="C16" s="2" t="str">
        <x:v>Early Warning and Environmental Assesment</x:v>
      </x:c>
      <x:c r="D16" s="2" t="str">
        <x:v>Early warning systems</x:v>
      </x:c>
      <x:c r="E16" s="2" t="str">
        <x:v>Flood forecasting systems</x:v>
      </x:c>
      <x:c r="F16" s="2" t="str">
        <x:v>Flood forecasting systems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6" s="2" t="str">
        <x:v>Mixed: adaptable design, site-specific implementation</x:v>
      </x:c>
      <x:c r="H16" s="2" t="str">
        <x:v>Flood forecasting systems is adaptable in capacity and configuration but site-specific in final engineering. Its principle remains the same, but resource quality, climate, scale, interfaces and safety constraints must be recalculated for each deployment.</x:v>
      </x:c>
      <x:c r="I16" s="2" t="str">
        <x:v>Hard and soft</x:v>
      </x:c>
      <x:c r="J16" s="2" t="str">
        <x:v>Flood forecasting systems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6" s="2" t="str">
        <x:v>Operation and information service</x:v>
      </x:c>
      <x:c r="L16" s="2" t="str">
        <x:v>Flood forecasting systems is embodied mainly as an information and decision service. The deliverable is accepted only when measurable service, quality, safety and climate-performance criteria are met under real conditions.</x:v>
      </x:c>
      <x:c r="M16" s="2" t="str">
        <x:v>Yes, subject to life-cycle safeguards</x:v>
      </x:c>
      <x:c r="N16" s="2" t="str">
        <x:v>Flood forecasting systems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6" s="2" t="str">
        <x:v>Flood forecasting systems: in-situ stations, remote sensors, radar or lidar, satellites or receivers, telemetry, servers, backup power, sirens and communication terminals.</x:v>
      </x:c>
      <x:c r="P16" s="2" t="str">
        <x:v>Flood forecasting systems: quality control, geospatial processing, data assimilation, forecasting, downscaling, hazard and impact models, uncertainty treatment, alert logic and visualisation.</x:v>
      </x:c>
      <x:c r="Q16" s="2" t="str">
        <x:v>Flood forecasting systems: institutional mandates, data-sharing agreements, warning authority, standard operating procedures, last-mile communication, accessibility, drills and feedback.</x:v>
      </x:c>
      <x:c r="R16" s="2" t="str">
        <x:v>Flood forecasting systems: observation network, telecommunications, data centre or cloud, operations room, redundant power and multiple dissemination channels.</x:v>
      </x:c>
      <x:c r="S16" s="2" t="str">
        <x:v>Flood forecasting systems: electricity for sensing, communications, computing, cooling and warning devices, with batteries or generators for continuity during emergencies.</x:v>
      </x:c>
      <x:c r="T16" s="2" t="str">
        <x:v>Flood forecasting systems: electronics, semiconductors, copper cabling, batteries, antenna and mast materials, optical components, enclosures and calibration standards.</x:v>
      </x:c>
      <x:c r="U16" s="2" t="str">
        <x:v>Flood forecasting systems: sensor heads, batteries, solar modules, data loggers, modems, cables, connectors, storage media, calibration equipment and siren parts.</x:v>
      </x:c>
      <x:c r="V16" s="2" t="str">
        <x:v>https://www.ctc-n.org/sites/default/files/resources/ctcn_taxonomy_0.pdf</x:v>
      </x:c>
      <x:c r="W16" s="2" t="str">
        <x:v>https://institutoagricoladepueblobello.edu.co/colegiapp/archivostemas/GUIA%209.%5B25%5D.pdf</x:v>
      </x:c>
      <x:c r="X16" s="2" t="str">
        <x:v>https://iiasa.ac.at/what-is-technology</x:v>
      </x:c>
      <x:c r="Y16" s="2" t="str">
        <x:v>https://wmo.int/topics/early-warning-system; https://wmo.int/resources/publication-series/global-status-of-multi-hazard-early-warning-systems/global-status-of-multi-hazard-early-warning-systems-2025</x:v>
      </x:c>
      <x:c r="Z16" s="2" t="str">
        <x:v>Technology-specific analytical synthesis. The CTCN hierarchy is retained; classifications and component dependencies require validation against the selected design, site and supplier documentation before investment or policy use.</x:v>
      </x:c>
      <x:c r="AA16" s="2" t="str">
        <x:v>Physical deployment of Flood forecasting systems requires observation network, telecommunications, data centre or cloud, operations room, redundant power and multiple dissemination channels; interfaces, foundations, access and environmental protection are sized to the specific resource and design load.</x:v>
      </x:c>
      <x:c r="AB16" s="2" t="str">
        <x:v>For Flood forecasting systems,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6" s="2" t="str">
        <x:v>Construction and operation use electronics, semiconductors, copper cabling, batteries, antenna and mast materials, optical components, enclosures and calibration standards. For Flood forecasting systems, specifications must include durability, compatibility, recycled content and recoverability.</x:v>
      </x:c>
      <x:c r="AD16" s="2" t="str">
        <x:v>Maintenance of Flood forecasting systems depends on sensor heads, batteries, solar modules, data loggers, modems, cables, connectors, storage media, calibration equipment and siren parts; critical spares are selected from failure-mode, lead-time and safety analysis for its installed configuration.</x:v>
      </x:c>
      <x:c r="AE16" s="2" t="str">
        <x:v>The software stack for Flood forecasting systems requires databases, secure communications, version-controlled models, computing, backup and interfaces with field or operational systems.</x:v>
      </x:c>
      <x:c r="AF16" s="2" t="str">
        <x:v>For Flood forecasting systems, software-related energy is electricity for sensing, computing, storage, communication and cooling; it is normally secondary but must be included for data-intensive or continuous services.</x:v>
      </x:c>
      <x:c r="AG16" s="2" t="str">
        <x:v>The non-physical inputs are calibrated data, metadata, algorithms, boundary conditions, emission or hazard factors, manuals and validation records specific to Flood forecasting systems.</x:v>
      </x:c>
      <x:c r="AH16" s="2" t="str">
        <x:v>Software continuity for Flood forecasting systems requires licences where applicable, updates, cybersecurity patches, backups, calibration files, model validation and technical support.</x:v>
      </x:c>
      <x:c r="AI16" s="2" t="str">
        <x:v>Orgware depends on the institutions, laboratories, training providers, regulators, operators and community interfaces needed to govern Flood forecasting systems.</x:v>
      </x:c>
      <x:c r="AJ16" s="2" t="str">
        <x:v>The orgware supporting Flood forecasting systems has mainly indirect energy use from offices, meetings, training and information systems; travel and field supervision may be material at dispersed sites.</x:v>
      </x:c>
      <x:c r="AK16" s="2" t="str">
        <x:v>Its organisational inputs are permits, budgets, trained staff, competence records, contracts, procedures, safeguards, monitoring evidence and stakeholder agreements tailored to Flood forecasting systems.</x:v>
      </x:c>
      <x:c r="AL16" s="2" t="str">
        <x:v>Sustained implementation of Flood forecasting systems requires procurement and service contracts, audit protocols, training material, reporting templates, insurance or guarantees and periodic independent review.</x:v>
      </x:c>
      <x:c r="AM16" s="2" t="str">
        <x:v>Iron ore / steel inputs; Copper; Tin</x:v>
      </x:c>
      <x:c r="AN16" s="2" t="str">
        <x:v>Australia; Brazil; China; Chile; Democratic Republic of the Congo; Peru; Indonesia; Myanmar</x:v>
      </x:c>
      <x:c r="AO16" s="2" t="str">
        <x:v>China; India; Japan; Chile; Democratic Republic of the Congo; Indonesia; Malaysia</x:v>
      </x:c>
      <x:c r="AP16" s="2" t="str">
        <x:v>Flood forecasting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 s="2" t="str">
        <x:v>2024–2025</x:v>
      </x:c>
      <x:c r="AR16" s="2" t="str">
        <x:v>https://pubs.usgs.gov/periodicals/mcs2026/mcs2026.pdf</x:v>
      </x:c>
    </x:row>
    <x:row r="17" ht="240" customHeight="1">
      <x:c r="A17" s="2" t="str">
        <x:v>ADP-0010</x:v>
      </x:c>
      <x:c r="B17" s="2" t="str">
        <x:v>Adaptation</x:v>
      </x:c>
      <x:c r="C17" s="2" t="str">
        <x:v>Early Warning and Environmental Assesment</x:v>
      </x:c>
      <x:c r="D17" s="2" t="str">
        <x:v>Early warning systems</x:v>
      </x:c>
      <x:c r="E17" s="2" t="str">
        <x:v>Landslide and mudflow warning systems</x:v>
      </x:c>
      <x:c r="F17" s="2" t="str">
        <x:v>Landslide and mudflow warning systems is a adaptation technology in the Early Warning and Environmental Assesment sector and the Early warning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7" s="2" t="str">
        <x:v>Mixed: adaptable design, site-specific implementation</x:v>
      </x:c>
      <x:c r="H17" s="2" t="str">
        <x:v>Landslide and mudflow warning systems is adaptable in capacity and configuration but site-specific in final engineering. Its principle remains the same, but resource quality, climate, scale, interfaces and safety constraints must be recalculated for each deployment.</x:v>
      </x:c>
      <x:c r="I17" s="2" t="str">
        <x:v>Primarily hard, with a soft component</x:v>
      </x:c>
      <x:c r="J17" s="2" t="str">
        <x:v>Landslide and mudflow warning systems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7" s="2" t="str">
        <x:v>Operation</x:v>
      </x:c>
      <x:c r="L17" s="2" t="str">
        <x:v>Landslide and mudflow warning systems is embodied mainly as an operating practice. The deliverable is accepted only when measurable service, quality, safety and climate-performance criteria are met under real conditions.</x:v>
      </x:c>
      <x:c r="M17" s="2" t="str">
        <x:v>Yes, subject to life-cycle safeguards</x:v>
      </x:c>
      <x:c r="N17" s="2" t="str">
        <x:v>Landslide and mudflow warning systems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7" s="2" t="str">
        <x:v>Landslide and mudflow warning systems: in-situ stations, remote sensors, radar or lidar, satellites or receivers, telemetry, servers, backup power, sirens and communication terminals.</x:v>
      </x:c>
      <x:c r="P17" s="2" t="str">
        <x:v>Landslide and mudflow warning systems: quality control, geospatial processing, data assimilation, forecasting, downscaling, hazard and impact models, uncertainty treatment, alert logic and visualisation.</x:v>
      </x:c>
      <x:c r="Q17" s="2" t="str">
        <x:v>Landslide and mudflow warning systems: institutional mandates, data-sharing agreements, warning authority, standard operating procedures, last-mile communication, accessibility, drills and feedback.</x:v>
      </x:c>
      <x:c r="R17" s="2" t="str">
        <x:v>Landslide and mudflow warning systems: observation network, telecommunications, data centre or cloud, operations room, redundant power and multiple dissemination channels.</x:v>
      </x:c>
      <x:c r="S17" s="2" t="str">
        <x:v>Landslide and mudflow warning systems: electricity for sensing, communications, computing, cooling and warning devices, with batteries or generators for continuity during emergencies.</x:v>
      </x:c>
      <x:c r="T17" s="2" t="str">
        <x:v>Landslide and mudflow warning systems: electronics, semiconductors, copper cabling, batteries, antenna and mast materials, optical components, enclosures and calibration standards.</x:v>
      </x:c>
      <x:c r="U17" s="2" t="str">
        <x:v>Landslide and mudflow warning systems: sensor heads, batteries, solar modules, data loggers, modems, cables, connectors, storage media, calibration equipment and siren parts.</x:v>
      </x:c>
      <x:c r="V17" s="2" t="str">
        <x:v>https://www.ctc-n.org/sites/default/files/resources/ctcn_taxonomy_0.pdf</x:v>
      </x:c>
      <x:c r="W17" s="2" t="str">
        <x:v>https://institutoagricoladepueblobello.edu.co/colegiapp/archivostemas/GUIA%209.%5B25%5D.pdf</x:v>
      </x:c>
      <x:c r="X17" s="2" t="str">
        <x:v>https://iiasa.ac.at/what-is-technology</x:v>
      </x:c>
      <x:c r="Y17" s="2" t="str">
        <x:v>https://wmo.int/topics/early-warning-system; https://wmo.int/resources/publication-series/global-status-of-multi-hazard-early-warning-systems/global-status-of-multi-hazard-early-warning-systems-2025</x:v>
      </x:c>
      <x:c r="Z17" s="2" t="str">
        <x:v>Technology-specific analytical synthesis. The CTCN hierarchy is retained; classifications and component dependencies require validation against the selected design, site and supplier documentation before investment or policy use.</x:v>
      </x:c>
      <x:c r="AA17" s="2" t="str">
        <x:v>Physical deployment of Landslide and mudflow warning systems requires observation network, telecommunications, data centre or cloud, operations room, redundant power and multiple dissemination channels; interfaces, foundations, access and environmental protection are sized to the specific resource and design load.</x:v>
      </x:c>
      <x:c r="AB17" s="2" t="str">
        <x:v>For Landslide and mudflow warning systems,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7" s="2" t="str">
        <x:v>Construction and operation use electronics, semiconductors, copper cabling, batteries, antenna and mast materials, optical components, enclosures and calibration standards. For Landslide and mudflow warning systems, specifications must include durability, compatibility, recycled content and recoverability.</x:v>
      </x:c>
      <x:c r="AD17" s="2" t="str">
        <x:v>Maintenance of Landslide and mudflow warning systems depends on sensor heads, batteries, solar modules, data loggers, modems, cables, connectors, storage media, calibration equipment and siren parts; critical spares are selected from failure-mode, lead-time and safety analysis for its installed configuration.</x:v>
      </x:c>
      <x:c r="AE17" s="2" t="str">
        <x:v>The software stack for Landslide and mudflow warning systems requires databases, secure communications, version-controlled models, computing, backup and interfaces with field or operational systems.</x:v>
      </x:c>
      <x:c r="AF17" s="2" t="str">
        <x:v>For Landslide and mudflow warning systems, software-related energy is electricity for sensing, computing, storage, communication and cooling; it is normally secondary but must be included for data-intensive or continuous services.</x:v>
      </x:c>
      <x:c r="AG17" s="2" t="str">
        <x:v>The non-physical inputs are calibrated data, metadata, algorithms, boundary conditions, emission or hazard factors, manuals and validation records specific to Landslide and mudflow warning systems.</x:v>
      </x:c>
      <x:c r="AH17" s="2" t="str">
        <x:v>Software continuity for Landslide and mudflow warning systems requires licences where applicable, updates, cybersecurity patches, backups, calibration files, model validation and technical support.</x:v>
      </x:c>
      <x:c r="AI17" s="2" t="str">
        <x:v>Orgware depends on the institutions, laboratories, training providers, regulators, operators and community interfaces needed to govern Landslide and mudflow warning systems.</x:v>
      </x:c>
      <x:c r="AJ17" s="2" t="str">
        <x:v>The orgware supporting Landslide and mudflow warning systems has mainly indirect energy use from offices, meetings, training and information systems; travel and field supervision may be material at dispersed sites.</x:v>
      </x:c>
      <x:c r="AK17" s="2" t="str">
        <x:v>Its organisational inputs are permits, budgets, trained staff, competence records, contracts, procedures, safeguards, monitoring evidence and stakeholder agreements tailored to Landslide and mudflow warning systems.</x:v>
      </x:c>
      <x:c r="AL17" s="2" t="str">
        <x:v>Sustained implementation of Landslide and mudflow warning systems requires procurement and service contracts, audit protocols, training material, reporting templates, insurance or guarantees and periodic independent review.</x:v>
      </x:c>
      <x:c r="AM17" s="2" t="str">
        <x:v>Iron ore / steel inputs</x:v>
      </x:c>
      <x:c r="AN17" s="2" t="str">
        <x:v>Australia; Brazil; China</x:v>
      </x:c>
      <x:c r="AO17" s="2" t="str">
        <x:v>China; India; Japan</x:v>
      </x:c>
      <x:c r="AP17" s="2" t="str">
        <x:v>Landslide and mudflow warning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 s="2" t="str">
        <x:v>2024–2025</x:v>
      </x:c>
      <x:c r="AR17" s="2" t="str">
        <x:v>https://pubs.usgs.gov/periodicals/mcs2026/mcs2026.pdf</x:v>
      </x:c>
    </x:row>
    <x:row r="18" ht="240" customHeight="1">
      <x:c r="A18" s="2" t="str">
        <x:v>ADP-0011</x:v>
      </x:c>
      <x:c r="B18" s="2" t="str">
        <x:v>Adaptation</x:v>
      </x:c>
      <x:c r="C18" s="2" t="str">
        <x:v>Early Warning and Environmental Assesment</x:v>
      </x:c>
      <x:c r="D18" s="2" t="str">
        <x:v>Monitoring systems</x:v>
      </x:c>
      <x:c r="E18" s="2" t="str">
        <x:v>Monitoring of invasive species</x:v>
      </x:c>
      <x:c r="F18" s="2" t="str">
        <x:v>Monitoring of invasive species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Monitoring of invasive species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8" s="2" t="str">
        <x:v>Mixed: adaptable design, site-specific implementation</x:v>
      </x:c>
      <x:c r="H18" s="2" t="str">
        <x:v>Monitoring of invasive species is adaptable in capacity and configuration but site-specific in final engineering. Its principle remains the same, but resource quality, climate, scale, interfaces and safety constraints must be recalculated for each deployment.</x:v>
      </x:c>
      <x:c r="I18" s="2" t="str">
        <x:v>Hard and soft</x:v>
      </x:c>
      <x:c r="J18" s="2" t="str">
        <x:v>Monitoring of invasive species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8" s="2" t="str">
        <x:v>Operation and information service</x:v>
      </x:c>
      <x:c r="L18" s="2" t="str">
        <x:v>Monitoring of invasive species is embodied mainly as an information and decision service. The deliverable is accepted only when measurable service, quality, safety and climate-performance criteria are met under real conditions.</x:v>
      </x:c>
      <x:c r="M18" s="2" t="str">
        <x:v>Yes, subject to life-cycle safeguards</x:v>
      </x:c>
      <x:c r="N18" s="2" t="str">
        <x:v>Monitoring of invasive species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8" s="2" t="str">
        <x:v>Monitoring of invasive species: in-situ stations, remote sensors, radar or lidar, satellites or receivers, telemetry, servers, backup power, sirens and communication terminals.</x:v>
      </x:c>
      <x:c r="P18" s="2" t="str">
        <x:v>Monitoring of invasive species: quality control, geospatial processing, data assimilation, forecasting, downscaling, hazard and impact models, uncertainty treatment, alert logic and visualisation.</x:v>
      </x:c>
      <x:c r="Q18" s="2" t="str">
        <x:v>Monitoring of invasive species: institutional mandates, data-sharing agreements, warning authority, standard operating procedures, last-mile communication, accessibility, drills and feedback.</x:v>
      </x:c>
      <x:c r="R18" s="2" t="str">
        <x:v>Monitoring of invasive species: observation network, telecommunications, data centre or cloud, operations room, redundant power and multiple dissemination channels.</x:v>
      </x:c>
      <x:c r="S18" s="2" t="str">
        <x:v>Monitoring of invasive species: electricity for sensing, communications, computing, cooling and warning devices, with batteries or generators for continuity during emergencies.</x:v>
      </x:c>
      <x:c r="T18" s="2" t="str">
        <x:v>Monitoring of invasive species: electronics, semiconductors, copper cabling, batteries, antenna and mast materials, optical components, enclosures and calibration standards.</x:v>
      </x:c>
      <x:c r="U18" s="2" t="str">
        <x:v>Monitoring of invasive species: sensor heads, batteries, solar modules, data loggers, modems, cables, connectors, storage media, calibration equipment and siren parts.</x:v>
      </x:c>
      <x:c r="V18" s="2" t="str">
        <x:v>https://www.ctc-n.org/sites/default/files/resources/ctcn_taxonomy_0.pdf</x:v>
      </x:c>
      <x:c r="W18" s="2" t="str">
        <x:v>https://institutoagricoladepueblobello.edu.co/colegiapp/archivostemas/GUIA%209.%5B25%5D.pdf</x:v>
      </x:c>
      <x:c r="X18" s="2" t="str">
        <x:v>https://iiasa.ac.at/what-is-technology</x:v>
      </x:c>
      <x:c r="Y18" s="2" t="str">
        <x:v>https://wmo.int/topics/early-warning-system; https://wmo.int/resources/publication-series/global-status-of-multi-hazard-early-warning-systems/global-status-of-multi-hazard-early-warning-systems-2025</x:v>
      </x:c>
      <x:c r="Z18" s="2" t="str">
        <x:v>Technology-specific analytical synthesis. The CTCN hierarchy is retained; classifications and component dependencies require validation against the selected design, site and supplier documentation before investment or policy use.</x:v>
      </x:c>
      <x:c r="AA18" s="2" t="str">
        <x:v>Physical deployment of Monitoring of invasive species requires observation network, telecommunications, data centre or cloud, operations room, redundant power and multiple dissemination channels; interfaces, foundations, access and environmental protection are sized to the specific resource and design load.</x:v>
      </x:c>
      <x:c r="AB18" s="2" t="str">
        <x:v>For Monitoring of invasive species,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8" s="2" t="str">
        <x:v>Construction and operation use electronics, semiconductors, copper cabling, batteries, antenna and mast materials, optical components, enclosures and calibration standards. For Monitoring of invasive species, specifications must include durability, compatibility, recycled content and recoverability.</x:v>
      </x:c>
      <x:c r="AD18" s="2" t="str">
        <x:v>Maintenance of Monitoring of invasive species depends on sensor heads, batteries, solar modules, data loggers, modems, cables, connectors, storage media, calibration equipment and siren parts; critical spares are selected from failure-mode, lead-time and safety analysis for its installed configuration.</x:v>
      </x:c>
      <x:c r="AE18" s="2" t="str">
        <x:v>The software stack for Monitoring of invasive species requires databases, secure communications, version-controlled models, computing, backup and interfaces with field or operational systems.</x:v>
      </x:c>
      <x:c r="AF18" s="2" t="str">
        <x:v>For Monitoring of invasive species, software-related energy is electricity for sensing, computing, storage, communication and cooling; it is normally secondary but must be included for data-intensive or continuous services.</x:v>
      </x:c>
      <x:c r="AG18" s="2" t="str">
        <x:v>The non-physical inputs are calibrated data, metadata, algorithms, boundary conditions, emission or hazard factors, manuals and validation records specific to Monitoring of invasive species.</x:v>
      </x:c>
      <x:c r="AH18" s="2" t="str">
        <x:v>Software continuity for Monitoring of invasive species requires licences where applicable, updates, cybersecurity patches, backups, calibration files, model validation and technical support.</x:v>
      </x:c>
      <x:c r="AI18" s="2" t="str">
        <x:v>Orgware depends on the institutions, laboratories, training providers, regulators, operators and community interfaces needed to govern Monitoring of invasive species.</x:v>
      </x:c>
      <x:c r="AJ18" s="2" t="str">
        <x:v>The orgware supporting Monitoring of invasive species has mainly indirect energy use from offices, meetings, training and information systems; travel and field supervision may be material at dispersed sites.</x:v>
      </x:c>
      <x:c r="AK18" s="2" t="str">
        <x:v>Its organisational inputs are permits, budgets, trained staff, competence records, contracts, procedures, safeguards, monitoring evidence and stakeholder agreements tailored to Monitoring of invasive species.</x:v>
      </x:c>
      <x:c r="AL18" s="2" t="str">
        <x:v>Sustained implementation of Monitoring of invasive species requires procurement and service contracts, audit protocols, training material, reporting templates, insurance or guarantees and periodic independent review.</x:v>
      </x:c>
      <x:c r="AM18" s="2" t="str">
        <x:v>Iron ore / steel inputs; Copper; Tin</x:v>
      </x:c>
      <x:c r="AN18" s="2" t="str">
        <x:v>Australia; Brazil; China; Chile; Democratic Republic of the Congo; Peru; Indonesia; Myanmar</x:v>
      </x:c>
      <x:c r="AO18" s="2" t="str">
        <x:v>China; India; Japan; Chile; Democratic Republic of the Congo; Indonesia; Malaysia</x:v>
      </x:c>
      <x:c r="AP18" s="2" t="str">
        <x:v>Monitoring of invasive species: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 s="2" t="str">
        <x:v>2024–2025</x:v>
      </x:c>
      <x:c r="AR18" s="2" t="str">
        <x:v>https://pubs.usgs.gov/periodicals/mcs2026/mcs2026.pdf</x:v>
      </x:c>
    </x:row>
    <x:row r="19" ht="240" customHeight="1">
      <x:c r="A19" s="2" t="str">
        <x:v>ADP-0012</x:v>
      </x:c>
      <x:c r="B19" s="2" t="str">
        <x:v>Adaptation</x:v>
      </x:c>
      <x:c r="C19" s="2" t="str">
        <x:v>Early Warning and Environmental Assesment</x:v>
      </x:c>
      <x:c r="D19" s="2" t="str">
        <x:v>Monitoring systems</x:v>
      </x:c>
      <x:c r="E19" s="2" t="str">
        <x:v>Climate change monitoring</x:v>
      </x:c>
      <x:c r="F19" s="2" t="str">
        <x:v>Climate change monitoring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Climate change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19" s="2" t="str">
        <x:v>Mixed: adaptable design, site-specific implementation</x:v>
      </x:c>
      <x:c r="H19" s="2" t="str">
        <x:v>Climate change monitoring is adaptable in capacity and configuration but site-specific in final engineering. Its principle remains the same, but resource quality, climate, scale, interfaces and safety constraints must be recalculated for each deployment.</x:v>
      </x:c>
      <x:c r="I19" s="2" t="str">
        <x:v>Hard and soft</x:v>
      </x:c>
      <x:c r="J19" s="2" t="str">
        <x:v>Climate change monitoring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19" s="2" t="str">
        <x:v>Operation and information service</x:v>
      </x:c>
      <x:c r="L19" s="2" t="str">
        <x:v>Climate change monitoring is embodied mainly as an information and decision service. The deliverable is accepted only when measurable service, quality, safety and climate-performance criteria are met under real conditions.</x:v>
      </x:c>
      <x:c r="M19" s="2" t="str">
        <x:v>Yes, subject to life-cycle safeguards</x:v>
      </x:c>
      <x:c r="N19" s="2" t="str">
        <x:v>Climate change monitoring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19" s="2" t="str">
        <x:v>Climate change monitoring: in-situ stations, remote sensors, radar or lidar, satellites or receivers, telemetry, servers, backup power, sirens and communication terminals.</x:v>
      </x:c>
      <x:c r="P19" s="2" t="str">
        <x:v>Climate change monitoring: quality control, geospatial processing, data assimilation, forecasting, downscaling, hazard and impact models, uncertainty treatment, alert logic and visualisation.</x:v>
      </x:c>
      <x:c r="Q19" s="2" t="str">
        <x:v>Climate change monitoring: institutional mandates, data-sharing agreements, warning authority, standard operating procedures, last-mile communication, accessibility, drills and feedback.</x:v>
      </x:c>
      <x:c r="R19" s="2" t="str">
        <x:v>Climate change monitoring: observation network, telecommunications, data centre or cloud, operations room, redundant power and multiple dissemination channels.</x:v>
      </x:c>
      <x:c r="S19" s="2" t="str">
        <x:v>Climate change monitoring: electricity for sensing, communications, computing, cooling and warning devices, with batteries or generators for continuity during emergencies.</x:v>
      </x:c>
      <x:c r="T19" s="2" t="str">
        <x:v>Climate change monitoring: electronics, semiconductors, copper cabling, batteries, antenna and mast materials, optical components, enclosures and calibration standards.</x:v>
      </x:c>
      <x:c r="U19" s="2" t="str">
        <x:v>Climate change monitoring: sensor heads, batteries, solar modules, data loggers, modems, cables, connectors, storage media, calibration equipment and siren parts.</x:v>
      </x:c>
      <x:c r="V19" s="2" t="str">
        <x:v>https://www.ctc-n.org/sites/default/files/resources/ctcn_taxonomy_0.pdf</x:v>
      </x:c>
      <x:c r="W19" s="2" t="str">
        <x:v>https://institutoagricoladepueblobello.edu.co/colegiapp/archivostemas/GUIA%209.%5B25%5D.pdf</x:v>
      </x:c>
      <x:c r="X19" s="2" t="str">
        <x:v>https://iiasa.ac.at/what-is-technology</x:v>
      </x:c>
      <x:c r="Y19" s="2" t="str">
        <x:v>https://wmo.int/topics/early-warning-system; https://wmo.int/resources/publication-series/global-status-of-multi-hazard-early-warning-systems/global-status-of-multi-hazard-early-warning-systems-2025</x:v>
      </x:c>
      <x:c r="Z19" s="2" t="str">
        <x:v>Technology-specific analytical synthesis. The CTCN hierarchy is retained; classifications and component dependencies require validation against the selected design, site and supplier documentation before investment or policy use.</x:v>
      </x:c>
      <x:c r="AA19" s="2" t="str">
        <x:v>Physical deployment of Climate change monitoring requires observation network, telecommunications, data centre or cloud, operations room, redundant power and multiple dissemination channels; interfaces, foundations, access and environmental protection are sized to the specific resource and design load.</x:v>
      </x:c>
      <x:c r="AB19" s="2" t="str">
        <x:v>For Climate change monitoring,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19" s="2" t="str">
        <x:v>Construction and operation use electronics, semiconductors, copper cabling, batteries, antenna and mast materials, optical components, enclosures and calibration standards. For Climate change monitoring, specifications must include durability, compatibility, recycled content and recoverability.</x:v>
      </x:c>
      <x:c r="AD19" s="2" t="str">
        <x:v>Maintenance of Climate change monitoring depends on sensor heads, batteries, solar modules, data loggers, modems, cables, connectors, storage media, calibration equipment and siren parts; critical spares are selected from failure-mode, lead-time and safety analysis for its installed configuration.</x:v>
      </x:c>
      <x:c r="AE19" s="2" t="str">
        <x:v>The software stack for Climate change monitoring requires databases, secure communications, version-controlled models, computing, backup and interfaces with field or operational systems.</x:v>
      </x:c>
      <x:c r="AF19" s="2" t="str">
        <x:v>For Climate change monitoring, software-related energy is electricity for sensing, computing, storage, communication and cooling; it is normally secondary but must be included for data-intensive or continuous services.</x:v>
      </x:c>
      <x:c r="AG19" s="2" t="str">
        <x:v>The non-physical inputs are calibrated data, metadata, algorithms, boundary conditions, emission or hazard factors, manuals and validation records specific to Climate change monitoring.</x:v>
      </x:c>
      <x:c r="AH19" s="2" t="str">
        <x:v>Software continuity for Climate change monitoring requires licences where applicable, updates, cybersecurity patches, backups, calibration files, model validation and technical support.</x:v>
      </x:c>
      <x:c r="AI19" s="2" t="str">
        <x:v>Orgware depends on the institutions, laboratories, training providers, regulators, operators and community interfaces needed to govern Climate change monitoring.</x:v>
      </x:c>
      <x:c r="AJ19" s="2" t="str">
        <x:v>The orgware supporting Climate change monitoring has mainly indirect energy use from offices, meetings, training and information systems; travel and field supervision may be material at dispersed sites.</x:v>
      </x:c>
      <x:c r="AK19" s="2" t="str">
        <x:v>Its organisational inputs are permits, budgets, trained staff, competence records, contracts, procedures, safeguards, monitoring evidence and stakeholder agreements tailored to Climate change monitoring.</x:v>
      </x:c>
      <x:c r="AL19" s="2" t="str">
        <x:v>Sustained implementation of Climate change monitoring requires procurement and service contracts, audit protocols, training material, reporting templates, insurance or guarantees and periodic independent review.</x:v>
      </x:c>
      <x:c r="AM19" s="2" t="str">
        <x:v>Iron ore / steel inputs; Copper; Tin</x:v>
      </x:c>
      <x:c r="AN19" s="2" t="str">
        <x:v>Australia; Brazil; China; Chile; Democratic Republic of the Congo; Peru; Indonesia; Myanmar</x:v>
      </x:c>
      <x:c r="AO19" s="2" t="str">
        <x:v>China; India; Japan; Chile; Democratic Republic of the Congo; Indonesia; Malaysia</x:v>
      </x:c>
      <x:c r="AP19" s="2" t="str">
        <x:v>Climate change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 s="2" t="str">
        <x:v>2024–2025</x:v>
      </x:c>
      <x:c r="AR19" s="2" t="str">
        <x:v>https://pubs.usgs.gov/periodicals/mcs2026/mcs2026.pdf</x:v>
      </x:c>
    </x:row>
    <x:row r="20" ht="240" customHeight="1">
      <x:c r="A20" s="2" t="str">
        <x:v>ADP-0013</x:v>
      </x:c>
      <x:c r="B20" s="2" t="str">
        <x:v>Adaptation</x:v>
      </x:c>
      <x:c r="C20" s="2" t="str">
        <x:v>Early Warning and Environmental Assesment</x:v>
      </x:c>
      <x:c r="D20" s="2" t="str">
        <x:v>Monitoring systems</x:v>
      </x:c>
      <x:c r="E20" s="2" t="str">
        <x:v>Light detection and ranging</x:v>
      </x:c>
      <x:c r="F20" s="2" t="str">
        <x:v>Light detection and ranging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It measures reflected or emitted electromagnetic energy—or laser travel time—to derive georeferenced surface, vegetation, moisture or elevation variables over areas that cannot be sampled continuously on the ground.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0" s="2" t="str">
        <x:v>Mixed: adaptable design, site-specific implementation</x:v>
      </x:c>
      <x:c r="H20" s="2" t="str">
        <x:v>Light detection and ranging is adaptable in capacity and configuration but site-specific in final engineering. Its principle remains the same, but resource quality, climate, scale, interfaces and safety constraints must be recalculated for each deployment.</x:v>
      </x:c>
      <x:c r="I20" s="2" t="str">
        <x:v>Hard and soft</x:v>
      </x:c>
      <x:c r="J20" s="2" t="str">
        <x:v>Light detection and ranging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0" s="2" t="str">
        <x:v>Operation and information service</x:v>
      </x:c>
      <x:c r="L20" s="2" t="str">
        <x:v>Light detection and ranging is embodied mainly as an information and decision service. The deliverable is accepted only when measurable service, quality, safety and climate-performance criteria are met under real conditions.</x:v>
      </x:c>
      <x:c r="M20" s="2" t="str">
        <x:v>Yes, subject to life-cycle safeguards</x:v>
      </x:c>
      <x:c r="N20" s="2" t="str">
        <x:v>Light detection and ranging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0" s="2" t="str">
        <x:v>Light detection and ranging: in-situ stations, remote sensors, radar or lidar, satellites or receivers, telemetry, servers, backup power, sirens and communication terminals.</x:v>
      </x:c>
      <x:c r="P20" s="2" t="str">
        <x:v>Light detection and ranging: quality control, geospatial processing, data assimilation, forecasting, downscaling, hazard and impact models, uncertainty treatment, alert logic and visualisation.</x:v>
      </x:c>
      <x:c r="Q20" s="2" t="str">
        <x:v>Light detection and ranging: institutional mandates, data-sharing agreements, warning authority, standard operating procedures, last-mile communication, accessibility, drills and feedback.</x:v>
      </x:c>
      <x:c r="R20" s="2" t="str">
        <x:v>Light detection and ranging: observation network, telecommunications, data centre or cloud, operations room, redundant power and multiple dissemination channels.</x:v>
      </x:c>
      <x:c r="S20" s="2" t="str">
        <x:v>Light detection and ranging: electricity for sensing, communications, computing, cooling and warning devices, with batteries or generators for continuity during emergencies.</x:v>
      </x:c>
      <x:c r="T20" s="2" t="str">
        <x:v>Light detection and ranging: electronics, semiconductors, copper cabling, batteries, antenna and mast materials, optical components, enclosures and calibration standards.</x:v>
      </x:c>
      <x:c r="U20" s="2" t="str">
        <x:v>Light detection and ranging: sensor heads, batteries, solar modules, data loggers, modems, cables, connectors, storage media, calibration equipment and siren parts.</x:v>
      </x:c>
      <x:c r="V20" s="2" t="str">
        <x:v>https://www.ctc-n.org/sites/default/files/resources/ctcn_taxonomy_0.pdf</x:v>
      </x:c>
      <x:c r="W20" s="2" t="str">
        <x:v>https://institutoagricoladepueblobello.edu.co/colegiapp/archivostemas/GUIA%209.%5B25%5D.pdf</x:v>
      </x:c>
      <x:c r="X20" s="2" t="str">
        <x:v>https://iiasa.ac.at/what-is-technology</x:v>
      </x:c>
      <x:c r="Y20" s="2" t="str">
        <x:v>https://wmo.int/topics/early-warning-system; https://wmo.int/resources/publication-series/global-status-of-multi-hazard-early-warning-systems/global-status-of-multi-hazard-early-warning-systems-2025</x:v>
      </x:c>
      <x:c r="Z20" s="2" t="str">
        <x:v>Technology-specific analytical synthesis. The CTCN hierarchy is retained; classifications and component dependencies require validation against the selected design, site and supplier documentation before investment or policy use.</x:v>
      </x:c>
      <x:c r="AA20" s="2" t="str">
        <x:v>Physical deployment of Light detection and ranging requires observation network, telecommunications, data centre or cloud, operations room, redundant power and multiple dissemination channels; interfaces, foundations, access and environmental protection are sized to the specific resource and design load.</x:v>
      </x:c>
      <x:c r="AB20" s="2" t="str">
        <x:v>For Light detection and ranging,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0" s="2" t="str">
        <x:v>Construction and operation use electronics, semiconductors, copper cabling, batteries, antenna and mast materials, optical components, enclosures and calibration standards. For Light detection and ranging, specifications must include durability, compatibility, recycled content and recoverability.</x:v>
      </x:c>
      <x:c r="AD20" s="2" t="str">
        <x:v>Maintenance of Light detection and ranging depends on sensor heads, batteries, solar modules, data loggers, modems, cables, connectors, storage media, calibration equipment and siren parts; critical spares are selected from failure-mode, lead-time and safety analysis for its installed configuration.</x:v>
      </x:c>
      <x:c r="AE20" s="2" t="str">
        <x:v>The software stack for Light detection and ranging requires databases, secure communications, version-controlled models, computing, backup and interfaces with field or operational systems.</x:v>
      </x:c>
      <x:c r="AF20" s="2" t="str">
        <x:v>For Light detection and ranging, software-related energy is electricity for sensing, computing, storage, communication and cooling; it is normally secondary but must be included for data-intensive or continuous services.</x:v>
      </x:c>
      <x:c r="AG20" s="2" t="str">
        <x:v>The non-physical inputs are calibrated data, metadata, algorithms, boundary conditions, emission or hazard factors, manuals and validation records specific to Light detection and ranging.</x:v>
      </x:c>
      <x:c r="AH20" s="2" t="str">
        <x:v>Software continuity for Light detection and ranging requires licences where applicable, updates, cybersecurity patches, backups, calibration files, model validation and technical support.</x:v>
      </x:c>
      <x:c r="AI20" s="2" t="str">
        <x:v>Orgware depends on the institutions, laboratories, training providers, regulators, operators and community interfaces needed to govern Light detection and ranging.</x:v>
      </x:c>
      <x:c r="AJ20" s="2" t="str">
        <x:v>The orgware supporting Light detection and ranging has mainly indirect energy use from offices, meetings, training and information systems; travel and field supervision may be material at dispersed sites.</x:v>
      </x:c>
      <x:c r="AK20" s="2" t="str">
        <x:v>Its organisational inputs are permits, budgets, trained staff, competence records, contracts, procedures, safeguards, monitoring evidence and stakeholder agreements tailored to Light detection and ranging.</x:v>
      </x:c>
      <x:c r="AL20" s="2" t="str">
        <x:v>Sustained implementation of Light detection and ranging requires procurement and service contracts, audit protocols, training material, reporting templates, insurance or guarantees and periodic independent review.</x:v>
      </x:c>
      <x:c r="AM20" s="2" t="str">
        <x:v>Iron ore / steel inputs; Copper; Tin</x:v>
      </x:c>
      <x:c r="AN20" s="2" t="str">
        <x:v>Australia; Brazil; China; Chile; Democratic Republic of the Congo; Peru; Indonesia; Myanmar</x:v>
      </x:c>
      <x:c r="AO20" s="2" t="str">
        <x:v>China; India; Japan; Chile; Democratic Republic of the Congo; Indonesia; Malaysia</x:v>
      </x:c>
      <x:c r="AP20" s="2" t="str">
        <x:v>Light detection and ranging: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 s="2" t="str">
        <x:v>2024–2025</x:v>
      </x:c>
      <x:c r="AR20" s="2" t="str">
        <x:v>https://pubs.usgs.gov/periodicals/mcs2026/mcs2026.pdf</x:v>
      </x:c>
    </x:row>
    <x:row r="21" ht="240" customHeight="1">
      <x:c r="A21" s="2" t="str">
        <x:v>ADP-0014</x:v>
      </x:c>
      <x:c r="B21" s="2" t="str">
        <x:v>Adaptation</x:v>
      </x:c>
      <x:c r="C21" s="2" t="str">
        <x:v>Early Warning and Environmental Assesment</x:v>
      </x:c>
      <x:c r="D21" s="2" t="str">
        <x:v>Monitoring systems</x:v>
      </x:c>
      <x:c r="E21" s="2" t="str">
        <x:v>Water resource assessment</x:v>
      </x:c>
      <x:c r="F21" s="2" t="str">
        <x:v>Water resource assessment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Water resource assessment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1" s="2" t="str">
        <x:v>Flexible</x:v>
      </x:c>
      <x:c r="H21" s="2" t="str">
        <x:v>Water resource assessment is transferable through configurable methods, rules and operating parameters. Its principle remains the same, but resource quality, climate, scale, interfaces and safety constraints must be recalculated for each deployment.</x:v>
      </x:c>
      <x:c r="I21" s="2" t="str">
        <x:v>Hard and soft</x:v>
      </x:c>
      <x:c r="J21" s="2" t="str">
        <x:v>Water resource assessment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1" s="2" t="str">
        <x:v>Operation and information service</x:v>
      </x:c>
      <x:c r="L21" s="2" t="str">
        <x:v>Water resource assessment is embodied mainly as an information and decision service. The deliverable is accepted only when measurable service, quality, safety and climate-performance criteria are met under real conditions.</x:v>
      </x:c>
      <x:c r="M21" s="2" t="str">
        <x:v>Yes, subject to life-cycle safeguards</x:v>
      </x:c>
      <x:c r="N21" s="2" t="str">
        <x:v>Water resource assessment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1" s="2" t="str">
        <x:v>Water resource assessment: in-situ stations, remote sensors, radar or lidar, satellites or receivers, telemetry, servers, backup power, sirens and communication terminals.</x:v>
      </x:c>
      <x:c r="P21" s="2" t="str">
        <x:v>Water resource assessment: quality control, geospatial processing, data assimilation, forecasting, downscaling, hazard and impact models, uncertainty treatment, alert logic and visualisation.</x:v>
      </x:c>
      <x:c r="Q21" s="2" t="str">
        <x:v>Water resource assessment: institutional mandates, data-sharing agreements, warning authority, standard operating procedures, last-mile communication, accessibility, drills and feedback.</x:v>
      </x:c>
      <x:c r="R21" s="2" t="str">
        <x:v>Water resource assessment: observation network, telecommunications, data centre or cloud, operations room, redundant power and multiple dissemination channels.</x:v>
      </x:c>
      <x:c r="S21" s="2" t="str">
        <x:v>Water resource assessment: electricity for sensing, communications, computing, cooling and warning devices, with batteries or generators for continuity during emergencies.</x:v>
      </x:c>
      <x:c r="T21" s="2" t="str">
        <x:v>Water resource assessment: electronics, semiconductors, copper cabling, batteries, antenna and mast materials, optical components, enclosures and calibration standards.</x:v>
      </x:c>
      <x:c r="U21" s="2" t="str">
        <x:v>Water resource assessment: sensor heads, batteries, solar modules, data loggers, modems, cables, connectors, storage media, calibration equipment and siren parts.</x:v>
      </x:c>
      <x:c r="V21" s="2" t="str">
        <x:v>https://www.ctc-n.org/sites/default/files/resources/ctcn_taxonomy_0.pdf</x:v>
      </x:c>
      <x:c r="W21" s="2" t="str">
        <x:v>https://institutoagricoladepueblobello.edu.co/colegiapp/archivostemas/GUIA%209.%5B25%5D.pdf</x:v>
      </x:c>
      <x:c r="X21" s="2" t="str">
        <x:v>https://iiasa.ac.at/what-is-technology</x:v>
      </x:c>
      <x:c r="Y21" s="2" t="str">
        <x:v>https://wmo.int/topics/early-warning-system; https://wmo.int/resources/publication-series/global-status-of-multi-hazard-early-warning-systems/global-status-of-multi-hazard-early-warning-systems-2025</x:v>
      </x:c>
      <x:c r="Z21" s="2" t="str">
        <x:v>Technology-specific analytical synthesis. The CTCN hierarchy is retained; classifications and component dependencies require validation against the selected design, site and supplier documentation before investment or policy use.</x:v>
      </x:c>
      <x:c r="AA21" s="2" t="str">
        <x:v>Physical deployment of Water resource assessment requires observation network, telecommunications, data centre or cloud, operations room, redundant power and multiple dissemination channels; interfaces, foundations, access and environmental protection are sized to the specific resource and design load.</x:v>
      </x:c>
      <x:c r="AB21" s="2" t="str">
        <x:v>For Water resource assessment,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1" s="2" t="str">
        <x:v>Construction and operation use electronics, semiconductors, copper cabling, batteries, antenna and mast materials, optical components, enclosures and calibration standards. For Water resource assessment, specifications must include durability, compatibility, recycled content and recoverability.</x:v>
      </x:c>
      <x:c r="AD21" s="2" t="str">
        <x:v>Maintenance of Water resource assessment depends on sensor heads, batteries, solar modules, data loggers, modems, cables, connectors, storage media, calibration equipment and siren parts; critical spares are selected from failure-mode, lead-time and safety analysis for its installed configuration.</x:v>
      </x:c>
      <x:c r="AE21" s="2" t="str">
        <x:v>The software stack for Water resource assessment requires databases, secure communications, version-controlled models, computing, backup and interfaces with field or operational systems.</x:v>
      </x:c>
      <x:c r="AF21" s="2" t="str">
        <x:v>For Water resource assessment, software-related energy is electricity for sensing, computing, storage, communication and cooling; it is normally secondary but must be included for data-intensive or continuous services.</x:v>
      </x:c>
      <x:c r="AG21" s="2" t="str">
        <x:v>The non-physical inputs are calibrated data, metadata, algorithms, boundary conditions, emission or hazard factors, manuals and validation records specific to Water resource assessment.</x:v>
      </x:c>
      <x:c r="AH21" s="2" t="str">
        <x:v>Software continuity for Water resource assessment requires licences where applicable, updates, cybersecurity patches, backups, calibration files, model validation and technical support.</x:v>
      </x:c>
      <x:c r="AI21" s="2" t="str">
        <x:v>Orgware depends on the institutions, laboratories, training providers, regulators, operators and community interfaces needed to govern Water resource assessment.</x:v>
      </x:c>
      <x:c r="AJ21" s="2" t="str">
        <x:v>The orgware supporting Water resource assessment has mainly indirect energy use from offices, meetings, training and information systems; travel and field supervision may be material at dispersed sites.</x:v>
      </x:c>
      <x:c r="AK21" s="2" t="str">
        <x:v>Its organisational inputs are permits, budgets, trained staff, competence records, contracts, procedures, safeguards, monitoring evidence and stakeholder agreements tailored to Water resource assessment.</x:v>
      </x:c>
      <x:c r="AL21" s="2" t="str">
        <x:v>Sustained implementation of Water resource assessment requires procurement and service contracts, audit protocols, training material, reporting templates, insurance or guarantees and periodic independent review.</x:v>
      </x:c>
      <x:c r="AM21" s="2" t="str">
        <x:v>Iron ore / steel inputs; Copper; Tin</x:v>
      </x:c>
      <x:c r="AN21" s="2" t="str">
        <x:v>Australia; Brazil; China; Chile; Democratic Republic of the Congo; Peru; Indonesia; Myanmar</x:v>
      </x:c>
      <x:c r="AO21" s="2" t="str">
        <x:v>China; India; Japan; Chile; Democratic Republic of the Congo; Indonesia; Malaysia</x:v>
      </x:c>
      <x:c r="AP21" s="2" t="str">
        <x:v>Water resource assessment: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1" s="2" t="str">
        <x:v>2024–2025</x:v>
      </x:c>
      <x:c r="AR21" s="2" t="str">
        <x:v>https://pubs.usgs.gov/periodicals/mcs2026/mcs2026.pdf</x:v>
      </x:c>
    </x:row>
    <x:row r="22" ht="240" customHeight="1">
      <x:c r="A22" s="2" t="str">
        <x:v>ADP-0015</x:v>
      </x:c>
      <x:c r="B22" s="2" t="str">
        <x:v>Adaptation</x:v>
      </x:c>
      <x:c r="C22" s="2" t="str">
        <x:v>Early Warning and Environmental Assesment</x:v>
      </x:c>
      <x:c r="D22" s="2" t="str">
        <x:v>Monitoring systems</x:v>
      </x:c>
      <x:c r="E22" s="2" t="str">
        <x:v>Ecosystem monitoring</x:v>
      </x:c>
      <x:c r="F22" s="2" t="str">
        <x:v>Ecosystem monitoring is a adaptation technology in the Early Warning and Environmental Assesment sector and the Monitoring systems technology group. It is defined as a combined hardware–software–orgware system that observes hazards and exposure, assimilates data, models possible evolution, converts forecasts into impact-based warnings and disseminates actionable information before thresholds are exceeded. Ecosystem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22" s="2" t="str">
        <x:v>Mixed: adaptable design, site-specific implementation</x:v>
      </x:c>
      <x:c r="H22" s="2" t="str">
        <x:v>Ecosystem monitoring is adaptable in capacity and configuration but site-specific in final engineering. Its principle remains the same, but resource quality, climate, scale, interfaces and safety constraints must be recalculated for each deployment.</x:v>
      </x:c>
      <x:c r="I22" s="2" t="str">
        <x:v>Hard and soft</x:v>
      </x:c>
      <x:c r="J22" s="2" t="str">
        <x:v>Ecosystem monitoring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22" s="2" t="str">
        <x:v>Operation and information service</x:v>
      </x:c>
      <x:c r="L22" s="2" t="str">
        <x:v>Ecosystem monitoring is embodied mainly as an information and decision service. The deliverable is accepted only when measurable service, quality, safety and climate-performance criteria are met under real conditions.</x:v>
      </x:c>
      <x:c r="M22" s="2" t="str">
        <x:v>Yes, subject to life-cycle safeguards</x:v>
      </x:c>
      <x:c r="N22" s="2" t="str">
        <x:v>Ecosystem monitoring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22" s="2" t="str">
        <x:v>Ecosystem monitoring: in-situ stations, remote sensors, radar or lidar, satellites or receivers, telemetry, servers, backup power, sirens and communication terminals.</x:v>
      </x:c>
      <x:c r="P22" s="2" t="str">
        <x:v>Ecosystem monitoring: quality control, geospatial processing, data assimilation, forecasting, downscaling, hazard and impact models, uncertainty treatment, alert logic and visualisation.</x:v>
      </x:c>
      <x:c r="Q22" s="2" t="str">
        <x:v>Ecosystem monitoring: institutional mandates, data-sharing agreements, warning authority, standard operating procedures, last-mile communication, accessibility, drills and feedback.</x:v>
      </x:c>
      <x:c r="R22" s="2" t="str">
        <x:v>Ecosystem monitoring: observation network, telecommunications, data centre or cloud, operations room, redundant power and multiple dissemination channels.</x:v>
      </x:c>
      <x:c r="S22" s="2" t="str">
        <x:v>Ecosystem monitoring: electricity for sensing, communications, computing, cooling and warning devices, with batteries or generators for continuity during emergencies.</x:v>
      </x:c>
      <x:c r="T22" s="2" t="str">
        <x:v>Ecosystem monitoring: electronics, semiconductors, copper cabling, batteries, antenna and mast materials, optical components, enclosures and calibration standards.</x:v>
      </x:c>
      <x:c r="U22" s="2" t="str">
        <x:v>Ecosystem monitoring: sensor heads, batteries, solar modules, data loggers, modems, cables, connectors, storage media, calibration equipment and siren parts.</x:v>
      </x:c>
      <x:c r="V22" s="2" t="str">
        <x:v>https://www.ctc-n.org/sites/default/files/resources/ctcn_taxonomy_0.pdf</x:v>
      </x:c>
      <x:c r="W22" s="2" t="str">
        <x:v>https://institutoagricoladepueblobello.edu.co/colegiapp/archivostemas/GUIA%209.%5B25%5D.pdf</x:v>
      </x:c>
      <x:c r="X22" s="2" t="str">
        <x:v>https://iiasa.ac.at/what-is-technology</x:v>
      </x:c>
      <x:c r="Y22" s="2" t="str">
        <x:v>https://wmo.int/topics/early-warning-system; https://wmo.int/resources/publication-series/global-status-of-multi-hazard-early-warning-systems/global-status-of-multi-hazard-early-warning-systems-2025</x:v>
      </x:c>
      <x:c r="Z22" s="2" t="str">
        <x:v>Technology-specific analytical synthesis. The CTCN hierarchy is retained; classifications and component dependencies require validation against the selected design, site and supplier documentation before investment or policy use.</x:v>
      </x:c>
      <x:c r="AA22" s="2" t="str">
        <x:v>Physical deployment of Ecosystem monitoring requires observation network, telecommunications, data centre or cloud, operations room, redundant power and multiple dissemination channels; interfaces, foundations, access and environmental protection are sized to the specific resource and design load.</x:v>
      </x:c>
      <x:c r="AB22" s="2" t="str">
        <x:v>For Ecosystem monitoring,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22" s="2" t="str">
        <x:v>Construction and operation use electronics, semiconductors, copper cabling, batteries, antenna and mast materials, optical components, enclosures and calibration standards. For Ecosystem monitoring, specifications must include durability, compatibility, recycled content and recoverability.</x:v>
      </x:c>
      <x:c r="AD22" s="2" t="str">
        <x:v>Maintenance of Ecosystem monitoring depends on sensor heads, batteries, solar modules, data loggers, modems, cables, connectors, storage media, calibration equipment and siren parts; critical spares are selected from failure-mode, lead-time and safety analysis for its installed configuration.</x:v>
      </x:c>
      <x:c r="AE22" s="2" t="str">
        <x:v>The software stack for Ecosystem monitoring requires databases, secure communications, version-controlled models, computing, backup and interfaces with field or operational systems.</x:v>
      </x:c>
      <x:c r="AF22" s="2" t="str">
        <x:v>For Ecosystem monitoring, software-related energy is electricity for sensing, computing, storage, communication and cooling; it is normally secondary but must be included for data-intensive or continuous services.</x:v>
      </x:c>
      <x:c r="AG22" s="2" t="str">
        <x:v>The non-physical inputs are calibrated data, metadata, algorithms, boundary conditions, emission or hazard factors, manuals and validation records specific to Ecosystem monitoring.</x:v>
      </x:c>
      <x:c r="AH22" s="2" t="str">
        <x:v>Software continuity for Ecosystem monitoring requires licences where applicable, updates, cybersecurity patches, backups, calibration files, model validation and technical support.</x:v>
      </x:c>
      <x:c r="AI22" s="2" t="str">
        <x:v>Orgware depends on the institutions, laboratories, training providers, regulators, operators and community interfaces needed to govern Ecosystem monitoring.</x:v>
      </x:c>
      <x:c r="AJ22" s="2" t="str">
        <x:v>The orgware supporting Ecosystem monitoring has mainly indirect energy use from offices, meetings, training and information systems; travel and field supervision may be material at dispersed sites.</x:v>
      </x:c>
      <x:c r="AK22" s="2" t="str">
        <x:v>Its organisational inputs are permits, budgets, trained staff, competence records, contracts, procedures, safeguards, monitoring evidence and stakeholder agreements tailored to Ecosystem monitoring.</x:v>
      </x:c>
      <x:c r="AL22" s="2" t="str">
        <x:v>Sustained implementation of Ecosystem monitoring requires procurement and service contracts, audit protocols, training material, reporting templates, insurance or guarantees and periodic independent review.</x:v>
      </x:c>
      <x:c r="AM22" s="2" t="str">
        <x:v>Iron ore / steel inputs; Copper; Tin</x:v>
      </x:c>
      <x:c r="AN22" s="2" t="str">
        <x:v>Australia; Brazil; China; Chile; Democratic Republic of the Congo; Peru; Indonesia; Myanmar</x:v>
      </x:c>
      <x:c r="AO22" s="2" t="str">
        <x:v>China; India; Japan; Chile; Democratic Republic of the Congo; Indonesia; Malaysia</x:v>
      </x:c>
      <x:c r="AP22" s="2" t="str">
        <x:v>Ecosystem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2" s="2" t="str">
        <x:v>2024–2025</x:v>
      </x:c>
      <x:c r="AR22" s="2" t="str">
        <x:v>https://pubs.usgs.gov/periodicals/mcs2026/mcs2026.pdf</x:v>
      </x:c>
    </x:row>
    <x:row r="23" ht="240" customHeight="1">
      <x:c r="A23" s="2" t="str">
        <x:v>ADP-0016</x:v>
      </x:c>
      <x:c r="B23" s="2" t="str">
        <x:v>Adaptation</x:v>
      </x:c>
      <x:c r="C23" s="2" t="str">
        <x:v>Early Warning and Environmental Assesment</x:v>
      </x:c>
      <x:c r="D23" s="2" t="str">
        <x:v>Improved weather forecasting &amp; hydrometeorological networks</x:v>
      </x:c>
      <x:c r="E23" s="2" t="str">
        <x:v>Improved weather forecasting &amp; hydrometeorological networks</x:v>
      </x:c>
      <x:c r="F23" s="2" t="str">
        <x:v>Improved weather forecasting &amp; hydrometeorological networks is a adaptation technology in the Early Warning and Environmental Assesment sector and the Improved weather forecasting &amp; hydrometeorological networks technology group. It is defined as a combined hardware–software–orgware system that converts a renewable solar, wind, water, ocean, geothermal or chemical resource into electricity, heat or mechanical work while controlling variability and conversion losses.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23" s="2" t="str">
        <x:v>Mixed: adaptable design, site-specific implementation</x:v>
      </x:c>
      <x:c r="H23" s="2" t="str">
        <x:v>Improved weather forecasting &amp; hydrometeorological networks is adaptable in capacity and configuration but site-specific in final engineering. Its principle remains the same, but resource quality, climate, scale, interfaces and safety constraints must be recalculated for each deployment.</x:v>
      </x:c>
      <x:c r="I23" s="2" t="str">
        <x:v>Hard and soft</x:v>
      </x:c>
      <x:c r="J23" s="2" t="str">
        <x:v>Improved weather forecasting &amp; hydrometeorological networks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23" s="2" t="str">
        <x:v>Operation and information service</x:v>
      </x:c>
      <x:c r="L23" s="2" t="str">
        <x:v>Improved weather forecasting &amp; hydrometeorological networks is embodied mainly as an information and decision service. The deliverable is accepted only when measurable service, quality, safety and climate-performance criteria are met under real conditions.</x:v>
      </x:c>
      <x:c r="M23" s="2" t="str">
        <x:v>Yes, subject to life-cycle safeguards</x:v>
      </x:c>
      <x:c r="N23" s="2" t="str">
        <x:v>Improved weather forecasting &amp; hydrometeorological networks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23" s="2" t="str">
        <x:v>Improved weather forecasting &amp; hydrometeorological networks: resource collector or prime mover, generator or heat exchanger, support structure, power conversion, protection, metering and connection equipment.</x:v>
      </x:c>
      <x:c r="P23" s="2" t="str">
        <x:v>Improved weather forecasting &amp; hydrometeorological networks: resource assessment, energy-yield modelling, forecasting, maximum-power or process control, dispatch, condition monitoring and maintenance planning.</x:v>
      </x:c>
      <x:c r="Q23" s="2" t="str">
        <x:v>Improved weather forecasting &amp; hydrometeorological networks: resource and land or sea rights, environmental licensing, grid code, safety, community participation, revenue contract and decommissioning plan.</x:v>
      </x:c>
      <x:c r="R23" s="2" t="str">
        <x:v>Improved weather forecasting &amp; hydrometeorological networks: foundations, access, electrical or thermal network, substation, control and communications, drainage and construction or marine logistics.</x:v>
      </x:c>
      <x:c r="S23" s="2" t="str">
        <x:v>Improved weather forecasting &amp; hydrometeorological networks: the renewable resource is the primary input; auxiliary electricity, start-up fuel, pumping or thermal energy may be required depending on the design.</x:v>
      </x:c>
      <x:c r="T23" s="2" t="str">
        <x:v>Improved weather forecasting &amp; hydrometeorological networks: steel, concrete, copper, aluminium, polymers, glass and technology-specific materials such as silicon, magnets, coatings, catalysts or working fluids.</x:v>
      </x:c>
      <x:c r="U23" s="2" t="str">
        <x:v>Improved weather forecasting &amp; hydrometeorological networks: bearings, seals, filters, lubricants, sensors, converter parts, cables, fasteners, coatings and replaceable collector or heat-exchanger components.</x:v>
      </x:c>
      <x:c r="V23" s="2" t="str">
        <x:v>https://www.ctc-n.org/sites/default/files/resources/ctcn_taxonomy_0.pdf</x:v>
      </x:c>
      <x:c r="W23" s="2" t="str">
        <x:v>https://institutoagricoladepueblobello.edu.co/colegiapp/archivostemas/GUIA%209.%5B25%5D.pdf</x:v>
      </x:c>
      <x:c r="X23" s="2" t="str">
        <x:v>https://iiasa.ac.at/what-is-technology</x:v>
      </x:c>
      <x:c r="Y23" s="2" t="str">
        <x:v>https://wmo.int/topics/early-warning-system; https://www.iea.org/data-and-statistics/data-tools/etp-clean-energy-technology-guide</x:v>
      </x:c>
      <x:c r="Z23" s="2" t="str">
        <x:v>Technology-specific analytical synthesis. The CTCN hierarchy is retained; classifications and component dependencies require validation against the selected design, site and supplier documentation before investment or policy use.</x:v>
      </x:c>
      <x:c r="AA23" s="2" t="str">
        <x:v>Physical deployment of Improved weather forecasting &amp; hydrometeorological networks requires foundations, access, electrical or thermal network, substation, control and communications, drainage and construction or marine logistics; interfaces, foundations, access and environmental protection are sized to the specific resource and design load.</x:v>
      </x:c>
      <x:c r="AB23" s="2" t="str">
        <x:v>For Improved weather forecasting &amp; hydrometeorological networks,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23" s="2" t="str">
        <x:v>Construction and operation use steel, concrete, copper, aluminium, polymers, glass and technology-specific materials such as silicon, magnets, coatings, catalysts or working fluids. For Improved weather forecasting &amp; hydrometeorological networks, specifications must include durability, compatibility, recycled content and recoverability.</x:v>
      </x:c>
      <x:c r="AD23" s="2" t="str">
        <x:v>Maintenance of Improved weather forecasting &amp; hydrometeorological networks depends on bearings, seals, filters, lubricants, sensors, converter parts, cables, fasteners, coatings and replaceable collector or heat-exchanger components; critical spares are selected from failure-mode, lead-time and safety analysis for its installed configuration.</x:v>
      </x:c>
      <x:c r="AE23" s="2" t="str">
        <x:v>The software stack for Improved weather forecasting &amp; hydrometeorological networks requires databases, secure communications, version-controlled models, computing, backup and interfaces with field or operational systems.</x:v>
      </x:c>
      <x:c r="AF23" s="2" t="str">
        <x:v>For Improved weather forecasting &amp; hydrometeorological networks, software-related energy is electricity for sensing, computing, storage, communication and cooling; it is normally secondary but must be included for data-intensive or continuous services.</x:v>
      </x:c>
      <x:c r="AG23" s="2" t="str">
        <x:v>The non-physical inputs are calibrated data, metadata, algorithms, boundary conditions, emission or hazard factors, manuals and validation records specific to Improved weather forecasting &amp; hydrometeorological networks.</x:v>
      </x:c>
      <x:c r="AH23" s="2" t="str">
        <x:v>Software continuity for Improved weather forecasting &amp; hydrometeorological networks requires licences where applicable, updates, cybersecurity patches, backups, calibration files, model validation and technical support.</x:v>
      </x:c>
      <x:c r="AI23" s="2" t="str">
        <x:v>Orgware depends on the institutions, laboratories, training providers, regulators, operators and community interfaces needed to govern Improved weather forecasting &amp; hydrometeorological networks.</x:v>
      </x:c>
      <x:c r="AJ23" s="2" t="str">
        <x:v>The orgware supporting Improved weather forecasting &amp; hydrometeorological networks has mainly indirect energy use from offices, meetings, training and information systems; travel and field supervision may be material at dispersed sites.</x:v>
      </x:c>
      <x:c r="AK23" s="2" t="str">
        <x:v>Its organisational inputs are permits, budgets, trained staff, competence records, contracts, procedures, safeguards, monitoring evidence and stakeholder agreements tailored to Improved weather forecasting &amp; hydrometeorological networks.</x:v>
      </x:c>
      <x:c r="AL23" s="2" t="str">
        <x:v>Sustained implementation of Improved weather forecasting &amp; hydrometeorological networks requires procurement and service contracts, audit protocols, training material, reporting templates, insurance or guarantees and periodic independent review.</x:v>
      </x:c>
      <x:c r="AM23" s="2" t="str">
        <x:v>Iron ore / steel inputs; Copper; Tin</x:v>
      </x:c>
      <x:c r="AN23" s="2" t="str">
        <x:v>Australia; Brazil; China; Chile; Democratic Republic of the Congo; Peru; Indonesia; Myanmar</x:v>
      </x:c>
      <x:c r="AO23" s="2" t="str">
        <x:v>China; India; Japan; Chile; Democratic Republic of the Congo; Indonesia; Malaysia</x:v>
      </x:c>
      <x:c r="AP23" s="2" t="str">
        <x:v>Improved weather forecasting &amp; hydrometeorological networks: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3" s="2" t="str">
        <x:v>2024–2025</x:v>
      </x:c>
      <x:c r="AR23" s="2" t="str">
        <x:v>https://pubs.usgs.gov/periodicals/mcs2026/mcs2026.pdf</x:v>
      </x:c>
    </x:row>
    <x:row r="24" ht="240" customHeight="1">
      <x:c r="A24" s="2" t="str">
        <x:v>ADP-0017</x:v>
      </x:c>
      <x:c r="B24" s="2" t="str">
        <x:v>Adaptation</x:v>
      </x:c>
      <x:c r="C24" s="2" t="str">
        <x:v>Agriculture and Forestry</x:v>
      </x:c>
      <x:c r="D24" s="2" t="str">
        <x:v>Terrestrial ecosystems management</x:v>
      </x:c>
      <x:c r="E24" s="2" t="str">
        <x:v>Ecological corridors</x:v>
      </x:c>
      <x:c r="F24" s="2" t="str">
        <x:v>Ecological corridors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Ecological corridors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4" s="2" t="str">
        <x:v>Flexible</x:v>
      </x:c>
      <x:c r="H24" s="2" t="str">
        <x:v>Ecological corridors is transferable through configurable methods, rules and operating parameters. Its principle remains the same, but resource quality, climate, scale, interfaces and safety constraints must be recalculated for each deployment.</x:v>
      </x:c>
      <x:c r="I24" s="2" t="str">
        <x:v>Primarily soft, with physical support</x:v>
      </x:c>
      <x:c r="J24" s="2" t="str">
        <x:v>Ecological corridors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4" s="2" t="str">
        <x:v>Operation</x:v>
      </x:c>
      <x:c r="L24" s="2" t="str">
        <x:v>Ecological corridors is embodied mainly as an operating practice. The deliverable is accepted only when measurable service, quality, safety and climate-performance criteria are met under real conditions.</x:v>
      </x:c>
      <x:c r="M24" s="2" t="str">
        <x:v>Yes, subject to life-cycle safeguards</x:v>
      </x:c>
      <x:c r="N24" s="2" t="str">
        <x:v>Ecological corridors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4" s="2" t="str">
        <x:v>Ecological corridors: field or forest implements, planting and irrigation equipment, storage or livestock facilities, sampling tools, sensors and protective structures as required.</x:v>
      </x:c>
      <x:c r="P24" s="2" t="str">
        <x:v>Ecological corridors: soil–crop–livestock knowledge, nutrient and water budgets, emission factors, carbon accounting, climate services, monitoring protocols and adaptive management.</x:v>
      </x:c>
      <x:c r="Q24" s="2" t="str">
        <x:v>Ecological corridors: land tenure, extension, producer organisations, veterinary or phytosanitary services, incentives, safeguards, certification and monitoring arrangements.</x:v>
      </x:c>
      <x:c r="R24" s="2" t="str">
        <x:v>Ecological corridors: nurseries or seed banks, field access, water and storage systems, laboratories, extension centres, monitoring plots and processing or market facilities.</x:v>
      </x:c>
      <x:c r="S24" s="2" t="str">
        <x:v>Ecological corridors: human and mechanical work, electricity or fuel for machinery, pumping, cooling and processing; biological energy and solar radiation dominate field processes.</x:v>
      </x:c>
      <x:c r="T24" s="2" t="str">
        <x:v>Ecological corridors: seed or planting stock, organic matter, fertilisers, soil amendments, water, fencing or structural materials, veterinary inputs and monitoring consumables.</x:v>
      </x:c>
      <x:c r="U24" s="2" t="str">
        <x:v>Ecological corridors: seed, inoculants, filters, drip lines, nozzles, tool parts, sampling containers, sensor batteries, veterinary supplies and protective equipment.</x:v>
      </x:c>
      <x:c r="V24" s="2" t="str">
        <x:v>https://www.ctc-n.org/sites/default/files/resources/ctcn_taxonomy_0.pdf</x:v>
      </x:c>
      <x:c r="W24" s="2" t="str">
        <x:v>https://institutoagricoladepueblobello.edu.co/colegiapp/archivostemas/GUIA%209.%5B25%5D.pdf</x:v>
      </x:c>
      <x:c r="X24" s="2" t="str">
        <x:v>https://iiasa.ac.at/what-is-technology</x:v>
      </x:c>
      <x:c r="Y24" s="2" t="str">
        <x:v>https://www.fao.org/climate-change/en; https://www.ipcc.ch/report/ar6/wg3/chapter/chapter-7/; https://openknowledge.fao.org/server/api/core/bitstreams/b21f2087-f398-4718-8461-b92afc82e617/content</x:v>
      </x:c>
      <x:c r="Z24" s="2" t="str">
        <x:v>Technology-specific analytical synthesis. The CTCN hierarchy is retained; classifications and component dependencies require validation against the selected design, site and supplier documentation before investment or policy use.</x:v>
      </x:c>
      <x:c r="AA24" s="2" t="str">
        <x:v>Physical deployment of Ecological corridors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4" s="2" t="str">
        <x:v>For Ecological corridors,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4" s="2" t="str">
        <x:v>Construction and operation use seed or planting stock, organic matter, fertilisers, soil amendments, water, fencing or structural materials, veterinary inputs and monitoring consumables. For Ecological corridors, specifications must include durability, compatibility, recycled content and recoverability.</x:v>
      </x:c>
      <x:c r="AD24" s="2" t="str">
        <x:v>Maintenance of Ecological corridors depends on seed, inoculants, filters, drip lines, nozzles, tool parts, sampling containers, sensor batteries, veterinary supplies and protective equipment; critical spares are selected from failure-mode, lead-time and safety analysis for its installed configuration.</x:v>
      </x:c>
      <x:c r="AE24" s="2" t="str">
        <x:v>The software stack for Ecological corridors requires databases, secure communications, version-controlled models, computing, backup and interfaces with field or operational systems.</x:v>
      </x:c>
      <x:c r="AF24" s="2" t="str">
        <x:v>For Ecological corridors, software-related energy is electricity for sensing, computing, storage, communication and cooling; it is normally secondary but must be included for data-intensive or continuous services.</x:v>
      </x:c>
      <x:c r="AG24" s="2" t="str">
        <x:v>The non-physical inputs are calibrated data, metadata, algorithms, boundary conditions, emission or hazard factors, manuals and validation records specific to Ecological corridors.</x:v>
      </x:c>
      <x:c r="AH24" s="2" t="str">
        <x:v>Software continuity for Ecological corridors requires licences where applicable, updates, cybersecurity patches, backups, calibration files, model validation and technical support.</x:v>
      </x:c>
      <x:c r="AI24" s="2" t="str">
        <x:v>Orgware depends on the institutions, laboratories, training providers, regulators, operators and community interfaces needed to govern Ecological corridors.</x:v>
      </x:c>
      <x:c r="AJ24" s="2" t="str">
        <x:v>The orgware supporting Ecological corridors has mainly indirect energy use from offices, meetings, training and information systems; travel and field supervision may be material at dispersed sites.</x:v>
      </x:c>
      <x:c r="AK24" s="2" t="str">
        <x:v>Its organisational inputs are permits, budgets, trained staff, competence records, contracts, procedures, safeguards, monitoring evidence and stakeholder agreements tailored to Ecological corridors.</x:v>
      </x:c>
      <x:c r="AL24" s="2" t="str">
        <x:v>Sustained implementation of Ecological corridors requires procurement and service contracts, audit protocols, training material, reporting templates, insurance or guarantees and periodic independent review.</x:v>
      </x:c>
      <x:c r="AM24" s="2" t="str">
        <x:v>No critical or strategic raw material is identifiable at taxonomy level; site-specific bulk materials may still be required.</x:v>
      </x:c>
      <x:c r="AN24" s="2" t="str"/>
      <x:c r="AO24" s="2" t="str"/>
      <x:c r="AP24" s="2" t="str">
        <x:v>Ecological corridors: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4" s="2" t="str">
        <x:v>2024–2025</x:v>
      </x:c>
      <x:c r="AR24" s="2" t="str">
        <x:v>https://pubs.usgs.gov/periodicals/mcs2026/mcs2026.pdf</x:v>
      </x:c>
    </x:row>
    <x:row r="25" ht="240" customHeight="1">
      <x:c r="A25" s="2" t="str">
        <x:v>ADP-0018</x:v>
      </x:c>
      <x:c r="B25" s="2" t="str">
        <x:v>Adaptation</x:v>
      </x:c>
      <x:c r="C25" s="2" t="str">
        <x:v>Agriculture and Forestry</x:v>
      </x:c>
      <x:c r="D25" s="2" t="str">
        <x:v>Terrestrial ecosystems management</x:v>
      </x:c>
      <x:c r="E25" s="2" t="str">
        <x:v>Ecological buffer zones</x:v>
      </x:c>
      <x:c r="F25" s="2" t="str">
        <x:v>Ecological buffer zones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Ecological buffer zones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5" s="2" t="str">
        <x:v>Flexible</x:v>
      </x:c>
      <x:c r="H25" s="2" t="str">
        <x:v>Ecological buffer zones is transferable through configurable methods, rules and operating parameters. Its principle remains the same, but resource quality, climate, scale, interfaces and safety constraints must be recalculated for each deployment.</x:v>
      </x:c>
      <x:c r="I25" s="2" t="str">
        <x:v>Primarily soft, with physical support</x:v>
      </x:c>
      <x:c r="J25" s="2" t="str">
        <x:v>Ecological buffer zones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5" s="2" t="str">
        <x:v>Operation</x:v>
      </x:c>
      <x:c r="L25" s="2" t="str">
        <x:v>Ecological buffer zones is embodied mainly as an operating practice. The deliverable is accepted only when measurable service, quality, safety and climate-performance criteria are met under real conditions.</x:v>
      </x:c>
      <x:c r="M25" s="2" t="str">
        <x:v>Yes, subject to life-cycle safeguards</x:v>
      </x:c>
      <x:c r="N25" s="2" t="str">
        <x:v>Ecological buffer zones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5" s="2" t="str">
        <x:v>Ecological buffer zones: field or forest implements, planting and irrigation equipment, storage or livestock facilities, sampling tools, sensors and protective structures as required.</x:v>
      </x:c>
      <x:c r="P25" s="2" t="str">
        <x:v>Ecological buffer zones: soil–crop–livestock knowledge, nutrient and water budgets, emission factors, carbon accounting, climate services, monitoring protocols and adaptive management.</x:v>
      </x:c>
      <x:c r="Q25" s="2" t="str">
        <x:v>Ecological buffer zones: land tenure, extension, producer organisations, veterinary or phytosanitary services, incentives, safeguards, certification and monitoring arrangements.</x:v>
      </x:c>
      <x:c r="R25" s="2" t="str">
        <x:v>Ecological buffer zones: nurseries or seed banks, field access, water and storage systems, laboratories, extension centres, monitoring plots and processing or market facilities.</x:v>
      </x:c>
      <x:c r="S25" s="2" t="str">
        <x:v>Ecological buffer zones: human and mechanical work, electricity or fuel for machinery, pumping, cooling and processing; biological energy and solar radiation dominate field processes.</x:v>
      </x:c>
      <x:c r="T25" s="2" t="str">
        <x:v>Ecological buffer zones: seed or planting stock, organic matter, fertilisers, soil amendments, water, fencing or structural materials, veterinary inputs and monitoring consumables.</x:v>
      </x:c>
      <x:c r="U25" s="2" t="str">
        <x:v>Ecological buffer zones: seed, inoculants, filters, drip lines, nozzles, tool parts, sampling containers, sensor batteries, veterinary supplies and protective equipment.</x:v>
      </x:c>
      <x:c r="V25" s="2" t="str">
        <x:v>https://www.ctc-n.org/sites/default/files/resources/ctcn_taxonomy_0.pdf</x:v>
      </x:c>
      <x:c r="W25" s="2" t="str">
        <x:v>https://institutoagricoladepueblobello.edu.co/colegiapp/archivostemas/GUIA%209.%5B25%5D.pdf</x:v>
      </x:c>
      <x:c r="X25" s="2" t="str">
        <x:v>https://iiasa.ac.at/what-is-technology</x:v>
      </x:c>
      <x:c r="Y25" s="2" t="str">
        <x:v>https://www.fao.org/climate-change/en; https://www.ipcc.ch/report/ar6/wg3/chapter/chapter-7/; https://openknowledge.fao.org/server/api/core/bitstreams/b21f2087-f398-4718-8461-b92afc82e617/content</x:v>
      </x:c>
      <x:c r="Z25" s="2" t="str">
        <x:v>Technology-specific analytical synthesis. The CTCN hierarchy is retained; classifications and component dependencies require validation against the selected design, site and supplier documentation before investment or policy use.</x:v>
      </x:c>
      <x:c r="AA25" s="2" t="str">
        <x:v>Physical deployment of Ecological buffer zones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5" s="2" t="str">
        <x:v>For Ecological buffer zones,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5" s="2" t="str">
        <x:v>Construction and operation use seed or planting stock, organic matter, fertilisers, soil amendments, water, fencing or structural materials, veterinary inputs and monitoring consumables. For Ecological buffer zones, specifications must include durability, compatibility, recycled content and recoverability.</x:v>
      </x:c>
      <x:c r="AD25" s="2" t="str">
        <x:v>Maintenance of Ecological buffer zones depends on seed, inoculants, filters, drip lines, nozzles, tool parts, sampling containers, sensor batteries, veterinary supplies and protective equipment; critical spares are selected from failure-mode, lead-time and safety analysis for its installed configuration.</x:v>
      </x:c>
      <x:c r="AE25" s="2" t="str">
        <x:v>The software stack for Ecological buffer zones requires databases, secure communications, version-controlled models, computing, backup and interfaces with field or operational systems.</x:v>
      </x:c>
      <x:c r="AF25" s="2" t="str">
        <x:v>For Ecological buffer zones, software-related energy is electricity for sensing, computing, storage, communication and cooling; it is normally secondary but must be included for data-intensive or continuous services.</x:v>
      </x:c>
      <x:c r="AG25" s="2" t="str">
        <x:v>The non-physical inputs are calibrated data, metadata, algorithms, boundary conditions, emission or hazard factors, manuals and validation records specific to Ecological buffer zones.</x:v>
      </x:c>
      <x:c r="AH25" s="2" t="str">
        <x:v>Software continuity for Ecological buffer zones requires licences where applicable, updates, cybersecurity patches, backups, calibration files, model validation and technical support.</x:v>
      </x:c>
      <x:c r="AI25" s="2" t="str">
        <x:v>Orgware depends on the institutions, laboratories, training providers, regulators, operators and community interfaces needed to govern Ecological buffer zones.</x:v>
      </x:c>
      <x:c r="AJ25" s="2" t="str">
        <x:v>The orgware supporting Ecological buffer zones has mainly indirect energy use from offices, meetings, training and information systems; travel and field supervision may be material at dispersed sites.</x:v>
      </x:c>
      <x:c r="AK25" s="2" t="str">
        <x:v>Its organisational inputs are permits, budgets, trained staff, competence records, contracts, procedures, safeguards, monitoring evidence and stakeholder agreements tailored to Ecological buffer zones.</x:v>
      </x:c>
      <x:c r="AL25" s="2" t="str">
        <x:v>Sustained implementation of Ecological buffer zones requires procurement and service contracts, audit protocols, training material, reporting templates, insurance or guarantees and periodic independent review.</x:v>
      </x:c>
      <x:c r="AM25" s="2" t="str">
        <x:v>No critical or strategic raw material is identifiable at taxonomy level; site-specific bulk materials may still be required.</x:v>
      </x:c>
      <x:c r="AN25" s="2" t="str"/>
      <x:c r="AO25" s="2" t="str"/>
      <x:c r="AP25" s="2" t="str">
        <x:v>Ecological buffer zones: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5" s="2" t="str">
        <x:v>2024–2025</x:v>
      </x:c>
      <x:c r="AR25" s="2" t="str">
        <x:v>https://pubs.usgs.gov/periodicals/mcs2026/mcs2026.pdf</x:v>
      </x:c>
    </x:row>
    <x:row r="26" ht="240" customHeight="1">
      <x:c r="A26" s="2" t="str">
        <x:v>ADP-0019</x:v>
      </x:c>
      <x:c r="B26" s="2" t="str">
        <x:v>Adaptation</x:v>
      </x:c>
      <x:c r="C26" s="2" t="str">
        <x:v>Agriculture and Forestry</x:v>
      </x:c>
      <x:c r="D26" s="2" t="str">
        <x:v>Terrestrial ecosystems management</x:v>
      </x:c>
      <x:c r="E26" s="2" t="str">
        <x:v>Bushfire reduction and prescribed fire</x:v>
      </x:c>
      <x:c r="F26" s="2" t="str">
        <x:v>Bushfire reduction and prescribed fire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Bushfire reduction and prescribed fire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6" s="2" t="str">
        <x:v>Flexible</x:v>
      </x:c>
      <x:c r="H26" s="2" t="str">
        <x:v>Bushfire reduction and prescribed fire is transferable through configurable methods, rules and operating parameters. Its principle remains the same, but resource quality, climate, scale, interfaces and safety constraints must be recalculated for each deployment.</x:v>
      </x:c>
      <x:c r="I26" s="2" t="str">
        <x:v>Primarily soft, with physical support</x:v>
      </x:c>
      <x:c r="J26" s="2" t="str">
        <x:v>Bushfire reduction and prescribed fire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6" s="2" t="str">
        <x:v>Operation</x:v>
      </x:c>
      <x:c r="L26" s="2" t="str">
        <x:v>Bushfire reduction and prescribed fire is embodied mainly as an operating practice. The deliverable is accepted only when measurable service, quality, safety and climate-performance criteria are met under real conditions.</x:v>
      </x:c>
      <x:c r="M26" s="2" t="str">
        <x:v>Yes, subject to life-cycle safeguards</x:v>
      </x:c>
      <x:c r="N26" s="2" t="str">
        <x:v>Bushfire reduction and prescribed fire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6" s="2" t="str">
        <x:v>Bushfire reduction and prescribed fire: field or forest implements, planting and irrigation equipment, storage or livestock facilities, sampling tools, sensors and protective structures as required.</x:v>
      </x:c>
      <x:c r="P26" s="2" t="str">
        <x:v>Bushfire reduction and prescribed fire: soil–crop–livestock knowledge, nutrient and water budgets, emission factors, carbon accounting, climate services, monitoring protocols and adaptive management.</x:v>
      </x:c>
      <x:c r="Q26" s="2" t="str">
        <x:v>Bushfire reduction and prescribed fire: land tenure, extension, producer organisations, veterinary or phytosanitary services, incentives, safeguards, certification and monitoring arrangements.</x:v>
      </x:c>
      <x:c r="R26" s="2" t="str">
        <x:v>Bushfire reduction and prescribed fire: nurseries or seed banks, field access, water and storage systems, laboratories, extension centres, monitoring plots and processing or market facilities.</x:v>
      </x:c>
      <x:c r="S26" s="2" t="str">
        <x:v>Bushfire reduction and prescribed fire: human and mechanical work, electricity or fuel for machinery, pumping, cooling and processing; biological energy and solar radiation dominate field processes.</x:v>
      </x:c>
      <x:c r="T26" s="2" t="str">
        <x:v>Bushfire reduction and prescribed fire: seed or planting stock, organic matter, fertilisers, soil amendments, water, fencing or structural materials, veterinary inputs and monitoring consumables.</x:v>
      </x:c>
      <x:c r="U26" s="2" t="str">
        <x:v>Bushfire reduction and prescribed fire: seed, inoculants, filters, drip lines, nozzles, tool parts, sampling containers, sensor batteries, veterinary supplies and protective equipment.</x:v>
      </x:c>
      <x:c r="V26" s="2" t="str">
        <x:v>https://www.ctc-n.org/sites/default/files/resources/ctcn_taxonomy_0.pdf</x:v>
      </x:c>
      <x:c r="W26" s="2" t="str">
        <x:v>https://institutoagricoladepueblobello.edu.co/colegiapp/archivostemas/GUIA%209.%5B25%5D.pdf</x:v>
      </x:c>
      <x:c r="X26" s="2" t="str">
        <x:v>https://iiasa.ac.at/what-is-technology</x:v>
      </x:c>
      <x:c r="Y26" s="2" t="str">
        <x:v>https://www.fao.org/climate-change/en; https://www.ipcc.ch/report/ar6/wg3/chapter/chapter-7/; https://openknowledge.fao.org/server/api/core/bitstreams/b21f2087-f398-4718-8461-b92afc82e617/content</x:v>
      </x:c>
      <x:c r="Z26" s="2" t="str">
        <x:v>Technology-specific analytical synthesis. The CTCN hierarchy is retained; classifications and component dependencies require validation against the selected design, site and supplier documentation before investment or policy use.</x:v>
      </x:c>
      <x:c r="AA26" s="2" t="str">
        <x:v>Physical deployment of Bushfire reduction and prescribed fire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26" s="2" t="str">
        <x:v>For Bushfire reduction and prescribed fire,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6" s="2" t="str">
        <x:v>Construction and operation use seed or planting stock, organic matter, fertilisers, soil amendments, water, fencing or structural materials, veterinary inputs and monitoring consumables. For Bushfire reduction and prescribed fire, specifications must include durability, compatibility, recycled content and recoverability.</x:v>
      </x:c>
      <x:c r="AD26" s="2" t="str">
        <x:v>Maintenance of Bushfire reduction and prescribed fire depends on seed, inoculants, filters, drip lines, nozzles, tool parts, sampling containers, sensor batteries, veterinary supplies and protective equipment; critical spares are selected from failure-mode, lead-time and safety analysis for its installed configuration.</x:v>
      </x:c>
      <x:c r="AE26" s="2" t="str">
        <x:v>The software stack for Bushfire reduction and prescribed fire requires databases, secure communications, version-controlled models, computing, backup and interfaces with field or operational systems.</x:v>
      </x:c>
      <x:c r="AF26" s="2" t="str">
        <x:v>For Bushfire reduction and prescribed fire, software-related energy is electricity for sensing, computing, storage, communication and cooling; it is normally secondary but must be included for data-intensive or continuous services.</x:v>
      </x:c>
      <x:c r="AG26" s="2" t="str">
        <x:v>The non-physical inputs are calibrated data, metadata, algorithms, boundary conditions, emission or hazard factors, manuals and validation records specific to Bushfire reduction and prescribed fire.</x:v>
      </x:c>
      <x:c r="AH26" s="2" t="str">
        <x:v>Software continuity for Bushfire reduction and prescribed fire requires licences where applicable, updates, cybersecurity patches, backups, calibration files, model validation and technical support.</x:v>
      </x:c>
      <x:c r="AI26" s="2" t="str">
        <x:v>Orgware depends on the institutions, laboratories, training providers, regulators, operators and community interfaces needed to govern Bushfire reduction and prescribed fire.</x:v>
      </x:c>
      <x:c r="AJ26" s="2" t="str">
        <x:v>The orgware supporting Bushfire reduction and prescribed fire has mainly indirect energy use from offices, meetings, training and information systems; travel and field supervision may be material at dispersed sites.</x:v>
      </x:c>
      <x:c r="AK26" s="2" t="str">
        <x:v>Its organisational inputs are permits, budgets, trained staff, competence records, contracts, procedures, safeguards, monitoring evidence and stakeholder agreements tailored to Bushfire reduction and prescribed fire.</x:v>
      </x:c>
      <x:c r="AL26" s="2" t="str">
        <x:v>Sustained implementation of Bushfire reduction and prescribed fire requires procurement and service contracts, audit protocols, training material, reporting templates, insurance or guarantees and periodic independent review.</x:v>
      </x:c>
      <x:c r="AM26" s="2" t="str">
        <x:v>No critical or strategic raw material is identifiable at taxonomy level; site-specific bulk materials may still be required.</x:v>
      </x:c>
      <x:c r="AN26" s="2" t="str"/>
      <x:c r="AO26" s="2" t="str"/>
      <x:c r="AP26" s="2" t="str">
        <x:v>Bushfire reduction and prescribed fire: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6" s="2" t="str">
        <x:v>2024–2025</x:v>
      </x:c>
      <x:c r="AR26" s="2" t="str">
        <x:v>https://pubs.usgs.gov/periodicals/mcs2026/mcs2026.pdf</x:v>
      </x:c>
    </x:row>
    <x:row r="27" ht="240" customHeight="1">
      <x:c r="A27" s="2" t="str">
        <x:v>ADP-0020</x:v>
      </x:c>
      <x:c r="B27" s="2" t="str">
        <x:v>Adaptation</x:v>
      </x:c>
      <x:c r="C27" s="2" t="str">
        <x:v>Agriculture and Forestry</x:v>
      </x:c>
      <x:c r="D27" s="2" t="str">
        <x:v>Terrestrial ecosystems management</x:v>
      </x:c>
      <x:c r="E27" s="2" t="str">
        <x:v>Wetland restoration and rehabilitation</x:v>
      </x:c>
      <x:c r="F27" s="2" t="str">
        <x:v>Wetland restoration and rehabilitation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7" s="2" t="str">
        <x:v>Flexible</x:v>
      </x:c>
      <x:c r="H27" s="2" t="str">
        <x:v>Wetland restoration and rehabilitation is transferable through configurable methods, rules and operating parameters. Its principle remains the same, but resource quality, climate, scale, interfaces and safety constraints must be recalculated for each deployment.</x:v>
      </x:c>
      <x:c r="I27" s="2" t="str">
        <x:v>Primarily soft, with physical support</x:v>
      </x:c>
      <x:c r="J27" s="2" t="str">
        <x:v>Wetland restoration and rehabilitation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7" s="2" t="str">
        <x:v>Operation</x:v>
      </x:c>
      <x:c r="L27" s="2" t="str">
        <x:v>Wetland restoration and rehabilitation is embodied mainly as an operating practice. The deliverable is accepted only when measurable service, quality, safety and climate-performance criteria are met under real conditions.</x:v>
      </x:c>
      <x:c r="M27" s="2" t="str">
        <x:v>Yes, subject to life-cycle safeguards</x:v>
      </x:c>
      <x:c r="N27" s="2" t="str">
        <x:v>Wetland restoration and rehabilitation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7" s="2" t="str">
        <x:v>Wetland restoration and rehabilitation: field or forest implements, planting and irrigation equipment, storage or livestock facilities, sampling tools, sensors and protective structures as required.</x:v>
      </x:c>
      <x:c r="P27" s="2" t="str">
        <x:v>Wetland restoration and rehabilitation: soil–crop–livestock knowledge, nutrient and water budgets, emission factors, carbon accounting, climate services, monitoring protocols and adaptive management.</x:v>
      </x:c>
      <x:c r="Q27" s="2" t="str">
        <x:v>Wetland restoration and rehabilitation: land tenure, extension, producer organisations, veterinary or phytosanitary services, incentives, safeguards, certification and monitoring arrangements.</x:v>
      </x:c>
      <x:c r="R27" s="2" t="str">
        <x:v>Wetland restoration and rehabilitation: nurseries or seed banks, field access, water and storage systems, laboratories, extension centres, monitoring plots and processing or market facilities.</x:v>
      </x:c>
      <x:c r="S27" s="2" t="str">
        <x:v>Wetland restoration and rehabilitation: human and mechanical work, electricity or fuel for machinery, pumping, cooling and processing; biological energy and solar radiation dominate field processes.</x:v>
      </x:c>
      <x:c r="T27" s="2" t="str">
        <x:v>Wetland restoration and rehabilitation: seed or planting stock, organic matter, fertilisers, soil amendments, water, fencing or structural materials, veterinary inputs and monitoring consumables.</x:v>
      </x:c>
      <x:c r="U27" s="2" t="str">
        <x:v>Wetland restoration and rehabilitation: seed, inoculants, filters, drip lines, nozzles, tool parts, sampling containers, sensor batteries, veterinary supplies and protective equipment.</x:v>
      </x:c>
      <x:c r="V27" s="2" t="str">
        <x:v>https://www.ctc-n.org/sites/default/files/resources/ctcn_taxonomy_0.pdf</x:v>
      </x:c>
      <x:c r="W27" s="2" t="str">
        <x:v>https://institutoagricoladepueblobello.edu.co/colegiapp/archivostemas/GUIA%209.%5B25%5D.pdf</x:v>
      </x:c>
      <x:c r="X27" s="2" t="str">
        <x:v>https://iiasa.ac.at/what-is-technology</x:v>
      </x:c>
      <x:c r="Y27" s="2" t="str">
        <x:v>https://www.fao.org/climate-change/en; https://www.ipcc.ch/report/ar6/wg3/chapter/chapter-7/; https://openknowledge.fao.org/server/api/core/bitstreams/b21f2087-f398-4718-8461-b92afc82e617/content</x:v>
      </x:c>
      <x:c r="Z27" s="2" t="str">
        <x:v>Technology-specific analytical synthesis. The CTCN hierarchy is retained; classifications and component dependencies require validation against the selected design, site and supplier documentation before investment or policy use.</x:v>
      </x:c>
      <x:c r="AA27" s="2" t="str">
        <x:v>Physical deployment of Wetland restoration and rehabilitation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27" s="2" t="str">
        <x:v>For Wetland restoration and rehabilitation,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7" s="2" t="str">
        <x:v>Construction and operation use seed or planting stock, organic matter, fertilisers, soil amendments, water, fencing or structural materials, veterinary inputs and monitoring consumables. For Wetland restoration and rehabilitation, specifications must include durability, compatibility, recycled content and recoverability.</x:v>
      </x:c>
      <x:c r="AD27" s="2" t="str">
        <x:v>Maintenance of Wetland restoration and rehabilitation depends on seed, inoculants, filters, drip lines, nozzles, tool parts, sampling containers, sensor batteries, veterinary supplies and protective equipment; critical spares are selected from failure-mode, lead-time and safety analysis for its installed configuration.</x:v>
      </x:c>
      <x:c r="AE27" s="2" t="str">
        <x:v>The software stack for Wetland restoration and rehabilitation requires databases, secure communications, version-controlled models, computing, backup and interfaces with field or operational systems.</x:v>
      </x:c>
      <x:c r="AF27" s="2" t="str">
        <x:v>For Wetland restoration and rehabilitation, software-related energy is electricity for sensing, computing, storage, communication and cooling; it is normally secondary but must be included for data-intensive or continuous services.</x:v>
      </x:c>
      <x:c r="AG27" s="2" t="str">
        <x:v>The non-physical inputs are calibrated data, metadata, algorithms, boundary conditions, emission or hazard factors, manuals and validation records specific to Wetland restoration and rehabilitation.</x:v>
      </x:c>
      <x:c r="AH27" s="2" t="str">
        <x:v>Software continuity for Wetland restoration and rehabilitation requires licences where applicable, updates, cybersecurity patches, backups, calibration files, model validation and technical support.</x:v>
      </x:c>
      <x:c r="AI27" s="2" t="str">
        <x:v>Orgware depends on the institutions, laboratories, training providers, regulators, operators and community interfaces needed to govern Wetland restoration and rehabilitation.</x:v>
      </x:c>
      <x:c r="AJ27" s="2" t="str">
        <x:v>The orgware supporting Wetland restoration and rehabilitation has mainly indirect energy use from offices, meetings, training and information systems; travel and field supervision may be material at dispersed sites.</x:v>
      </x:c>
      <x:c r="AK27" s="2" t="str">
        <x:v>Its organisational inputs are permits, budgets, trained staff, competence records, contracts, procedures, safeguards, monitoring evidence and stakeholder agreements tailored to Wetland restoration and rehabilitation.</x:v>
      </x:c>
      <x:c r="AL27" s="2" t="str">
        <x:v>Sustained implementation of Wetland restoration and rehabilitation requires procurement and service contracts, audit protocols, training material, reporting templates, insurance or guarantees and periodic independent review.</x:v>
      </x:c>
      <x:c r="AM27" s="2" t="str">
        <x:v>No critical or strategic raw material is identifiable at taxonomy level; site-specific bulk materials may still be required.</x:v>
      </x:c>
      <x:c r="AN27" s="2" t="str"/>
      <x:c r="AO27" s="2" t="str"/>
      <x:c r="AP27" s="2" t="str">
        <x:v>Wetland restoration and rehabilitation: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7" s="2" t="str">
        <x:v>2024–2025</x:v>
      </x:c>
      <x:c r="AR27" s="2" t="str">
        <x:v>https://pubs.usgs.gov/periodicals/mcs2026/mcs2026.pdf</x:v>
      </x:c>
    </x:row>
    <x:row r="28" ht="240" customHeight="1">
      <x:c r="A28" s="2" t="str">
        <x:v>ADP-0021</x:v>
      </x:c>
      <x:c r="B28" s="2" t="str">
        <x:v>Adaptation</x:v>
      </x:c>
      <x:c r="C28" s="2" t="str">
        <x:v>Agriculture and Forestry</x:v>
      </x:c>
      <x:c r="D28" s="2" t="str">
        <x:v>Terrestrial ecosystems management</x:v>
      </x:c>
      <x:c r="E28" s="2" t="str">
        <x:v>Control of sand encroachment</x:v>
      </x:c>
      <x:c r="F28" s="2" t="str">
        <x:v>Control of sand encroachment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Control of sand encroachment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8" s="2" t="str">
        <x:v>Flexible</x:v>
      </x:c>
      <x:c r="H28" s="2" t="str">
        <x:v>Control of sand encroachment is transferable through configurable methods, rules and operating parameters. Its principle remains the same, but resource quality, climate, scale, interfaces and safety constraints must be recalculated for each deployment.</x:v>
      </x:c>
      <x:c r="I28" s="2" t="str">
        <x:v>Primarily soft, with physical support</x:v>
      </x:c>
      <x:c r="J28" s="2" t="str">
        <x:v>Control of sand encroachment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8" s="2" t="str">
        <x:v>Operation</x:v>
      </x:c>
      <x:c r="L28" s="2" t="str">
        <x:v>Control of sand encroachment is embodied mainly as an operating practice. The deliverable is accepted only when measurable service, quality, safety and climate-performance criteria are met under real conditions.</x:v>
      </x:c>
      <x:c r="M28" s="2" t="str">
        <x:v>Yes, subject to life-cycle safeguards</x:v>
      </x:c>
      <x:c r="N28" s="2" t="str">
        <x:v>Control of sand encroachment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8" s="2" t="str">
        <x:v>Control of sand encroachment: field or forest implements, planting and irrigation equipment, storage or livestock facilities, sampling tools, sensors and protective structures as required.</x:v>
      </x:c>
      <x:c r="P28" s="2" t="str">
        <x:v>Control of sand encroachment: soil–crop–livestock knowledge, nutrient and water budgets, emission factors, carbon accounting, climate services, monitoring protocols and adaptive management.</x:v>
      </x:c>
      <x:c r="Q28" s="2" t="str">
        <x:v>Control of sand encroachment: land tenure, extension, producer organisations, veterinary or phytosanitary services, incentives, safeguards, certification and monitoring arrangements.</x:v>
      </x:c>
      <x:c r="R28" s="2" t="str">
        <x:v>Control of sand encroachment: nurseries or seed banks, field access, water and storage systems, laboratories, extension centres, monitoring plots and processing or market facilities.</x:v>
      </x:c>
      <x:c r="S28" s="2" t="str">
        <x:v>Control of sand encroachment: human and mechanical work, electricity or fuel for machinery, pumping, cooling and processing; biological energy and solar radiation dominate field processes.</x:v>
      </x:c>
      <x:c r="T28" s="2" t="str">
        <x:v>Control of sand encroachment: seed or planting stock, organic matter, fertilisers, soil amendments, water, fencing or structural materials, veterinary inputs and monitoring consumables.</x:v>
      </x:c>
      <x:c r="U28" s="2" t="str">
        <x:v>Control of sand encroachment: seed, inoculants, filters, drip lines, nozzles, tool parts, sampling containers, sensor batteries, veterinary supplies and protective equipment.</x:v>
      </x:c>
      <x:c r="V28" s="2" t="str">
        <x:v>https://www.ctc-n.org/sites/default/files/resources/ctcn_taxonomy_0.pdf</x:v>
      </x:c>
      <x:c r="W28" s="2" t="str">
        <x:v>https://institutoagricoladepueblobello.edu.co/colegiapp/archivostemas/GUIA%209.%5B25%5D.pdf</x:v>
      </x:c>
      <x:c r="X28" s="2" t="str">
        <x:v>https://iiasa.ac.at/what-is-technology</x:v>
      </x:c>
      <x:c r="Y28" s="2" t="str">
        <x:v>https://www.fao.org/climate-change/en; https://www.ipcc.ch/report/ar6/wg3/chapter/chapter-7/; https://openknowledge.fao.org/server/api/core/bitstreams/b21f2087-f398-4718-8461-b92afc82e617/content</x:v>
      </x:c>
      <x:c r="Z28" s="2" t="str">
        <x:v>Technology-specific analytical synthesis. The CTCN hierarchy is retained; classifications and component dependencies require validation against the selected design, site and supplier documentation before investment or policy use.</x:v>
      </x:c>
      <x:c r="AA28" s="2" t="str">
        <x:v>Physical deployment of Control of sand encroachment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28" s="2" t="str">
        <x:v>For Control of sand encroachment,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8" s="2" t="str">
        <x:v>Construction and operation use seed or planting stock, organic matter, fertilisers, soil amendments, water, fencing or structural materials, veterinary inputs and monitoring consumables. For Control of sand encroachment, specifications must include durability, compatibility, recycled content and recoverability.</x:v>
      </x:c>
      <x:c r="AD28" s="2" t="str">
        <x:v>Maintenance of Control of sand encroachment depends on seed, inoculants, filters, drip lines, nozzles, tool parts, sampling containers, sensor batteries, veterinary supplies and protective equipment; critical spares are selected from failure-mode, lead-time and safety analysis for its installed configuration.</x:v>
      </x:c>
      <x:c r="AE28" s="2" t="str">
        <x:v>The software stack for Control of sand encroachment requires databases, secure communications, version-controlled models, computing, backup and interfaces with field or operational systems.</x:v>
      </x:c>
      <x:c r="AF28" s="2" t="str">
        <x:v>For Control of sand encroachment, software-related energy is electricity for sensing, computing, storage, communication and cooling; it is normally secondary but must be included for data-intensive or continuous services.</x:v>
      </x:c>
      <x:c r="AG28" s="2" t="str">
        <x:v>The non-physical inputs are calibrated data, metadata, algorithms, boundary conditions, emission or hazard factors, manuals and validation records specific to Control of sand encroachment.</x:v>
      </x:c>
      <x:c r="AH28" s="2" t="str">
        <x:v>Software continuity for Control of sand encroachment requires licences where applicable, updates, cybersecurity patches, backups, calibration files, model validation and technical support.</x:v>
      </x:c>
      <x:c r="AI28" s="2" t="str">
        <x:v>Orgware depends on the institutions, laboratories, training providers, regulators, operators and community interfaces needed to govern Control of sand encroachment.</x:v>
      </x:c>
      <x:c r="AJ28" s="2" t="str">
        <x:v>The orgware supporting Control of sand encroachment has mainly indirect energy use from offices, meetings, training and information systems; travel and field supervision may be material at dispersed sites.</x:v>
      </x:c>
      <x:c r="AK28" s="2" t="str">
        <x:v>Its organisational inputs are permits, budgets, trained staff, competence records, contracts, procedures, safeguards, monitoring evidence and stakeholder agreements tailored to Control of sand encroachment.</x:v>
      </x:c>
      <x:c r="AL28" s="2" t="str">
        <x:v>Sustained implementation of Control of sand encroachment requires procurement and service contracts, audit protocols, training material, reporting templates, insurance or guarantees and periodic independent review.</x:v>
      </x:c>
      <x:c r="AM28" s="2" t="str">
        <x:v>Copper; Tin</x:v>
      </x:c>
      <x:c r="AN28" s="2" t="str">
        <x:v>Chile; Democratic Republic of the Congo; Peru; China; Indonesia; Myanmar</x:v>
      </x:c>
      <x:c r="AO28" s="2" t="str">
        <x:v>China; Chile; Democratic Republic of the Congo; Indonesia; Malaysia</x:v>
      </x:c>
      <x:c r="AP28" s="2" t="str">
        <x:v>Control of sand encroachment: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8" s="2" t="str">
        <x:v>2024–2025</x:v>
      </x:c>
      <x:c r="AR28" s="2" t="str">
        <x:v>https://pubs.usgs.gov/periodicals/mcs2026/mcs2026.pdf</x:v>
      </x:c>
    </x:row>
    <x:row r="29" ht="240" customHeight="1">
      <x:c r="A29" s="2" t="str">
        <x:v>ADP-0022</x:v>
      </x:c>
      <x:c r="B29" s="2" t="str">
        <x:v>Adaptation</x:v>
      </x:c>
      <x:c r="C29" s="2" t="str">
        <x:v>Agriculture and Forestry</x:v>
      </x:c>
      <x:c r="D29" s="2" t="str">
        <x:v>Terrestrial ecosystems management</x:v>
      </x:c>
      <x:c r="E29" s="2" t="str">
        <x:v>Biodiversity management systems</x:v>
      </x:c>
      <x:c r="F29" s="2" t="str">
        <x:v>Biodiversity management systems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Biodiversity management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29" s="2" t="str">
        <x:v>Flexible</x:v>
      </x:c>
      <x:c r="H29" s="2" t="str">
        <x:v>Biodiversity management systems is transferable through configurable methods, rules and operating parameters. Its principle remains the same, but resource quality, climate, scale, interfaces and safety constraints must be recalculated for each deployment.</x:v>
      </x:c>
      <x:c r="I29" s="2" t="str">
        <x:v>Primarily soft, with physical support</x:v>
      </x:c>
      <x:c r="J29" s="2" t="str">
        <x:v>Biodiversity management systems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29" s="2" t="str">
        <x:v>Operation</x:v>
      </x:c>
      <x:c r="L29" s="2" t="str">
        <x:v>Biodiversity management systems is embodied mainly as an operating practice. The deliverable is accepted only when measurable service, quality, safety and climate-performance criteria are met under real conditions.</x:v>
      </x:c>
      <x:c r="M29" s="2" t="str">
        <x:v>Yes, subject to life-cycle safeguards</x:v>
      </x:c>
      <x:c r="N29" s="2" t="str">
        <x:v>Biodiversity management systems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29" s="2" t="str">
        <x:v>Biodiversity management systems: field or forest implements, planting and irrigation equipment, storage or livestock facilities, sampling tools, sensors and protective structures as required.</x:v>
      </x:c>
      <x:c r="P29" s="2" t="str">
        <x:v>Biodiversity management systems: soil–crop–livestock knowledge, nutrient and water budgets, emission factors, carbon accounting, climate services, monitoring protocols and adaptive management.</x:v>
      </x:c>
      <x:c r="Q29" s="2" t="str">
        <x:v>Biodiversity management systems: land tenure, extension, producer organisations, veterinary or phytosanitary services, incentives, safeguards, certification and monitoring arrangements.</x:v>
      </x:c>
      <x:c r="R29" s="2" t="str">
        <x:v>Biodiversity management systems: nurseries or seed banks, field access, water and storage systems, laboratories, extension centres, monitoring plots and processing or market facilities.</x:v>
      </x:c>
      <x:c r="S29" s="2" t="str">
        <x:v>Biodiversity management systems: human and mechanical work, electricity or fuel for machinery, pumping, cooling and processing; biological energy and solar radiation dominate field processes.</x:v>
      </x:c>
      <x:c r="T29" s="2" t="str">
        <x:v>Biodiversity management systems: seed or planting stock, organic matter, fertilisers, soil amendments, water, fencing or structural materials, veterinary inputs and monitoring consumables.</x:v>
      </x:c>
      <x:c r="U29" s="2" t="str">
        <x:v>Biodiversity management systems: seed, inoculants, filters, drip lines, nozzles, tool parts, sampling containers, sensor batteries, veterinary supplies and protective equipment.</x:v>
      </x:c>
      <x:c r="V29" s="2" t="str">
        <x:v>https://www.ctc-n.org/sites/default/files/resources/ctcn_taxonomy_0.pdf</x:v>
      </x:c>
      <x:c r="W29" s="2" t="str">
        <x:v>https://institutoagricoladepueblobello.edu.co/colegiapp/archivostemas/GUIA%209.%5B25%5D.pdf</x:v>
      </x:c>
      <x:c r="X29" s="2" t="str">
        <x:v>https://iiasa.ac.at/what-is-technology</x:v>
      </x:c>
      <x:c r="Y29" s="2" t="str">
        <x:v>https://www.fao.org/climate-change/en; https://www.ipcc.ch/report/ar6/wg3/chapter/chapter-7/; https://openknowledge.fao.org/server/api/core/bitstreams/b21f2087-f398-4718-8461-b92afc82e617/content</x:v>
      </x:c>
      <x:c r="Z29" s="2" t="str">
        <x:v>Technology-specific analytical synthesis. The CTCN hierarchy is retained; classifications and component dependencies require validation against the selected design, site and supplier documentation before investment or policy use.</x:v>
      </x:c>
      <x:c r="AA29" s="2" t="str">
        <x:v>Physical deployment of Biodiversity management systems requires nurseries or seed banks, field access, water and storage systems, laboratories, extension centres, monitoring plots and processing or market facilities; interfaces, foundations, access and environmental protection are sized to the specific resource and design load.</x:v>
      </x:c>
      <x:c r="AB29" s="2" t="str">
        <x:v>For Biodiversity management systems,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29" s="2" t="str">
        <x:v>Construction and operation use seed or planting stock, organic matter, fertilisers, soil amendments, water, fencing or structural materials, veterinary inputs and monitoring consumables. For Biodiversity management systems, specifications must include durability, compatibility, recycled content and recoverability.</x:v>
      </x:c>
      <x:c r="AD29" s="2" t="str">
        <x:v>Maintenance of Biodiversity management systems depends on seed, inoculants, filters, drip lines, nozzles, tool parts, sampling containers, sensor batteries, veterinary supplies and protective equipment; critical spares are selected from failure-mode, lead-time and safety analysis for its installed configuration.</x:v>
      </x:c>
      <x:c r="AE29" s="2" t="str">
        <x:v>The software stack for Biodiversity management systems requires databases, secure communications, version-controlled models, computing, backup and interfaces with field or operational systems.</x:v>
      </x:c>
      <x:c r="AF29" s="2" t="str">
        <x:v>For Biodiversity management systems, software-related energy is electricity for sensing, computing, storage, communication and cooling; it is normally secondary but must be included for data-intensive or continuous services.</x:v>
      </x:c>
      <x:c r="AG29" s="2" t="str">
        <x:v>The non-physical inputs are calibrated data, metadata, algorithms, boundary conditions, emission or hazard factors, manuals and validation records specific to Biodiversity management systems.</x:v>
      </x:c>
      <x:c r="AH29" s="2" t="str">
        <x:v>Software continuity for Biodiversity management systems requires licences where applicable, updates, cybersecurity patches, backups, calibration files, model validation and technical support.</x:v>
      </x:c>
      <x:c r="AI29" s="2" t="str">
        <x:v>Orgware depends on the institutions, laboratories, training providers, regulators, operators and community interfaces needed to govern Biodiversity management systems.</x:v>
      </x:c>
      <x:c r="AJ29" s="2" t="str">
        <x:v>The orgware supporting Biodiversity management systems has mainly indirect energy use from offices, meetings, training and information systems; travel and field supervision may be material at dispersed sites.</x:v>
      </x:c>
      <x:c r="AK29" s="2" t="str">
        <x:v>Its organisational inputs are permits, budgets, trained staff, competence records, contracts, procedures, safeguards, monitoring evidence and stakeholder agreements tailored to Biodiversity management systems.</x:v>
      </x:c>
      <x:c r="AL29" s="2" t="str">
        <x:v>Sustained implementation of Biodiversity management systems requires procurement and service contracts, audit protocols, training material, reporting templates, insurance or guarantees and periodic independent review.</x:v>
      </x:c>
      <x:c r="AM29" s="2" t="str">
        <x:v>No critical or strategic raw material is identifiable at taxonomy level; site-specific bulk materials may still be required.</x:v>
      </x:c>
      <x:c r="AN29" s="2" t="str"/>
      <x:c r="AO29" s="2" t="str"/>
      <x:c r="AP29" s="2" t="str">
        <x:v>Biodiversity management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9" s="2" t="str">
        <x:v>2024–2025</x:v>
      </x:c>
      <x:c r="AR29" s="2" t="str">
        <x:v>https://pubs.usgs.gov/periodicals/mcs2026/mcs2026.pdf</x:v>
      </x:c>
    </x:row>
    <x:row r="30" ht="240" customHeight="1">
      <x:c r="A30" s="2" t="str">
        <x:v>ADP-0023</x:v>
      </x:c>
      <x:c r="B30" s="2" t="str">
        <x:v>Adaptation</x:v>
      </x:c>
      <x:c r="C30" s="2" t="str">
        <x:v>Agriculture and Forestry</x:v>
      </x:c>
      <x:c r="D30" s="2" t="str">
        <x:v>Terrestrial ecosystems management</x:v>
      </x:c>
      <x:c r="E30" s="2" t="str">
        <x:v>Forest fire control</x:v>
      </x:c>
      <x:c r="F30" s="2" t="str">
        <x:v>Forest fire control is a adaptation technology in the Agriculture and Forestry sector and the Terrestrial ecosystems management technology group. It is defined as a combined hardware–software–orgware system that changes vegetation, soil, nutrient, water, crop or livestock management to protect carbon stocks, increase resilience and productivity, and reduce CO₂, CH₄ or N₂O emissions. Forest fire control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0" s="2" t="str">
        <x:v>Flexible</x:v>
      </x:c>
      <x:c r="H30" s="2" t="str">
        <x:v>Forest fire control is transferable through configurable methods, rules and operating parameters. Its principle remains the same, but resource quality, climate, scale, interfaces and safety constraints must be recalculated for each deployment.</x:v>
      </x:c>
      <x:c r="I30" s="2" t="str">
        <x:v>Primarily soft, with physical support</x:v>
      </x:c>
      <x:c r="J30" s="2" t="str">
        <x:v>Forest fire control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0" s="2" t="str">
        <x:v>Operation</x:v>
      </x:c>
      <x:c r="L30" s="2" t="str">
        <x:v>Forest fire control is embodied mainly as an operating practice. The deliverable is accepted only when measurable service, quality, safety and climate-performance criteria are met under real conditions.</x:v>
      </x:c>
      <x:c r="M30" s="2" t="str">
        <x:v>Yes, subject to life-cycle safeguards</x:v>
      </x:c>
      <x:c r="N30" s="2" t="str">
        <x:v>Forest fire control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0" s="2" t="str">
        <x:v>Forest fire control: field or forest implements, planting and irrigation equipment, storage or livestock facilities, sampling tools, sensors and protective structures as required.</x:v>
      </x:c>
      <x:c r="P30" s="2" t="str">
        <x:v>Forest fire control: soil–crop–livestock knowledge, nutrient and water budgets, emission factors, carbon accounting, climate services, monitoring protocols and adaptive management.</x:v>
      </x:c>
      <x:c r="Q30" s="2" t="str">
        <x:v>Forest fire control: land tenure, extension, producer organisations, veterinary or phytosanitary services, incentives, safeguards, certification and monitoring arrangements.</x:v>
      </x:c>
      <x:c r="R30" s="2" t="str">
        <x:v>Forest fire control: nurseries or seed banks, field access, water and storage systems, laboratories, extension centres, monitoring plots and processing or market facilities.</x:v>
      </x:c>
      <x:c r="S30" s="2" t="str">
        <x:v>Forest fire control: human and mechanical work, electricity or fuel for machinery, pumping, cooling and processing; biological energy and solar radiation dominate field processes.</x:v>
      </x:c>
      <x:c r="T30" s="2" t="str">
        <x:v>Forest fire control: seed or planting stock, organic matter, fertilisers, soil amendments, water, fencing or structural materials, veterinary inputs and monitoring consumables.</x:v>
      </x:c>
      <x:c r="U30" s="2" t="str">
        <x:v>Forest fire control: seed, inoculants, filters, drip lines, nozzles, tool parts, sampling containers, sensor batteries, veterinary supplies and protective equipment.</x:v>
      </x:c>
      <x:c r="V30" s="2" t="str">
        <x:v>https://www.ctc-n.org/sites/default/files/resources/ctcn_taxonomy_0.pdf</x:v>
      </x:c>
      <x:c r="W30" s="2" t="str">
        <x:v>https://institutoagricoladepueblobello.edu.co/colegiapp/archivostemas/GUIA%209.%5B25%5D.pdf</x:v>
      </x:c>
      <x:c r="X30" s="2" t="str">
        <x:v>https://iiasa.ac.at/what-is-technology</x:v>
      </x:c>
      <x:c r="Y30" s="2" t="str">
        <x:v>https://www.fao.org/climate-change/en; https://www.ipcc.ch/report/ar6/wg3/chapter/chapter-7/; https://openknowledge.fao.org/server/api/core/bitstreams/b21f2087-f398-4718-8461-b92afc82e617/content</x:v>
      </x:c>
      <x:c r="Z30" s="2" t="str">
        <x:v>Technology-specific analytical synthesis. The CTCN hierarchy is retained; classifications and component dependencies require validation against the selected design, site and supplier documentation before investment or policy use.</x:v>
      </x:c>
      <x:c r="AA30" s="2" t="str">
        <x:v>Physical deployment of Forest fire control requires nurseries or seed banks, field access, water and storage systems, laboratories, extension centres, monitoring plots and processing or market facilities; interfaces, foundations, access and environmental protection are sized to the specific resource and design load.</x:v>
      </x:c>
      <x:c r="AB30" s="2" t="str">
        <x:v>For Forest fire control,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0" s="2" t="str">
        <x:v>Construction and operation use seed or planting stock, organic matter, fertilisers, soil amendments, water, fencing or structural materials, veterinary inputs and monitoring consumables. For Forest fire control, specifications must include durability, compatibility, recycled content and recoverability.</x:v>
      </x:c>
      <x:c r="AD30" s="2" t="str">
        <x:v>Maintenance of Forest fire control depends on seed, inoculants, filters, drip lines, nozzles, tool parts, sampling containers, sensor batteries, veterinary supplies and protective equipment; critical spares are selected from failure-mode, lead-time and safety analysis for its installed configuration.</x:v>
      </x:c>
      <x:c r="AE30" s="2" t="str">
        <x:v>The software stack for Forest fire control requires databases, secure communications, version-controlled models, computing, backup and interfaces with field or operational systems.</x:v>
      </x:c>
      <x:c r="AF30" s="2" t="str">
        <x:v>For Forest fire control, software-related energy is electricity for sensing, computing, storage, communication and cooling; it is normally secondary but must be included for data-intensive or continuous services.</x:v>
      </x:c>
      <x:c r="AG30" s="2" t="str">
        <x:v>The non-physical inputs are calibrated data, metadata, algorithms, boundary conditions, emission or hazard factors, manuals and validation records specific to Forest fire control.</x:v>
      </x:c>
      <x:c r="AH30" s="2" t="str">
        <x:v>Software continuity for Forest fire control requires licences where applicable, updates, cybersecurity patches, backups, calibration files, model validation and technical support.</x:v>
      </x:c>
      <x:c r="AI30" s="2" t="str">
        <x:v>Orgware depends on the institutions, laboratories, training providers, regulators, operators and community interfaces needed to govern Forest fire control.</x:v>
      </x:c>
      <x:c r="AJ30" s="2" t="str">
        <x:v>The orgware supporting Forest fire control has mainly indirect energy use from offices, meetings, training and information systems; travel and field supervision may be material at dispersed sites.</x:v>
      </x:c>
      <x:c r="AK30" s="2" t="str">
        <x:v>Its organisational inputs are permits, budgets, trained staff, competence records, contracts, procedures, safeguards, monitoring evidence and stakeholder agreements tailored to Forest fire control.</x:v>
      </x:c>
      <x:c r="AL30" s="2" t="str">
        <x:v>Sustained implementation of Forest fire control requires procurement and service contracts, audit protocols, training material, reporting templates, insurance or guarantees and periodic independent review.</x:v>
      </x:c>
      <x:c r="AM30" s="2" t="str">
        <x:v>Copper; Tin</x:v>
      </x:c>
      <x:c r="AN30" s="2" t="str">
        <x:v>Chile; Democratic Republic of the Congo; Peru; China; Indonesia; Myanmar</x:v>
      </x:c>
      <x:c r="AO30" s="2" t="str">
        <x:v>China; Chile; Democratic Republic of the Congo; Indonesia; Malaysia</x:v>
      </x:c>
      <x:c r="AP30" s="2" t="str">
        <x:v>Forest fire control: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0" s="2" t="str">
        <x:v>2024–2025</x:v>
      </x:c>
      <x:c r="AR30" s="2" t="str">
        <x:v>https://pubs.usgs.gov/periodicals/mcs2026/mcs2026.pdf</x:v>
      </x:c>
    </x:row>
    <x:row r="31" ht="240" customHeight="1">
      <x:c r="A31" s="2" t="str">
        <x:v>ADP-0024</x:v>
      </x:c>
      <x:c r="B31" s="2" t="str">
        <x:v>Adaptation</x:v>
      </x:c>
      <x:c r="C31" s="2" t="str">
        <x:v>Agriculture and Forestry</x:v>
      </x:c>
      <x:c r="D31" s="2" t="str">
        <x:v>Agro-forestry, Silviculture &amp; Mixed farming</x:v>
      </x:c>
      <x:c r="E31" s="2" t="str">
        <x:v>Rainguard for rubber trees</x:v>
      </x:c>
      <x:c r="F31" s="2" t="str">
        <x:v>Rainguard for rubber trees is a adaptation technology in the Agriculture and Forestry sector and the Agro-forestry, Silviculture &amp; Mixed farming technology group. It is defined as a combined hardware–software–orgware system that changes vegetation, soil, nutrient, water, crop or livestock management to protect carbon stocks, increase resilience and productivity, and reduce CO₂, CH₄ or N₂O emissions. Rainguard for rubber trees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1" s="2" t="str">
        <x:v>Mixed: adaptable design, site-specific implementation</x:v>
      </x:c>
      <x:c r="H31" s="2" t="str">
        <x:v>Rainguard for rubber trees is adaptable in capacity and configuration but site-specific in final engineering. Its principle remains the same, but resource quality, climate, scale, interfaces and safety constraints must be recalculated for each deployment.</x:v>
      </x:c>
      <x:c r="I31" s="2" t="str">
        <x:v>Primarily hard, with a soft component</x:v>
      </x:c>
      <x:c r="J31" s="2" t="str">
        <x:v>Rainguard for rubber trees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1" s="2" t="str">
        <x:v>Operation</x:v>
      </x:c>
      <x:c r="L31" s="2" t="str">
        <x:v>Rainguard for rubber trees is embodied mainly as an operating practice. The deliverable is accepted only when measurable service, quality, safety and climate-performance criteria are met under real conditions.</x:v>
      </x:c>
      <x:c r="M31" s="2" t="str">
        <x:v>Yes, subject to life-cycle safeguards</x:v>
      </x:c>
      <x:c r="N31" s="2" t="str">
        <x:v>Rainguard for rubber trees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1" s="2" t="str">
        <x:v>Rainguard for rubber trees: field or forest implements, planting and irrigation equipment, storage or livestock facilities, sampling tools, sensors and protective structures as required.</x:v>
      </x:c>
      <x:c r="P31" s="2" t="str">
        <x:v>Rainguard for rubber trees: soil–crop–livestock knowledge, nutrient and water budgets, emission factors, carbon accounting, climate services, monitoring protocols and adaptive management.</x:v>
      </x:c>
      <x:c r="Q31" s="2" t="str">
        <x:v>Rainguard for rubber trees: land tenure, extension, producer organisations, veterinary or phytosanitary services, incentives, safeguards, certification and monitoring arrangements.</x:v>
      </x:c>
      <x:c r="R31" s="2" t="str">
        <x:v>Rainguard for rubber trees: nurseries or seed banks, field access, water and storage systems, laboratories, extension centres, monitoring plots and processing or market facilities.</x:v>
      </x:c>
      <x:c r="S31" s="2" t="str">
        <x:v>Rainguard for rubber trees: human and mechanical work, electricity or fuel for machinery, pumping, cooling and processing; biological energy and solar radiation dominate field processes.</x:v>
      </x:c>
      <x:c r="T31" s="2" t="str">
        <x:v>Rainguard for rubber trees: seed or planting stock, organic matter, fertilisers, soil amendments, water, fencing or structural materials, veterinary inputs and monitoring consumables.</x:v>
      </x:c>
      <x:c r="U31" s="2" t="str">
        <x:v>Rainguard for rubber trees: seed, inoculants, filters, drip lines, nozzles, tool parts, sampling containers, sensor batteries, veterinary supplies and protective equipment.</x:v>
      </x:c>
      <x:c r="V31" s="2" t="str">
        <x:v>https://www.ctc-n.org/sites/default/files/resources/ctcn_taxonomy_0.pdf</x:v>
      </x:c>
      <x:c r="W31" s="2" t="str">
        <x:v>https://institutoagricoladepueblobello.edu.co/colegiapp/archivostemas/GUIA%209.%5B25%5D.pdf</x:v>
      </x:c>
      <x:c r="X31" s="2" t="str">
        <x:v>https://iiasa.ac.at/what-is-technology</x:v>
      </x:c>
      <x:c r="Y31" s="2" t="str">
        <x:v>https://www.fao.org/climate-change/en; https://www.ipcc.ch/report/ar6/wg3/chapter/chapter-7/; https://openknowledge.fao.org/server/api/core/bitstreams/b21f2087-f398-4718-8461-b92afc82e617/content</x:v>
      </x:c>
      <x:c r="Z31" s="2" t="str">
        <x:v>Technology-specific analytical synthesis. The CTCN hierarchy is retained; classifications and component dependencies require validation against the selected design, site and supplier documentation before investment or policy use.</x:v>
      </x:c>
      <x:c r="AA31" s="2" t="str">
        <x:v>Physical deployment of Rainguard for rubber trees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1" s="2" t="str">
        <x:v>For Rainguard for rubber trees,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1" s="2" t="str">
        <x:v>Construction and operation use seed or planting stock, organic matter, fertilisers, soil amendments, water, fencing or structural materials, veterinary inputs and monitoring consumables. For Rainguard for rubber trees, specifications must include durability, compatibility, recycled content and recoverability.</x:v>
      </x:c>
      <x:c r="AD31" s="2" t="str">
        <x:v>Maintenance of Rainguard for rubber trees depends on seed, inoculants, filters, drip lines, nozzles, tool parts, sampling containers, sensor batteries, veterinary supplies and protective equipment; critical spares are selected from failure-mode, lead-time and safety analysis for its installed configuration.</x:v>
      </x:c>
      <x:c r="AE31" s="2" t="str">
        <x:v>The software stack for Rainguard for rubber trees requires databases, secure communications, version-controlled models, computing, backup and interfaces with field or operational systems.</x:v>
      </x:c>
      <x:c r="AF31" s="2" t="str">
        <x:v>For Rainguard for rubber trees, software-related energy is electricity for sensing, computing, storage, communication and cooling; it is normally secondary but must be included for data-intensive or continuous services.</x:v>
      </x:c>
      <x:c r="AG31" s="2" t="str">
        <x:v>The non-physical inputs are calibrated data, metadata, algorithms, boundary conditions, emission or hazard factors, manuals and validation records specific to Rainguard for rubber trees.</x:v>
      </x:c>
      <x:c r="AH31" s="2" t="str">
        <x:v>Software continuity for Rainguard for rubber trees requires licences where applicable, updates, cybersecurity patches, backups, calibration files, model validation and technical support.</x:v>
      </x:c>
      <x:c r="AI31" s="2" t="str">
        <x:v>Orgware depends on the institutions, laboratories, training providers, regulators, operators and community interfaces needed to govern Rainguard for rubber trees.</x:v>
      </x:c>
      <x:c r="AJ31" s="2" t="str">
        <x:v>The orgware supporting Rainguard for rubber trees has mainly indirect energy use from offices, meetings, training and information systems; travel and field supervision may be material at dispersed sites.</x:v>
      </x:c>
      <x:c r="AK31" s="2" t="str">
        <x:v>Its organisational inputs are permits, budgets, trained staff, competence records, contracts, procedures, safeguards, monitoring evidence and stakeholder agreements tailored to Rainguard for rubber trees.</x:v>
      </x:c>
      <x:c r="AL31" s="2" t="str">
        <x:v>Sustained implementation of Rainguard for rubber trees requires procurement and service contracts, audit protocols, training material, reporting templates, insurance or guarantees and periodic independent review.</x:v>
      </x:c>
      <x:c r="AM31" s="2" t="str">
        <x:v>No critical or strategic raw material is identifiable at taxonomy level; site-specific bulk materials may still be required.</x:v>
      </x:c>
      <x:c r="AN31" s="2" t="str"/>
      <x:c r="AO31" s="2" t="str"/>
      <x:c r="AP31" s="2" t="str">
        <x:v>Rainguard for rubber trees: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1" s="2" t="str">
        <x:v>2024–2025</x:v>
      </x:c>
      <x:c r="AR31" s="2" t="str">
        <x:v>https://pubs.usgs.gov/periodicals/mcs2026/mcs2026.pdf; https://www.iea.org/reports/global-critical-minerals-outlook-2025</x:v>
      </x:c>
    </x:row>
    <x:row r="32" ht="240" customHeight="1">
      <x:c r="A32" s="2" t="str">
        <x:v>ADP-0025</x:v>
      </x:c>
      <x:c r="B32" s="2" t="str">
        <x:v>Adaptation</x:v>
      </x:c>
      <x:c r="C32" s="2" t="str">
        <x:v>Agriculture and Forestry</x:v>
      </x:c>
      <x:c r="D32" s="2" t="str">
        <x:v>Agro-forestry, Silviculture &amp; Mixed farming</x:v>
      </x:c>
      <x:c r="E32" s="2" t="str">
        <x:v>General agro-forestry - silviculture and mixed farming solutions</x:v>
      </x:c>
      <x:c r="F32" s="2" t="str">
        <x:v>General agro-forestry - silviculture and mixed farming solutions is a adaptation technology in the Agriculture and Forestry sector and the Agro-forestry, Silviculture &amp; Mixed farming technology group. It is defined as a combined hardware–software–orgware system that changes vegetation, soil, nutrient, water, crop or livestock management to protect carbon stocks, increase resilience and productivity, and reduce CO₂, CH₄ or N₂O emissions. General agro-forestry - silviculture and mixed farming solutions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2" s="2" t="str">
        <x:v>Mixed: adaptable design, site-specific implementation</x:v>
      </x:c>
      <x:c r="H32" s="2" t="str">
        <x:v>General agro-forestry - silviculture and mixed farming solutions is adaptable in capacity and configuration but site-specific in final engineering. Its principle remains the same, but resource quality, climate, scale, interfaces and safety constraints must be recalculated for each deployment.</x:v>
      </x:c>
      <x:c r="I32" s="2" t="str">
        <x:v>Primarily hard, with a soft component</x:v>
      </x:c>
      <x:c r="J32" s="2" t="str">
        <x:v>General agro-forestry - silviculture and mixed farming solutions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2" s="2" t="str">
        <x:v>Operation</x:v>
      </x:c>
      <x:c r="L32" s="2" t="str">
        <x:v>General agro-forestry - silviculture and mixed farming solutions is embodied mainly as an operating practice. The deliverable is accepted only when measurable service, quality, safety and climate-performance criteria are met under real conditions.</x:v>
      </x:c>
      <x:c r="M32" s="2" t="str">
        <x:v>Yes, subject to life-cycle safeguards</x:v>
      </x:c>
      <x:c r="N32" s="2" t="str">
        <x:v>General agro-forestry - silviculture and mixed farming solutions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2" s="2" t="str">
        <x:v>General agro-forestry - silviculture and mixed farming solutions: field or forest implements, planting and irrigation equipment, storage or livestock facilities, sampling tools, sensors and protective structures as required.</x:v>
      </x:c>
      <x:c r="P32" s="2" t="str">
        <x:v>General agro-forestry - silviculture and mixed farming solutions: soil–crop–livestock knowledge, nutrient and water budgets, emission factors, carbon accounting, climate services, monitoring protocols and adaptive management.</x:v>
      </x:c>
      <x:c r="Q32" s="2" t="str">
        <x:v>General agro-forestry - silviculture and mixed farming solutions: land tenure, extension, producer organisations, veterinary or phytosanitary services, incentives, safeguards, certification and monitoring arrangements.</x:v>
      </x:c>
      <x:c r="R32" s="2" t="str">
        <x:v>General agro-forestry - silviculture and mixed farming solutions: nurseries or seed banks, field access, water and storage systems, laboratories, extension centres, monitoring plots and processing or market facilities.</x:v>
      </x:c>
      <x:c r="S32" s="2" t="str">
        <x:v>General agro-forestry - silviculture and mixed farming solutions: human and mechanical work, electricity or fuel for machinery, pumping, cooling and processing; biological energy and solar radiation dominate field processes.</x:v>
      </x:c>
      <x:c r="T32" s="2" t="str">
        <x:v>General agro-forestry - silviculture and mixed farming solutions: seed or planting stock, organic matter, fertilisers, soil amendments, water, fencing or structural materials, veterinary inputs and monitoring consumables.</x:v>
      </x:c>
      <x:c r="U32" s="2" t="str">
        <x:v>General agro-forestry - silviculture and mixed farming solutions: seed, inoculants, filters, drip lines, nozzles, tool parts, sampling containers, sensor batteries, veterinary supplies and protective equipment.</x:v>
      </x:c>
      <x:c r="V32" s="2" t="str">
        <x:v>https://www.ctc-n.org/sites/default/files/resources/ctcn_taxonomy_0.pdf</x:v>
      </x:c>
      <x:c r="W32" s="2" t="str">
        <x:v>https://institutoagricoladepueblobello.edu.co/colegiapp/archivostemas/GUIA%209.%5B25%5D.pdf</x:v>
      </x:c>
      <x:c r="X32" s="2" t="str">
        <x:v>https://iiasa.ac.at/what-is-technology</x:v>
      </x:c>
      <x:c r="Y32" s="2" t="str">
        <x:v>https://www.fao.org/climate-change/en; https://www.ipcc.ch/report/ar6/wg3/chapter/chapter-7/; https://openknowledge.fao.org/server/api/core/bitstreams/b21f2087-f398-4718-8461-b92afc82e617/content</x:v>
      </x:c>
      <x:c r="Z32" s="2" t="str">
        <x:v>Technology-specific analytical synthesis. The CTCN hierarchy is retained; classifications and component dependencies require validation against the selected design, site and supplier documentation before investment or policy use.</x:v>
      </x:c>
      <x:c r="AA32" s="2" t="str">
        <x:v>Physical deployment of General agro-forestry - silviculture and mixed farming solutions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2" s="2" t="str">
        <x:v>For General agro-forestry - silviculture and mixed farming solutions,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2" s="2" t="str">
        <x:v>Construction and operation use seed or planting stock, organic matter, fertilisers, soil amendments, water, fencing or structural materials, veterinary inputs and monitoring consumables. For General agro-forestry - silviculture and mixed farming solutions, specifications must include durability, compatibility, recycled content and recoverability.</x:v>
      </x:c>
      <x:c r="AD32" s="2" t="str">
        <x:v>Maintenance of General agro-forestry - silviculture and mixed farming solutions depends on seed, inoculants, filters, drip lines, nozzles, tool parts, sampling containers, sensor batteries, veterinary supplies and protective equipment; critical spares are selected from failure-mode, lead-time and safety analysis for its installed configuration.</x:v>
      </x:c>
      <x:c r="AE32" s="2" t="str">
        <x:v>The software stack for General agro-forestry - silviculture and mixed farming solutions requires databases, secure communications, version-controlled models, computing, backup and interfaces with field or operational systems.</x:v>
      </x:c>
      <x:c r="AF32" s="2" t="str">
        <x:v>For General agro-forestry - silviculture and mixed farming solutions, software-related energy is electricity for sensing, computing, storage, communication and cooling; it is normally secondary but must be included for data-intensive or continuous services.</x:v>
      </x:c>
      <x:c r="AG32" s="2" t="str">
        <x:v>The non-physical inputs are calibrated data, metadata, algorithms, boundary conditions, emission or hazard factors, manuals and validation records specific to General agro-forestry - silviculture and mixed farming solutions.</x:v>
      </x:c>
      <x:c r="AH32" s="2" t="str">
        <x:v>Software continuity for General agro-forestry - silviculture and mixed farming solutions requires licences where applicable, updates, cybersecurity patches, backups, calibration files, model validation and technical support.</x:v>
      </x:c>
      <x:c r="AI32" s="2" t="str">
        <x:v>Orgware depends on the institutions, laboratories, training providers, regulators, operators and community interfaces needed to govern General agro-forestry - silviculture and mixed farming solutions.</x:v>
      </x:c>
      <x:c r="AJ32" s="2" t="str">
        <x:v>The orgware supporting General agro-forestry - silviculture and mixed farming solutions has mainly indirect energy use from offices, meetings, training and information systems; travel and field supervision may be material at dispersed sites.</x:v>
      </x:c>
      <x:c r="AK32" s="2" t="str">
        <x:v>Its organisational inputs are permits, budgets, trained staff, competence records, contracts, procedures, safeguards, monitoring evidence and stakeholder agreements tailored to General agro-forestry - silviculture and mixed farming solutions.</x:v>
      </x:c>
      <x:c r="AL32" s="2" t="str">
        <x:v>Sustained implementation of General agro-forestry - silviculture and mixed farming solutions requires procurement and service contracts, audit protocols, training material, reporting templates, insurance or guarantees and periodic independent review.</x:v>
      </x:c>
      <x:c r="AM32" s="2" t="str">
        <x:v>No critical or strategic raw material is identifiable at taxonomy level; site-specific bulk materials may still be required.</x:v>
      </x:c>
      <x:c r="AN32" s="2" t="str"/>
      <x:c r="AO32" s="2" t="str"/>
      <x:c r="AP32" s="2" t="str">
        <x:v>General agro-forestry - silviculture and mixed farming solutions: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2" s="2" t="str">
        <x:v>2024–2025</x:v>
      </x:c>
      <x:c r="AR32" s="2" t="str">
        <x:v>https://pubs.usgs.gov/periodicals/mcs2026/mcs2026.pdf; https://www.iea.org/reports/global-critical-minerals-outlook-2025</x:v>
      </x:c>
    </x:row>
    <x:row r="33" ht="240" customHeight="1">
      <x:c r="A33" s="2" t="str">
        <x:v>ADP-0026</x:v>
      </x:c>
      <x:c r="B33" s="2" t="str">
        <x:v>Adaptation</x:v>
      </x:c>
      <x:c r="C33" s="2" t="str">
        <x:v>Agriculture and Forestry</x:v>
      </x:c>
      <x:c r="D33" s="2" t="str">
        <x:v>Agro-forestry, Silviculture &amp; Mixed farming</x:v>
      </x:c>
      <x:c r="E33" s="2" t="str">
        <x:v>Agroforestry</x:v>
      </x:c>
      <x:c r="F33" s="2" t="str">
        <x:v>Agroforestry is a adaptation technology in the Agriculture and Forestry sector and the Agro-forestry, Silviculture &amp; Mixed farming technology group. It is defined as a combined hardware–software–orgware system that changes vegetation, soil, nutrient, water, crop or livestock management to protect carbon stocks, increase resilience and productivity, and reduce CO₂, CH₄ or N₂O emissions. Agroforestry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3" s="2" t="str">
        <x:v>Mixed: adaptable design, site-specific implementation</x:v>
      </x:c>
      <x:c r="H33" s="2" t="str">
        <x:v>Agroforestry is adaptable in capacity and configuration but site-specific in final engineering. Its principle remains the same, but resource quality, climate, scale, interfaces and safety constraints must be recalculated for each deployment.</x:v>
      </x:c>
      <x:c r="I33" s="2" t="str">
        <x:v>Primarily hard, with a soft component</x:v>
      </x:c>
      <x:c r="J33" s="2" t="str">
        <x:v>Agroforestry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3" s="2" t="str">
        <x:v>Operation</x:v>
      </x:c>
      <x:c r="L33" s="2" t="str">
        <x:v>Agroforestry is embodied mainly as an operating practice. The deliverable is accepted only when measurable service, quality, safety and climate-performance criteria are met under real conditions.</x:v>
      </x:c>
      <x:c r="M33" s="2" t="str">
        <x:v>Yes, subject to life-cycle safeguards</x:v>
      </x:c>
      <x:c r="N33" s="2" t="str">
        <x:v>Agroforestry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3" s="2" t="str">
        <x:v>Agroforestry: field or forest implements, planting and irrigation equipment, storage or livestock facilities, sampling tools, sensors and protective structures as required.</x:v>
      </x:c>
      <x:c r="P33" s="2" t="str">
        <x:v>Agroforestry: soil–crop–livestock knowledge, nutrient and water budgets, emission factors, carbon accounting, climate services, monitoring protocols and adaptive management.</x:v>
      </x:c>
      <x:c r="Q33" s="2" t="str">
        <x:v>Agroforestry: land tenure, extension, producer organisations, veterinary or phytosanitary services, incentives, safeguards, certification and monitoring arrangements.</x:v>
      </x:c>
      <x:c r="R33" s="2" t="str">
        <x:v>Agroforestry: nurseries or seed banks, field access, water and storage systems, laboratories, extension centres, monitoring plots and processing or market facilities.</x:v>
      </x:c>
      <x:c r="S33" s="2" t="str">
        <x:v>Agroforestry: human and mechanical work, electricity or fuel for machinery, pumping, cooling and processing; biological energy and solar radiation dominate field processes.</x:v>
      </x:c>
      <x:c r="T33" s="2" t="str">
        <x:v>Agroforestry: seed or planting stock, organic matter, fertilisers, soil amendments, water, fencing or structural materials, veterinary inputs and monitoring consumables.</x:v>
      </x:c>
      <x:c r="U33" s="2" t="str">
        <x:v>Agroforestry: seed, inoculants, filters, drip lines, nozzles, tool parts, sampling containers, sensor batteries, veterinary supplies and protective equipment.</x:v>
      </x:c>
      <x:c r="V33" s="2" t="str">
        <x:v>https://www.ctc-n.org/sites/default/files/resources/ctcn_taxonomy_0.pdf</x:v>
      </x:c>
      <x:c r="W33" s="2" t="str">
        <x:v>https://institutoagricoladepueblobello.edu.co/colegiapp/archivostemas/GUIA%209.%5B25%5D.pdf</x:v>
      </x:c>
      <x:c r="X33" s="2" t="str">
        <x:v>https://iiasa.ac.at/what-is-technology</x:v>
      </x:c>
      <x:c r="Y33" s="2" t="str">
        <x:v>https://www.fao.org/climate-change/en; https://www.ipcc.ch/report/ar6/wg3/chapter/chapter-7/; https://openknowledge.fao.org/server/api/core/bitstreams/b21f2087-f398-4718-8461-b92afc82e617/content</x:v>
      </x:c>
      <x:c r="Z33" s="2" t="str">
        <x:v>Technology-specific analytical synthesis. The CTCN hierarchy is retained; classifications and component dependencies require validation against the selected design, site and supplier documentation before investment or policy use.</x:v>
      </x:c>
      <x:c r="AA33" s="2" t="str">
        <x:v>Physical deployment of Agroforestry requires nurseries or seed banks, field access, water and storage systems, laboratories, extension centres, monitoring plots and processing or market facilities; interfaces, foundations, access and environmental protection are sized to the specific resource and design load.</x:v>
      </x:c>
      <x:c r="AB33" s="2" t="str">
        <x:v>For Agroforestry,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3" s="2" t="str">
        <x:v>Construction and operation use seed or planting stock, organic matter, fertilisers, soil amendments, water, fencing or structural materials, veterinary inputs and monitoring consumables. For Agroforestry, specifications must include durability, compatibility, recycled content and recoverability.</x:v>
      </x:c>
      <x:c r="AD33" s="2" t="str">
        <x:v>Maintenance of Agroforestry depends on seed, inoculants, filters, drip lines, nozzles, tool parts, sampling containers, sensor batteries, veterinary supplies and protective equipment; critical spares are selected from failure-mode, lead-time and safety analysis for its installed configuration.</x:v>
      </x:c>
      <x:c r="AE33" s="2" t="str">
        <x:v>The software stack for Agroforestry requires databases, secure communications, version-controlled models, computing, backup and interfaces with field or operational systems.</x:v>
      </x:c>
      <x:c r="AF33" s="2" t="str">
        <x:v>For Agroforestry, software-related energy is electricity for sensing, computing, storage, communication and cooling; it is normally secondary but must be included for data-intensive or continuous services.</x:v>
      </x:c>
      <x:c r="AG33" s="2" t="str">
        <x:v>The non-physical inputs are calibrated data, metadata, algorithms, boundary conditions, emission or hazard factors, manuals and validation records specific to Agroforestry.</x:v>
      </x:c>
      <x:c r="AH33" s="2" t="str">
        <x:v>Software continuity for Agroforestry requires licences where applicable, updates, cybersecurity patches, backups, calibration files, model validation and technical support.</x:v>
      </x:c>
      <x:c r="AI33" s="2" t="str">
        <x:v>Orgware depends on the institutions, laboratories, training providers, regulators, operators and community interfaces needed to govern Agroforestry.</x:v>
      </x:c>
      <x:c r="AJ33" s="2" t="str">
        <x:v>The orgware supporting Agroforestry has mainly indirect energy use from offices, meetings, training and information systems; travel and field supervision may be material at dispersed sites.</x:v>
      </x:c>
      <x:c r="AK33" s="2" t="str">
        <x:v>Its organisational inputs are permits, budgets, trained staff, competence records, contracts, procedures, safeguards, monitoring evidence and stakeholder agreements tailored to Agroforestry.</x:v>
      </x:c>
      <x:c r="AL33" s="2" t="str">
        <x:v>Sustained implementation of Agroforestry requires procurement and service contracts, audit protocols, training material, reporting templates, insurance or guarantees and periodic independent review.</x:v>
      </x:c>
      <x:c r="AM33" s="2" t="str">
        <x:v>No critical or strategic raw material is identifiable at taxonomy level; site-specific bulk materials may still be required.</x:v>
      </x:c>
      <x:c r="AN33" s="2" t="str"/>
      <x:c r="AO33" s="2" t="str"/>
      <x:c r="AP33" s="2" t="str">
        <x:v>Agroforestry: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3" s="2" t="str">
        <x:v>2024–2025</x:v>
      </x:c>
      <x:c r="AR33" s="2" t="str">
        <x:v>https://pubs.usgs.gov/periodicals/mcs2026/mcs2026.pdf; https://www.iea.org/reports/global-critical-minerals-outlook-2025</x:v>
      </x:c>
    </x:row>
    <x:row r="34" ht="240" customHeight="1">
      <x:c r="A34" s="2" t="str">
        <x:v>ADP-0027</x:v>
      </x:c>
      <x:c r="B34" s="2" t="str">
        <x:v>Adaptation</x:v>
      </x:c>
      <x:c r="C34" s="2" t="str">
        <x:v>Agriculture and Forestry</x:v>
      </x:c>
      <x:c r="D34" s="2" t="str">
        <x:v>Seed, grain &amp; food storage</x:v>
      </x:c>
      <x:c r="E34" s="2" t="str">
        <x:v>Crop storage</x:v>
      </x:c>
      <x:c r="F34" s="2" t="str">
        <x:v>Crop storage is a adaptation technology in the Agriculture and Forestry sector and the Seed, grain &amp; food storage technology group. It is defined as a combined hardware–software–orgware system that changes vegetation, soil, nutrient, water, crop or livestock management to protect carbon stocks, increase resilience and productivity, and reduce CO₂, CH₄ or N₂O emissions. Crop storage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4" s="2" t="str">
        <x:v>Mixed: adaptable design, site-specific implementation</x:v>
      </x:c>
      <x:c r="H34" s="2" t="str">
        <x:v>Crop storage is adaptable in capacity and configuration but site-specific in final engineering. Its principle remains the same, but resource quality, climate, scale, interfaces and safety constraints must be recalculated for each deployment.</x:v>
      </x:c>
      <x:c r="I34" s="2" t="str">
        <x:v>Primarily hard, with a soft component</x:v>
      </x:c>
      <x:c r="J34" s="2" t="str">
        <x:v>Crop storage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4" s="2" t="str">
        <x:v>Operation</x:v>
      </x:c>
      <x:c r="L34" s="2" t="str">
        <x:v>Crop storage is embodied mainly as an operating practice. The deliverable is accepted only when measurable service, quality, safety and climate-performance criteria are met under real conditions.</x:v>
      </x:c>
      <x:c r="M34" s="2" t="str">
        <x:v>Yes, subject to life-cycle safeguards</x:v>
      </x:c>
      <x:c r="N34" s="2" t="str">
        <x:v>Crop storage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4" s="2" t="str">
        <x:v>Crop storage: field or forest implements, planting and irrigation equipment, storage or livestock facilities, sampling tools, sensors and protective structures as required.</x:v>
      </x:c>
      <x:c r="P34" s="2" t="str">
        <x:v>Crop storage: soil–crop–livestock knowledge, nutrient and water budgets, emission factors, carbon accounting, climate services, monitoring protocols and adaptive management.</x:v>
      </x:c>
      <x:c r="Q34" s="2" t="str">
        <x:v>Crop storage: land tenure, extension, producer organisations, veterinary or phytosanitary services, incentives, safeguards, certification and monitoring arrangements.</x:v>
      </x:c>
      <x:c r="R34" s="2" t="str">
        <x:v>Crop storage: nurseries or seed banks, field access, water and storage systems, laboratories, extension centres, monitoring plots and processing or market facilities.</x:v>
      </x:c>
      <x:c r="S34" s="2" t="str">
        <x:v>Crop storage: human and mechanical work, electricity or fuel for machinery, pumping, cooling and processing; biological energy and solar radiation dominate field processes.</x:v>
      </x:c>
      <x:c r="T34" s="2" t="str">
        <x:v>Crop storage: seed or planting stock, organic matter, fertilisers, soil amendments, water, fencing or structural materials, veterinary inputs and monitoring consumables.</x:v>
      </x:c>
      <x:c r="U34" s="2" t="str">
        <x:v>Crop storage: seed, inoculants, filters, drip lines, nozzles, tool parts, sampling containers, sensor batteries, veterinary supplies and protective equipment.</x:v>
      </x:c>
      <x:c r="V34" s="2" t="str">
        <x:v>https://www.ctc-n.org/sites/default/files/resources/ctcn_taxonomy_0.pdf</x:v>
      </x:c>
      <x:c r="W34" s="2" t="str">
        <x:v>https://institutoagricoladepueblobello.edu.co/colegiapp/archivostemas/GUIA%209.%5B25%5D.pdf</x:v>
      </x:c>
      <x:c r="X34" s="2" t="str">
        <x:v>https://iiasa.ac.at/what-is-technology</x:v>
      </x:c>
      <x:c r="Y34" s="2" t="str">
        <x:v>https://www.fao.org/climate-change/en; https://www.ipcc.ch/report/ar6/wg3/chapter/chapter-7/; https://openknowledge.fao.org/server/api/core/bitstreams/b21f2087-f398-4718-8461-b92afc82e617/content</x:v>
      </x:c>
      <x:c r="Z34" s="2" t="str">
        <x:v>Technology-specific analytical synthesis. The CTCN hierarchy is retained; classifications and component dependencies require validation against the selected design, site and supplier documentation before investment or policy use.</x:v>
      </x:c>
      <x:c r="AA34" s="2" t="str">
        <x:v>Physical deployment of Crop storage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34" s="2" t="str">
        <x:v>For Crop storage,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4" s="2" t="str">
        <x:v>Construction and operation use seed or planting stock, organic matter, fertilisers, soil amendments, water, fencing or structural materials, veterinary inputs and monitoring consumables. For Crop storage, specifications must include durability, compatibility, recycled content and recoverability.</x:v>
      </x:c>
      <x:c r="AD34" s="2" t="str">
        <x:v>Maintenance of Crop storage depends on seed, inoculants, filters, drip lines, nozzles, tool parts, sampling containers, sensor batteries, veterinary supplies and protective equipment; critical spares are selected from failure-mode, lead-time and safety analysis for its installed configuration.</x:v>
      </x:c>
      <x:c r="AE34" s="2" t="str">
        <x:v>The software stack for Crop storage requires databases, secure communications, version-controlled models, computing, backup and interfaces with field or operational systems.</x:v>
      </x:c>
      <x:c r="AF34" s="2" t="str">
        <x:v>For Crop storage, software-related energy is electricity for sensing, computing, storage, communication and cooling; it is normally secondary but must be included for data-intensive or continuous services.</x:v>
      </x:c>
      <x:c r="AG34" s="2" t="str">
        <x:v>The non-physical inputs are calibrated data, metadata, algorithms, boundary conditions, emission or hazard factors, manuals and validation records specific to Crop storage.</x:v>
      </x:c>
      <x:c r="AH34" s="2" t="str">
        <x:v>Software continuity for Crop storage requires licences where applicable, updates, cybersecurity patches, backups, calibration files, model validation and technical support.</x:v>
      </x:c>
      <x:c r="AI34" s="2" t="str">
        <x:v>Orgware depends on the institutions, laboratories, training providers, regulators, operators and community interfaces needed to govern Crop storage.</x:v>
      </x:c>
      <x:c r="AJ34" s="2" t="str">
        <x:v>The orgware supporting Crop storage has mainly indirect energy use from offices, meetings, training and information systems; travel and field supervision may be material at dispersed sites.</x:v>
      </x:c>
      <x:c r="AK34" s="2" t="str">
        <x:v>Its organisational inputs are permits, budgets, trained staff, competence records, contracts, procedures, safeguards, monitoring evidence and stakeholder agreements tailored to Crop storage.</x:v>
      </x:c>
      <x:c r="AL34" s="2" t="str">
        <x:v>Sustained implementation of Crop storage requires procurement and service contracts, audit protocols, training material, reporting templates, insurance or guarantees and periodic independent review.</x:v>
      </x:c>
      <x:c r="AM34" s="2" t="str">
        <x:v>Phosphate rock; Potash</x:v>
      </x:c>
      <x:c r="AN34" s="2" t="str">
        <x:v>China; Morocco; United States; Canada; Russia; Belarus</x:v>
      </x:c>
      <x:c r="AO34" s="2" t="str">
        <x:v>China; Morocco; United States; Canada; Russia; Belarus</x:v>
      </x:c>
      <x:c r="AP34" s="2" t="str">
        <x:v>Crop storage: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4" s="2" t="str">
        <x:v>2024–2025</x:v>
      </x:c>
      <x:c r="AR34" s="2" t="str">
        <x:v>https://pubs.usgs.gov/periodicals/mcs2026/mcs2026.pdf</x:v>
      </x:c>
    </x:row>
    <x:row r="35" ht="240" customHeight="1">
      <x:c r="A35" s="2" t="str">
        <x:v>ADP-0028</x:v>
      </x:c>
      <x:c r="B35" s="2" t="str">
        <x:v>Adaptation</x:v>
      </x:c>
      <x:c r="C35" s="2" t="str">
        <x:v>Agriculture and Forestry</x:v>
      </x:c>
      <x:c r="D35" s="2" t="str">
        <x:v>Seed, grain &amp; food storage</x:v>
      </x:c>
      <x:c r="E35" s="2" t="str">
        <x:v>Ex situ conservation and seed banks</x:v>
      </x:c>
      <x:c r="F35" s="2" t="str">
        <x:v>Ex situ conservation and seed banks is a adaptation technology in the Agriculture and Forestry sector and the Seed, grain &amp; food storage technology group. It is defined as a combined hardware–software–orgware system that changes vegetation, soil, nutrient, water, crop or livestock management to protect carbon stocks, increase resilience and productivity, and reduce CO₂, CH₄ or N₂O emissions. Ex situ conservation and seed banks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5" s="2" t="str">
        <x:v>Mixed: adaptable design, site-specific implementation</x:v>
      </x:c>
      <x:c r="H35" s="2" t="str">
        <x:v>Ex situ conservation and seed banks is adaptable in capacity and configuration but site-specific in final engineering. Its principle remains the same, but resource quality, climate, scale, interfaces and safety constraints must be recalculated for each deployment.</x:v>
      </x:c>
      <x:c r="I35" s="2" t="str">
        <x:v>Primarily hard, with a soft component</x:v>
      </x:c>
      <x:c r="J35" s="2" t="str">
        <x:v>Ex situ conservation and seed banks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5" s="2" t="str">
        <x:v>Operation</x:v>
      </x:c>
      <x:c r="L35" s="2" t="str">
        <x:v>Ex situ conservation and seed banks is embodied mainly as an operating practice. The deliverable is accepted only when measurable service, quality, safety and climate-performance criteria are met under real conditions.</x:v>
      </x:c>
      <x:c r="M35" s="2" t="str">
        <x:v>Yes, subject to life-cycle safeguards</x:v>
      </x:c>
      <x:c r="N35" s="2" t="str">
        <x:v>Ex situ conservation and seed banks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5" s="2" t="str">
        <x:v>Ex situ conservation and seed banks: field or forest implements, planting and irrigation equipment, storage or livestock facilities, sampling tools, sensors and protective structures as required.</x:v>
      </x:c>
      <x:c r="P35" s="2" t="str">
        <x:v>Ex situ conservation and seed banks: soil–crop–livestock knowledge, nutrient and water budgets, emission factors, carbon accounting, climate services, monitoring protocols and adaptive management.</x:v>
      </x:c>
      <x:c r="Q35" s="2" t="str">
        <x:v>Ex situ conservation and seed banks: land tenure, extension, producer organisations, veterinary or phytosanitary services, incentives, safeguards, certification and monitoring arrangements.</x:v>
      </x:c>
      <x:c r="R35" s="2" t="str">
        <x:v>Ex situ conservation and seed banks: nurseries or seed banks, field access, water and storage systems, laboratories, extension centres, monitoring plots and processing or market facilities.</x:v>
      </x:c>
      <x:c r="S35" s="2" t="str">
        <x:v>Ex situ conservation and seed banks: human and mechanical work, electricity or fuel for machinery, pumping, cooling and processing; biological energy and solar radiation dominate field processes.</x:v>
      </x:c>
      <x:c r="T35" s="2" t="str">
        <x:v>Ex situ conservation and seed banks: seed or planting stock, organic matter, fertilisers, soil amendments, water, fencing or structural materials, veterinary inputs and monitoring consumables.</x:v>
      </x:c>
      <x:c r="U35" s="2" t="str">
        <x:v>Ex situ conservation and seed banks: seed, inoculants, filters, drip lines, nozzles, tool parts, sampling containers, sensor batteries, veterinary supplies and protective equipment.</x:v>
      </x:c>
      <x:c r="V35" s="2" t="str">
        <x:v>https://www.ctc-n.org/sites/default/files/resources/ctcn_taxonomy_0.pdf</x:v>
      </x:c>
      <x:c r="W35" s="2" t="str">
        <x:v>https://institutoagricoladepueblobello.edu.co/colegiapp/archivostemas/GUIA%209.%5B25%5D.pdf</x:v>
      </x:c>
      <x:c r="X35" s="2" t="str">
        <x:v>https://iiasa.ac.at/what-is-technology</x:v>
      </x:c>
      <x:c r="Y35" s="2" t="str">
        <x:v>https://www.fao.org/climate-change/en; https://www.ipcc.ch/report/ar6/wg3/chapter/chapter-7/; https://openknowledge.fao.org/server/api/core/bitstreams/b21f2087-f398-4718-8461-b92afc82e617/content</x:v>
      </x:c>
      <x:c r="Z35" s="2" t="str">
        <x:v>Technology-specific analytical synthesis. The CTCN hierarchy is retained; classifications and component dependencies require validation against the selected design, site and supplier documentation before investment or policy use.</x:v>
      </x:c>
      <x:c r="AA35" s="2" t="str">
        <x:v>Physical deployment of Ex situ conservation and seed banks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5" s="2" t="str">
        <x:v>For Ex situ conservation and seed banks,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5" s="2" t="str">
        <x:v>Construction and operation use seed or planting stock, organic matter, fertilisers, soil amendments, water, fencing or structural materials, veterinary inputs and monitoring consumables. For Ex situ conservation and seed banks, specifications must include durability, compatibility, recycled content and recoverability.</x:v>
      </x:c>
      <x:c r="AD35" s="2" t="str">
        <x:v>Maintenance of Ex situ conservation and seed banks depends on seed, inoculants, filters, drip lines, nozzles, tool parts, sampling containers, sensor batteries, veterinary supplies and protective equipment; critical spares are selected from failure-mode, lead-time and safety analysis for its installed configuration.</x:v>
      </x:c>
      <x:c r="AE35" s="2" t="str">
        <x:v>The software stack for Ex situ conservation and seed banks requires databases, secure communications, version-controlled models, computing, backup and interfaces with field or operational systems.</x:v>
      </x:c>
      <x:c r="AF35" s="2" t="str">
        <x:v>For Ex situ conservation and seed banks, software-related energy is electricity for sensing, computing, storage, communication and cooling; it is normally secondary but must be included for data-intensive or continuous services.</x:v>
      </x:c>
      <x:c r="AG35" s="2" t="str">
        <x:v>The non-physical inputs are calibrated data, metadata, algorithms, boundary conditions, emission or hazard factors, manuals and validation records specific to Ex situ conservation and seed banks.</x:v>
      </x:c>
      <x:c r="AH35" s="2" t="str">
        <x:v>Software continuity for Ex situ conservation and seed banks requires licences where applicable, updates, cybersecurity patches, backups, calibration files, model validation and technical support.</x:v>
      </x:c>
      <x:c r="AI35" s="2" t="str">
        <x:v>Orgware depends on the institutions, laboratories, training providers, regulators, operators and community interfaces needed to govern Ex situ conservation and seed banks.</x:v>
      </x:c>
      <x:c r="AJ35" s="2" t="str">
        <x:v>The orgware supporting Ex situ conservation and seed banks has mainly indirect energy use from offices, meetings, training and information systems; travel and field supervision may be material at dispersed sites.</x:v>
      </x:c>
      <x:c r="AK35" s="2" t="str">
        <x:v>Its organisational inputs are permits, budgets, trained staff, competence records, contracts, procedures, safeguards, monitoring evidence and stakeholder agreements tailored to Ex situ conservation and seed banks.</x:v>
      </x:c>
      <x:c r="AL35" s="2" t="str">
        <x:v>Sustained implementation of Ex situ conservation and seed banks requires procurement and service contracts, audit protocols, training material, reporting templates, insurance or guarantees and periodic independent review.</x:v>
      </x:c>
      <x:c r="AM35" s="2" t="str">
        <x:v>No critical or strategic raw material is identifiable at taxonomy level; site-specific bulk materials may still be required.</x:v>
      </x:c>
      <x:c r="AN35" s="2" t="str"/>
      <x:c r="AO35" s="2" t="str"/>
      <x:c r="AP35" s="2" t="str">
        <x:v>Ex situ conservation and seed banks: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5" s="2" t="str">
        <x:v>2024–2025</x:v>
      </x:c>
      <x:c r="AR35" s="2" t="str">
        <x:v>https://pubs.usgs.gov/periodicals/mcs2026/mcs2026.pdf</x:v>
      </x:c>
    </x:row>
    <x:row r="36" ht="240" customHeight="1">
      <x:c r="A36" s="2" t="str">
        <x:v>ADP-0029</x:v>
      </x:c>
      <x:c r="B36" s="2" t="str">
        <x:v>Adaptation</x:v>
      </x:c>
      <x:c r="C36" s="2" t="str">
        <x:v>Agriculture and Forestry</x:v>
      </x:c>
      <x:c r="D36" s="2" t="str">
        <x:v>Seed, grain &amp; food storage</x:v>
      </x:c>
      <x:c r="E36" s="2" t="str">
        <x:v>Food banks and distribution of food surplus</x:v>
      </x:c>
      <x:c r="F36" s="2" t="str">
        <x:v>Food banks and distribution of food surplus is a adaptation technology in the Agriculture and Forestry sector and the Seed, grain &amp; food storage technology group. It is defined as a combined hardware–software–orgware system that changes vegetation, soil, nutrient, water, crop or livestock management to protect carbon stocks, increase resilience and productivity, and reduce CO₂, CH₄ or N₂O emissions. Food banks and distribution of food surplus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6" s="2" t="str">
        <x:v>Mixed: adaptable design, site-specific implementation</x:v>
      </x:c>
      <x:c r="H36" s="2" t="str">
        <x:v>Food banks and distribution of food surplus is adaptable in capacity and configuration but site-specific in final engineering. Its principle remains the same, but resource quality, climate, scale, interfaces and safety constraints must be recalculated for each deployment.</x:v>
      </x:c>
      <x:c r="I36" s="2" t="str">
        <x:v>Primarily hard, with a soft component</x:v>
      </x:c>
      <x:c r="J36" s="2" t="str">
        <x:v>Food banks and distribution of food surplus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6" s="2" t="str">
        <x:v>Operation</x:v>
      </x:c>
      <x:c r="L36" s="2" t="str">
        <x:v>Food banks and distribution of food surplus is embodied mainly as an operating practice. The deliverable is accepted only when measurable service, quality, safety and climate-performance criteria are met under real conditions.</x:v>
      </x:c>
      <x:c r="M36" s="2" t="str">
        <x:v>Yes, subject to life-cycle safeguards</x:v>
      </x:c>
      <x:c r="N36" s="2" t="str">
        <x:v>Food banks and distribution of food surplus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6" s="2" t="str">
        <x:v>Food banks and distribution of food surplus: field or forest implements, planting and irrigation equipment, storage or livestock facilities, sampling tools, sensors and protective structures as required.</x:v>
      </x:c>
      <x:c r="P36" s="2" t="str">
        <x:v>Food banks and distribution of food surplus: soil–crop–livestock knowledge, nutrient and water budgets, emission factors, carbon accounting, climate services, monitoring protocols and adaptive management.</x:v>
      </x:c>
      <x:c r="Q36" s="2" t="str">
        <x:v>Food banks and distribution of food surplus: land tenure, extension, producer organisations, veterinary or phytosanitary services, incentives, safeguards, certification and monitoring arrangements.</x:v>
      </x:c>
      <x:c r="R36" s="2" t="str">
        <x:v>Food banks and distribution of food surplus: nurseries or seed banks, field access, water and storage systems, laboratories, extension centres, monitoring plots and processing or market facilities.</x:v>
      </x:c>
      <x:c r="S36" s="2" t="str">
        <x:v>Food banks and distribution of food surplus: human and mechanical work, electricity or fuel for machinery, pumping, cooling and processing; biological energy and solar radiation dominate field processes.</x:v>
      </x:c>
      <x:c r="T36" s="2" t="str">
        <x:v>Food banks and distribution of food surplus: seed or planting stock, organic matter, fertilisers, soil amendments, water, fencing or structural materials, veterinary inputs and monitoring consumables.</x:v>
      </x:c>
      <x:c r="U36" s="2" t="str">
        <x:v>Food banks and distribution of food surplus: seed, inoculants, filters, drip lines, nozzles, tool parts, sampling containers, sensor batteries, veterinary supplies and protective equipment.</x:v>
      </x:c>
      <x:c r="V36" s="2" t="str">
        <x:v>https://www.ctc-n.org/sites/default/files/resources/ctcn_taxonomy_0.pdf</x:v>
      </x:c>
      <x:c r="W36" s="2" t="str">
        <x:v>https://institutoagricoladepueblobello.edu.co/colegiapp/archivostemas/GUIA%209.%5B25%5D.pdf</x:v>
      </x:c>
      <x:c r="X36" s="2" t="str">
        <x:v>https://iiasa.ac.at/what-is-technology</x:v>
      </x:c>
      <x:c r="Y36" s="2" t="str">
        <x:v>https://www.fao.org/climate-change/en; https://www.ipcc.ch/report/ar6/wg3/chapter/chapter-7/; https://openknowledge.fao.org/server/api/core/bitstreams/b21f2087-f398-4718-8461-b92afc82e617/content</x:v>
      </x:c>
      <x:c r="Z36" s="2" t="str">
        <x:v>Technology-specific analytical synthesis. The CTCN hierarchy is retained; classifications and component dependencies require validation against the selected design, site and supplier documentation before investment or policy use.</x:v>
      </x:c>
      <x:c r="AA36" s="2" t="str">
        <x:v>Physical deployment of Food banks and distribution of food surplus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6" s="2" t="str">
        <x:v>For Food banks and distribution of food surplus,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6" s="2" t="str">
        <x:v>Construction and operation use seed or planting stock, organic matter, fertilisers, soil amendments, water, fencing or structural materials, veterinary inputs and monitoring consumables. For Food banks and distribution of food surplus, specifications must include durability, compatibility, recycled content and recoverability.</x:v>
      </x:c>
      <x:c r="AD36" s="2" t="str">
        <x:v>Maintenance of Food banks and distribution of food surplus depends on seed, inoculants, filters, drip lines, nozzles, tool parts, sampling containers, sensor batteries, veterinary supplies and protective equipment; critical spares are selected from failure-mode, lead-time and safety analysis for its installed configuration.</x:v>
      </x:c>
      <x:c r="AE36" s="2" t="str">
        <x:v>The software stack for Food banks and distribution of food surplus requires databases, secure communications, version-controlled models, computing, backup and interfaces with field or operational systems.</x:v>
      </x:c>
      <x:c r="AF36" s="2" t="str">
        <x:v>For Food banks and distribution of food surplus, software-related energy is electricity for sensing, computing, storage, communication and cooling; it is normally secondary but must be included for data-intensive or continuous services.</x:v>
      </x:c>
      <x:c r="AG36" s="2" t="str">
        <x:v>The non-physical inputs are calibrated data, metadata, algorithms, boundary conditions, emission or hazard factors, manuals and validation records specific to Food banks and distribution of food surplus.</x:v>
      </x:c>
      <x:c r="AH36" s="2" t="str">
        <x:v>Software continuity for Food banks and distribution of food surplus requires licences where applicable, updates, cybersecurity patches, backups, calibration files, model validation and technical support.</x:v>
      </x:c>
      <x:c r="AI36" s="2" t="str">
        <x:v>Orgware depends on the institutions, laboratories, training providers, regulators, operators and community interfaces needed to govern Food banks and distribution of food surplus.</x:v>
      </x:c>
      <x:c r="AJ36" s="2" t="str">
        <x:v>The orgware supporting Food banks and distribution of food surplus has mainly indirect energy use from offices, meetings, training and information systems; travel and field supervision may be material at dispersed sites.</x:v>
      </x:c>
      <x:c r="AK36" s="2" t="str">
        <x:v>Its organisational inputs are permits, budgets, trained staff, competence records, contracts, procedures, safeguards, monitoring evidence and stakeholder agreements tailored to Food banks and distribution of food surplus.</x:v>
      </x:c>
      <x:c r="AL36" s="2" t="str">
        <x:v>Sustained implementation of Food banks and distribution of food surplus requires procurement and service contracts, audit protocols, training material, reporting templates, insurance or guarantees and periodic independent review.</x:v>
      </x:c>
      <x:c r="AM36" s="2" t="str">
        <x:v>No critical or strategic raw material is identifiable at taxonomy level; site-specific bulk materials may still be required.</x:v>
      </x:c>
      <x:c r="AN36" s="2" t="str"/>
      <x:c r="AO36" s="2" t="str"/>
      <x:c r="AP36" s="2" t="str">
        <x:v>Food banks and distribution of food surplus: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6" s="2" t="str">
        <x:v>2024–2025</x:v>
      </x:c>
      <x:c r="AR36" s="2" t="str">
        <x:v>https://pubs.usgs.gov/periodicals/mcs2026/mcs2026.pdf</x:v>
      </x:c>
    </x:row>
    <x:row r="37" ht="240" customHeight="1">
      <x:c r="A37" s="2" t="str">
        <x:v>ADP-0030</x:v>
      </x:c>
      <x:c r="B37" s="2" t="str">
        <x:v>Adaptation</x:v>
      </x:c>
      <x:c r="C37" s="2" t="str">
        <x:v>Agriculture and Forestry</x:v>
      </x:c>
      <x:c r="D37" s="2" t="str">
        <x:v>Increasing crop resilience and productivity</x:v>
      </x:c>
      <x:c r="E37" s="2" t="str">
        <x:v>Sustainable fertilizers</x:v>
      </x:c>
      <x:c r="F37" s="2" t="str">
        <x:v>Sustainable fertilizers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Sustainable fertilizers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7" s="2" t="str">
        <x:v>Mixed: adaptable design, site-specific implementation</x:v>
      </x:c>
      <x:c r="H37" s="2" t="str">
        <x:v>Sustainable fertilizers is adaptable in capacity and configuration but site-specific in final engineering. Its principle remains the same, but resource quality, climate, scale, interfaces and safety constraints must be recalculated for each deployment.</x:v>
      </x:c>
      <x:c r="I37" s="2" t="str">
        <x:v>Primarily hard, with a soft component</x:v>
      </x:c>
      <x:c r="J37" s="2" t="str">
        <x:v>Sustainable fertilizers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7" s="2" t="str">
        <x:v>Operation</x:v>
      </x:c>
      <x:c r="L37" s="2" t="str">
        <x:v>Sustainable fertilizers is embodied mainly as an operating practice. The deliverable is accepted only when measurable service, quality, safety and climate-performance criteria are met under real conditions.</x:v>
      </x:c>
      <x:c r="M37" s="2" t="str">
        <x:v>Yes, subject to life-cycle safeguards</x:v>
      </x:c>
      <x:c r="N37" s="2" t="str">
        <x:v>Sustainable fertilizers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7" s="2" t="str">
        <x:v>Sustainable fertilizers: field or forest implements, planting and irrigation equipment, storage or livestock facilities, sampling tools, sensors and protective structures as required.</x:v>
      </x:c>
      <x:c r="P37" s="2" t="str">
        <x:v>Sustainable fertilizers: soil–crop–livestock knowledge, nutrient and water budgets, emission factors, carbon accounting, climate services, monitoring protocols and adaptive management.</x:v>
      </x:c>
      <x:c r="Q37" s="2" t="str">
        <x:v>Sustainable fertilizers: land tenure, extension, producer organisations, veterinary or phytosanitary services, incentives, safeguards, certification and monitoring arrangements.</x:v>
      </x:c>
      <x:c r="R37" s="2" t="str">
        <x:v>Sustainable fertilizers: nurseries or seed banks, field access, water and storage systems, laboratories, extension centres, monitoring plots and processing or market facilities.</x:v>
      </x:c>
      <x:c r="S37" s="2" t="str">
        <x:v>Sustainable fertilizers: human and mechanical work, electricity or fuel for machinery, pumping, cooling and processing; biological energy and solar radiation dominate field processes.</x:v>
      </x:c>
      <x:c r="T37" s="2" t="str">
        <x:v>Sustainable fertilizers: seed or planting stock, organic matter, fertilisers, soil amendments, water, fencing or structural materials, veterinary inputs and monitoring consumables.</x:v>
      </x:c>
      <x:c r="U37" s="2" t="str">
        <x:v>Sustainable fertilizers: seed, inoculants, filters, drip lines, nozzles, tool parts, sampling containers, sensor batteries, veterinary supplies and protective equipment.</x:v>
      </x:c>
      <x:c r="V37" s="2" t="str">
        <x:v>https://www.ctc-n.org/sites/default/files/resources/ctcn_taxonomy_0.pdf</x:v>
      </x:c>
      <x:c r="W37" s="2" t="str">
        <x:v>https://institutoagricoladepueblobello.edu.co/colegiapp/archivostemas/GUIA%209.%5B25%5D.pdf</x:v>
      </x:c>
      <x:c r="X37" s="2" t="str">
        <x:v>https://iiasa.ac.at/what-is-technology</x:v>
      </x:c>
      <x:c r="Y37" s="2" t="str">
        <x:v>https://www.fao.org/climate-change/en; https://www.ipcc.ch/report/ar6/wg3/chapter/chapter-7/; https://openknowledge.fao.org/server/api/core/bitstreams/b21f2087-f398-4718-8461-b92afc82e617/content</x:v>
      </x:c>
      <x:c r="Z37" s="2" t="str">
        <x:v>Technology-specific analytical synthesis. The CTCN hierarchy is retained; classifications and component dependencies require validation against the selected design, site and supplier documentation before investment or policy use.</x:v>
      </x:c>
      <x:c r="AA37" s="2" t="str">
        <x:v>Physical deployment of Sustainable fertilizers requires nurseries or seed banks, field access, water and storage systems, laboratories, extension centres, monitoring plots and processing or market facilities; interfaces, foundations, access and environmental protection are sized to the specific resource and design load.</x:v>
      </x:c>
      <x:c r="AB37" s="2" t="str">
        <x:v>For Sustainable fertilizers,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7" s="2" t="str">
        <x:v>Construction and operation use seed or planting stock, organic matter, fertilisers, soil amendments, water, fencing or structural materials, veterinary inputs and monitoring consumables. For Sustainable fertilizers, specifications must include durability, compatibility, recycled content and recoverability.</x:v>
      </x:c>
      <x:c r="AD37" s="2" t="str">
        <x:v>Maintenance of Sustainable fertilizers depends on seed, inoculants, filters, drip lines, nozzles, tool parts, sampling containers, sensor batteries, veterinary supplies and protective equipment; critical spares are selected from failure-mode, lead-time and safety analysis for its installed configuration.</x:v>
      </x:c>
      <x:c r="AE37" s="2" t="str">
        <x:v>The software stack for Sustainable fertilizers requires databases, secure communications, version-controlled models, computing, backup and interfaces with field or operational systems.</x:v>
      </x:c>
      <x:c r="AF37" s="2" t="str">
        <x:v>For Sustainable fertilizers, software-related energy is electricity for sensing, computing, storage, communication and cooling; it is normally secondary but must be included for data-intensive or continuous services.</x:v>
      </x:c>
      <x:c r="AG37" s="2" t="str">
        <x:v>The non-physical inputs are calibrated data, metadata, algorithms, boundary conditions, emission or hazard factors, manuals and validation records specific to Sustainable fertilizers.</x:v>
      </x:c>
      <x:c r="AH37" s="2" t="str">
        <x:v>Software continuity for Sustainable fertilizers requires licences where applicable, updates, cybersecurity patches, backups, calibration files, model validation and technical support.</x:v>
      </x:c>
      <x:c r="AI37" s="2" t="str">
        <x:v>Orgware depends on the institutions, laboratories, training providers, regulators, operators and community interfaces needed to govern Sustainable fertilizers.</x:v>
      </x:c>
      <x:c r="AJ37" s="2" t="str">
        <x:v>The orgware supporting Sustainable fertilizers has mainly indirect energy use from offices, meetings, training and information systems; travel and field supervision may be material at dispersed sites.</x:v>
      </x:c>
      <x:c r="AK37" s="2" t="str">
        <x:v>Its organisational inputs are permits, budgets, trained staff, competence records, contracts, procedures, safeguards, monitoring evidence and stakeholder agreements tailored to Sustainable fertilizers.</x:v>
      </x:c>
      <x:c r="AL37" s="2" t="str">
        <x:v>Sustained implementation of Sustainable fertilizers requires procurement and service contracts, audit protocols, training material, reporting templates, insurance or guarantees and periodic independent review.</x:v>
      </x:c>
      <x:c r="AM37" s="2" t="str">
        <x:v>Phosphate rock; Potash</x:v>
      </x:c>
      <x:c r="AN37" s="2" t="str">
        <x:v>China; Morocco; United States; Canada; Russia; Belarus</x:v>
      </x:c>
      <x:c r="AO37" s="2" t="str">
        <x:v>China; Morocco; United States; Canada; Russia; Belarus</x:v>
      </x:c>
      <x:c r="AP37" s="2" t="str">
        <x:v>Sustainable fertilizers: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7" s="2" t="str">
        <x:v>2024–2025</x:v>
      </x:c>
      <x:c r="AR37" s="2" t="str">
        <x:v>https://pubs.usgs.gov/periodicals/mcs2026/mcs2026.pdf</x:v>
      </x:c>
    </x:row>
    <x:row r="38" ht="240" customHeight="1">
      <x:c r="A38" s="2" t="str">
        <x:v>ADP-0031</x:v>
      </x:c>
      <x:c r="B38" s="2" t="str">
        <x:v>Adaptation</x:v>
      </x:c>
      <x:c r="C38" s="2" t="str">
        <x:v>Agriculture and Forestry</x:v>
      </x:c>
      <x:c r="D38" s="2" t="str">
        <x:v>Increasing crop resilience and productivity</x:v>
      </x:c>
      <x:c r="E38" s="2" t="str">
        <x:v>Terracing</x:v>
      </x:c>
      <x:c r="F38" s="2" t="str">
        <x:v>Terracing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Terracing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8" s="2" t="str">
        <x:v>Mixed: adaptable design, site-specific implementation</x:v>
      </x:c>
      <x:c r="H38" s="2" t="str">
        <x:v>Terracing is adaptable in capacity and configuration but site-specific in final engineering. Its principle remains the same, but resource quality, climate, scale, interfaces and safety constraints must be recalculated for each deployment.</x:v>
      </x:c>
      <x:c r="I38" s="2" t="str">
        <x:v>Primarily hard, with a soft component</x:v>
      </x:c>
      <x:c r="J38" s="2" t="str">
        <x:v>Terracing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8" s="2" t="str">
        <x:v>Operation</x:v>
      </x:c>
      <x:c r="L38" s="2" t="str">
        <x:v>Terracing is embodied mainly as an operating practice. The deliverable is accepted only when measurable service, quality, safety and climate-performance criteria are met under real conditions.</x:v>
      </x:c>
      <x:c r="M38" s="2" t="str">
        <x:v>Yes, subject to life-cycle safeguards</x:v>
      </x:c>
      <x:c r="N38" s="2" t="str">
        <x:v>Terracing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8" s="2" t="str">
        <x:v>Terracing: field or forest implements, planting and irrigation equipment, storage or livestock facilities, sampling tools, sensors and protective structures as required.</x:v>
      </x:c>
      <x:c r="P38" s="2" t="str">
        <x:v>Terracing: soil–crop–livestock knowledge, nutrient and water budgets, emission factors, carbon accounting, climate services, monitoring protocols and adaptive management.</x:v>
      </x:c>
      <x:c r="Q38" s="2" t="str">
        <x:v>Terracing: land tenure, extension, producer organisations, veterinary or phytosanitary services, incentives, safeguards, certification and monitoring arrangements.</x:v>
      </x:c>
      <x:c r="R38" s="2" t="str">
        <x:v>Terracing: nurseries or seed banks, field access, water and storage systems, laboratories, extension centres, monitoring plots and processing or market facilities.</x:v>
      </x:c>
      <x:c r="S38" s="2" t="str">
        <x:v>Terracing: human and mechanical work, electricity or fuel for machinery, pumping, cooling and processing; biological energy and solar radiation dominate field processes.</x:v>
      </x:c>
      <x:c r="T38" s="2" t="str">
        <x:v>Terracing: seed or planting stock, organic matter, fertilisers, soil amendments, water, fencing or structural materials, veterinary inputs and monitoring consumables.</x:v>
      </x:c>
      <x:c r="U38" s="2" t="str">
        <x:v>Terracing: seed, inoculants, filters, drip lines, nozzles, tool parts, sampling containers, sensor batteries, veterinary supplies and protective equipment.</x:v>
      </x:c>
      <x:c r="V38" s="2" t="str">
        <x:v>https://www.ctc-n.org/sites/default/files/resources/ctcn_taxonomy_0.pdf</x:v>
      </x:c>
      <x:c r="W38" s="2" t="str">
        <x:v>https://institutoagricoladepueblobello.edu.co/colegiapp/archivostemas/GUIA%209.%5B25%5D.pdf</x:v>
      </x:c>
      <x:c r="X38" s="2" t="str">
        <x:v>https://iiasa.ac.at/what-is-technology</x:v>
      </x:c>
      <x:c r="Y38" s="2" t="str">
        <x:v>https://www.fao.org/climate-change/en; https://www.ipcc.ch/report/ar6/wg3/chapter/chapter-7/; https://openknowledge.fao.org/server/api/core/bitstreams/b21f2087-f398-4718-8461-b92afc82e617/content</x:v>
      </x:c>
      <x:c r="Z38" s="2" t="str">
        <x:v>Technology-specific analytical synthesis. The CTCN hierarchy is retained; classifications and component dependencies require validation against the selected design, site and supplier documentation before investment or policy use.</x:v>
      </x:c>
      <x:c r="AA38" s="2" t="str">
        <x:v>Physical deployment of Terracing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38" s="2" t="str">
        <x:v>For Terracing,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8" s="2" t="str">
        <x:v>Construction and operation use seed or planting stock, organic matter, fertilisers, soil amendments, water, fencing or structural materials, veterinary inputs and monitoring consumables. For Terracing, specifications must include durability, compatibility, recycled content and recoverability.</x:v>
      </x:c>
      <x:c r="AD38" s="2" t="str">
        <x:v>Maintenance of Terracing depends on seed, inoculants, filters, drip lines, nozzles, tool parts, sampling containers, sensor batteries, veterinary supplies and protective equipment; critical spares are selected from failure-mode, lead-time and safety analysis for its installed configuration.</x:v>
      </x:c>
      <x:c r="AE38" s="2" t="str">
        <x:v>The software stack for Terracing requires databases, secure communications, version-controlled models, computing, backup and interfaces with field or operational systems.</x:v>
      </x:c>
      <x:c r="AF38" s="2" t="str">
        <x:v>For Terracing, software-related energy is electricity for sensing, computing, storage, communication and cooling; it is normally secondary but must be included for data-intensive or continuous services.</x:v>
      </x:c>
      <x:c r="AG38" s="2" t="str">
        <x:v>The non-physical inputs are calibrated data, metadata, algorithms, boundary conditions, emission or hazard factors, manuals and validation records specific to Terracing.</x:v>
      </x:c>
      <x:c r="AH38" s="2" t="str">
        <x:v>Software continuity for Terracing requires licences where applicable, updates, cybersecurity patches, backups, calibration files, model validation and technical support.</x:v>
      </x:c>
      <x:c r="AI38" s="2" t="str">
        <x:v>Orgware depends on the institutions, laboratories, training providers, regulators, operators and community interfaces needed to govern Terracing.</x:v>
      </x:c>
      <x:c r="AJ38" s="2" t="str">
        <x:v>The orgware supporting Terracing has mainly indirect energy use from offices, meetings, training and information systems; travel and field supervision may be material at dispersed sites.</x:v>
      </x:c>
      <x:c r="AK38" s="2" t="str">
        <x:v>Its organisational inputs are permits, budgets, trained staff, competence records, contracts, procedures, safeguards, monitoring evidence and stakeholder agreements tailored to Terracing.</x:v>
      </x:c>
      <x:c r="AL38" s="2" t="str">
        <x:v>Sustained implementation of Terracing requires procurement and service contracts, audit protocols, training material, reporting templates, insurance or guarantees and periodic independent review.</x:v>
      </x:c>
      <x:c r="AM38" s="2" t="str">
        <x:v>Phosphate rock; Potash</x:v>
      </x:c>
      <x:c r="AN38" s="2" t="str">
        <x:v>China; Morocco; United States; Canada; Russia; Belarus</x:v>
      </x:c>
      <x:c r="AO38" s="2" t="str">
        <x:v>China; Morocco; United States; Canada; Russia; Belarus</x:v>
      </x:c>
      <x:c r="AP38" s="2" t="str">
        <x:v>Terracing: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8" s="2" t="str">
        <x:v>2024–2025</x:v>
      </x:c>
      <x:c r="AR38" s="2" t="str">
        <x:v>https://pubs.usgs.gov/periodicals/mcs2026/mcs2026.pdf</x:v>
      </x:c>
    </x:row>
    <x:row r="39" ht="240" customHeight="1">
      <x:c r="A39" s="2" t="str">
        <x:v>ADP-0032</x:v>
      </x:c>
      <x:c r="B39" s="2" t="str">
        <x:v>Adaptation</x:v>
      </x:c>
      <x:c r="C39" s="2" t="str">
        <x:v>Agriculture and Forestry</x:v>
      </x:c>
      <x:c r="D39" s="2" t="str">
        <x:v>Increasing crop resilience and productivity</x:v>
      </x:c>
      <x:c r="E39" s="2" t="str">
        <x:v>Integrated nutrient management</x:v>
      </x:c>
      <x:c r="F39" s="2" t="str">
        <x:v>Integrated nutrient management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Integrated nutrient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39" s="2" t="str">
        <x:v>Flexible</x:v>
      </x:c>
      <x:c r="H39" s="2" t="str">
        <x:v>Integrated nutrient management is transferable through configurable methods, rules and operating parameters. Its principle remains the same, but resource quality, climate, scale, interfaces and safety constraints must be recalculated for each deployment.</x:v>
      </x:c>
      <x:c r="I39" s="2" t="str">
        <x:v>Primarily soft, with physical support</x:v>
      </x:c>
      <x:c r="J39" s="2" t="str">
        <x:v>Integrated nutrient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39" s="2" t="str">
        <x:v>Operation</x:v>
      </x:c>
      <x:c r="L39" s="2" t="str">
        <x:v>Integrated nutrient management is embodied mainly as an operating practice. The deliverable is accepted only when measurable service, quality, safety and climate-performance criteria are met under real conditions.</x:v>
      </x:c>
      <x:c r="M39" s="2" t="str">
        <x:v>Yes, subject to life-cycle safeguards</x:v>
      </x:c>
      <x:c r="N39" s="2" t="str">
        <x:v>Integrated nutrient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39" s="2" t="str">
        <x:v>Integrated nutrient management: field or forest implements, planting and irrigation equipment, storage or livestock facilities, sampling tools, sensors and protective structures as required.</x:v>
      </x:c>
      <x:c r="P39" s="2" t="str">
        <x:v>Integrated nutrient management: soil–crop–livestock knowledge, nutrient and water budgets, emission factors, carbon accounting, climate services, monitoring protocols and adaptive management.</x:v>
      </x:c>
      <x:c r="Q39" s="2" t="str">
        <x:v>Integrated nutrient management: land tenure, extension, producer organisations, veterinary or phytosanitary services, incentives, safeguards, certification and monitoring arrangements.</x:v>
      </x:c>
      <x:c r="R39" s="2" t="str">
        <x:v>Integrated nutrient management: nurseries or seed banks, field access, water and storage systems, laboratories, extension centres, monitoring plots and processing or market facilities.</x:v>
      </x:c>
      <x:c r="S39" s="2" t="str">
        <x:v>Integrated nutrient management: human and mechanical work, electricity or fuel for machinery, pumping, cooling and processing; biological energy and solar radiation dominate field processes.</x:v>
      </x:c>
      <x:c r="T39" s="2" t="str">
        <x:v>Integrated nutrient management: seed or planting stock, organic matter, fertilisers, soil amendments, water, fencing or structural materials, veterinary inputs and monitoring consumables.</x:v>
      </x:c>
      <x:c r="U39" s="2" t="str">
        <x:v>Integrated nutrient management: seed, inoculants, filters, drip lines, nozzles, tool parts, sampling containers, sensor batteries, veterinary supplies and protective equipment.</x:v>
      </x:c>
      <x:c r="V39" s="2" t="str">
        <x:v>https://www.ctc-n.org/sites/default/files/resources/ctcn_taxonomy_0.pdf</x:v>
      </x:c>
      <x:c r="W39" s="2" t="str">
        <x:v>https://institutoagricoladepueblobello.edu.co/colegiapp/archivostemas/GUIA%209.%5B25%5D.pdf</x:v>
      </x:c>
      <x:c r="X39" s="2" t="str">
        <x:v>https://iiasa.ac.at/what-is-technology</x:v>
      </x:c>
      <x:c r="Y39" s="2" t="str">
        <x:v>https://www.fao.org/climate-change/en; https://www.ipcc.ch/report/ar6/wg3/chapter/chapter-7/; https://openknowledge.fao.org/server/api/core/bitstreams/b21f2087-f398-4718-8461-b92afc82e617/content</x:v>
      </x:c>
      <x:c r="Z39" s="2" t="str">
        <x:v>Technology-specific analytical synthesis. The CTCN hierarchy is retained; classifications and component dependencies require validation against the selected design, site and supplier documentation before investment or policy use.</x:v>
      </x:c>
      <x:c r="AA39" s="2" t="str">
        <x:v>Physical deployment of Integrated nutrient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39" s="2" t="str">
        <x:v>For Integrated nutrient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39" s="2" t="str">
        <x:v>Construction and operation use seed or planting stock, organic matter, fertilisers, soil amendments, water, fencing or structural materials, veterinary inputs and monitoring consumables. For Integrated nutrient management, specifications must include durability, compatibility, recycled content and recoverability.</x:v>
      </x:c>
      <x:c r="AD39" s="2" t="str">
        <x:v>Maintenance of Integrated nutrient management depends on seed, inoculants, filters, drip lines, nozzles, tool parts, sampling containers, sensor batteries, veterinary supplies and protective equipment; critical spares are selected from failure-mode, lead-time and safety analysis for its installed configuration.</x:v>
      </x:c>
      <x:c r="AE39" s="2" t="str">
        <x:v>The software stack for Integrated nutrient management requires databases, secure communications, version-controlled models, computing, backup and interfaces with field or operational systems.</x:v>
      </x:c>
      <x:c r="AF39" s="2" t="str">
        <x:v>For Integrated nutrient management, software-related energy is electricity for sensing, computing, storage, communication and cooling; it is normally secondary but must be included for data-intensive or continuous services.</x:v>
      </x:c>
      <x:c r="AG39" s="2" t="str">
        <x:v>The non-physical inputs are calibrated data, metadata, algorithms, boundary conditions, emission or hazard factors, manuals and validation records specific to Integrated nutrient management.</x:v>
      </x:c>
      <x:c r="AH39" s="2" t="str">
        <x:v>Software continuity for Integrated nutrient management requires licences where applicable, updates, cybersecurity patches, backups, calibration files, model validation and technical support.</x:v>
      </x:c>
      <x:c r="AI39" s="2" t="str">
        <x:v>Orgware depends on the institutions, laboratories, training providers, regulators, operators and community interfaces needed to govern Integrated nutrient management.</x:v>
      </x:c>
      <x:c r="AJ39" s="2" t="str">
        <x:v>The orgware supporting Integrated nutrient management has mainly indirect energy use from offices, meetings, training and information systems; travel and field supervision may be material at dispersed sites.</x:v>
      </x:c>
      <x:c r="AK39" s="2" t="str">
        <x:v>Its organisational inputs are permits, budgets, trained staff, competence records, contracts, procedures, safeguards, monitoring evidence and stakeholder agreements tailored to Integrated nutrient management.</x:v>
      </x:c>
      <x:c r="AL39" s="2" t="str">
        <x:v>Sustained implementation of Integrated nutrient management requires procurement and service contracts, audit protocols, training material, reporting templates, insurance or guarantees and periodic independent review.</x:v>
      </x:c>
      <x:c r="AM39" s="2" t="str">
        <x:v>Phosphate rock; Potash</x:v>
      </x:c>
      <x:c r="AN39" s="2" t="str">
        <x:v>China; Morocco; United States; Canada; Russia; Belarus</x:v>
      </x:c>
      <x:c r="AO39" s="2" t="str">
        <x:v>China; Morocco; United States; Canada; Russia; Belarus</x:v>
      </x:c>
      <x:c r="AP39" s="2" t="str">
        <x:v>Integrated nutrient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39" s="2" t="str">
        <x:v>2024–2025</x:v>
      </x:c>
      <x:c r="AR39" s="2" t="str">
        <x:v>https://pubs.usgs.gov/periodicals/mcs2026/mcs2026.pdf</x:v>
      </x:c>
    </x:row>
    <x:row r="40" ht="240" customHeight="1">
      <x:c r="A40" s="2" t="str">
        <x:v>ADP-0033</x:v>
      </x:c>
      <x:c r="B40" s="2" t="str">
        <x:v>Adaptation</x:v>
      </x:c>
      <x:c r="C40" s="2" t="str">
        <x:v>Agriculture and Forestry</x:v>
      </x:c>
      <x:c r="D40" s="2" t="str">
        <x:v>Increasing crop resilience and productivity</x:v>
      </x:c>
      <x:c r="E40" s="2" t="str">
        <x:v>Soil moisture monitoring</x:v>
      </x:c>
      <x:c r="F40" s="2" t="str">
        <x:v>Soil moisture monitoring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Soil moisture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0" s="2" t="str">
        <x:v>Mixed: adaptable design, site-specific implementation</x:v>
      </x:c>
      <x:c r="H40" s="2" t="str">
        <x:v>Soil moisture monitoring is adaptable in capacity and configuration but site-specific in final engineering. Its principle remains the same, but resource quality, climate, scale, interfaces and safety constraints must be recalculated for each deployment.</x:v>
      </x:c>
      <x:c r="I40" s="2" t="str">
        <x:v>Hard and soft</x:v>
      </x:c>
      <x:c r="J40" s="2" t="str">
        <x:v>Soil moisture monitoring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0" s="2" t="str">
        <x:v>Operation and information service</x:v>
      </x:c>
      <x:c r="L40" s="2" t="str">
        <x:v>Soil moisture monitoring is embodied mainly as an information and decision service. The deliverable is accepted only when measurable service, quality, safety and climate-performance criteria are met under real conditions.</x:v>
      </x:c>
      <x:c r="M40" s="2" t="str">
        <x:v>Yes, subject to life-cycle safeguards</x:v>
      </x:c>
      <x:c r="N40" s="2" t="str">
        <x:v>Soil moisture monitoring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0" s="2" t="str">
        <x:v>Soil moisture monitoring: field or forest implements, planting and irrigation equipment, storage or livestock facilities, sampling tools, sensors and protective structures as required.</x:v>
      </x:c>
      <x:c r="P40" s="2" t="str">
        <x:v>Soil moisture monitoring: soil–crop–livestock knowledge, nutrient and water budgets, emission factors, carbon accounting, climate services, monitoring protocols and adaptive management.</x:v>
      </x:c>
      <x:c r="Q40" s="2" t="str">
        <x:v>Soil moisture monitoring: land tenure, extension, producer organisations, veterinary or phytosanitary services, incentives, safeguards, certification and monitoring arrangements.</x:v>
      </x:c>
      <x:c r="R40" s="2" t="str">
        <x:v>Soil moisture monitoring: nurseries or seed banks, field access, water and storage systems, laboratories, extension centres, monitoring plots and processing or market facilities.</x:v>
      </x:c>
      <x:c r="S40" s="2" t="str">
        <x:v>Soil moisture monitoring: human and mechanical work, electricity or fuel for machinery, pumping, cooling and processing; biological energy and solar radiation dominate field processes.</x:v>
      </x:c>
      <x:c r="T40" s="2" t="str">
        <x:v>Soil moisture monitoring: seed or planting stock, organic matter, fertilisers, soil amendments, water, fencing or structural materials, veterinary inputs and monitoring consumables.</x:v>
      </x:c>
      <x:c r="U40" s="2" t="str">
        <x:v>Soil moisture monitoring: seed, inoculants, filters, drip lines, nozzles, tool parts, sampling containers, sensor batteries, veterinary supplies and protective equipment.</x:v>
      </x:c>
      <x:c r="V40" s="2" t="str">
        <x:v>https://www.ctc-n.org/sites/default/files/resources/ctcn_taxonomy_0.pdf</x:v>
      </x:c>
      <x:c r="W40" s="2" t="str">
        <x:v>https://institutoagricoladepueblobello.edu.co/colegiapp/archivostemas/GUIA%209.%5B25%5D.pdf</x:v>
      </x:c>
      <x:c r="X40" s="2" t="str">
        <x:v>https://iiasa.ac.at/what-is-technology</x:v>
      </x:c>
      <x:c r="Y40" s="2" t="str">
        <x:v>https://www.fao.org/climate-change/en; https://www.ipcc.ch/report/ar6/wg3/chapter/chapter-7/; https://openknowledge.fao.org/server/api/core/bitstreams/b21f2087-f398-4718-8461-b92afc82e617/content</x:v>
      </x:c>
      <x:c r="Z40" s="2" t="str">
        <x:v>Technology-specific analytical synthesis. The CTCN hierarchy is retained; classifications and component dependencies require validation against the selected design, site and supplier documentation before investment or policy use.</x:v>
      </x:c>
      <x:c r="AA40" s="2" t="str">
        <x:v>Physical deployment of Soil moisture monitoring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40" s="2" t="str">
        <x:v>For Soil moisture monitoring,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0" s="2" t="str">
        <x:v>Construction and operation use seed or planting stock, organic matter, fertilisers, soil amendments, water, fencing or structural materials, veterinary inputs and monitoring consumables. For Soil moisture monitoring, specifications must include durability, compatibility, recycled content and recoverability.</x:v>
      </x:c>
      <x:c r="AD40" s="2" t="str">
        <x:v>Maintenance of Soil moisture monitoring depends on seed, inoculants, filters, drip lines, nozzles, tool parts, sampling containers, sensor batteries, veterinary supplies and protective equipment; critical spares are selected from failure-mode, lead-time and safety analysis for its installed configuration.</x:v>
      </x:c>
      <x:c r="AE40" s="2" t="str">
        <x:v>The software stack for Soil moisture monitoring requires databases, secure communications, version-controlled models, computing, backup and interfaces with field or operational systems.</x:v>
      </x:c>
      <x:c r="AF40" s="2" t="str">
        <x:v>For Soil moisture monitoring, software-related energy is electricity for sensing, computing, storage, communication and cooling; it is normally secondary but must be included for data-intensive or continuous services.</x:v>
      </x:c>
      <x:c r="AG40" s="2" t="str">
        <x:v>The non-physical inputs are calibrated data, metadata, algorithms, boundary conditions, emission or hazard factors, manuals and validation records specific to Soil moisture monitoring.</x:v>
      </x:c>
      <x:c r="AH40" s="2" t="str">
        <x:v>Software continuity for Soil moisture monitoring requires licences where applicable, updates, cybersecurity patches, backups, calibration files, model validation and technical support.</x:v>
      </x:c>
      <x:c r="AI40" s="2" t="str">
        <x:v>Orgware depends on the institutions, laboratories, training providers, regulators, operators and community interfaces needed to govern Soil moisture monitoring.</x:v>
      </x:c>
      <x:c r="AJ40" s="2" t="str">
        <x:v>The orgware supporting Soil moisture monitoring has mainly indirect energy use from offices, meetings, training and information systems; travel and field supervision may be material at dispersed sites.</x:v>
      </x:c>
      <x:c r="AK40" s="2" t="str">
        <x:v>Its organisational inputs are permits, budgets, trained staff, competence records, contracts, procedures, safeguards, monitoring evidence and stakeholder agreements tailored to Soil moisture monitoring.</x:v>
      </x:c>
      <x:c r="AL40" s="2" t="str">
        <x:v>Sustained implementation of Soil moisture monitoring requires procurement and service contracts, audit protocols, training material, reporting templates, insurance or guarantees and periodic independent review.</x:v>
      </x:c>
      <x:c r="AM40" s="2" t="str">
        <x:v>Copper; Tin; Phosphate rock; Potash</x:v>
      </x:c>
      <x:c r="AN40" s="2" t="str">
        <x:v>Chile; Democratic Republic of the Congo; Peru; China; Indonesia; Myanmar; Morocco; United States; Canada; Russia; Belarus</x:v>
      </x:c>
      <x:c r="AO40" s="2" t="str">
        <x:v>China; Chile; Democratic Republic of the Congo; Indonesia; Malaysia; Morocco; United States; Canada; Russia; Belarus</x:v>
      </x:c>
      <x:c r="AP40" s="2" t="str">
        <x:v>Soil moisture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0" s="2" t="str">
        <x:v>2024–2025</x:v>
      </x:c>
      <x:c r="AR40" s="2" t="str">
        <x:v>https://pubs.usgs.gov/periodicals/mcs2026/mcs2026.pdf</x:v>
      </x:c>
    </x:row>
    <x:row r="41" ht="240" customHeight="1">
      <x:c r="A41" s="2" t="str">
        <x:v>ADP-0034</x:v>
      </x:c>
      <x:c r="B41" s="2" t="str">
        <x:v>Adaptation</x:v>
      </x:c>
      <x:c r="C41" s="2" t="str">
        <x:v>Agriculture and Forestry</x:v>
      </x:c>
      <x:c r="D41" s="2" t="str">
        <x:v>Increasing crop resilience and productivity</x:v>
      </x:c>
      <x:c r="E41" s="2" t="str">
        <x:v>Soilless agriculture</x:v>
      </x:c>
      <x:c r="F41" s="2" t="str">
        <x:v>Soilless agriculture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Soilless agriculture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1" s="2" t="str">
        <x:v>Mixed: adaptable design, site-specific implementation</x:v>
      </x:c>
      <x:c r="H41" s="2" t="str">
        <x:v>Soilless agriculture is adaptable in capacity and configuration but site-specific in final engineering. Its principle remains the same, but resource quality, climate, scale, interfaces and safety constraints must be recalculated for each deployment.</x:v>
      </x:c>
      <x:c r="I41" s="2" t="str">
        <x:v>Primarily hard, with a soft component</x:v>
      </x:c>
      <x:c r="J41" s="2" t="str">
        <x:v>Soilless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1" s="2" t="str">
        <x:v>Operation</x:v>
      </x:c>
      <x:c r="L41" s="2" t="str">
        <x:v>Soilless agriculture is embodied mainly as an operating practice. The deliverable is accepted only when measurable service, quality, safety and climate-performance criteria are met under real conditions.</x:v>
      </x:c>
      <x:c r="M41" s="2" t="str">
        <x:v>Yes, subject to life-cycle safeguards</x:v>
      </x:c>
      <x:c r="N41" s="2" t="str">
        <x:v>Soilless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1" s="2" t="str">
        <x:v>Soilless agriculture: field or forest implements, planting and irrigation equipment, storage or livestock facilities, sampling tools, sensors and protective structures as required.</x:v>
      </x:c>
      <x:c r="P41" s="2" t="str">
        <x:v>Soilless agriculture: soil–crop–livestock knowledge, nutrient and water budgets, emission factors, carbon accounting, climate services, monitoring protocols and adaptive management.</x:v>
      </x:c>
      <x:c r="Q41" s="2" t="str">
        <x:v>Soilless agriculture: land tenure, extension, producer organisations, veterinary or phytosanitary services, incentives, safeguards, certification and monitoring arrangements.</x:v>
      </x:c>
      <x:c r="R41" s="2" t="str">
        <x:v>Soilless agriculture: nurseries or seed banks, field access, water and storage systems, laboratories, extension centres, monitoring plots and processing or market facilities.</x:v>
      </x:c>
      <x:c r="S41" s="2" t="str">
        <x:v>Soilless agriculture: human and mechanical work, electricity or fuel for machinery, pumping, cooling and processing; biological energy and solar radiation dominate field processes.</x:v>
      </x:c>
      <x:c r="T41" s="2" t="str">
        <x:v>Soilless agriculture: seed or planting stock, organic matter, fertilisers, soil amendments, water, fencing or structural materials, veterinary inputs and monitoring consumables.</x:v>
      </x:c>
      <x:c r="U41" s="2" t="str">
        <x:v>Soilless agriculture: seed, inoculants, filters, drip lines, nozzles, tool parts, sampling containers, sensor batteries, veterinary supplies and protective equipment.</x:v>
      </x:c>
      <x:c r="V41" s="2" t="str">
        <x:v>https://www.ctc-n.org/sites/default/files/resources/ctcn_taxonomy_0.pdf</x:v>
      </x:c>
      <x:c r="W41" s="2" t="str">
        <x:v>https://institutoagricoladepueblobello.edu.co/colegiapp/archivostemas/GUIA%209.%5B25%5D.pdf</x:v>
      </x:c>
      <x:c r="X41" s="2" t="str">
        <x:v>https://iiasa.ac.at/what-is-technology</x:v>
      </x:c>
      <x:c r="Y41" s="2" t="str">
        <x:v>https://www.fao.org/climate-change/en; https://www.ipcc.ch/report/ar6/wg3/chapter/chapter-7/; https://openknowledge.fao.org/server/api/core/bitstreams/b21f2087-f398-4718-8461-b92afc82e617/content</x:v>
      </x:c>
      <x:c r="Z41" s="2" t="str">
        <x:v>Technology-specific analytical synthesis. The CTCN hierarchy is retained; classifications and component dependencies require validation against the selected design, site and supplier documentation before investment or policy use.</x:v>
      </x:c>
      <x:c r="AA41" s="2" t="str">
        <x:v>Physical deployment of Soilless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41" s="2" t="str">
        <x:v>For Soilless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1" s="2" t="str">
        <x:v>Construction and operation use seed or planting stock, organic matter, fertilisers, soil amendments, water, fencing or structural materials, veterinary inputs and monitoring consumables. For Soilless agriculture, specifications must include durability, compatibility, recycled content and recoverability.</x:v>
      </x:c>
      <x:c r="AD41" s="2" t="str">
        <x:v>Maintenance of Soilless agriculture depends on seed, inoculants, filters, drip lines, nozzles, tool parts, sampling containers, sensor batteries, veterinary supplies and protective equipment; critical spares are selected from failure-mode, lead-time and safety analysis for its installed configuration.</x:v>
      </x:c>
      <x:c r="AE41" s="2" t="str">
        <x:v>The software stack for Soilless agriculture requires databases, secure communications, version-controlled models, computing, backup and interfaces with field or operational systems.</x:v>
      </x:c>
      <x:c r="AF41" s="2" t="str">
        <x:v>For Soilless agriculture, software-related energy is electricity for sensing, computing, storage, communication and cooling; it is normally secondary but must be included for data-intensive or continuous services.</x:v>
      </x:c>
      <x:c r="AG41" s="2" t="str">
        <x:v>The non-physical inputs are calibrated data, metadata, algorithms, boundary conditions, emission or hazard factors, manuals and validation records specific to Soilless agriculture.</x:v>
      </x:c>
      <x:c r="AH41" s="2" t="str">
        <x:v>Software continuity for Soilless agriculture requires licences where applicable, updates, cybersecurity patches, backups, calibration files, model validation and technical support.</x:v>
      </x:c>
      <x:c r="AI41" s="2" t="str">
        <x:v>Orgware depends on the institutions, laboratories, training providers, regulators, operators and community interfaces needed to govern Soilless agriculture.</x:v>
      </x:c>
      <x:c r="AJ41" s="2" t="str">
        <x:v>The orgware supporting Soilless agriculture has mainly indirect energy use from offices, meetings, training and information systems; travel and field supervision may be material at dispersed sites.</x:v>
      </x:c>
      <x:c r="AK41" s="2" t="str">
        <x:v>Its organisational inputs are permits, budgets, trained staff, competence records, contracts, procedures, safeguards, monitoring evidence and stakeholder agreements tailored to Soilless agriculture.</x:v>
      </x:c>
      <x:c r="AL41" s="2" t="str">
        <x:v>Sustained implementation of Soilless agriculture requires procurement and service contracts, audit protocols, training material, reporting templates, insurance or guarantees and periodic independent review.</x:v>
      </x:c>
      <x:c r="AM41" s="2" t="str">
        <x:v>Phosphate rock; Potash</x:v>
      </x:c>
      <x:c r="AN41" s="2" t="str">
        <x:v>China; Morocco; United States; Canada; Russia; Belarus</x:v>
      </x:c>
      <x:c r="AO41" s="2" t="str">
        <x:v>China; Morocco; United States; Canada; Russia; Belarus</x:v>
      </x:c>
      <x:c r="AP41" s="2" t="str">
        <x:v>Soilless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1" s="2" t="str">
        <x:v>2024–2025</x:v>
      </x:c>
      <x:c r="AR41" s="2" t="str">
        <x:v>https://pubs.usgs.gov/periodicals/mcs2026/mcs2026.pdf</x:v>
      </x:c>
    </x:row>
    <x:row r="42" ht="240" customHeight="1">
      <x:c r="A42" s="2" t="str">
        <x:v>ADP-0035</x:v>
      </x:c>
      <x:c r="B42" s="2" t="str">
        <x:v>Adaptation</x:v>
      </x:c>
      <x:c r="C42" s="2" t="str">
        <x:v>Agriculture and Forestry</x:v>
      </x:c>
      <x:c r="D42" s="2" t="str">
        <x:v>Increasing crop resilience and productivity</x:v>
      </x:c>
      <x:c r="E42" s="2" t="str">
        <x:v>Fodder crops</x:v>
      </x:c>
      <x:c r="F42" s="2" t="str">
        <x:v>Fodder crops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Fodder crops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2" s="2" t="str">
        <x:v>Mixed: adaptable design, site-specific implementation</x:v>
      </x:c>
      <x:c r="H42" s="2" t="str">
        <x:v>Fodder crops is adaptable in capacity and configuration but site-specific in final engineering. Its principle remains the same, but resource quality, climate, scale, interfaces and safety constraints must be recalculated for each deployment.</x:v>
      </x:c>
      <x:c r="I42" s="2" t="str">
        <x:v>Primarily hard, with a soft component</x:v>
      </x:c>
      <x:c r="J42" s="2" t="str">
        <x:v>Fodder crops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2" s="2" t="str">
        <x:v>Operation</x:v>
      </x:c>
      <x:c r="L42" s="2" t="str">
        <x:v>Fodder crops is embodied mainly as an operating practice. The deliverable is accepted only when measurable service, quality, safety and climate-performance criteria are met under real conditions.</x:v>
      </x:c>
      <x:c r="M42" s="2" t="str">
        <x:v>Yes, subject to life-cycle safeguards</x:v>
      </x:c>
      <x:c r="N42" s="2" t="str">
        <x:v>Fodder crops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2" s="2" t="str">
        <x:v>Fodder crops: field or forest implements, planting and irrigation equipment, storage or livestock facilities, sampling tools, sensors and protective structures as required.</x:v>
      </x:c>
      <x:c r="P42" s="2" t="str">
        <x:v>Fodder crops: soil–crop–livestock knowledge, nutrient and water budgets, emission factors, carbon accounting, climate services, monitoring protocols and adaptive management.</x:v>
      </x:c>
      <x:c r="Q42" s="2" t="str">
        <x:v>Fodder crops: land tenure, extension, producer organisations, veterinary or phytosanitary services, incentives, safeguards, certification and monitoring arrangements.</x:v>
      </x:c>
      <x:c r="R42" s="2" t="str">
        <x:v>Fodder crops: nurseries or seed banks, field access, water and storage systems, laboratories, extension centres, monitoring plots and processing or market facilities.</x:v>
      </x:c>
      <x:c r="S42" s="2" t="str">
        <x:v>Fodder crops: human and mechanical work, electricity or fuel for machinery, pumping, cooling and processing; biological energy and solar radiation dominate field processes.</x:v>
      </x:c>
      <x:c r="T42" s="2" t="str">
        <x:v>Fodder crops: seed or planting stock, organic matter, fertilisers, soil amendments, water, fencing or structural materials, veterinary inputs and monitoring consumables.</x:v>
      </x:c>
      <x:c r="U42" s="2" t="str">
        <x:v>Fodder crops: seed, inoculants, filters, drip lines, nozzles, tool parts, sampling containers, sensor batteries, veterinary supplies and protective equipment.</x:v>
      </x:c>
      <x:c r="V42" s="2" t="str">
        <x:v>https://www.ctc-n.org/sites/default/files/resources/ctcn_taxonomy_0.pdf</x:v>
      </x:c>
      <x:c r="W42" s="2" t="str">
        <x:v>https://institutoagricoladepueblobello.edu.co/colegiapp/archivostemas/GUIA%209.%5B25%5D.pdf</x:v>
      </x:c>
      <x:c r="X42" s="2" t="str">
        <x:v>https://iiasa.ac.at/what-is-technology</x:v>
      </x:c>
      <x:c r="Y42" s="2" t="str">
        <x:v>https://www.fao.org/climate-change/en; https://www.ipcc.ch/report/ar6/wg3/chapter/chapter-7/; https://openknowledge.fao.org/server/api/core/bitstreams/b21f2087-f398-4718-8461-b92afc82e617/content</x:v>
      </x:c>
      <x:c r="Z42" s="2" t="str">
        <x:v>Technology-specific analytical synthesis. The CTCN hierarchy is retained; classifications and component dependencies require validation against the selected design, site and supplier documentation before investment or policy use.</x:v>
      </x:c>
      <x:c r="AA42" s="2" t="str">
        <x:v>Physical deployment of Fodder crops requires nurseries or seed banks, field access, water and storage systems, laboratories, extension centres, monitoring plots and processing or market facilities; interfaces, foundations, access and environmental protection are sized to the specific resource and design load.</x:v>
      </x:c>
      <x:c r="AB42" s="2" t="str">
        <x:v>For Fodder crops,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2" s="2" t="str">
        <x:v>Construction and operation use seed or planting stock, organic matter, fertilisers, soil amendments, water, fencing or structural materials, veterinary inputs and monitoring consumables. For Fodder crops, specifications must include durability, compatibility, recycled content and recoverability.</x:v>
      </x:c>
      <x:c r="AD42" s="2" t="str">
        <x:v>Maintenance of Fodder crops depends on seed, inoculants, filters, drip lines, nozzles, tool parts, sampling containers, sensor batteries, veterinary supplies and protective equipment; critical spares are selected from failure-mode, lead-time and safety analysis for its installed configuration.</x:v>
      </x:c>
      <x:c r="AE42" s="2" t="str">
        <x:v>The software stack for Fodder crops requires databases, secure communications, version-controlled models, computing, backup and interfaces with field or operational systems.</x:v>
      </x:c>
      <x:c r="AF42" s="2" t="str">
        <x:v>For Fodder crops, software-related energy is electricity for sensing, computing, storage, communication and cooling; it is normally secondary but must be included for data-intensive or continuous services.</x:v>
      </x:c>
      <x:c r="AG42" s="2" t="str">
        <x:v>The non-physical inputs are calibrated data, metadata, algorithms, boundary conditions, emission or hazard factors, manuals and validation records specific to Fodder crops.</x:v>
      </x:c>
      <x:c r="AH42" s="2" t="str">
        <x:v>Software continuity for Fodder crops requires licences where applicable, updates, cybersecurity patches, backups, calibration files, model validation and technical support.</x:v>
      </x:c>
      <x:c r="AI42" s="2" t="str">
        <x:v>Orgware depends on the institutions, laboratories, training providers, regulators, operators and community interfaces needed to govern Fodder crops.</x:v>
      </x:c>
      <x:c r="AJ42" s="2" t="str">
        <x:v>The orgware supporting Fodder crops has mainly indirect energy use from offices, meetings, training and information systems; travel and field supervision may be material at dispersed sites.</x:v>
      </x:c>
      <x:c r="AK42" s="2" t="str">
        <x:v>Its organisational inputs are permits, budgets, trained staff, competence records, contracts, procedures, safeguards, monitoring evidence and stakeholder agreements tailored to Fodder crops.</x:v>
      </x:c>
      <x:c r="AL42" s="2" t="str">
        <x:v>Sustained implementation of Fodder crops requires procurement and service contracts, audit protocols, training material, reporting templates, insurance or guarantees and periodic independent review.</x:v>
      </x:c>
      <x:c r="AM42" s="2" t="str">
        <x:v>Phosphate rock; Potash</x:v>
      </x:c>
      <x:c r="AN42" s="2" t="str">
        <x:v>China; Morocco; United States; Canada; Russia; Belarus</x:v>
      </x:c>
      <x:c r="AO42" s="2" t="str">
        <x:v>China; Morocco; United States; Canada; Russia; Belarus</x:v>
      </x:c>
      <x:c r="AP42" s="2" t="str">
        <x:v>Fodder crops: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2" s="2" t="str">
        <x:v>2024–2025</x:v>
      </x:c>
      <x:c r="AR42" s="2" t="str">
        <x:v>https://pubs.usgs.gov/periodicals/mcs2026/mcs2026.pdf</x:v>
      </x:c>
    </x:row>
    <x:row r="43" ht="240" customHeight="1">
      <x:c r="A43" s="2" t="str">
        <x:v>ADP-0036</x:v>
      </x:c>
      <x:c r="B43" s="2" t="str">
        <x:v>Adaptation</x:v>
      </x:c>
      <x:c r="C43" s="2" t="str">
        <x:v>Agriculture and Forestry</x:v>
      </x:c>
      <x:c r="D43" s="2" t="str">
        <x:v>Increasing crop resilience and productivity</x:v>
      </x:c>
      <x:c r="E43" s="2" t="str">
        <x:v>Wind breaks</x:v>
      </x:c>
      <x:c r="F43" s="2" t="str">
        <x:v>Wind breaks is a adaptation technology in the Agriculture and Forestry sector and the Increasing crop resilience and productivity technology group. It is defined as a combined hardware–software–orgware system that converts a renewable solar, wind, water, ocean, geothermal or chemical resource into electricity, heat or mechanical work while controlling variability and conversion losses. Aerodynamic rotor blades extract kinetic energy from moving air; the drivetrain and generator convert torque to electricity or mechanical pumping while control systems limit loads and optimise output.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43" s="2" t="str">
        <x:v>Mixed: adaptable design, site-specific implementation</x:v>
      </x:c>
      <x:c r="H43" s="2" t="str">
        <x:v>Wind breaks is adaptable in capacity and configuration but site-specific in final engineering. Its principle remains the same, but resource quality, climate, scale, interfaces and safety constraints must be recalculated for each deployment.</x:v>
      </x:c>
      <x:c r="I43" s="2" t="str">
        <x:v>Primarily hard, with a soft component</x:v>
      </x:c>
      <x:c r="J43" s="2" t="str">
        <x:v>Wind breaks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43" s="2" t="str">
        <x:v>Equipment and operation</x:v>
      </x:c>
      <x:c r="L43" s="2" t="str">
        <x:v>Wind breaks is embodied mainly as an equipment-and-operation system. The deliverable is accepted only when measurable service, quality, safety and climate-performance criteria are met under real conditions.</x:v>
      </x:c>
      <x:c r="M43" s="2" t="str">
        <x:v>Yes, subject to life-cycle safeguards</x:v>
      </x:c>
      <x:c r="N43" s="2" t="str">
        <x:v>Wind breaks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43" s="2" t="str">
        <x:v>Wind breaks: resource collector or prime mover, generator or heat exchanger, support structure, power conversion, protection, metering and connection equipment.</x:v>
      </x:c>
      <x:c r="P43" s="2" t="str">
        <x:v>Wind breaks: resource assessment, energy-yield modelling, forecasting, maximum-power or process control, dispatch, condition monitoring and maintenance planning.</x:v>
      </x:c>
      <x:c r="Q43" s="2" t="str">
        <x:v>Wind breaks: resource and land or sea rights, environmental licensing, grid code, safety, community participation, revenue contract and decommissioning plan.</x:v>
      </x:c>
      <x:c r="R43" s="2" t="str">
        <x:v>Wind breaks: foundations, access, electrical or thermal network, substation, control and communications, drainage and construction or marine logistics.</x:v>
      </x:c>
      <x:c r="S43" s="2" t="str">
        <x:v>Wind breaks: the renewable resource is the primary input; auxiliary electricity, start-up fuel, pumping or thermal energy may be required depending on the design.</x:v>
      </x:c>
      <x:c r="T43" s="2" t="str">
        <x:v>Wind breaks: steel, concrete, copper, aluminium, polymers, glass and technology-specific materials such as silicon, magnets, coatings, catalysts or working fluids.</x:v>
      </x:c>
      <x:c r="U43" s="2" t="str">
        <x:v>Wind breaks: bearings, seals, filters, lubricants, sensors, converter parts, cables, fasteners, coatings and replaceable collector or heat-exchanger components.</x:v>
      </x:c>
      <x:c r="V43" s="2" t="str">
        <x:v>https://www.ctc-n.org/sites/default/files/resources/ctcn_taxonomy_0.pdf</x:v>
      </x:c>
      <x:c r="W43" s="2" t="str">
        <x:v>https://institutoagricoladepueblobello.edu.co/colegiapp/archivostemas/GUIA%209.%5B25%5D.pdf</x:v>
      </x:c>
      <x:c r="X43" s="2" t="str">
        <x:v>https://iiasa.ac.at/what-is-technology</x:v>
      </x:c>
      <x:c r="Y43" s="2" t="str">
        <x:v>https://www.fao.org/climate-change/en; https://www.iea.org/data-and-statistics/data-tools/etp-clean-energy-technology-guide</x:v>
      </x:c>
      <x:c r="Z43" s="2" t="str">
        <x:v>Technology-specific analytical synthesis. The CTCN hierarchy is retained; classifications and component dependencies require validation against the selected design, site and supplier documentation before investment or policy use.</x:v>
      </x:c>
      <x:c r="AA43" s="2" t="str">
        <x:v>Physical deployment of Wind breaks requires foundations, access, electrical or thermal network, substation, control and communications, drainage and construction or marine logistics; interfaces, foundations, access and environmental protection are sized to the specific resource and design load.</x:v>
      </x:c>
      <x:c r="AB43" s="2" t="str">
        <x:v>For Wind breaks,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43" s="2" t="str">
        <x:v>Construction and operation use steel, concrete, copper, aluminium, polymers, glass and technology-specific materials such as silicon, magnets, coatings, catalysts or working fluids. For Wind breaks, specifications must include durability, compatibility, recycled content and recoverability.</x:v>
      </x:c>
      <x:c r="AD43" s="2" t="str">
        <x:v>Maintenance of Wind breaks depends on bearings, seals, filters, lubricants, sensors, converter parts, cables, fasteners, coatings and replaceable collector or heat-exchanger components; critical spares are selected from failure-mode, lead-time and safety analysis for its installed configuration.</x:v>
      </x:c>
      <x:c r="AE43" s="2" t="str">
        <x:v>The software stack for Wind breaks requires databases, secure communications, version-controlled models, computing, backup and interfaces with field or operational systems.</x:v>
      </x:c>
      <x:c r="AF43" s="2" t="str">
        <x:v>For Wind breaks, software-related energy is electricity for sensing, computing, storage, communication and cooling; it is normally secondary but must be included for data-intensive or continuous services.</x:v>
      </x:c>
      <x:c r="AG43" s="2" t="str">
        <x:v>The non-physical inputs are calibrated data, metadata, algorithms, boundary conditions, emission or hazard factors, manuals and validation records specific to Wind breaks.</x:v>
      </x:c>
      <x:c r="AH43" s="2" t="str">
        <x:v>Software continuity for Wind breaks requires licences where applicable, updates, cybersecurity patches, backups, calibration files, model validation and technical support.</x:v>
      </x:c>
      <x:c r="AI43" s="2" t="str">
        <x:v>Orgware depends on the institutions, laboratories, training providers, regulators, operators and community interfaces needed to govern Wind breaks.</x:v>
      </x:c>
      <x:c r="AJ43" s="2" t="str">
        <x:v>The orgware supporting Wind breaks has mainly indirect energy use from offices, meetings, training and information systems; travel and field supervision may be material at dispersed sites.</x:v>
      </x:c>
      <x:c r="AK43" s="2" t="str">
        <x:v>Its organisational inputs are permits, budgets, trained staff, competence records, contracts, procedures, safeguards, monitoring evidence and stakeholder agreements tailored to Wind breaks.</x:v>
      </x:c>
      <x:c r="AL43" s="2" t="str">
        <x:v>Sustained implementation of Wind breaks requires procurement and service contracts, audit protocols, training material, reporting templates, insurance or guarantees and periodic independent review.</x:v>
      </x:c>
      <x:c r="AM43" s="2" t="str">
        <x:v>Iron ore / steel inputs; Copper; Tin; Rare earth elements; Phosphate rock; Potash; Zinc; Bauxite / aluminium</x:v>
      </x:c>
      <x:c r="AN43" s="2" t="str">
        <x:v>Australia; Brazil; China; Chile; Democratic Republic of the Congo; Peru; Indonesia; Myanmar; United States; Morocco; Canada; Russia; Belarus; Guinea</x:v>
      </x:c>
      <x:c r="AO43" s="2" t="str">
        <x:v>China; India; Japan; Chile; Democratic Republic of the Congo; Indonesia; Malaysia; Estonia; Morocco; United States; Canada; Russia; Belarus; South Korea</x:v>
      </x:c>
      <x:c r="AP43" s="2" t="str">
        <x:v>Wind breaks: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3" s="2" t="str">
        <x:v>2024–2025</x:v>
      </x:c>
      <x:c r="AR43" s="2" t="str">
        <x:v>https://pubs.usgs.gov/periodicals/mcs2026/mcs2026.pdf; https://www.iea.org/reports/global-critical-minerals-outlook-2025</x:v>
      </x:c>
    </x:row>
    <x:row r="44" ht="240" customHeight="1">
      <x:c r="A44" s="2" t="str">
        <x:v>ADP-0037</x:v>
      </x:c>
      <x:c r="B44" s="2" t="str">
        <x:v>Adaptation</x:v>
      </x:c>
      <x:c r="C44" s="2" t="str">
        <x:v>Agriculture and Forestry</x:v>
      </x:c>
      <x:c r="D44" s="2" t="str">
        <x:v>Increasing crop resilience and productivity</x:v>
      </x:c>
      <x:c r="E44" s="2" t="str">
        <x:v>Greenhouse crop management</x:v>
      </x:c>
      <x:c r="F44" s="2" t="str">
        <x:v>Greenhouse crop management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Greenhouse crop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4" s="2" t="str">
        <x:v>Flexible</x:v>
      </x:c>
      <x:c r="H44" s="2" t="str">
        <x:v>Greenhouse crop management is transferable through configurable methods, rules and operating parameters. Its principle remains the same, but resource quality, climate, scale, interfaces and safety constraints must be recalculated for each deployment.</x:v>
      </x:c>
      <x:c r="I44" s="2" t="str">
        <x:v>Primarily soft, with physical support</x:v>
      </x:c>
      <x:c r="J44" s="2" t="str">
        <x:v>Greenhouse crop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4" s="2" t="str">
        <x:v>Operation</x:v>
      </x:c>
      <x:c r="L44" s="2" t="str">
        <x:v>Greenhouse crop management is embodied mainly as an operating practice. The deliverable is accepted only when measurable service, quality, safety and climate-performance criteria are met under real conditions.</x:v>
      </x:c>
      <x:c r="M44" s="2" t="str">
        <x:v>Yes, subject to life-cycle safeguards</x:v>
      </x:c>
      <x:c r="N44" s="2" t="str">
        <x:v>Greenhouse crop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4" s="2" t="str">
        <x:v>Greenhouse crop management: field or forest implements, planting and irrigation equipment, storage or livestock facilities, sampling tools, sensors and protective structures as required.</x:v>
      </x:c>
      <x:c r="P44" s="2" t="str">
        <x:v>Greenhouse crop management: soil–crop–livestock knowledge, nutrient and water budgets, emission factors, carbon accounting, climate services, monitoring protocols and adaptive management.</x:v>
      </x:c>
      <x:c r="Q44" s="2" t="str">
        <x:v>Greenhouse crop management: land tenure, extension, producer organisations, veterinary or phytosanitary services, incentives, safeguards, certification and monitoring arrangements.</x:v>
      </x:c>
      <x:c r="R44" s="2" t="str">
        <x:v>Greenhouse crop management: nurseries or seed banks, field access, water and storage systems, laboratories, extension centres, monitoring plots and processing or market facilities.</x:v>
      </x:c>
      <x:c r="S44" s="2" t="str">
        <x:v>Greenhouse crop management: human and mechanical work, electricity or fuel for machinery, pumping, cooling and processing; biological energy and solar radiation dominate field processes.</x:v>
      </x:c>
      <x:c r="T44" s="2" t="str">
        <x:v>Greenhouse crop management: seed or planting stock, organic matter, fertilisers, soil amendments, water, fencing or structural materials, veterinary inputs and monitoring consumables.</x:v>
      </x:c>
      <x:c r="U44" s="2" t="str">
        <x:v>Greenhouse crop management: seed, inoculants, filters, drip lines, nozzles, tool parts, sampling containers, sensor batteries, veterinary supplies and protective equipment.</x:v>
      </x:c>
      <x:c r="V44" s="2" t="str">
        <x:v>https://www.ctc-n.org/sites/default/files/resources/ctcn_taxonomy_0.pdf</x:v>
      </x:c>
      <x:c r="W44" s="2" t="str">
        <x:v>https://institutoagricoladepueblobello.edu.co/colegiapp/archivostemas/GUIA%209.%5B25%5D.pdf</x:v>
      </x:c>
      <x:c r="X44" s="2" t="str">
        <x:v>https://iiasa.ac.at/what-is-technology</x:v>
      </x:c>
      <x:c r="Y44" s="2" t="str">
        <x:v>https://www.fao.org/climate-change/en; https://www.ipcc.ch/report/ar6/wg3/chapter/chapter-7/; https://openknowledge.fao.org/server/api/core/bitstreams/b21f2087-f398-4718-8461-b92afc82e617/content</x:v>
      </x:c>
      <x:c r="Z44" s="2" t="str">
        <x:v>Technology-specific analytical synthesis. The CTCN hierarchy is retained; classifications and component dependencies require validation against the selected design, site and supplier documentation before investment or policy use.</x:v>
      </x:c>
      <x:c r="AA44" s="2" t="str">
        <x:v>Physical deployment of Greenhouse crop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44" s="2" t="str">
        <x:v>For Greenhouse crop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4" s="2" t="str">
        <x:v>Construction and operation use seed or planting stock, organic matter, fertilisers, soil amendments, water, fencing or structural materials, veterinary inputs and monitoring consumables. For Greenhouse crop management, specifications must include durability, compatibility, recycled content and recoverability.</x:v>
      </x:c>
      <x:c r="AD44" s="2" t="str">
        <x:v>Maintenance of Greenhouse crop management depends on seed, inoculants, filters, drip lines, nozzles, tool parts, sampling containers, sensor batteries, veterinary supplies and protective equipment; critical spares are selected from failure-mode, lead-time and safety analysis for its installed configuration.</x:v>
      </x:c>
      <x:c r="AE44" s="2" t="str">
        <x:v>The software stack for Greenhouse crop management requires databases, secure communications, version-controlled models, computing, backup and interfaces with field or operational systems.</x:v>
      </x:c>
      <x:c r="AF44" s="2" t="str">
        <x:v>For Greenhouse crop management, software-related energy is electricity for sensing, computing, storage, communication and cooling; it is normally secondary but must be included for data-intensive or continuous services.</x:v>
      </x:c>
      <x:c r="AG44" s="2" t="str">
        <x:v>The non-physical inputs are calibrated data, metadata, algorithms, boundary conditions, emission or hazard factors, manuals and validation records specific to Greenhouse crop management.</x:v>
      </x:c>
      <x:c r="AH44" s="2" t="str">
        <x:v>Software continuity for Greenhouse crop management requires licences where applicable, updates, cybersecurity patches, backups, calibration files, model validation and technical support.</x:v>
      </x:c>
      <x:c r="AI44" s="2" t="str">
        <x:v>Orgware depends on the institutions, laboratories, training providers, regulators, operators and community interfaces needed to govern Greenhouse crop management.</x:v>
      </x:c>
      <x:c r="AJ44" s="2" t="str">
        <x:v>The orgware supporting Greenhouse crop management has mainly indirect energy use from offices, meetings, training and information systems; travel and field supervision may be material at dispersed sites.</x:v>
      </x:c>
      <x:c r="AK44" s="2" t="str">
        <x:v>Its organisational inputs are permits, budgets, trained staff, competence records, contracts, procedures, safeguards, monitoring evidence and stakeholder agreements tailored to Greenhouse crop management.</x:v>
      </x:c>
      <x:c r="AL44" s="2" t="str">
        <x:v>Sustained implementation of Greenhouse crop management requires procurement and service contracts, audit protocols, training material, reporting templates, insurance or guarantees and periodic independent review.</x:v>
      </x:c>
      <x:c r="AM44" s="2" t="str">
        <x:v>Phosphate rock; Potash</x:v>
      </x:c>
      <x:c r="AN44" s="2" t="str">
        <x:v>China; Morocco; United States; Canada; Russia; Belarus</x:v>
      </x:c>
      <x:c r="AO44" s="2" t="str">
        <x:v>China; Morocco; United States; Canada; Russia; Belarus</x:v>
      </x:c>
      <x:c r="AP44" s="2" t="str">
        <x:v>Greenhouse crop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4" s="2" t="str">
        <x:v>2024–2025</x:v>
      </x:c>
      <x:c r="AR44" s="2" t="str">
        <x:v>https://pubs.usgs.gov/periodicals/mcs2026/mcs2026.pdf</x:v>
      </x:c>
    </x:row>
    <x:row r="45" ht="240" customHeight="1">
      <x:c r="A45" s="2" t="str">
        <x:v>ADP-0038</x:v>
      </x:c>
      <x:c r="B45" s="2" t="str">
        <x:v>Adaptation</x:v>
      </x:c>
      <x:c r="C45" s="2" t="str">
        <x:v>Agriculture and Forestry</x:v>
      </x:c>
      <x:c r="D45" s="2" t="str">
        <x:v>Increasing crop resilience and productivity</x:v>
      </x:c>
      <x:c r="E45" s="2" t="str">
        <x:v>Organic agriculture</x:v>
      </x:c>
      <x:c r="F45" s="2" t="str">
        <x:v>Organic agriculture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Organic agriculture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5" s="2" t="str">
        <x:v>Mixed: adaptable design, site-specific implementation</x:v>
      </x:c>
      <x:c r="H45" s="2" t="str">
        <x:v>Organic agriculture is adaptable in capacity and configuration but site-specific in final engineering. Its principle remains the same, but resource quality, climate, scale, interfaces and safety constraints must be recalculated for each deployment.</x:v>
      </x:c>
      <x:c r="I45" s="2" t="str">
        <x:v>Primarily hard, with a soft component</x:v>
      </x:c>
      <x:c r="J45" s="2" t="str">
        <x:v>Organic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5" s="2" t="str">
        <x:v>Operation</x:v>
      </x:c>
      <x:c r="L45" s="2" t="str">
        <x:v>Organic agriculture is embodied mainly as an operating practice. The deliverable is accepted only when measurable service, quality, safety and climate-performance criteria are met under real conditions.</x:v>
      </x:c>
      <x:c r="M45" s="2" t="str">
        <x:v>Yes, subject to life-cycle safeguards</x:v>
      </x:c>
      <x:c r="N45" s="2" t="str">
        <x:v>Organic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5" s="2" t="str">
        <x:v>Organic agriculture: field or forest implements, planting and irrigation equipment, storage or livestock facilities, sampling tools, sensors and protective structures as required.</x:v>
      </x:c>
      <x:c r="P45" s="2" t="str">
        <x:v>Organic agriculture: soil–crop–livestock knowledge, nutrient and water budgets, emission factors, carbon accounting, climate services, monitoring protocols and adaptive management.</x:v>
      </x:c>
      <x:c r="Q45" s="2" t="str">
        <x:v>Organic agriculture: land tenure, extension, producer organisations, veterinary or phytosanitary services, incentives, safeguards, certification and monitoring arrangements.</x:v>
      </x:c>
      <x:c r="R45" s="2" t="str">
        <x:v>Organic agriculture: nurseries or seed banks, field access, water and storage systems, laboratories, extension centres, monitoring plots and processing or market facilities.</x:v>
      </x:c>
      <x:c r="S45" s="2" t="str">
        <x:v>Organic agriculture: human and mechanical work, electricity or fuel for machinery, pumping, cooling and processing; biological energy and solar radiation dominate field processes.</x:v>
      </x:c>
      <x:c r="T45" s="2" t="str">
        <x:v>Organic agriculture: seed or planting stock, organic matter, fertilisers, soil amendments, water, fencing or structural materials, veterinary inputs and monitoring consumables.</x:v>
      </x:c>
      <x:c r="U45" s="2" t="str">
        <x:v>Organic agriculture: seed, inoculants, filters, drip lines, nozzles, tool parts, sampling containers, sensor batteries, veterinary supplies and protective equipment.</x:v>
      </x:c>
      <x:c r="V45" s="2" t="str">
        <x:v>https://www.ctc-n.org/sites/default/files/resources/ctcn_taxonomy_0.pdf</x:v>
      </x:c>
      <x:c r="W45" s="2" t="str">
        <x:v>https://institutoagricoladepueblobello.edu.co/colegiapp/archivostemas/GUIA%209.%5B25%5D.pdf</x:v>
      </x:c>
      <x:c r="X45" s="2" t="str">
        <x:v>https://iiasa.ac.at/what-is-technology</x:v>
      </x:c>
      <x:c r="Y45" s="2" t="str">
        <x:v>https://www.fao.org/climate-change/en; https://www.ipcc.ch/report/ar6/wg3/chapter/chapter-7/; https://openknowledge.fao.org/server/api/core/bitstreams/b21f2087-f398-4718-8461-b92afc82e617/content</x:v>
      </x:c>
      <x:c r="Z45" s="2" t="str">
        <x:v>Technology-specific analytical synthesis. The CTCN hierarchy is retained; classifications and component dependencies require validation against the selected design, site and supplier documentation before investment or policy use.</x:v>
      </x:c>
      <x:c r="AA45" s="2" t="str">
        <x:v>Physical deployment of Organic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45" s="2" t="str">
        <x:v>For Organic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5" s="2" t="str">
        <x:v>Construction and operation use seed or planting stock, organic matter, fertilisers, soil amendments, water, fencing or structural materials, veterinary inputs and monitoring consumables. For Organic agriculture, specifications must include durability, compatibility, recycled content and recoverability.</x:v>
      </x:c>
      <x:c r="AD45" s="2" t="str">
        <x:v>Maintenance of Organic agriculture depends on seed, inoculants, filters, drip lines, nozzles, tool parts, sampling containers, sensor batteries, veterinary supplies and protective equipment; critical spares are selected from failure-mode, lead-time and safety analysis for its installed configuration.</x:v>
      </x:c>
      <x:c r="AE45" s="2" t="str">
        <x:v>The software stack for Organic agriculture requires databases, secure communications, version-controlled models, computing, backup and interfaces with field or operational systems.</x:v>
      </x:c>
      <x:c r="AF45" s="2" t="str">
        <x:v>For Organic agriculture, software-related energy is electricity for sensing, computing, storage, communication and cooling; it is normally secondary but must be included for data-intensive or continuous services.</x:v>
      </x:c>
      <x:c r="AG45" s="2" t="str">
        <x:v>The non-physical inputs are calibrated data, metadata, algorithms, boundary conditions, emission or hazard factors, manuals and validation records specific to Organic agriculture.</x:v>
      </x:c>
      <x:c r="AH45" s="2" t="str">
        <x:v>Software continuity for Organic agriculture requires licences where applicable, updates, cybersecurity patches, backups, calibration files, model validation and technical support.</x:v>
      </x:c>
      <x:c r="AI45" s="2" t="str">
        <x:v>Orgware depends on the institutions, laboratories, training providers, regulators, operators and community interfaces needed to govern Organic agriculture.</x:v>
      </x:c>
      <x:c r="AJ45" s="2" t="str">
        <x:v>The orgware supporting Organic agriculture has mainly indirect energy use from offices, meetings, training and information systems; travel and field supervision may be material at dispersed sites.</x:v>
      </x:c>
      <x:c r="AK45" s="2" t="str">
        <x:v>Its organisational inputs are permits, budgets, trained staff, competence records, contracts, procedures, safeguards, monitoring evidence and stakeholder agreements tailored to Organic agriculture.</x:v>
      </x:c>
      <x:c r="AL45" s="2" t="str">
        <x:v>Sustained implementation of Organic agriculture requires procurement and service contracts, audit protocols, training material, reporting templates, insurance or guarantees and periodic independent review.</x:v>
      </x:c>
      <x:c r="AM45" s="2" t="str">
        <x:v>Phosphate rock; Potash</x:v>
      </x:c>
      <x:c r="AN45" s="2" t="str">
        <x:v>China; Morocco; United States; Canada; Russia; Belarus</x:v>
      </x:c>
      <x:c r="AO45" s="2" t="str">
        <x:v>China; Morocco; United States; Canada; Russia; Belarus</x:v>
      </x:c>
      <x:c r="AP45" s="2" t="str">
        <x:v>Organic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5" s="2" t="str">
        <x:v>2024–2025</x:v>
      </x:c>
      <x:c r="AR45" s="2" t="str">
        <x:v>https://pubs.usgs.gov/periodicals/mcs2026/mcs2026.pdf</x:v>
      </x:c>
    </x:row>
    <x:row r="46" ht="240" customHeight="1">
      <x:c r="A46" s="2" t="str">
        <x:v>ADP-0039</x:v>
      </x:c>
      <x:c r="B46" s="2" t="str">
        <x:v>Adaptation</x:v>
      </x:c>
      <x:c r="C46" s="2" t="str">
        <x:v>Agriculture and Forestry</x:v>
      </x:c>
      <x:c r="D46" s="2" t="str">
        <x:v>Increasing crop resilience and productivity</x:v>
      </x:c>
      <x:c r="E46" s="2" t="str">
        <x:v>Fertilizer management</x:v>
      </x:c>
      <x:c r="F46" s="2" t="str">
        <x:v>Fertilizer management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Fertilizer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6" s="2" t="str">
        <x:v>Flexible</x:v>
      </x:c>
      <x:c r="H46" s="2" t="str">
        <x:v>Fertilizer management is transferable through configurable methods, rules and operating parameters. Its principle remains the same, but resource quality, climate, scale, interfaces and safety constraints must be recalculated for each deployment.</x:v>
      </x:c>
      <x:c r="I46" s="2" t="str">
        <x:v>Primarily soft, with physical support</x:v>
      </x:c>
      <x:c r="J46" s="2" t="str">
        <x:v>Fertilizer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6" s="2" t="str">
        <x:v>Operation</x:v>
      </x:c>
      <x:c r="L46" s="2" t="str">
        <x:v>Fertilizer management is embodied mainly as an operating practice. The deliverable is accepted only when measurable service, quality, safety and climate-performance criteria are met under real conditions.</x:v>
      </x:c>
      <x:c r="M46" s="2" t="str">
        <x:v>Yes, subject to life-cycle safeguards</x:v>
      </x:c>
      <x:c r="N46" s="2" t="str">
        <x:v>Fertilizer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6" s="2" t="str">
        <x:v>Fertilizer management: field or forest implements, planting and irrigation equipment, storage or livestock facilities, sampling tools, sensors and protective structures as required.</x:v>
      </x:c>
      <x:c r="P46" s="2" t="str">
        <x:v>Fertilizer management: soil–crop–livestock knowledge, nutrient and water budgets, emission factors, carbon accounting, climate services, monitoring protocols and adaptive management.</x:v>
      </x:c>
      <x:c r="Q46" s="2" t="str">
        <x:v>Fertilizer management: land tenure, extension, producer organisations, veterinary or phytosanitary services, incentives, safeguards, certification and monitoring arrangements.</x:v>
      </x:c>
      <x:c r="R46" s="2" t="str">
        <x:v>Fertilizer management: nurseries or seed banks, field access, water and storage systems, laboratories, extension centres, monitoring plots and processing or market facilities.</x:v>
      </x:c>
      <x:c r="S46" s="2" t="str">
        <x:v>Fertilizer management: human and mechanical work, electricity or fuel for machinery, pumping, cooling and processing; biological energy and solar radiation dominate field processes.</x:v>
      </x:c>
      <x:c r="T46" s="2" t="str">
        <x:v>Fertilizer management: seed or planting stock, organic matter, fertilisers, soil amendments, water, fencing or structural materials, veterinary inputs and monitoring consumables.</x:v>
      </x:c>
      <x:c r="U46" s="2" t="str">
        <x:v>Fertilizer management: seed, inoculants, filters, drip lines, nozzles, tool parts, sampling containers, sensor batteries, veterinary supplies and protective equipment.</x:v>
      </x:c>
      <x:c r="V46" s="2" t="str">
        <x:v>https://www.ctc-n.org/sites/default/files/resources/ctcn_taxonomy_0.pdf</x:v>
      </x:c>
      <x:c r="W46" s="2" t="str">
        <x:v>https://institutoagricoladepueblobello.edu.co/colegiapp/archivostemas/GUIA%209.%5B25%5D.pdf</x:v>
      </x:c>
      <x:c r="X46" s="2" t="str">
        <x:v>https://iiasa.ac.at/what-is-technology</x:v>
      </x:c>
      <x:c r="Y46" s="2" t="str">
        <x:v>https://www.fao.org/climate-change/en; https://www.ipcc.ch/report/ar6/wg3/chapter/chapter-7/; https://openknowledge.fao.org/server/api/core/bitstreams/b21f2087-f398-4718-8461-b92afc82e617/content</x:v>
      </x:c>
      <x:c r="Z46" s="2" t="str">
        <x:v>Technology-specific analytical synthesis. The CTCN hierarchy is retained; classifications and component dependencies require validation against the selected design, site and supplier documentation before investment or policy use.</x:v>
      </x:c>
      <x:c r="AA46" s="2" t="str">
        <x:v>Physical deployment of Fertilizer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46" s="2" t="str">
        <x:v>For Fertilizer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6" s="2" t="str">
        <x:v>Construction and operation use seed or planting stock, organic matter, fertilisers, soil amendments, water, fencing or structural materials, veterinary inputs and monitoring consumables. For Fertilizer management, specifications must include durability, compatibility, recycled content and recoverability.</x:v>
      </x:c>
      <x:c r="AD46" s="2" t="str">
        <x:v>Maintenance of Fertilizer management depends on seed, inoculants, filters, drip lines, nozzles, tool parts, sampling containers, sensor batteries, veterinary supplies and protective equipment; critical spares are selected from failure-mode, lead-time and safety analysis for its installed configuration.</x:v>
      </x:c>
      <x:c r="AE46" s="2" t="str">
        <x:v>The software stack for Fertilizer management requires databases, secure communications, version-controlled models, computing, backup and interfaces with field or operational systems.</x:v>
      </x:c>
      <x:c r="AF46" s="2" t="str">
        <x:v>For Fertilizer management, software-related energy is electricity for sensing, computing, storage, communication and cooling; it is normally secondary but must be included for data-intensive or continuous services.</x:v>
      </x:c>
      <x:c r="AG46" s="2" t="str">
        <x:v>The non-physical inputs are calibrated data, metadata, algorithms, boundary conditions, emission or hazard factors, manuals and validation records specific to Fertilizer management.</x:v>
      </x:c>
      <x:c r="AH46" s="2" t="str">
        <x:v>Software continuity for Fertilizer management requires licences where applicable, updates, cybersecurity patches, backups, calibration files, model validation and technical support.</x:v>
      </x:c>
      <x:c r="AI46" s="2" t="str">
        <x:v>Orgware depends on the institutions, laboratories, training providers, regulators, operators and community interfaces needed to govern Fertilizer management.</x:v>
      </x:c>
      <x:c r="AJ46" s="2" t="str">
        <x:v>The orgware supporting Fertilizer management has mainly indirect energy use from offices, meetings, training and information systems; travel and field supervision may be material at dispersed sites.</x:v>
      </x:c>
      <x:c r="AK46" s="2" t="str">
        <x:v>Its organisational inputs are permits, budgets, trained staff, competence records, contracts, procedures, safeguards, monitoring evidence and stakeholder agreements tailored to Fertilizer management.</x:v>
      </x:c>
      <x:c r="AL46" s="2" t="str">
        <x:v>Sustained implementation of Fertilizer management requires procurement and service contracts, audit protocols, training material, reporting templates, insurance or guarantees and periodic independent review.</x:v>
      </x:c>
      <x:c r="AM46" s="2" t="str">
        <x:v>Phosphate rock; Potash</x:v>
      </x:c>
      <x:c r="AN46" s="2" t="str">
        <x:v>China; Morocco; United States; Canada; Russia; Belarus</x:v>
      </x:c>
      <x:c r="AO46" s="2" t="str">
        <x:v>China; Morocco; United States; Canada; Russia; Belarus</x:v>
      </x:c>
      <x:c r="AP46" s="2" t="str">
        <x:v>Fertilizer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6" s="2" t="str">
        <x:v>2024–2025</x:v>
      </x:c>
      <x:c r="AR46" s="2" t="str">
        <x:v>https://pubs.usgs.gov/periodicals/mcs2026/mcs2026.pdf</x:v>
      </x:c>
    </x:row>
    <x:row r="47" ht="240" customHeight="1">
      <x:c r="A47" s="2" t="str">
        <x:v>ADP-0040</x:v>
      </x:c>
      <x:c r="B47" s="2" t="str">
        <x:v>Adaptation</x:v>
      </x:c>
      <x:c r="C47" s="2" t="str">
        <x:v>Agriculture and Forestry</x:v>
      </x:c>
      <x:c r="D47" s="2" t="str">
        <x:v>Increasing crop resilience and productivity</x:v>
      </x:c>
      <x:c r="E47" s="2" t="str">
        <x:v>Fungal symbioses</x:v>
      </x:c>
      <x:c r="F47" s="2" t="str">
        <x:v>Fungal symbioses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Fungal symbioses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7" s="2" t="str">
        <x:v>Mixed: adaptable design, site-specific implementation</x:v>
      </x:c>
      <x:c r="H47" s="2" t="str">
        <x:v>Fungal symbioses is adaptable in capacity and configuration but site-specific in final engineering. Its principle remains the same, but resource quality, climate, scale, interfaces and safety constraints must be recalculated for each deployment.</x:v>
      </x:c>
      <x:c r="I47" s="2" t="str">
        <x:v>Primarily hard, with a soft component</x:v>
      </x:c>
      <x:c r="J47" s="2" t="str">
        <x:v>Fungal symbioses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7" s="2" t="str">
        <x:v>Operation</x:v>
      </x:c>
      <x:c r="L47" s="2" t="str">
        <x:v>Fungal symbioses is embodied mainly as an operating practice. The deliverable is accepted only when measurable service, quality, safety and climate-performance criteria are met under real conditions.</x:v>
      </x:c>
      <x:c r="M47" s="2" t="str">
        <x:v>Yes, subject to life-cycle safeguards</x:v>
      </x:c>
      <x:c r="N47" s="2" t="str">
        <x:v>Fungal symbioses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7" s="2" t="str">
        <x:v>Fungal symbioses: field or forest implements, planting and irrigation equipment, storage or livestock facilities, sampling tools, sensors and protective structures as required.</x:v>
      </x:c>
      <x:c r="P47" s="2" t="str">
        <x:v>Fungal symbioses: soil–crop–livestock knowledge, nutrient and water budgets, emission factors, carbon accounting, climate services, monitoring protocols and adaptive management.</x:v>
      </x:c>
      <x:c r="Q47" s="2" t="str">
        <x:v>Fungal symbioses: land tenure, extension, producer organisations, veterinary or phytosanitary services, incentives, safeguards, certification and monitoring arrangements.</x:v>
      </x:c>
      <x:c r="R47" s="2" t="str">
        <x:v>Fungal symbioses: nurseries or seed banks, field access, water and storage systems, laboratories, extension centres, monitoring plots and processing or market facilities.</x:v>
      </x:c>
      <x:c r="S47" s="2" t="str">
        <x:v>Fungal symbioses: human and mechanical work, electricity or fuel for machinery, pumping, cooling and processing; biological energy and solar radiation dominate field processes.</x:v>
      </x:c>
      <x:c r="T47" s="2" t="str">
        <x:v>Fungal symbioses: seed or planting stock, organic matter, fertilisers, soil amendments, water, fencing or structural materials, veterinary inputs and monitoring consumables.</x:v>
      </x:c>
      <x:c r="U47" s="2" t="str">
        <x:v>Fungal symbioses: seed, inoculants, filters, drip lines, nozzles, tool parts, sampling containers, sensor batteries, veterinary supplies and protective equipment.</x:v>
      </x:c>
      <x:c r="V47" s="2" t="str">
        <x:v>https://www.ctc-n.org/sites/default/files/resources/ctcn_taxonomy_0.pdf</x:v>
      </x:c>
      <x:c r="W47" s="2" t="str">
        <x:v>https://institutoagricoladepueblobello.edu.co/colegiapp/archivostemas/GUIA%209.%5B25%5D.pdf</x:v>
      </x:c>
      <x:c r="X47" s="2" t="str">
        <x:v>https://iiasa.ac.at/what-is-technology</x:v>
      </x:c>
      <x:c r="Y47" s="2" t="str">
        <x:v>https://www.fao.org/climate-change/en; https://www.ipcc.ch/report/ar6/wg3/chapter/chapter-7/; https://openknowledge.fao.org/server/api/core/bitstreams/b21f2087-f398-4718-8461-b92afc82e617/content</x:v>
      </x:c>
      <x:c r="Z47" s="2" t="str">
        <x:v>Technology-specific analytical synthesis. The CTCN hierarchy is retained; classifications and component dependencies require validation against the selected design, site and supplier documentation before investment or policy use.</x:v>
      </x:c>
      <x:c r="AA47" s="2" t="str">
        <x:v>Physical deployment of Fungal symbioses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47" s="2" t="str">
        <x:v>For Fungal symbioses,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7" s="2" t="str">
        <x:v>Construction and operation use seed or planting stock, organic matter, fertilisers, soil amendments, water, fencing or structural materials, veterinary inputs and monitoring consumables. For Fungal symbioses, specifications must include durability, compatibility, recycled content and recoverability.</x:v>
      </x:c>
      <x:c r="AD47" s="2" t="str">
        <x:v>Maintenance of Fungal symbioses depends on seed, inoculants, filters, drip lines, nozzles, tool parts, sampling containers, sensor batteries, veterinary supplies and protective equipment; critical spares are selected from failure-mode, lead-time and safety analysis for its installed configuration.</x:v>
      </x:c>
      <x:c r="AE47" s="2" t="str">
        <x:v>The software stack for Fungal symbioses requires databases, secure communications, version-controlled models, computing, backup and interfaces with field or operational systems.</x:v>
      </x:c>
      <x:c r="AF47" s="2" t="str">
        <x:v>For Fungal symbioses, software-related energy is electricity for sensing, computing, storage, communication and cooling; it is normally secondary but must be included for data-intensive or continuous services.</x:v>
      </x:c>
      <x:c r="AG47" s="2" t="str">
        <x:v>The non-physical inputs are calibrated data, metadata, algorithms, boundary conditions, emission or hazard factors, manuals and validation records specific to Fungal symbioses.</x:v>
      </x:c>
      <x:c r="AH47" s="2" t="str">
        <x:v>Software continuity for Fungal symbioses requires licences where applicable, updates, cybersecurity patches, backups, calibration files, model validation and technical support.</x:v>
      </x:c>
      <x:c r="AI47" s="2" t="str">
        <x:v>Orgware depends on the institutions, laboratories, training providers, regulators, operators and community interfaces needed to govern Fungal symbioses.</x:v>
      </x:c>
      <x:c r="AJ47" s="2" t="str">
        <x:v>The orgware supporting Fungal symbioses has mainly indirect energy use from offices, meetings, training and information systems; travel and field supervision may be material at dispersed sites.</x:v>
      </x:c>
      <x:c r="AK47" s="2" t="str">
        <x:v>Its organisational inputs are permits, budgets, trained staff, competence records, contracts, procedures, safeguards, monitoring evidence and stakeholder agreements tailored to Fungal symbioses.</x:v>
      </x:c>
      <x:c r="AL47" s="2" t="str">
        <x:v>Sustained implementation of Fungal symbioses requires procurement and service contracts, audit protocols, training material, reporting templates, insurance or guarantees and periodic independent review.</x:v>
      </x:c>
      <x:c r="AM47" s="2" t="str">
        <x:v>Phosphate rock; Potash</x:v>
      </x:c>
      <x:c r="AN47" s="2" t="str">
        <x:v>China; Morocco; United States; Canada; Russia; Belarus</x:v>
      </x:c>
      <x:c r="AO47" s="2" t="str">
        <x:v>China; Morocco; United States; Canada; Russia; Belarus</x:v>
      </x:c>
      <x:c r="AP47" s="2" t="str">
        <x:v>Fungal symbioses: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7" s="2" t="str">
        <x:v>2024–2025</x:v>
      </x:c>
      <x:c r="AR47" s="2" t="str">
        <x:v>https://pubs.usgs.gov/periodicals/mcs2026/mcs2026.pdf</x:v>
      </x:c>
    </x:row>
    <x:row r="48" ht="240" customHeight="1">
      <x:c r="A48" s="2" t="str">
        <x:v>ADP-0041</x:v>
      </x:c>
      <x:c r="B48" s="2" t="str">
        <x:v>Adaptation</x:v>
      </x:c>
      <x:c r="C48" s="2" t="str">
        <x:v>Agriculture and Forestry</x:v>
      </x:c>
      <x:c r="D48" s="2" t="str">
        <x:v>Increasing crop resilience and productivity</x:v>
      </x:c>
      <x:c r="E48" s="2" t="str">
        <x:v>Precision agriculture</x:v>
      </x:c>
      <x:c r="F48" s="2" t="str">
        <x:v>Precision agriculture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Georeferenced sensing and variable-rate control apply water, seed, fertiliser or crop protection only where and when required, reducing over-application and improving input-use efficiency.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8" s="2" t="str">
        <x:v>Mixed: adaptable design, site-specific implementation</x:v>
      </x:c>
      <x:c r="H48" s="2" t="str">
        <x:v>Precision agriculture is adaptable in capacity and configuration but site-specific in final engineering. Its principle remains the same, but resource quality, climate, scale, interfaces and safety constraints must be recalculated for each deployment.</x:v>
      </x:c>
      <x:c r="I48" s="2" t="str">
        <x:v>Primarily hard, with a soft component</x:v>
      </x:c>
      <x:c r="J48" s="2" t="str">
        <x:v>Precision agriculture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8" s="2" t="str">
        <x:v>Operation</x:v>
      </x:c>
      <x:c r="L48" s="2" t="str">
        <x:v>Precision agriculture is embodied mainly as an operating practice. The deliverable is accepted only when measurable service, quality, safety and climate-performance criteria are met under real conditions.</x:v>
      </x:c>
      <x:c r="M48" s="2" t="str">
        <x:v>Yes, subject to life-cycle safeguards</x:v>
      </x:c>
      <x:c r="N48" s="2" t="str">
        <x:v>Precision agriculture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8" s="2" t="str">
        <x:v>Precision agriculture: field or forest implements, planting and irrigation equipment, storage or livestock facilities, sampling tools, sensors and protective structures as required.</x:v>
      </x:c>
      <x:c r="P48" s="2" t="str">
        <x:v>Precision agriculture: soil–crop–livestock knowledge, nutrient and water budgets, emission factors, carbon accounting, climate services, monitoring protocols and adaptive management.</x:v>
      </x:c>
      <x:c r="Q48" s="2" t="str">
        <x:v>Precision agriculture: land tenure, extension, producer organisations, veterinary or phytosanitary services, incentives, safeguards, certification and monitoring arrangements.</x:v>
      </x:c>
      <x:c r="R48" s="2" t="str">
        <x:v>Precision agriculture: nurseries or seed banks, field access, water and storage systems, laboratories, extension centres, monitoring plots and processing or market facilities.</x:v>
      </x:c>
      <x:c r="S48" s="2" t="str">
        <x:v>Precision agriculture: human and mechanical work, electricity or fuel for machinery, pumping, cooling and processing; biological energy and solar radiation dominate field processes.</x:v>
      </x:c>
      <x:c r="T48" s="2" t="str">
        <x:v>Precision agriculture: seed or planting stock, organic matter, fertilisers, soil amendments, water, fencing or structural materials, veterinary inputs and monitoring consumables.</x:v>
      </x:c>
      <x:c r="U48" s="2" t="str">
        <x:v>Precision agriculture: seed, inoculants, filters, drip lines, nozzles, tool parts, sampling containers, sensor batteries, veterinary supplies and protective equipment.</x:v>
      </x:c>
      <x:c r="V48" s="2" t="str">
        <x:v>https://www.ctc-n.org/sites/default/files/resources/ctcn_taxonomy_0.pdf</x:v>
      </x:c>
      <x:c r="W48" s="2" t="str">
        <x:v>https://institutoagricoladepueblobello.edu.co/colegiapp/archivostemas/GUIA%209.%5B25%5D.pdf</x:v>
      </x:c>
      <x:c r="X48" s="2" t="str">
        <x:v>https://iiasa.ac.at/what-is-technology</x:v>
      </x:c>
      <x:c r="Y48" s="2" t="str">
        <x:v>https://www.fao.org/climate-change/en; https://www.ipcc.ch/report/ar6/wg3/chapter/chapter-7/; https://openknowledge.fao.org/server/api/core/bitstreams/b21f2087-f398-4718-8461-b92afc82e617/content</x:v>
      </x:c>
      <x:c r="Z48" s="2" t="str">
        <x:v>Technology-specific analytical synthesis. The CTCN hierarchy is retained; classifications and component dependencies require validation against the selected design, site and supplier documentation before investment or policy use.</x:v>
      </x:c>
      <x:c r="AA48" s="2" t="str">
        <x:v>Physical deployment of Precision agriculture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48" s="2" t="str">
        <x:v>For Precision agriculture,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8" s="2" t="str">
        <x:v>Construction and operation use seed or planting stock, organic matter, fertilisers, soil amendments, water, fencing or structural materials, veterinary inputs and monitoring consumables. For Precision agriculture, specifications must include durability, compatibility, recycled content and recoverability.</x:v>
      </x:c>
      <x:c r="AD48" s="2" t="str">
        <x:v>Maintenance of Precision agriculture depends on seed, inoculants, filters, drip lines, nozzles, tool parts, sampling containers, sensor batteries, veterinary supplies and protective equipment; critical spares are selected from failure-mode, lead-time and safety analysis for its installed configuration.</x:v>
      </x:c>
      <x:c r="AE48" s="2" t="str">
        <x:v>The software stack for Precision agriculture requires databases, secure communications, version-controlled models, computing, backup and interfaces with field or operational systems.</x:v>
      </x:c>
      <x:c r="AF48" s="2" t="str">
        <x:v>For Precision agriculture, software-related energy is electricity for sensing, computing, storage, communication and cooling; it is normally secondary but must be included for data-intensive or continuous services.</x:v>
      </x:c>
      <x:c r="AG48" s="2" t="str">
        <x:v>The non-physical inputs are calibrated data, metadata, algorithms, boundary conditions, emission or hazard factors, manuals and validation records specific to Precision agriculture.</x:v>
      </x:c>
      <x:c r="AH48" s="2" t="str">
        <x:v>Software continuity for Precision agriculture requires licences where applicable, updates, cybersecurity patches, backups, calibration files, model validation and technical support.</x:v>
      </x:c>
      <x:c r="AI48" s="2" t="str">
        <x:v>Orgware depends on the institutions, laboratories, training providers, regulators, operators and community interfaces needed to govern Precision agriculture.</x:v>
      </x:c>
      <x:c r="AJ48" s="2" t="str">
        <x:v>The orgware supporting Precision agriculture has mainly indirect energy use from offices, meetings, training and information systems; travel and field supervision may be material at dispersed sites.</x:v>
      </x:c>
      <x:c r="AK48" s="2" t="str">
        <x:v>Its organisational inputs are permits, budgets, trained staff, competence records, contracts, procedures, safeguards, monitoring evidence and stakeholder agreements tailored to Precision agriculture.</x:v>
      </x:c>
      <x:c r="AL48" s="2" t="str">
        <x:v>Sustained implementation of Precision agriculture requires procurement and service contracts, audit protocols, training material, reporting templates, insurance or guarantees and periodic independent review.</x:v>
      </x:c>
      <x:c r="AM48" s="2" t="str">
        <x:v>Phosphate rock; Potash</x:v>
      </x:c>
      <x:c r="AN48" s="2" t="str">
        <x:v>China; Morocco; United States; Canada; Russia; Belarus</x:v>
      </x:c>
      <x:c r="AO48" s="2" t="str">
        <x:v>China; Morocco; United States; Canada; Russia; Belarus</x:v>
      </x:c>
      <x:c r="AP48" s="2" t="str">
        <x:v>Precision agriculture: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8" s="2" t="str">
        <x:v>2024–2025</x:v>
      </x:c>
      <x:c r="AR48" s="2" t="str">
        <x:v>https://pubs.usgs.gov/periodicals/mcs2026/mcs2026.pdf</x:v>
      </x:c>
    </x:row>
    <x:row r="49" ht="240" customHeight="1">
      <x:c r="A49" s="2" t="str">
        <x:v>ADP-0042</x:v>
      </x:c>
      <x:c r="B49" s="2" t="str">
        <x:v>Adaptation</x:v>
      </x:c>
      <x:c r="C49" s="2" t="str">
        <x:v>Agriculture and Forestry</x:v>
      </x:c>
      <x:c r="D49" s="2" t="str">
        <x:v>Increasing crop resilience and productivity</x:v>
      </x:c>
      <x:c r="E49" s="2" t="str">
        <x:v>Biochar technology</x:v>
      </x:c>
      <x:c r="F49" s="2" t="str">
        <x:v>Biochar technology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Biomass is heated under limited oxygen to form a carbon-rich, relatively stable solid that can amend soil; net benefit depends on feedstock, pyrolysis conditions, avoided decay and permanence.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49" s="2" t="str">
        <x:v>Mixed: adaptable design, site-specific implementation</x:v>
      </x:c>
      <x:c r="H49" s="2" t="str">
        <x:v>Biochar technology is adaptable in capacity and configuration but site-specific in final engineering. Its principle remains the same, but resource quality, climate, scale, interfaces and safety constraints must be recalculated for each deployment.</x:v>
      </x:c>
      <x:c r="I49" s="2" t="str">
        <x:v>Primarily hard, with a soft component</x:v>
      </x:c>
      <x:c r="J49" s="2" t="str">
        <x:v>Biochar technology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49" s="2" t="str">
        <x:v>Product and equipment; complementary operation</x:v>
      </x:c>
      <x:c r="L49" s="2" t="str">
        <x:v>Biochar technology is embodied mainly as a product/equipment package. The deliverable is accepted only when measurable service, quality, safety and climate-performance criteria are met under real conditions.</x:v>
      </x:c>
      <x:c r="M49" s="2" t="str">
        <x:v>Yes, subject to life-cycle safeguards</x:v>
      </x:c>
      <x:c r="N49" s="2" t="str">
        <x:v>Biochar technology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49" s="2" t="str">
        <x:v>Biochar technology: field or forest implements, planting and irrigation equipment, storage or livestock facilities, sampling tools, sensors and protective structures as required.</x:v>
      </x:c>
      <x:c r="P49" s="2" t="str">
        <x:v>Biochar technology: soil–crop–livestock knowledge, nutrient and water budgets, emission factors, carbon accounting, climate services, monitoring protocols and adaptive management.</x:v>
      </x:c>
      <x:c r="Q49" s="2" t="str">
        <x:v>Biochar technology: land tenure, extension, producer organisations, veterinary or phytosanitary services, incentives, safeguards, certification and monitoring arrangements.</x:v>
      </x:c>
      <x:c r="R49" s="2" t="str">
        <x:v>Biochar technology: nurseries or seed banks, field access, water and storage systems, laboratories, extension centres, monitoring plots and processing or market facilities.</x:v>
      </x:c>
      <x:c r="S49" s="2" t="str">
        <x:v>Biochar technology: human and mechanical work, electricity or fuel for machinery, pumping, cooling and processing; biological energy and solar radiation dominate field processes.</x:v>
      </x:c>
      <x:c r="T49" s="2" t="str">
        <x:v>Biochar technology: seed or planting stock, organic matter, fertilisers, soil amendments, water, fencing or structural materials, veterinary inputs and monitoring consumables.</x:v>
      </x:c>
      <x:c r="U49" s="2" t="str">
        <x:v>Biochar technology: seed, inoculants, filters, drip lines, nozzles, tool parts, sampling containers, sensor batteries, veterinary supplies and protective equipment.</x:v>
      </x:c>
      <x:c r="V49" s="2" t="str">
        <x:v>https://www.ctc-n.org/sites/default/files/resources/ctcn_taxonomy_0.pdf</x:v>
      </x:c>
      <x:c r="W49" s="2" t="str">
        <x:v>https://institutoagricoladepueblobello.edu.co/colegiapp/archivostemas/GUIA%209.%5B25%5D.pdf</x:v>
      </x:c>
      <x:c r="X49" s="2" t="str">
        <x:v>https://iiasa.ac.at/what-is-technology</x:v>
      </x:c>
      <x:c r="Y49" s="2" t="str">
        <x:v>https://www.fao.org/climate-change/en; https://www.ipcc.ch/report/ar6/wg3/chapter/chapter-7/; https://openknowledge.fao.org/server/api/core/bitstreams/b21f2087-f398-4718-8461-b92afc82e617/content</x:v>
      </x:c>
      <x:c r="Z49" s="2" t="str">
        <x:v>Technology-specific analytical synthesis. The CTCN hierarchy is retained; classifications and component dependencies require validation against the selected design, site and supplier documentation before investment or policy use.</x:v>
      </x:c>
      <x:c r="AA49" s="2" t="str">
        <x:v>Physical deployment of Biochar technology requires nurseries or seed banks, field access, water and storage systems, laboratories, extension centres, monitoring plots and processing or market facilities; interfaces, foundations, access and environmental protection are sized to the specific resource and design load.</x:v>
      </x:c>
      <x:c r="AB49" s="2" t="str">
        <x:v>For Biochar technology,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49" s="2" t="str">
        <x:v>Construction and operation use seed or planting stock, organic matter, fertilisers, soil amendments, water, fencing or structural materials, veterinary inputs and monitoring consumables. For Biochar technology, specifications must include durability, compatibility, recycled content and recoverability.</x:v>
      </x:c>
      <x:c r="AD49" s="2" t="str">
        <x:v>Maintenance of Biochar technology depends on seed, inoculants, filters, drip lines, nozzles, tool parts, sampling containers, sensor batteries, veterinary supplies and protective equipment; critical spares are selected from failure-mode, lead-time and safety analysis for its installed configuration.</x:v>
      </x:c>
      <x:c r="AE49" s="2" t="str">
        <x:v>The software stack for Biochar technology requires databases, secure communications, version-controlled models, computing, backup and interfaces with field or operational systems.</x:v>
      </x:c>
      <x:c r="AF49" s="2" t="str">
        <x:v>For Biochar technology, software-related energy is electricity for sensing, computing, storage, communication and cooling; it is normally secondary but must be included for data-intensive or continuous services.</x:v>
      </x:c>
      <x:c r="AG49" s="2" t="str">
        <x:v>The non-physical inputs are calibrated data, metadata, algorithms, boundary conditions, emission or hazard factors, manuals and validation records specific to Biochar technology.</x:v>
      </x:c>
      <x:c r="AH49" s="2" t="str">
        <x:v>Software continuity for Biochar technology requires licences where applicable, updates, cybersecurity patches, backups, calibration files, model validation and technical support.</x:v>
      </x:c>
      <x:c r="AI49" s="2" t="str">
        <x:v>Orgware depends on the institutions, laboratories, training providers, regulators, operators and community interfaces needed to govern Biochar technology.</x:v>
      </x:c>
      <x:c r="AJ49" s="2" t="str">
        <x:v>The orgware supporting Biochar technology has mainly indirect energy use from offices, meetings, training and information systems; travel and field supervision may be material at dispersed sites.</x:v>
      </x:c>
      <x:c r="AK49" s="2" t="str">
        <x:v>Its organisational inputs are permits, budgets, trained staff, competence records, contracts, procedures, safeguards, monitoring evidence and stakeholder agreements tailored to Biochar technology.</x:v>
      </x:c>
      <x:c r="AL49" s="2" t="str">
        <x:v>Sustained implementation of Biochar technology requires procurement and service contracts, audit protocols, training material, reporting templates, insurance or guarantees and periodic independent review.</x:v>
      </x:c>
      <x:c r="AM49" s="2" t="str">
        <x:v>Phosphate rock; Potash</x:v>
      </x:c>
      <x:c r="AN49" s="2" t="str">
        <x:v>China; Morocco; United States; Canada; Russia; Belarus</x:v>
      </x:c>
      <x:c r="AO49" s="2" t="str">
        <x:v>China; Morocco; United States; Canada; Russia; Belarus</x:v>
      </x:c>
      <x:c r="AP49" s="2" t="str">
        <x:v>Biochar technology: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49" s="2" t="str">
        <x:v>2024–2025</x:v>
      </x:c>
      <x:c r="AR49" s="2" t="str">
        <x:v>https://pubs.usgs.gov/periodicals/mcs2026/mcs2026.pdf</x:v>
      </x:c>
    </x:row>
    <x:row r="50" ht="240" customHeight="1">
      <x:c r="A50" s="2" t="str">
        <x:v>ADP-0043</x:v>
      </x:c>
      <x:c r="B50" s="2" t="str">
        <x:v>Adaptation</x:v>
      </x:c>
      <x:c r="C50" s="2" t="str">
        <x:v>Agriculture and Forestry</x:v>
      </x:c>
      <x:c r="D50" s="2" t="str">
        <x:v>Increasing crop resilience and productivity</x:v>
      </x:c>
      <x:c r="E50" s="2" t="str">
        <x:v>Pest and insect control</x:v>
      </x:c>
      <x:c r="F50" s="2" t="str">
        <x:v>Pest and insect control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Pest and insect control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0" s="2" t="str">
        <x:v>Mixed: adaptable design, site-specific implementation</x:v>
      </x:c>
      <x:c r="H50" s="2" t="str">
        <x:v>Pest and insect control is adaptable in capacity and configuration but site-specific in final engineering. Its principle remains the same, but resource quality, climate, scale, interfaces and safety constraints must be recalculated for each deployment.</x:v>
      </x:c>
      <x:c r="I50" s="2" t="str">
        <x:v>Primarily hard, with a soft component</x:v>
      </x:c>
      <x:c r="J50" s="2" t="str">
        <x:v>Pest and insect control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0" s="2" t="str">
        <x:v>Operation</x:v>
      </x:c>
      <x:c r="L50" s="2" t="str">
        <x:v>Pest and insect control is embodied mainly as an operating practice. The deliverable is accepted only when measurable service, quality, safety and climate-performance criteria are met under real conditions.</x:v>
      </x:c>
      <x:c r="M50" s="2" t="str">
        <x:v>Yes, subject to life-cycle safeguards</x:v>
      </x:c>
      <x:c r="N50" s="2" t="str">
        <x:v>Pest and insect control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0" s="2" t="str">
        <x:v>Pest and insect control: field or forest implements, planting and irrigation equipment, storage or livestock facilities, sampling tools, sensors and protective structures as required.</x:v>
      </x:c>
      <x:c r="P50" s="2" t="str">
        <x:v>Pest and insect control: soil–crop–livestock knowledge, nutrient and water budgets, emission factors, carbon accounting, climate services, monitoring protocols and adaptive management.</x:v>
      </x:c>
      <x:c r="Q50" s="2" t="str">
        <x:v>Pest and insect control: land tenure, extension, producer organisations, veterinary or phytosanitary services, incentives, safeguards, certification and monitoring arrangements.</x:v>
      </x:c>
      <x:c r="R50" s="2" t="str">
        <x:v>Pest and insect control: nurseries or seed banks, field access, water and storage systems, laboratories, extension centres, monitoring plots and processing or market facilities.</x:v>
      </x:c>
      <x:c r="S50" s="2" t="str">
        <x:v>Pest and insect control: human and mechanical work, electricity or fuel for machinery, pumping, cooling and processing; biological energy and solar radiation dominate field processes.</x:v>
      </x:c>
      <x:c r="T50" s="2" t="str">
        <x:v>Pest and insect control: seed or planting stock, organic matter, fertilisers, soil amendments, water, fencing or structural materials, veterinary inputs and monitoring consumables.</x:v>
      </x:c>
      <x:c r="U50" s="2" t="str">
        <x:v>Pest and insect control: seed, inoculants, filters, drip lines, nozzles, tool parts, sampling containers, sensor batteries, veterinary supplies and protective equipment.</x:v>
      </x:c>
      <x:c r="V50" s="2" t="str">
        <x:v>https://www.ctc-n.org/sites/default/files/resources/ctcn_taxonomy_0.pdf</x:v>
      </x:c>
      <x:c r="W50" s="2" t="str">
        <x:v>https://institutoagricoladepueblobello.edu.co/colegiapp/archivostemas/GUIA%209.%5B25%5D.pdf</x:v>
      </x:c>
      <x:c r="X50" s="2" t="str">
        <x:v>https://iiasa.ac.at/what-is-technology</x:v>
      </x:c>
      <x:c r="Y50" s="2" t="str">
        <x:v>https://www.fao.org/climate-change/en; https://www.ipcc.ch/report/ar6/wg3/chapter/chapter-7/; https://openknowledge.fao.org/server/api/core/bitstreams/b21f2087-f398-4718-8461-b92afc82e617/content</x:v>
      </x:c>
      <x:c r="Z50" s="2" t="str">
        <x:v>Technology-specific analytical synthesis. The CTCN hierarchy is retained; classifications and component dependencies require validation against the selected design, site and supplier documentation before investment or policy use.</x:v>
      </x:c>
      <x:c r="AA50" s="2" t="str">
        <x:v>Physical deployment of Pest and insect control requires nurseries or seed banks, field access, water and storage systems, laboratories, extension centres, monitoring plots and processing or market facilities; interfaces, foundations, access and environmental protection are sized to the specific resource and design load.</x:v>
      </x:c>
      <x:c r="AB50" s="2" t="str">
        <x:v>For Pest and insect control,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0" s="2" t="str">
        <x:v>Construction and operation use seed or planting stock, organic matter, fertilisers, soil amendments, water, fencing or structural materials, veterinary inputs and monitoring consumables. For Pest and insect control, specifications must include durability, compatibility, recycled content and recoverability.</x:v>
      </x:c>
      <x:c r="AD50" s="2" t="str">
        <x:v>Maintenance of Pest and insect control depends on seed, inoculants, filters, drip lines, nozzles, tool parts, sampling containers, sensor batteries, veterinary supplies and protective equipment; critical spares are selected from failure-mode, lead-time and safety analysis for its installed configuration.</x:v>
      </x:c>
      <x:c r="AE50" s="2" t="str">
        <x:v>The software stack for Pest and insect control requires databases, secure communications, version-controlled models, computing, backup and interfaces with field or operational systems.</x:v>
      </x:c>
      <x:c r="AF50" s="2" t="str">
        <x:v>For Pest and insect control, software-related energy is electricity for sensing, computing, storage, communication and cooling; it is normally secondary but must be included for data-intensive or continuous services.</x:v>
      </x:c>
      <x:c r="AG50" s="2" t="str">
        <x:v>The non-physical inputs are calibrated data, metadata, algorithms, boundary conditions, emission or hazard factors, manuals and validation records specific to Pest and insect control.</x:v>
      </x:c>
      <x:c r="AH50" s="2" t="str">
        <x:v>Software continuity for Pest and insect control requires licences where applicable, updates, cybersecurity patches, backups, calibration files, model validation and technical support.</x:v>
      </x:c>
      <x:c r="AI50" s="2" t="str">
        <x:v>Orgware depends on the institutions, laboratories, training providers, regulators, operators and community interfaces needed to govern Pest and insect control.</x:v>
      </x:c>
      <x:c r="AJ50" s="2" t="str">
        <x:v>The orgware supporting Pest and insect control has mainly indirect energy use from offices, meetings, training and information systems; travel and field supervision may be material at dispersed sites.</x:v>
      </x:c>
      <x:c r="AK50" s="2" t="str">
        <x:v>Its organisational inputs are permits, budgets, trained staff, competence records, contracts, procedures, safeguards, monitoring evidence and stakeholder agreements tailored to Pest and insect control.</x:v>
      </x:c>
      <x:c r="AL50" s="2" t="str">
        <x:v>Sustained implementation of Pest and insect control requires procurement and service contracts, audit protocols, training material, reporting templates, insurance or guarantees and periodic independent review.</x:v>
      </x:c>
      <x:c r="AM50" s="2" t="str">
        <x:v>Copper; Tin; Phosphate rock; Potash</x:v>
      </x:c>
      <x:c r="AN50" s="2" t="str">
        <x:v>Chile; Democratic Republic of the Congo; Peru; China; Indonesia; Myanmar; Morocco; United States; Canada; Russia; Belarus</x:v>
      </x:c>
      <x:c r="AO50" s="2" t="str">
        <x:v>China; Chile; Democratic Republic of the Congo; Indonesia; Malaysia; Morocco; United States; Canada; Russia; Belarus</x:v>
      </x:c>
      <x:c r="AP50" s="2" t="str">
        <x:v>Pest and insect control: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0" s="2" t="str">
        <x:v>2024–2025</x:v>
      </x:c>
      <x:c r="AR50" s="2" t="str">
        <x:v>https://pubs.usgs.gov/periodicals/mcs2026/mcs2026.pdf</x:v>
      </x:c>
    </x:row>
    <x:row r="51" ht="240" customHeight="1">
      <x:c r="A51" s="2" t="str">
        <x:v>ADP-0044</x:v>
      </x:c>
      <x:c r="B51" s="2" t="str">
        <x:v>Adaptation</x:v>
      </x:c>
      <x:c r="C51" s="2" t="str">
        <x:v>Agriculture and Forestry</x:v>
      </x:c>
      <x:c r="D51" s="2" t="str">
        <x:v>Increasing crop resilience and productivity</x:v>
      </x:c>
      <x:c r="E51" s="2" t="str">
        <x:v>Biotechnology for crop adaptation</x:v>
      </x:c>
      <x:c r="F51" s="2" t="str">
        <x:v>Biotechnology for crop adaptation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Biotechnology for crop adaptation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1" s="2" t="str">
        <x:v>Mixed: adaptable design, site-specific implementation</x:v>
      </x:c>
      <x:c r="H51" s="2" t="str">
        <x:v>Biotechnology for crop adaptation is adaptable in capacity and configuration but site-specific in final engineering. Its principle remains the same, but resource quality, climate, scale, interfaces and safety constraints must be recalculated for each deployment.</x:v>
      </x:c>
      <x:c r="I51" s="2" t="str">
        <x:v>Primarily hard, with a soft component</x:v>
      </x:c>
      <x:c r="J51" s="2" t="str">
        <x:v>Biotechnology for crop adaptation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1" s="2" t="str">
        <x:v>Operation</x:v>
      </x:c>
      <x:c r="L51" s="2" t="str">
        <x:v>Biotechnology for crop adaptation is embodied mainly as an operating practice. The deliverable is accepted only when measurable service, quality, safety and climate-performance criteria are met under real conditions.</x:v>
      </x:c>
      <x:c r="M51" s="2" t="str">
        <x:v>Yes, subject to life-cycle safeguards</x:v>
      </x:c>
      <x:c r="N51" s="2" t="str">
        <x:v>Biotechnology for crop adaptation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1" s="2" t="str">
        <x:v>Biotechnology for crop adaptation: field or forest implements, planting and irrigation equipment, storage or livestock facilities, sampling tools, sensors and protective structures as required.</x:v>
      </x:c>
      <x:c r="P51" s="2" t="str">
        <x:v>Biotechnology for crop adaptation: soil–crop–livestock knowledge, nutrient and water budgets, emission factors, carbon accounting, climate services, monitoring protocols and adaptive management.</x:v>
      </x:c>
      <x:c r="Q51" s="2" t="str">
        <x:v>Biotechnology for crop adaptation: land tenure, extension, producer organisations, veterinary or phytosanitary services, incentives, safeguards, certification and monitoring arrangements.</x:v>
      </x:c>
      <x:c r="R51" s="2" t="str">
        <x:v>Biotechnology for crop adaptation: nurseries or seed banks, field access, water and storage systems, laboratories, extension centres, monitoring plots and processing or market facilities.</x:v>
      </x:c>
      <x:c r="S51" s="2" t="str">
        <x:v>Biotechnology for crop adaptation: human and mechanical work, electricity or fuel for machinery, pumping, cooling and processing; biological energy and solar radiation dominate field processes.</x:v>
      </x:c>
      <x:c r="T51" s="2" t="str">
        <x:v>Biotechnology for crop adaptation: seed or planting stock, organic matter, fertilisers, soil amendments, water, fencing or structural materials, veterinary inputs and monitoring consumables.</x:v>
      </x:c>
      <x:c r="U51" s="2" t="str">
        <x:v>Biotechnology for crop adaptation: seed, inoculants, filters, drip lines, nozzles, tool parts, sampling containers, sensor batteries, veterinary supplies and protective equipment.</x:v>
      </x:c>
      <x:c r="V51" s="2" t="str">
        <x:v>https://www.ctc-n.org/sites/default/files/resources/ctcn_taxonomy_0.pdf</x:v>
      </x:c>
      <x:c r="W51" s="2" t="str">
        <x:v>https://institutoagricoladepueblobello.edu.co/colegiapp/archivostemas/GUIA%209.%5B25%5D.pdf</x:v>
      </x:c>
      <x:c r="X51" s="2" t="str">
        <x:v>https://iiasa.ac.at/what-is-technology</x:v>
      </x:c>
      <x:c r="Y51" s="2" t="str">
        <x:v>https://www.fao.org/climate-change/en; https://www.ipcc.ch/report/ar6/wg3/chapter/chapter-7/; https://openknowledge.fao.org/server/api/core/bitstreams/b21f2087-f398-4718-8461-b92afc82e617/content</x:v>
      </x:c>
      <x:c r="Z51" s="2" t="str">
        <x:v>Technology-specific analytical synthesis. The CTCN hierarchy is retained; classifications and component dependencies require validation against the selected design, site and supplier documentation before investment or policy use.</x:v>
      </x:c>
      <x:c r="AA51" s="2" t="str">
        <x:v>Physical deployment of Biotechnology for crop adaptation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51" s="2" t="str">
        <x:v>For Biotechnology for crop adaptation,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1" s="2" t="str">
        <x:v>Construction and operation use seed or planting stock, organic matter, fertilisers, soil amendments, water, fencing or structural materials, veterinary inputs and monitoring consumables. For Biotechnology for crop adaptation, specifications must include durability, compatibility, recycled content and recoverability.</x:v>
      </x:c>
      <x:c r="AD51" s="2" t="str">
        <x:v>Maintenance of Biotechnology for crop adaptation depends on seed, inoculants, filters, drip lines, nozzles, tool parts, sampling containers, sensor batteries, veterinary supplies and protective equipment; critical spares are selected from failure-mode, lead-time and safety analysis for its installed configuration.</x:v>
      </x:c>
      <x:c r="AE51" s="2" t="str">
        <x:v>The software stack for Biotechnology for crop adaptation requires databases, secure communications, version-controlled models, computing, backup and interfaces with field or operational systems.</x:v>
      </x:c>
      <x:c r="AF51" s="2" t="str">
        <x:v>For Biotechnology for crop adaptation, software-related energy is electricity for sensing, computing, storage, communication and cooling; it is normally secondary but must be included for data-intensive or continuous services.</x:v>
      </x:c>
      <x:c r="AG51" s="2" t="str">
        <x:v>The non-physical inputs are calibrated data, metadata, algorithms, boundary conditions, emission or hazard factors, manuals and validation records specific to Biotechnology for crop adaptation.</x:v>
      </x:c>
      <x:c r="AH51" s="2" t="str">
        <x:v>Software continuity for Biotechnology for crop adaptation requires licences where applicable, updates, cybersecurity patches, backups, calibration files, model validation and technical support.</x:v>
      </x:c>
      <x:c r="AI51" s="2" t="str">
        <x:v>Orgware depends on the institutions, laboratories, training providers, regulators, operators and community interfaces needed to govern Biotechnology for crop adaptation.</x:v>
      </x:c>
      <x:c r="AJ51" s="2" t="str">
        <x:v>The orgware supporting Biotechnology for crop adaptation has mainly indirect energy use from offices, meetings, training and information systems; travel and field supervision may be material at dispersed sites.</x:v>
      </x:c>
      <x:c r="AK51" s="2" t="str">
        <x:v>Its organisational inputs are permits, budgets, trained staff, competence records, contracts, procedures, safeguards, monitoring evidence and stakeholder agreements tailored to Biotechnology for crop adaptation.</x:v>
      </x:c>
      <x:c r="AL51" s="2" t="str">
        <x:v>Sustained implementation of Biotechnology for crop adaptation requires procurement and service contracts, audit protocols, training material, reporting templates, insurance or guarantees and periodic independent review.</x:v>
      </x:c>
      <x:c r="AM51" s="2" t="str">
        <x:v>Phosphate rock; Potash</x:v>
      </x:c>
      <x:c r="AN51" s="2" t="str">
        <x:v>China; Morocco; United States; Canada; Russia; Belarus</x:v>
      </x:c>
      <x:c r="AO51" s="2" t="str">
        <x:v>China; Morocco; United States; Canada; Russia; Belarus</x:v>
      </x:c>
      <x:c r="AP51" s="2" t="str">
        <x:v>Biotechnology for crop adaptation: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1" s="2" t="str">
        <x:v>2024–2025</x:v>
      </x:c>
      <x:c r="AR51" s="2" t="str">
        <x:v>https://pubs.usgs.gov/periodicals/mcs2026/mcs2026.pdf</x:v>
      </x:c>
    </x:row>
    <x:row r="52" ht="240" customHeight="1">
      <x:c r="A52" s="2" t="str">
        <x:v>ADP-0045</x:v>
      </x:c>
      <x:c r="B52" s="2" t="str">
        <x:v>Adaptation</x:v>
      </x:c>
      <x:c r="C52" s="2" t="str">
        <x:v>Agriculture and Forestry</x:v>
      </x:c>
      <x:c r="D52" s="2" t="str">
        <x:v>Increasing crop resilience and productivity</x:v>
      </x:c>
      <x:c r="E52" s="2" t="str">
        <x:v>GMO crops</x:v>
      </x:c>
      <x:c r="F52" s="2" t="str">
        <x:v>GMO crops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GMO crops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2" s="2" t="str">
        <x:v>Mixed: adaptable design, site-specific implementation</x:v>
      </x:c>
      <x:c r="H52" s="2" t="str">
        <x:v>GMO crops is adaptable in capacity and configuration but site-specific in final engineering. Its principle remains the same, but resource quality, climate, scale, interfaces and safety constraints must be recalculated for each deployment.</x:v>
      </x:c>
      <x:c r="I52" s="2" t="str">
        <x:v>Primarily hard, with a soft component</x:v>
      </x:c>
      <x:c r="J52" s="2" t="str">
        <x:v>GMO crops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2" s="2" t="str">
        <x:v>Product and equipment; complementary operation</x:v>
      </x:c>
      <x:c r="L52" s="2" t="str">
        <x:v>GMO crops is embodied mainly as a product/equipment package. The deliverable is accepted only when measurable service, quality, safety and climate-performance criteria are met under real conditions.</x:v>
      </x:c>
      <x:c r="M52" s="2" t="str">
        <x:v>Conditional on performance and life cycle</x:v>
      </x:c>
      <x:c r="N52" s="2" t="str">
        <x:v>GMO crops is classified as conditional.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2" s="2" t="str">
        <x:v>GMO crops: field or forest implements, planting and irrigation equipment, storage or livestock facilities, sampling tools, sensors and protective structures as required.</x:v>
      </x:c>
      <x:c r="P52" s="2" t="str">
        <x:v>GMO crops: soil–crop–livestock knowledge, nutrient and water budgets, emission factors, carbon accounting, climate services, monitoring protocols and adaptive management.</x:v>
      </x:c>
      <x:c r="Q52" s="2" t="str">
        <x:v>GMO crops: land tenure, extension, producer organisations, veterinary or phytosanitary services, incentives, safeguards, certification and monitoring arrangements.</x:v>
      </x:c>
      <x:c r="R52" s="2" t="str">
        <x:v>GMO crops: nurseries or seed banks, field access, water and storage systems, laboratories, extension centres, monitoring plots and processing or market facilities.</x:v>
      </x:c>
      <x:c r="S52" s="2" t="str">
        <x:v>GMO crops: human and mechanical work, electricity or fuel for machinery, pumping, cooling and processing; biological energy and solar radiation dominate field processes.</x:v>
      </x:c>
      <x:c r="T52" s="2" t="str">
        <x:v>GMO crops: seed or planting stock, organic matter, fertilisers, soil amendments, water, fencing or structural materials, veterinary inputs and monitoring consumables.</x:v>
      </x:c>
      <x:c r="U52" s="2" t="str">
        <x:v>GMO crops: seed, inoculants, filters, drip lines, nozzles, tool parts, sampling containers, sensor batteries, veterinary supplies and protective equipment.</x:v>
      </x:c>
      <x:c r="V52" s="2" t="str">
        <x:v>https://www.ctc-n.org/sites/default/files/resources/ctcn_taxonomy_0.pdf</x:v>
      </x:c>
      <x:c r="W52" s="2" t="str">
        <x:v>https://institutoagricoladepueblobello.edu.co/colegiapp/archivostemas/GUIA%209.%5B25%5D.pdf</x:v>
      </x:c>
      <x:c r="X52" s="2" t="str">
        <x:v>https://iiasa.ac.at/what-is-technology</x:v>
      </x:c>
      <x:c r="Y52" s="2" t="str">
        <x:v>https://www.fao.org/climate-change/en; https://www.ipcc.ch/report/ar6/wg3/chapter/chapter-7/; https://openknowledge.fao.org/server/api/core/bitstreams/b21f2087-f398-4718-8461-b92afc82e617/content</x:v>
      </x:c>
      <x:c r="Z52" s="2" t="str">
        <x:v>Technology-specific analytical synthesis. The CTCN hierarchy is retained; classifications and component dependencies require validation against the selected design, site and supplier documentation before investment or policy use.</x:v>
      </x:c>
      <x:c r="AA52" s="2" t="str">
        <x:v>Physical deployment of GMO crops requires nurseries or seed banks, field access, water and storage systems, laboratories, extension centres, monitoring plots and processing or market facilities; interfaces, foundations, access and environmental protection are sized to the specific resource and design load.</x:v>
      </x:c>
      <x:c r="AB52" s="2" t="str">
        <x:v>For GMO crops,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2" s="2" t="str">
        <x:v>Construction and operation use seed or planting stock, organic matter, fertilisers, soil amendments, water, fencing or structural materials, veterinary inputs and monitoring consumables. For GMO crops, specifications must include durability, compatibility, recycled content and recoverability.</x:v>
      </x:c>
      <x:c r="AD52" s="2" t="str">
        <x:v>Maintenance of GMO crops depends on seed, inoculants, filters, drip lines, nozzles, tool parts, sampling containers, sensor batteries, veterinary supplies and protective equipment; critical spares are selected from failure-mode, lead-time and safety analysis for its installed configuration.</x:v>
      </x:c>
      <x:c r="AE52" s="2" t="str">
        <x:v>The software stack for GMO crops requires databases, secure communications, version-controlled models, computing, backup and interfaces with field or operational systems.</x:v>
      </x:c>
      <x:c r="AF52" s="2" t="str">
        <x:v>For GMO crops, software-related energy is electricity for sensing, computing, storage, communication and cooling; it is normally secondary but must be included for data-intensive or continuous services.</x:v>
      </x:c>
      <x:c r="AG52" s="2" t="str">
        <x:v>The non-physical inputs are calibrated data, metadata, algorithms, boundary conditions, emission or hazard factors, manuals and validation records specific to GMO crops.</x:v>
      </x:c>
      <x:c r="AH52" s="2" t="str">
        <x:v>Software continuity for GMO crops requires licences where applicable, updates, cybersecurity patches, backups, calibration files, model validation and technical support.</x:v>
      </x:c>
      <x:c r="AI52" s="2" t="str">
        <x:v>Orgware depends on the institutions, laboratories, training providers, regulators, operators and community interfaces needed to govern GMO crops.</x:v>
      </x:c>
      <x:c r="AJ52" s="2" t="str">
        <x:v>The orgware supporting GMO crops has mainly indirect energy use from offices, meetings, training and information systems; travel and field supervision may be material at dispersed sites.</x:v>
      </x:c>
      <x:c r="AK52" s="2" t="str">
        <x:v>Its organisational inputs are permits, budgets, trained staff, competence records, contracts, procedures, safeguards, monitoring evidence and stakeholder agreements tailored to GMO crops.</x:v>
      </x:c>
      <x:c r="AL52" s="2" t="str">
        <x:v>Sustained implementation of GMO crops requires procurement and service contracts, audit protocols, training material, reporting templates, insurance or guarantees and periodic independent review.</x:v>
      </x:c>
      <x:c r="AM52" s="2" t="str">
        <x:v>Phosphate rock; Potash</x:v>
      </x:c>
      <x:c r="AN52" s="2" t="str">
        <x:v>China; Morocco; United States; Canada; Russia; Belarus</x:v>
      </x:c>
      <x:c r="AO52" s="2" t="str">
        <x:v>China; Morocco; United States; Canada; Russia; Belarus</x:v>
      </x:c>
      <x:c r="AP52" s="2" t="str">
        <x:v>GMO crops: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2" s="2" t="str">
        <x:v>2024–2025</x:v>
      </x:c>
      <x:c r="AR52" s="2" t="str">
        <x:v>https://pubs.usgs.gov/periodicals/mcs2026/mcs2026.pdf</x:v>
      </x:c>
    </x:row>
    <x:row r="53" ht="240" customHeight="1">
      <x:c r="A53" s="2" t="str">
        <x:v>ADP-0046</x:v>
      </x:c>
      <x:c r="B53" s="2" t="str">
        <x:v>Adaptation</x:v>
      </x:c>
      <x:c r="C53" s="2" t="str">
        <x:v>Agriculture and Forestry</x:v>
      </x:c>
      <x:c r="D53" s="2" t="str">
        <x:v>Increasing crop resilience and productivity</x:v>
      </x:c>
      <x:c r="E53" s="2" t="str">
        <x:v>Conservation tillage</x:v>
      </x:c>
      <x:c r="F53" s="2" t="str">
        <x:v>Conservation tillage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It limits soil disturbance and retains crop residues, reducing oxidation and erosion while improving infiltration and, under suitable conditions, soil-carbon retention.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3" s="2" t="str">
        <x:v>Mixed: adaptable design, site-specific implementation</x:v>
      </x:c>
      <x:c r="H53" s="2" t="str">
        <x:v>Conservation tillage is adaptable in capacity and configuration but site-specific in final engineering. Its principle remains the same, but resource quality, climate, scale, interfaces and safety constraints must be recalculated for each deployment.</x:v>
      </x:c>
      <x:c r="I53" s="2" t="str">
        <x:v>Primarily hard, with a soft component</x:v>
      </x:c>
      <x:c r="J53" s="2" t="str">
        <x:v>Conservation tillage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3" s="2" t="str">
        <x:v>Operation</x:v>
      </x:c>
      <x:c r="L53" s="2" t="str">
        <x:v>Conservation tillage is embodied mainly as an operating practice. The deliverable is accepted only when measurable service, quality, safety and climate-performance criteria are met under real conditions.</x:v>
      </x:c>
      <x:c r="M53" s="2" t="str">
        <x:v>Yes, subject to life-cycle safeguards</x:v>
      </x:c>
      <x:c r="N53" s="2" t="str">
        <x:v>Conservation tillage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3" s="2" t="str">
        <x:v>Conservation tillage: field or forest implements, planting and irrigation equipment, storage or livestock facilities, sampling tools, sensors and protective structures as required.</x:v>
      </x:c>
      <x:c r="P53" s="2" t="str">
        <x:v>Conservation tillage: soil–crop–livestock knowledge, nutrient and water budgets, emission factors, carbon accounting, climate services, monitoring protocols and adaptive management.</x:v>
      </x:c>
      <x:c r="Q53" s="2" t="str">
        <x:v>Conservation tillage: land tenure, extension, producer organisations, veterinary or phytosanitary services, incentives, safeguards, certification and monitoring arrangements.</x:v>
      </x:c>
      <x:c r="R53" s="2" t="str">
        <x:v>Conservation tillage: nurseries or seed banks, field access, water and storage systems, laboratories, extension centres, monitoring plots and processing or market facilities.</x:v>
      </x:c>
      <x:c r="S53" s="2" t="str">
        <x:v>Conservation tillage: human and mechanical work, electricity or fuel for machinery, pumping, cooling and processing; biological energy and solar radiation dominate field processes.</x:v>
      </x:c>
      <x:c r="T53" s="2" t="str">
        <x:v>Conservation tillage: seed or planting stock, organic matter, fertilisers, soil amendments, water, fencing or structural materials, veterinary inputs and monitoring consumables.</x:v>
      </x:c>
      <x:c r="U53" s="2" t="str">
        <x:v>Conservation tillage: seed, inoculants, filters, drip lines, nozzles, tool parts, sampling containers, sensor batteries, veterinary supplies and protective equipment.</x:v>
      </x:c>
      <x:c r="V53" s="2" t="str">
        <x:v>https://www.ctc-n.org/sites/default/files/resources/ctcn_taxonomy_0.pdf</x:v>
      </x:c>
      <x:c r="W53" s="2" t="str">
        <x:v>https://institutoagricoladepueblobello.edu.co/colegiapp/archivostemas/GUIA%209.%5B25%5D.pdf</x:v>
      </x:c>
      <x:c r="X53" s="2" t="str">
        <x:v>https://iiasa.ac.at/what-is-technology</x:v>
      </x:c>
      <x:c r="Y53" s="2" t="str">
        <x:v>https://www.fao.org/climate-change/en; https://www.ipcc.ch/report/ar6/wg3/chapter/chapter-7/; https://openknowledge.fao.org/server/api/core/bitstreams/b21f2087-f398-4718-8461-b92afc82e617/content</x:v>
      </x:c>
      <x:c r="Z53" s="2" t="str">
        <x:v>Technology-specific analytical synthesis. The CTCN hierarchy is retained; classifications and component dependencies require validation against the selected design, site and supplier documentation before investment or policy use.</x:v>
      </x:c>
      <x:c r="AA53" s="2" t="str">
        <x:v>Physical deployment of Conservation tillage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53" s="2" t="str">
        <x:v>For Conservation tillage,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3" s="2" t="str">
        <x:v>Construction and operation use seed or planting stock, organic matter, fertilisers, soil amendments, water, fencing or structural materials, veterinary inputs and monitoring consumables. For Conservation tillage, specifications must include durability, compatibility, recycled content and recoverability.</x:v>
      </x:c>
      <x:c r="AD53" s="2" t="str">
        <x:v>Maintenance of Conservation tillage depends on seed, inoculants, filters, drip lines, nozzles, tool parts, sampling containers, sensor batteries, veterinary supplies and protective equipment; critical spares are selected from failure-mode, lead-time and safety analysis for its installed configuration.</x:v>
      </x:c>
      <x:c r="AE53" s="2" t="str">
        <x:v>The software stack for Conservation tillage requires databases, secure communications, version-controlled models, computing, backup and interfaces with field or operational systems.</x:v>
      </x:c>
      <x:c r="AF53" s="2" t="str">
        <x:v>For Conservation tillage, software-related energy is electricity for sensing, computing, storage, communication and cooling; it is normally secondary but must be included for data-intensive or continuous services.</x:v>
      </x:c>
      <x:c r="AG53" s="2" t="str">
        <x:v>The non-physical inputs are calibrated data, metadata, algorithms, boundary conditions, emission or hazard factors, manuals and validation records specific to Conservation tillage.</x:v>
      </x:c>
      <x:c r="AH53" s="2" t="str">
        <x:v>Software continuity for Conservation tillage requires licences where applicable, updates, cybersecurity patches, backups, calibration files, model validation and technical support.</x:v>
      </x:c>
      <x:c r="AI53" s="2" t="str">
        <x:v>Orgware depends on the institutions, laboratories, training providers, regulators, operators and community interfaces needed to govern Conservation tillage.</x:v>
      </x:c>
      <x:c r="AJ53" s="2" t="str">
        <x:v>The orgware supporting Conservation tillage has mainly indirect energy use from offices, meetings, training and information systems; travel and field supervision may be material at dispersed sites.</x:v>
      </x:c>
      <x:c r="AK53" s="2" t="str">
        <x:v>Its organisational inputs are permits, budgets, trained staff, competence records, contracts, procedures, safeguards, monitoring evidence and stakeholder agreements tailored to Conservation tillage.</x:v>
      </x:c>
      <x:c r="AL53" s="2" t="str">
        <x:v>Sustained implementation of Conservation tillage requires procurement and service contracts, audit protocols, training material, reporting templates, insurance or guarantees and periodic independent review.</x:v>
      </x:c>
      <x:c r="AM53" s="2" t="str">
        <x:v>Phosphate rock; Potash</x:v>
      </x:c>
      <x:c r="AN53" s="2" t="str">
        <x:v>China; Morocco; United States; Canada; Russia; Belarus</x:v>
      </x:c>
      <x:c r="AO53" s="2" t="str">
        <x:v>China; Morocco; United States; Canada; Russia; Belarus</x:v>
      </x:c>
      <x:c r="AP53" s="2" t="str">
        <x:v>Conservation tillage: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3" s="2" t="str">
        <x:v>2024–2025</x:v>
      </x:c>
      <x:c r="AR53" s="2" t="str">
        <x:v>https://pubs.usgs.gov/periodicals/mcs2026/mcs2026.pdf</x:v>
      </x:c>
    </x:row>
    <x:row r="54" ht="240" customHeight="1">
      <x:c r="A54" s="2" t="str">
        <x:v>ADP-0047</x:v>
      </x:c>
      <x:c r="B54" s="2" t="str">
        <x:v>Adaptation</x:v>
      </x:c>
      <x:c r="C54" s="2" t="str">
        <x:v>Agriculture and Forestry</x:v>
      </x:c>
      <x:c r="D54" s="2" t="str">
        <x:v>Increasing crop resilience and productivity</x:v>
      </x:c>
      <x:c r="E54" s="2" t="str">
        <x:v>Improved cultivation techniques</x:v>
      </x:c>
      <x:c r="F54" s="2" t="str">
        <x:v>Improved cultivation techniques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Improved cultivation techniques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4" s="2" t="str">
        <x:v>Mixed: adaptable design, site-specific implementation</x:v>
      </x:c>
      <x:c r="H54" s="2" t="str">
        <x:v>Improved cultivation techniques is adaptable in capacity and configuration but site-specific in final engineering. Its principle remains the same, but resource quality, climate, scale, interfaces and safety constraints must be recalculated for each deployment.</x:v>
      </x:c>
      <x:c r="I54" s="2" t="str">
        <x:v>Primarily hard, with a soft component</x:v>
      </x:c>
      <x:c r="J54" s="2" t="str">
        <x:v>Improved cultivation techniques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4" s="2" t="str">
        <x:v>Operation</x:v>
      </x:c>
      <x:c r="L54" s="2" t="str">
        <x:v>Improved cultivation techniques is embodied mainly as an operating practice. The deliverable is accepted only when measurable service, quality, safety and climate-performance criteria are met under real conditions.</x:v>
      </x:c>
      <x:c r="M54" s="2" t="str">
        <x:v>Yes, subject to life-cycle safeguards</x:v>
      </x:c>
      <x:c r="N54" s="2" t="str">
        <x:v>Improved cultivation techniques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4" s="2" t="str">
        <x:v>Improved cultivation techniques: field or forest implements, planting and irrigation equipment, storage or livestock facilities, sampling tools, sensors and protective structures as required.</x:v>
      </x:c>
      <x:c r="P54" s="2" t="str">
        <x:v>Improved cultivation techniques: soil–crop–livestock knowledge, nutrient and water budgets, emission factors, carbon accounting, climate services, monitoring protocols and adaptive management.</x:v>
      </x:c>
      <x:c r="Q54" s="2" t="str">
        <x:v>Improved cultivation techniques: land tenure, extension, producer organisations, veterinary or phytosanitary services, incentives, safeguards, certification and monitoring arrangements.</x:v>
      </x:c>
      <x:c r="R54" s="2" t="str">
        <x:v>Improved cultivation techniques: nurseries or seed banks, field access, water and storage systems, laboratories, extension centres, monitoring plots and processing or market facilities.</x:v>
      </x:c>
      <x:c r="S54" s="2" t="str">
        <x:v>Improved cultivation techniques: human and mechanical work, electricity or fuel for machinery, pumping, cooling and processing; biological energy and solar radiation dominate field processes.</x:v>
      </x:c>
      <x:c r="T54" s="2" t="str">
        <x:v>Improved cultivation techniques: seed or planting stock, organic matter, fertilisers, soil amendments, water, fencing or structural materials, veterinary inputs and monitoring consumables.</x:v>
      </x:c>
      <x:c r="U54" s="2" t="str">
        <x:v>Improved cultivation techniques: seed, inoculants, filters, drip lines, nozzles, tool parts, sampling containers, sensor batteries, veterinary supplies and protective equipment.</x:v>
      </x:c>
      <x:c r="V54" s="2" t="str">
        <x:v>https://www.ctc-n.org/sites/default/files/resources/ctcn_taxonomy_0.pdf</x:v>
      </x:c>
      <x:c r="W54" s="2" t="str">
        <x:v>https://institutoagricoladepueblobello.edu.co/colegiapp/archivostemas/GUIA%209.%5B25%5D.pdf</x:v>
      </x:c>
      <x:c r="X54" s="2" t="str">
        <x:v>https://iiasa.ac.at/what-is-technology</x:v>
      </x:c>
      <x:c r="Y54" s="2" t="str">
        <x:v>https://www.fao.org/climate-change/en; https://www.ipcc.ch/report/ar6/wg3/chapter/chapter-7/; https://openknowledge.fao.org/server/api/core/bitstreams/b21f2087-f398-4718-8461-b92afc82e617/content</x:v>
      </x:c>
      <x:c r="Z54" s="2" t="str">
        <x:v>Technology-specific analytical synthesis. The CTCN hierarchy is retained; classifications and component dependencies require validation against the selected design, site and supplier documentation before investment or policy use.</x:v>
      </x:c>
      <x:c r="AA54" s="2" t="str">
        <x:v>Physical deployment of Improved cultivation techniques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54" s="2" t="str">
        <x:v>For Improved cultivation techniques,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4" s="2" t="str">
        <x:v>Construction and operation use seed or planting stock, organic matter, fertilisers, soil amendments, water, fencing or structural materials, veterinary inputs and monitoring consumables. For Improved cultivation techniques, specifications must include durability, compatibility, recycled content and recoverability.</x:v>
      </x:c>
      <x:c r="AD54" s="2" t="str">
        <x:v>Maintenance of Improved cultivation techniques depends on seed, inoculants, filters, drip lines, nozzles, tool parts, sampling containers, sensor batteries, veterinary supplies and protective equipment; critical spares are selected from failure-mode, lead-time and safety analysis for its installed configuration.</x:v>
      </x:c>
      <x:c r="AE54" s="2" t="str">
        <x:v>The software stack for Improved cultivation techniques requires databases, secure communications, version-controlled models, computing, backup and interfaces with field or operational systems.</x:v>
      </x:c>
      <x:c r="AF54" s="2" t="str">
        <x:v>For Improved cultivation techniques, software-related energy is electricity for sensing, computing, storage, communication and cooling; it is normally secondary but must be included for data-intensive or continuous services.</x:v>
      </x:c>
      <x:c r="AG54" s="2" t="str">
        <x:v>The non-physical inputs are calibrated data, metadata, algorithms, boundary conditions, emission or hazard factors, manuals and validation records specific to Improved cultivation techniques.</x:v>
      </x:c>
      <x:c r="AH54" s="2" t="str">
        <x:v>Software continuity for Improved cultivation techniques requires licences where applicable, updates, cybersecurity patches, backups, calibration files, model validation and technical support.</x:v>
      </x:c>
      <x:c r="AI54" s="2" t="str">
        <x:v>Orgware depends on the institutions, laboratories, training providers, regulators, operators and community interfaces needed to govern Improved cultivation techniques.</x:v>
      </x:c>
      <x:c r="AJ54" s="2" t="str">
        <x:v>The orgware supporting Improved cultivation techniques has mainly indirect energy use from offices, meetings, training and information systems; travel and field supervision may be material at dispersed sites.</x:v>
      </x:c>
      <x:c r="AK54" s="2" t="str">
        <x:v>Its organisational inputs are permits, budgets, trained staff, competence records, contracts, procedures, safeguards, monitoring evidence and stakeholder agreements tailored to Improved cultivation techniques.</x:v>
      </x:c>
      <x:c r="AL54" s="2" t="str">
        <x:v>Sustained implementation of Improved cultivation techniques requires procurement and service contracts, audit protocols, training material, reporting templates, insurance or guarantees and periodic independent review.</x:v>
      </x:c>
      <x:c r="AM54" s="2" t="str">
        <x:v>Phosphate rock; Potash</x:v>
      </x:c>
      <x:c r="AN54" s="2" t="str">
        <x:v>China; Morocco; United States; Canada; Russia; Belarus</x:v>
      </x:c>
      <x:c r="AO54" s="2" t="str">
        <x:v>China; Morocco; United States; Canada; Russia; Belarus</x:v>
      </x:c>
      <x:c r="AP54" s="2" t="str">
        <x:v>Improved cultivation techniques: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4" s="2" t="str">
        <x:v>2024–2025</x:v>
      </x:c>
      <x:c r="AR54" s="2" t="str">
        <x:v>https://pubs.usgs.gov/periodicals/mcs2026/mcs2026.pdf</x:v>
      </x:c>
    </x:row>
    <x:row r="55" ht="240" customHeight="1">
      <x:c r="A55" s="2" t="str">
        <x:v>ADP-0048</x:v>
      </x:c>
      <x:c r="B55" s="2" t="str">
        <x:v>Adaptation</x:v>
      </x:c>
      <x:c r="C55" s="2" t="str">
        <x:v>Agriculture and Forestry</x:v>
      </x:c>
      <x:c r="D55" s="2" t="str">
        <x:v>Increasing crop resilience and productivity</x:v>
      </x:c>
      <x:c r="E55" s="2" t="str">
        <x:v>Crop diversification and new varieties</x:v>
      </x:c>
      <x:c r="F55" s="2" t="str">
        <x:v>Crop diversification and new varieties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Crop diversification and new varieties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5" s="2" t="str">
        <x:v>Mixed: adaptable design, site-specific implementation</x:v>
      </x:c>
      <x:c r="H55" s="2" t="str">
        <x:v>Crop diversification and new varieties is adaptable in capacity and configuration but site-specific in final engineering. Its principle remains the same, but resource quality, climate, scale, interfaces and safety constraints must be recalculated for each deployment.</x:v>
      </x:c>
      <x:c r="I55" s="2" t="str">
        <x:v>Primarily hard, with a soft component</x:v>
      </x:c>
      <x:c r="J55" s="2" t="str">
        <x:v>Crop diversification and new varieties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5" s="2" t="str">
        <x:v>Product and equipment; complementary operation</x:v>
      </x:c>
      <x:c r="L55" s="2" t="str">
        <x:v>Crop diversification and new varieties is embodied mainly as a product/equipment package. The deliverable is accepted only when measurable service, quality, safety and climate-performance criteria are met under real conditions.</x:v>
      </x:c>
      <x:c r="M55" s="2" t="str">
        <x:v>Yes, subject to life-cycle safeguards</x:v>
      </x:c>
      <x:c r="N55" s="2" t="str">
        <x:v>Crop diversification and new varieties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5" s="2" t="str">
        <x:v>Crop diversification and new varieties: field or forest implements, planting and irrigation equipment, storage or livestock facilities, sampling tools, sensors and protective structures as required.</x:v>
      </x:c>
      <x:c r="P55" s="2" t="str">
        <x:v>Crop diversification and new varieties: soil–crop–livestock knowledge, nutrient and water budgets, emission factors, carbon accounting, climate services, monitoring protocols and adaptive management.</x:v>
      </x:c>
      <x:c r="Q55" s="2" t="str">
        <x:v>Crop diversification and new varieties: land tenure, extension, producer organisations, veterinary or phytosanitary services, incentives, safeguards, certification and monitoring arrangements.</x:v>
      </x:c>
      <x:c r="R55" s="2" t="str">
        <x:v>Crop diversification and new varieties: nurseries or seed banks, field access, water and storage systems, laboratories, extension centres, monitoring plots and processing or market facilities.</x:v>
      </x:c>
      <x:c r="S55" s="2" t="str">
        <x:v>Crop diversification and new varieties: human and mechanical work, electricity or fuel for machinery, pumping, cooling and processing; biological energy and solar radiation dominate field processes.</x:v>
      </x:c>
      <x:c r="T55" s="2" t="str">
        <x:v>Crop diversification and new varieties: seed or planting stock, organic matter, fertilisers, soil amendments, water, fencing or structural materials, veterinary inputs and monitoring consumables.</x:v>
      </x:c>
      <x:c r="U55" s="2" t="str">
        <x:v>Crop diversification and new varieties: seed, inoculants, filters, drip lines, nozzles, tool parts, sampling containers, sensor batteries, veterinary supplies and protective equipment.</x:v>
      </x:c>
      <x:c r="V55" s="2" t="str">
        <x:v>https://www.ctc-n.org/sites/default/files/resources/ctcn_taxonomy_0.pdf</x:v>
      </x:c>
      <x:c r="W55" s="2" t="str">
        <x:v>https://institutoagricoladepueblobello.edu.co/colegiapp/archivostemas/GUIA%209.%5B25%5D.pdf</x:v>
      </x:c>
      <x:c r="X55" s="2" t="str">
        <x:v>https://iiasa.ac.at/what-is-technology</x:v>
      </x:c>
      <x:c r="Y55" s="2" t="str">
        <x:v>https://www.fao.org/climate-change/en; https://www.ipcc.ch/report/ar6/wg3/chapter/chapter-7/; https://openknowledge.fao.org/server/api/core/bitstreams/b21f2087-f398-4718-8461-b92afc82e617/content</x:v>
      </x:c>
      <x:c r="Z55" s="2" t="str">
        <x:v>Technology-specific analytical synthesis. The CTCN hierarchy is retained; classifications and component dependencies require validation against the selected design, site and supplier documentation before investment or policy use.</x:v>
      </x:c>
      <x:c r="AA55" s="2" t="str">
        <x:v>Physical deployment of Crop diversification and new varieties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55" s="2" t="str">
        <x:v>For Crop diversification and new varieties,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5" s="2" t="str">
        <x:v>Construction and operation use seed or planting stock, organic matter, fertilisers, soil amendments, water, fencing or structural materials, veterinary inputs and monitoring consumables. For Crop diversification and new varieties, specifications must include durability, compatibility, recycled content and recoverability.</x:v>
      </x:c>
      <x:c r="AD55" s="2" t="str">
        <x:v>Maintenance of Crop diversification and new varieties depends on seed, inoculants, filters, drip lines, nozzles, tool parts, sampling containers, sensor batteries, veterinary supplies and protective equipment; critical spares are selected from failure-mode, lead-time and safety analysis for its installed configuration.</x:v>
      </x:c>
      <x:c r="AE55" s="2" t="str">
        <x:v>The software stack for Crop diversification and new varieties requires databases, secure communications, version-controlled models, computing, backup and interfaces with field or operational systems.</x:v>
      </x:c>
      <x:c r="AF55" s="2" t="str">
        <x:v>For Crop diversification and new varieties, software-related energy is electricity for sensing, computing, storage, communication and cooling; it is normally secondary but must be included for data-intensive or continuous services.</x:v>
      </x:c>
      <x:c r="AG55" s="2" t="str">
        <x:v>The non-physical inputs are calibrated data, metadata, algorithms, boundary conditions, emission or hazard factors, manuals and validation records specific to Crop diversification and new varieties.</x:v>
      </x:c>
      <x:c r="AH55" s="2" t="str">
        <x:v>Software continuity for Crop diversification and new varieties requires licences where applicable, updates, cybersecurity patches, backups, calibration files, model validation and technical support.</x:v>
      </x:c>
      <x:c r="AI55" s="2" t="str">
        <x:v>Orgware depends on the institutions, laboratories, training providers, regulators, operators and community interfaces needed to govern Crop diversification and new varieties.</x:v>
      </x:c>
      <x:c r="AJ55" s="2" t="str">
        <x:v>The orgware supporting Crop diversification and new varieties has mainly indirect energy use from offices, meetings, training and information systems; travel and field supervision may be material at dispersed sites.</x:v>
      </x:c>
      <x:c r="AK55" s="2" t="str">
        <x:v>Its organisational inputs are permits, budgets, trained staff, competence records, contracts, procedures, safeguards, monitoring evidence and stakeholder agreements tailored to Crop diversification and new varieties.</x:v>
      </x:c>
      <x:c r="AL55" s="2" t="str">
        <x:v>Sustained implementation of Crop diversification and new varieties requires procurement and service contracts, audit protocols, training material, reporting templates, insurance or guarantees and periodic independent review.</x:v>
      </x:c>
      <x:c r="AM55" s="2" t="str">
        <x:v>Phosphate rock; Potash</x:v>
      </x:c>
      <x:c r="AN55" s="2" t="str">
        <x:v>China; Morocco; United States; Canada; Russia; Belarus</x:v>
      </x:c>
      <x:c r="AO55" s="2" t="str">
        <x:v>China; Morocco; United States; Canada; Russia; Belarus</x:v>
      </x:c>
      <x:c r="AP55" s="2" t="str">
        <x:v>Crop diversification and new varieties: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5" s="2" t="str">
        <x:v>2024–2025</x:v>
      </x:c>
      <x:c r="AR55" s="2" t="str">
        <x:v>https://pubs.usgs.gov/periodicals/mcs2026/mcs2026.pdf</x:v>
      </x:c>
    </x:row>
    <x:row r="56" ht="240" customHeight="1">
      <x:c r="A56" s="2" t="str">
        <x:v>ADP-0049</x:v>
      </x:c>
      <x:c r="B56" s="2" t="str">
        <x:v>Adaptation</x:v>
      </x:c>
      <x:c r="C56" s="2" t="str">
        <x:v>Agriculture and Forestry</x:v>
      </x:c>
      <x:c r="D56" s="2" t="str">
        <x:v>Increasing crop resilience and productivity</x:v>
      </x:c>
      <x:c r="E56" s="2" t="str">
        <x:v>Aeroponic seed production</x:v>
      </x:c>
      <x:c r="F56" s="2" t="str">
        <x:v>Aeroponic seed production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Aeroponic seed production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6" s="2" t="str">
        <x:v>Mixed: adaptable design, site-specific implementation</x:v>
      </x:c>
      <x:c r="H56" s="2" t="str">
        <x:v>Aeroponic seed production is adaptable in capacity and configuration but site-specific in final engineering. Its principle remains the same, but resource quality, climate, scale, interfaces and safety constraints must be recalculated for each deployment.</x:v>
      </x:c>
      <x:c r="I56" s="2" t="str">
        <x:v>Primarily hard, with a soft component</x:v>
      </x:c>
      <x:c r="J56" s="2" t="str">
        <x:v>Aeroponic seed production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6" s="2" t="str">
        <x:v>Operation</x:v>
      </x:c>
      <x:c r="L56" s="2" t="str">
        <x:v>Aeroponic seed production is embodied mainly as an operating practice. The deliverable is accepted only when measurable service, quality, safety and climate-performance criteria are met under real conditions.</x:v>
      </x:c>
      <x:c r="M56" s="2" t="str">
        <x:v>Yes, subject to life-cycle safeguards</x:v>
      </x:c>
      <x:c r="N56" s="2" t="str">
        <x:v>Aeroponic seed production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6" s="2" t="str">
        <x:v>Aeroponic seed production: field or forest implements, planting and irrigation equipment, storage or livestock facilities, sampling tools, sensors and protective structures as required.</x:v>
      </x:c>
      <x:c r="P56" s="2" t="str">
        <x:v>Aeroponic seed production: soil–crop–livestock knowledge, nutrient and water budgets, emission factors, carbon accounting, climate services, monitoring protocols and adaptive management.</x:v>
      </x:c>
      <x:c r="Q56" s="2" t="str">
        <x:v>Aeroponic seed production: land tenure, extension, producer organisations, veterinary or phytosanitary services, incentives, safeguards, certification and monitoring arrangements.</x:v>
      </x:c>
      <x:c r="R56" s="2" t="str">
        <x:v>Aeroponic seed production: nurseries or seed banks, field access, water and storage systems, laboratories, extension centres, monitoring plots and processing or market facilities.</x:v>
      </x:c>
      <x:c r="S56" s="2" t="str">
        <x:v>Aeroponic seed production: human and mechanical work, electricity or fuel for machinery, pumping, cooling and processing; biological energy and solar radiation dominate field processes.</x:v>
      </x:c>
      <x:c r="T56" s="2" t="str">
        <x:v>Aeroponic seed production: seed or planting stock, organic matter, fertilisers, soil amendments, water, fencing or structural materials, veterinary inputs and monitoring consumables.</x:v>
      </x:c>
      <x:c r="U56" s="2" t="str">
        <x:v>Aeroponic seed production: seed, inoculants, filters, drip lines, nozzles, tool parts, sampling containers, sensor batteries, veterinary supplies and protective equipment.</x:v>
      </x:c>
      <x:c r="V56" s="2" t="str">
        <x:v>https://www.ctc-n.org/sites/default/files/resources/ctcn_taxonomy_0.pdf</x:v>
      </x:c>
      <x:c r="W56" s="2" t="str">
        <x:v>https://institutoagricoladepueblobello.edu.co/colegiapp/archivostemas/GUIA%209.%5B25%5D.pdf</x:v>
      </x:c>
      <x:c r="X56" s="2" t="str">
        <x:v>https://iiasa.ac.at/what-is-technology</x:v>
      </x:c>
      <x:c r="Y56" s="2" t="str">
        <x:v>https://www.fao.org/climate-change/en; https://www.ipcc.ch/report/ar6/wg3/chapter/chapter-7/; https://openknowledge.fao.org/server/api/core/bitstreams/b21f2087-f398-4718-8461-b92afc82e617/content</x:v>
      </x:c>
      <x:c r="Z56" s="2" t="str">
        <x:v>Technology-specific analytical synthesis. The CTCN hierarchy is retained; classifications and component dependencies require validation against the selected design, site and supplier documentation before investment or policy use.</x:v>
      </x:c>
      <x:c r="AA56" s="2" t="str">
        <x:v>Physical deployment of Aeroponic seed production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56" s="2" t="str">
        <x:v>For Aeroponic seed production,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6" s="2" t="str">
        <x:v>Construction and operation use seed or planting stock, organic matter, fertilisers, soil amendments, water, fencing or structural materials, veterinary inputs and monitoring consumables. For Aeroponic seed production, specifications must include durability, compatibility, recycled content and recoverability.</x:v>
      </x:c>
      <x:c r="AD56" s="2" t="str">
        <x:v>Maintenance of Aeroponic seed production depends on seed, inoculants, filters, drip lines, nozzles, tool parts, sampling containers, sensor batteries, veterinary supplies and protective equipment; critical spares are selected from failure-mode, lead-time and safety analysis for its installed configuration.</x:v>
      </x:c>
      <x:c r="AE56" s="2" t="str">
        <x:v>The software stack for Aeroponic seed production requires databases, secure communications, version-controlled models, computing, backup and interfaces with field or operational systems.</x:v>
      </x:c>
      <x:c r="AF56" s="2" t="str">
        <x:v>For Aeroponic seed production, software-related energy is electricity for sensing, computing, storage, communication and cooling; it is normally secondary but must be included for data-intensive or continuous services.</x:v>
      </x:c>
      <x:c r="AG56" s="2" t="str">
        <x:v>The non-physical inputs are calibrated data, metadata, algorithms, boundary conditions, emission or hazard factors, manuals and validation records specific to Aeroponic seed production.</x:v>
      </x:c>
      <x:c r="AH56" s="2" t="str">
        <x:v>Software continuity for Aeroponic seed production requires licences where applicable, updates, cybersecurity patches, backups, calibration files, model validation and technical support.</x:v>
      </x:c>
      <x:c r="AI56" s="2" t="str">
        <x:v>Orgware depends on the institutions, laboratories, training providers, regulators, operators and community interfaces needed to govern Aeroponic seed production.</x:v>
      </x:c>
      <x:c r="AJ56" s="2" t="str">
        <x:v>The orgware supporting Aeroponic seed production has mainly indirect energy use from offices, meetings, training and information systems; travel and field supervision may be material at dispersed sites.</x:v>
      </x:c>
      <x:c r="AK56" s="2" t="str">
        <x:v>Its organisational inputs are permits, budgets, trained staff, competence records, contracts, procedures, safeguards, monitoring evidence and stakeholder agreements tailored to Aeroponic seed production.</x:v>
      </x:c>
      <x:c r="AL56" s="2" t="str">
        <x:v>Sustained implementation of Aeroponic seed production requires procurement and service contracts, audit protocols, training material, reporting templates, insurance or guarantees and periodic independent review.</x:v>
      </x:c>
      <x:c r="AM56" s="2" t="str">
        <x:v>Phosphate rock; Potash</x:v>
      </x:c>
      <x:c r="AN56" s="2" t="str">
        <x:v>China; Morocco; United States; Canada; Russia; Belarus</x:v>
      </x:c>
      <x:c r="AO56" s="2" t="str">
        <x:v>China; Morocco; United States; Canada; Russia; Belarus</x:v>
      </x:c>
      <x:c r="AP56" s="2" t="str">
        <x:v>Aeroponic seed production: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6" s="2" t="str">
        <x:v>2024–2025</x:v>
      </x:c>
      <x:c r="AR56" s="2" t="str">
        <x:v>https://pubs.usgs.gov/periodicals/mcs2026/mcs2026.pdf</x:v>
      </x:c>
    </x:row>
    <x:row r="57" ht="240" customHeight="1">
      <x:c r="A57" s="2" t="str">
        <x:v>ADP-0050</x:v>
      </x:c>
      <x:c r="B57" s="2" t="str">
        <x:v>Adaptation</x:v>
      </x:c>
      <x:c r="C57" s="2" t="str">
        <x:v>Agriculture and Forestry</x:v>
      </x:c>
      <x:c r="D57" s="2" t="str">
        <x:v>Increasing crop resilience and productivity</x:v>
      </x:c>
      <x:c r="E57" s="2" t="str">
        <x:v>Crop rotation</x:v>
      </x:c>
      <x:c r="F57" s="2" t="str">
        <x:v>Crop rotation is a adaptation technology in the Agriculture and Forestry sector and the Increasing crop resilience and productivity technology group. It is defined as a combined hardware–software–orgware system that changes vegetation, soil, nutrient, water, crop or livestock management to protect carbon stocks, increase resilience and productivity, and reduce CO₂, CH₄ or N₂O emissions. Crop rotation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7" s="2" t="str">
        <x:v>Mixed: adaptable design, site-specific implementation</x:v>
      </x:c>
      <x:c r="H57" s="2" t="str">
        <x:v>Crop rotation is adaptable in capacity and configuration but site-specific in final engineering. Its principle remains the same, but resource quality, climate, scale, interfaces and safety constraints must be recalculated for each deployment.</x:v>
      </x:c>
      <x:c r="I57" s="2" t="str">
        <x:v>Primarily hard, with a soft component</x:v>
      </x:c>
      <x:c r="J57" s="2" t="str">
        <x:v>Crop rotation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7" s="2" t="str">
        <x:v>Operation</x:v>
      </x:c>
      <x:c r="L57" s="2" t="str">
        <x:v>Crop rotation is embodied mainly as an operating practice. The deliverable is accepted only when measurable service, quality, safety and climate-performance criteria are met under real conditions.</x:v>
      </x:c>
      <x:c r="M57" s="2" t="str">
        <x:v>Yes, subject to life-cycle safeguards</x:v>
      </x:c>
      <x:c r="N57" s="2" t="str">
        <x:v>Crop rotation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7" s="2" t="str">
        <x:v>Crop rotation: field or forest implements, planting and irrigation equipment, storage or livestock facilities, sampling tools, sensors and protective structures as required.</x:v>
      </x:c>
      <x:c r="P57" s="2" t="str">
        <x:v>Crop rotation: soil–crop–livestock knowledge, nutrient and water budgets, emission factors, carbon accounting, climate services, monitoring protocols and adaptive management.</x:v>
      </x:c>
      <x:c r="Q57" s="2" t="str">
        <x:v>Crop rotation: land tenure, extension, producer organisations, veterinary or phytosanitary services, incentives, safeguards, certification and monitoring arrangements.</x:v>
      </x:c>
      <x:c r="R57" s="2" t="str">
        <x:v>Crop rotation: nurseries or seed banks, field access, water and storage systems, laboratories, extension centres, monitoring plots and processing or market facilities.</x:v>
      </x:c>
      <x:c r="S57" s="2" t="str">
        <x:v>Crop rotation: human and mechanical work, electricity or fuel for machinery, pumping, cooling and processing; biological energy and solar radiation dominate field processes.</x:v>
      </x:c>
      <x:c r="T57" s="2" t="str">
        <x:v>Crop rotation: seed or planting stock, organic matter, fertilisers, soil amendments, water, fencing or structural materials, veterinary inputs and monitoring consumables.</x:v>
      </x:c>
      <x:c r="U57" s="2" t="str">
        <x:v>Crop rotation: seed, inoculants, filters, drip lines, nozzles, tool parts, sampling containers, sensor batteries, veterinary supplies and protective equipment.</x:v>
      </x:c>
      <x:c r="V57" s="2" t="str">
        <x:v>https://www.ctc-n.org/sites/default/files/resources/ctcn_taxonomy_0.pdf</x:v>
      </x:c>
      <x:c r="W57" s="2" t="str">
        <x:v>https://institutoagricoladepueblobello.edu.co/colegiapp/archivostemas/GUIA%209.%5B25%5D.pdf</x:v>
      </x:c>
      <x:c r="X57" s="2" t="str">
        <x:v>https://iiasa.ac.at/what-is-technology</x:v>
      </x:c>
      <x:c r="Y57" s="2" t="str">
        <x:v>https://www.fao.org/climate-change/en; https://www.ipcc.ch/report/ar6/wg3/chapter/chapter-7/; https://openknowledge.fao.org/server/api/core/bitstreams/b21f2087-f398-4718-8461-b92afc82e617/content</x:v>
      </x:c>
      <x:c r="Z57" s="2" t="str">
        <x:v>Technology-specific analytical synthesis. The CTCN hierarchy is retained; classifications and component dependencies require validation against the selected design, site and supplier documentation before investment or policy use.</x:v>
      </x:c>
      <x:c r="AA57" s="2" t="str">
        <x:v>Physical deployment of Crop rotation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57" s="2" t="str">
        <x:v>For Crop rotation,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7" s="2" t="str">
        <x:v>Construction and operation use seed or planting stock, organic matter, fertilisers, soil amendments, water, fencing or structural materials, veterinary inputs and monitoring consumables. For Crop rotation, specifications must include durability, compatibility, recycled content and recoverability.</x:v>
      </x:c>
      <x:c r="AD57" s="2" t="str">
        <x:v>Maintenance of Crop rotation depends on seed, inoculants, filters, drip lines, nozzles, tool parts, sampling containers, sensor batteries, veterinary supplies and protective equipment; critical spares are selected from failure-mode, lead-time and safety analysis for its installed configuration.</x:v>
      </x:c>
      <x:c r="AE57" s="2" t="str">
        <x:v>The software stack for Crop rotation requires databases, secure communications, version-controlled models, computing, backup and interfaces with field or operational systems.</x:v>
      </x:c>
      <x:c r="AF57" s="2" t="str">
        <x:v>For Crop rotation, software-related energy is electricity for sensing, computing, storage, communication and cooling; it is normally secondary but must be included for data-intensive or continuous services.</x:v>
      </x:c>
      <x:c r="AG57" s="2" t="str">
        <x:v>The non-physical inputs are calibrated data, metadata, algorithms, boundary conditions, emission or hazard factors, manuals and validation records specific to Crop rotation.</x:v>
      </x:c>
      <x:c r="AH57" s="2" t="str">
        <x:v>Software continuity for Crop rotation requires licences where applicable, updates, cybersecurity patches, backups, calibration files, model validation and technical support.</x:v>
      </x:c>
      <x:c r="AI57" s="2" t="str">
        <x:v>Orgware depends on the institutions, laboratories, training providers, regulators, operators and community interfaces needed to govern Crop rotation.</x:v>
      </x:c>
      <x:c r="AJ57" s="2" t="str">
        <x:v>The orgware supporting Crop rotation has mainly indirect energy use from offices, meetings, training and information systems; travel and field supervision may be material at dispersed sites.</x:v>
      </x:c>
      <x:c r="AK57" s="2" t="str">
        <x:v>Its organisational inputs are permits, budgets, trained staff, competence records, contracts, procedures, safeguards, monitoring evidence and stakeholder agreements tailored to Crop rotation.</x:v>
      </x:c>
      <x:c r="AL57" s="2" t="str">
        <x:v>Sustained implementation of Crop rotation requires procurement and service contracts, audit protocols, training material, reporting templates, insurance or guarantees and periodic independent review.</x:v>
      </x:c>
      <x:c r="AM57" s="2" t="str">
        <x:v>Phosphate rock; Potash</x:v>
      </x:c>
      <x:c r="AN57" s="2" t="str">
        <x:v>China; Morocco; United States; Canada; Russia; Belarus</x:v>
      </x:c>
      <x:c r="AO57" s="2" t="str">
        <x:v>China; Morocco; United States; Canada; Russia; Belarus</x:v>
      </x:c>
      <x:c r="AP57" s="2" t="str">
        <x:v>Crop rotation: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7" s="2" t="str">
        <x:v>2024–2025</x:v>
      </x:c>
      <x:c r="AR57" s="2" t="str">
        <x:v>https://pubs.usgs.gov/periodicals/mcs2026/mcs2026.pdf</x:v>
      </x:c>
    </x:row>
    <x:row r="58" ht="240" customHeight="1">
      <x:c r="A58" s="2" t="str">
        <x:v>ADP-0051</x:v>
      </x:c>
      <x:c r="B58" s="2" t="str">
        <x:v>Adaptation</x:v>
      </x:c>
      <x:c r="C58" s="2" t="str">
        <x:v>Agriculture and Forestry</x:v>
      </x:c>
      <x:c r="D58" s="2" t="str">
        <x:v>Livestock management</x:v>
      </x:c>
      <x:c r="E58" s="2" t="str">
        <x:v>Manure management</x:v>
      </x:c>
      <x:c r="F58" s="2" t="str">
        <x:v>Manure management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8" s="2" t="str">
        <x:v>Flexible</x:v>
      </x:c>
      <x:c r="H58" s="2" t="str">
        <x:v>Manure management is transferable through configurable methods, rules and operating parameters. Its principle remains the same, but resource quality, climate, scale, interfaces and safety constraints must be recalculated for each deployment.</x:v>
      </x:c>
      <x:c r="I58" s="2" t="str">
        <x:v>Primarily soft, with physical support</x:v>
      </x:c>
      <x:c r="J58" s="2" t="str">
        <x:v>Manure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8" s="2" t="str">
        <x:v>Operation</x:v>
      </x:c>
      <x:c r="L58" s="2" t="str">
        <x:v>Manure management is embodied mainly as an operating practice. The deliverable is accepted only when measurable service, quality, safety and climate-performance criteria are met under real conditions.</x:v>
      </x:c>
      <x:c r="M58" s="2" t="str">
        <x:v>Yes, subject to life-cycle safeguards</x:v>
      </x:c>
      <x:c r="N58" s="2" t="str">
        <x:v>Manure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8" s="2" t="str">
        <x:v>Manure management: field or forest implements, planting and irrigation equipment, storage or livestock facilities, sampling tools, sensors and protective structures as required.</x:v>
      </x:c>
      <x:c r="P58" s="2" t="str">
        <x:v>Manure management: soil–crop–livestock knowledge, nutrient and water budgets, emission factors, carbon accounting, climate services, monitoring protocols and adaptive management.</x:v>
      </x:c>
      <x:c r="Q58" s="2" t="str">
        <x:v>Manure management: land tenure, extension, producer organisations, veterinary or phytosanitary services, incentives, safeguards, certification and monitoring arrangements.</x:v>
      </x:c>
      <x:c r="R58" s="2" t="str">
        <x:v>Manure management: nurseries or seed banks, field access, water and storage systems, laboratories, extension centres, monitoring plots and processing or market facilities.</x:v>
      </x:c>
      <x:c r="S58" s="2" t="str">
        <x:v>Manure management: human and mechanical work, electricity or fuel for machinery, pumping, cooling and processing; biological energy and solar radiation dominate field processes.</x:v>
      </x:c>
      <x:c r="T58" s="2" t="str">
        <x:v>Manure management: seed or planting stock, organic matter, fertilisers, soil amendments, water, fencing or structural materials, veterinary inputs and monitoring consumables.</x:v>
      </x:c>
      <x:c r="U58" s="2" t="str">
        <x:v>Manure management: seed, inoculants, filters, drip lines, nozzles, tool parts, sampling containers, sensor batteries, veterinary supplies and protective equipment.</x:v>
      </x:c>
      <x:c r="V58" s="2" t="str">
        <x:v>https://www.ctc-n.org/sites/default/files/resources/ctcn_taxonomy_0.pdf</x:v>
      </x:c>
      <x:c r="W58" s="2" t="str">
        <x:v>https://institutoagricoladepueblobello.edu.co/colegiapp/archivostemas/GUIA%209.%5B25%5D.pdf</x:v>
      </x:c>
      <x:c r="X58" s="2" t="str">
        <x:v>https://iiasa.ac.at/what-is-technology</x:v>
      </x:c>
      <x:c r="Y58" s="2" t="str">
        <x:v>https://www.fao.org/climate-change/en; https://www.ipcc.ch/report/ar6/wg3/chapter/chapter-7/; https://openknowledge.fao.org/server/api/core/bitstreams/b21f2087-f398-4718-8461-b92afc82e617/content</x:v>
      </x:c>
      <x:c r="Z58" s="2" t="str">
        <x:v>Technology-specific analytical synthesis. The CTCN hierarchy is retained; classifications and component dependencies require validation against the selected design, site and supplier documentation before investment or policy use.</x:v>
      </x:c>
      <x:c r="AA58" s="2" t="str">
        <x:v>Physical deployment of Manure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58" s="2" t="str">
        <x:v>For Manure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8" s="2" t="str">
        <x:v>Construction and operation use seed or planting stock, organic matter, fertilisers, soil amendments, water, fencing or structural materials, veterinary inputs and monitoring consumables. For Manure management, specifications must include durability, compatibility, recycled content and recoverability.</x:v>
      </x:c>
      <x:c r="AD58" s="2" t="str">
        <x:v>Maintenance of Manure management depends on seed, inoculants, filters, drip lines, nozzles, tool parts, sampling containers, sensor batteries, veterinary supplies and protective equipment; critical spares are selected from failure-mode, lead-time and safety analysis for its installed configuration.</x:v>
      </x:c>
      <x:c r="AE58" s="2" t="str">
        <x:v>The software stack for Manure management requires databases, secure communications, version-controlled models, computing, backup and interfaces with field or operational systems.</x:v>
      </x:c>
      <x:c r="AF58" s="2" t="str">
        <x:v>For Manure management, software-related energy is electricity for sensing, computing, storage, communication and cooling; it is normally secondary but must be included for data-intensive or continuous services.</x:v>
      </x:c>
      <x:c r="AG58" s="2" t="str">
        <x:v>The non-physical inputs are calibrated data, metadata, algorithms, boundary conditions, emission or hazard factors, manuals and validation records specific to Manure management.</x:v>
      </x:c>
      <x:c r="AH58" s="2" t="str">
        <x:v>Software continuity for Manure management requires licences where applicable, updates, cybersecurity patches, backups, calibration files, model validation and technical support.</x:v>
      </x:c>
      <x:c r="AI58" s="2" t="str">
        <x:v>Orgware depends on the institutions, laboratories, training providers, regulators, operators and community interfaces needed to govern Manure management.</x:v>
      </x:c>
      <x:c r="AJ58" s="2" t="str">
        <x:v>The orgware supporting Manure management has mainly indirect energy use from offices, meetings, training and information systems; travel and field supervision may be material at dispersed sites.</x:v>
      </x:c>
      <x:c r="AK58" s="2" t="str">
        <x:v>Its organisational inputs are permits, budgets, trained staff, competence records, contracts, procedures, safeguards, monitoring evidence and stakeholder agreements tailored to Manure management.</x:v>
      </x:c>
      <x:c r="AL58" s="2" t="str">
        <x:v>Sustained implementation of Manure management requires procurement and service contracts, audit protocols, training material, reporting templates, insurance or guarantees and periodic independent review.</x:v>
      </x:c>
      <x:c r="AM58" s="2" t="str">
        <x:v>No critical or strategic raw material is identifiable at taxonomy level; site-specific bulk materials may still be required.</x:v>
      </x:c>
      <x:c r="AN58" s="2" t="str"/>
      <x:c r="AO58" s="2" t="str"/>
      <x:c r="AP58" s="2" t="str">
        <x:v>Manure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8" s="2" t="str">
        <x:v>2024–2025</x:v>
      </x:c>
      <x:c r="AR58" s="2" t="str">
        <x:v>https://pubs.usgs.gov/periodicals/mcs2026/mcs2026.pdf; https://www.iea.org/reports/global-critical-minerals-outlook-2025</x:v>
      </x:c>
    </x:row>
    <x:row r="59" ht="240" customHeight="1">
      <x:c r="A59" s="2" t="str">
        <x:v>ADP-0052</x:v>
      </x:c>
      <x:c r="B59" s="2" t="str">
        <x:v>Adaptation</x:v>
      </x:c>
      <x:c r="C59" s="2" t="str">
        <x:v>Agriculture and Forestry</x:v>
      </x:c>
      <x:c r="D59" s="2" t="str">
        <x:v>Livestock management</x:v>
      </x:c>
      <x:c r="E59" s="2" t="str">
        <x:v>Selective breeding via controlled mating</x:v>
      </x:c>
      <x:c r="F59" s="2" t="str">
        <x:v>Selective breeding via controlled mating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Selective breeding via controlled mating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59" s="2" t="str">
        <x:v>Flexible</x:v>
      </x:c>
      <x:c r="H59" s="2" t="str">
        <x:v>Selective breeding via controlled mating is transferable through configurable methods, rules and operating parameters. Its principle remains the same, but resource quality, climate, scale, interfaces and safety constraints must be recalculated for each deployment.</x:v>
      </x:c>
      <x:c r="I59" s="2" t="str">
        <x:v>Primarily soft, with physical support</x:v>
      </x:c>
      <x:c r="J59" s="2" t="str">
        <x:v>Selective breeding via controlled mating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59" s="2" t="str">
        <x:v>Operation</x:v>
      </x:c>
      <x:c r="L59" s="2" t="str">
        <x:v>Selective breeding via controlled mating is embodied mainly as an operating practice. The deliverable is accepted only when measurable service, quality, safety and climate-performance criteria are met under real conditions.</x:v>
      </x:c>
      <x:c r="M59" s="2" t="str">
        <x:v>Yes, subject to life-cycle safeguards</x:v>
      </x:c>
      <x:c r="N59" s="2" t="str">
        <x:v>Selective breeding via controlled mating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59" s="2" t="str">
        <x:v>Selective breeding via controlled mating: field or forest implements, planting and irrigation equipment, storage or livestock facilities, sampling tools, sensors and protective structures as required.</x:v>
      </x:c>
      <x:c r="P59" s="2" t="str">
        <x:v>Selective breeding via controlled mating: soil–crop–livestock knowledge, nutrient and water budgets, emission factors, carbon accounting, climate services, monitoring protocols and adaptive management.</x:v>
      </x:c>
      <x:c r="Q59" s="2" t="str">
        <x:v>Selective breeding via controlled mating: land tenure, extension, producer organisations, veterinary or phytosanitary services, incentives, safeguards, certification and monitoring arrangements.</x:v>
      </x:c>
      <x:c r="R59" s="2" t="str">
        <x:v>Selective breeding via controlled mating: nurseries or seed banks, field access, water and storage systems, laboratories, extension centres, monitoring plots and processing or market facilities.</x:v>
      </x:c>
      <x:c r="S59" s="2" t="str">
        <x:v>Selective breeding via controlled mating: human and mechanical work, electricity or fuel for machinery, pumping, cooling and processing; biological energy and solar radiation dominate field processes.</x:v>
      </x:c>
      <x:c r="T59" s="2" t="str">
        <x:v>Selective breeding via controlled mating: seed or planting stock, organic matter, fertilisers, soil amendments, water, fencing or structural materials, veterinary inputs and monitoring consumables.</x:v>
      </x:c>
      <x:c r="U59" s="2" t="str">
        <x:v>Selective breeding via controlled mating: seed, inoculants, filters, drip lines, nozzles, tool parts, sampling containers, sensor batteries, veterinary supplies and protective equipment.</x:v>
      </x:c>
      <x:c r="V59" s="2" t="str">
        <x:v>https://www.ctc-n.org/sites/default/files/resources/ctcn_taxonomy_0.pdf</x:v>
      </x:c>
      <x:c r="W59" s="2" t="str">
        <x:v>https://institutoagricoladepueblobello.edu.co/colegiapp/archivostemas/GUIA%209.%5B25%5D.pdf</x:v>
      </x:c>
      <x:c r="X59" s="2" t="str">
        <x:v>https://iiasa.ac.at/what-is-technology</x:v>
      </x:c>
      <x:c r="Y59" s="2" t="str">
        <x:v>https://www.fao.org/climate-change/en; https://www.ipcc.ch/report/ar6/wg3/chapter/chapter-7/; https://openknowledge.fao.org/server/api/core/bitstreams/b21f2087-f398-4718-8461-b92afc82e617/content</x:v>
      </x:c>
      <x:c r="Z59" s="2" t="str">
        <x:v>Technology-specific analytical synthesis. The CTCN hierarchy is retained; classifications and component dependencies require validation against the selected design, site and supplier documentation before investment or policy use.</x:v>
      </x:c>
      <x:c r="AA59" s="2" t="str">
        <x:v>Physical deployment of Selective breeding via controlled mating requires nurseries or seed banks, field access, water and storage systems, laboratories, extension centres, monitoring plots and processing or market facilities; interfaces, foundations, access and environmental protection are sized to the specific resource and design load.</x:v>
      </x:c>
      <x:c r="AB59" s="2" t="str">
        <x:v>For Selective breeding via controlled mating,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59" s="2" t="str">
        <x:v>Construction and operation use seed or planting stock, organic matter, fertilisers, soil amendments, water, fencing or structural materials, veterinary inputs and monitoring consumables. For Selective breeding via controlled mating, specifications must include durability, compatibility, recycled content and recoverability.</x:v>
      </x:c>
      <x:c r="AD59" s="2" t="str">
        <x:v>Maintenance of Selective breeding via controlled mating depends on seed, inoculants, filters, drip lines, nozzles, tool parts, sampling containers, sensor batteries, veterinary supplies and protective equipment; critical spares are selected from failure-mode, lead-time and safety analysis for its installed configuration.</x:v>
      </x:c>
      <x:c r="AE59" s="2" t="str">
        <x:v>The software stack for Selective breeding via controlled mating requires databases, secure communications, version-controlled models, computing, backup and interfaces with field or operational systems.</x:v>
      </x:c>
      <x:c r="AF59" s="2" t="str">
        <x:v>For Selective breeding via controlled mating, software-related energy is electricity for sensing, computing, storage, communication and cooling; it is normally secondary but must be included for data-intensive or continuous services.</x:v>
      </x:c>
      <x:c r="AG59" s="2" t="str">
        <x:v>The non-physical inputs are calibrated data, metadata, algorithms, boundary conditions, emission or hazard factors, manuals and validation records specific to Selective breeding via controlled mating.</x:v>
      </x:c>
      <x:c r="AH59" s="2" t="str">
        <x:v>Software continuity for Selective breeding via controlled mating requires licences where applicable, updates, cybersecurity patches, backups, calibration files, model validation and technical support.</x:v>
      </x:c>
      <x:c r="AI59" s="2" t="str">
        <x:v>Orgware depends on the institutions, laboratories, training providers, regulators, operators and community interfaces needed to govern Selective breeding via controlled mating.</x:v>
      </x:c>
      <x:c r="AJ59" s="2" t="str">
        <x:v>The orgware supporting Selective breeding via controlled mating has mainly indirect energy use from offices, meetings, training and information systems; travel and field supervision may be material at dispersed sites.</x:v>
      </x:c>
      <x:c r="AK59" s="2" t="str">
        <x:v>Its organisational inputs are permits, budgets, trained staff, competence records, contracts, procedures, safeguards, monitoring evidence and stakeholder agreements tailored to Selective breeding via controlled mating.</x:v>
      </x:c>
      <x:c r="AL59" s="2" t="str">
        <x:v>Sustained implementation of Selective breeding via controlled mating requires procurement and service contracts, audit protocols, training material, reporting templates, insurance or guarantees and periodic independent review.</x:v>
      </x:c>
      <x:c r="AM59" s="2" t="str">
        <x:v>Copper; Tin</x:v>
      </x:c>
      <x:c r="AN59" s="2" t="str">
        <x:v>Chile; Democratic Republic of the Congo; Peru; China; Indonesia; Myanmar</x:v>
      </x:c>
      <x:c r="AO59" s="2" t="str">
        <x:v>China; Chile; Democratic Republic of the Congo; Indonesia; Malaysia</x:v>
      </x:c>
      <x:c r="AP59" s="2" t="str">
        <x:v>Selective breeding via controlled mating: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59" s="2" t="str">
        <x:v>2024–2025</x:v>
      </x:c>
      <x:c r="AR59" s="2" t="str">
        <x:v>https://pubs.usgs.gov/periodicals/mcs2026/mcs2026.pdf</x:v>
      </x:c>
    </x:row>
    <x:row r="60" ht="240" customHeight="1">
      <x:c r="A60" s="2" t="str">
        <x:v>ADP-0053</x:v>
      </x:c>
      <x:c r="B60" s="2" t="str">
        <x:v>Adaptation</x:v>
      </x:c>
      <x:c r="C60" s="2" t="str">
        <x:v>Agriculture and Forestry</x:v>
      </x:c>
      <x:c r="D60" s="2" t="str">
        <x:v>Livestock management</x:v>
      </x:c>
      <x:c r="E60" s="2" t="str">
        <x:v>Methane emission mitigation of ruminants</x:v>
      </x:c>
      <x:c r="F60" s="2" t="str">
        <x:v>Methane emission mitigation of ruminants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0" s="2" t="str">
        <x:v>Flexible</x:v>
      </x:c>
      <x:c r="H60" s="2" t="str">
        <x:v>Methane emission mitigation of ruminants is transferable through configurable methods, rules and operating parameters. Its principle remains the same, but resource quality, climate, scale, interfaces and safety constraints must be recalculated for each deployment.</x:v>
      </x:c>
      <x:c r="I60" s="2" t="str">
        <x:v>Primarily soft, with physical support</x:v>
      </x:c>
      <x:c r="J60" s="2" t="str">
        <x:v>Methane emission mitigation of ruminants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0" s="2" t="str">
        <x:v>Operation</x:v>
      </x:c>
      <x:c r="L60" s="2" t="str">
        <x:v>Methane emission mitigation of ruminants is embodied mainly as an operating practice. The deliverable is accepted only when measurable service, quality, safety and climate-performance criteria are met under real conditions.</x:v>
      </x:c>
      <x:c r="M60" s="2" t="str">
        <x:v>Yes, subject to life-cycle safeguards</x:v>
      </x:c>
      <x:c r="N60" s="2" t="str">
        <x:v>Methane emission mitigation of ruminants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0" s="2" t="str">
        <x:v>Methane emission mitigation of ruminants: field or forest implements, planting and irrigation equipment, storage or livestock facilities, sampling tools, sensors and protective structures as required.</x:v>
      </x:c>
      <x:c r="P60" s="2" t="str">
        <x:v>Methane emission mitigation of ruminants: soil–crop–livestock knowledge, nutrient and water budgets, emission factors, carbon accounting, climate services, monitoring protocols and adaptive management.</x:v>
      </x:c>
      <x:c r="Q60" s="2" t="str">
        <x:v>Methane emission mitigation of ruminants: land tenure, extension, producer organisations, veterinary or phytosanitary services, incentives, safeguards, certification and monitoring arrangements.</x:v>
      </x:c>
      <x:c r="R60" s="2" t="str">
        <x:v>Methane emission mitigation of ruminants: nurseries or seed banks, field access, water and storage systems, laboratories, extension centres, monitoring plots and processing or market facilities.</x:v>
      </x:c>
      <x:c r="S60" s="2" t="str">
        <x:v>Methane emission mitigation of ruminants: human and mechanical work, electricity or fuel for machinery, pumping, cooling and processing; biological energy and solar radiation dominate field processes.</x:v>
      </x:c>
      <x:c r="T60" s="2" t="str">
        <x:v>Methane emission mitigation of ruminants: seed or planting stock, organic matter, fertilisers, soil amendments, water, fencing or structural materials, veterinary inputs and monitoring consumables.</x:v>
      </x:c>
      <x:c r="U60" s="2" t="str">
        <x:v>Methane emission mitigation of ruminants: seed, inoculants, filters, drip lines, nozzles, tool parts, sampling containers, sensor batteries, veterinary supplies and protective equipment.</x:v>
      </x:c>
      <x:c r="V60" s="2" t="str">
        <x:v>https://www.ctc-n.org/sites/default/files/resources/ctcn_taxonomy_0.pdf</x:v>
      </x:c>
      <x:c r="W60" s="2" t="str">
        <x:v>https://institutoagricoladepueblobello.edu.co/colegiapp/archivostemas/GUIA%209.%5B25%5D.pdf</x:v>
      </x:c>
      <x:c r="X60" s="2" t="str">
        <x:v>https://iiasa.ac.at/what-is-technology</x:v>
      </x:c>
      <x:c r="Y60" s="2" t="str">
        <x:v>https://www.fao.org/climate-change/en; https://www.ipcc.ch/report/ar6/wg3/chapter/chapter-7/; https://openknowledge.fao.org/server/api/core/bitstreams/b21f2087-f398-4718-8461-b92afc82e617/content</x:v>
      </x:c>
      <x:c r="Z60" s="2" t="str">
        <x:v>Technology-specific analytical synthesis. The CTCN hierarchy is retained; classifications and component dependencies require validation against the selected design, site and supplier documentation before investment or policy use.</x:v>
      </x:c>
      <x:c r="AA60" s="2" t="str">
        <x:v>Physical deployment of Methane emission mitigation of ruminants requires nurseries or seed banks, field access, water and storage systems, laboratories, extension centres, monitoring plots and processing or market facilities; interfaces, foundations, access and environmental protection are sized to the specific resource and design load.</x:v>
      </x:c>
      <x:c r="AB60" s="2" t="str">
        <x:v>For Methane emission mitigation of ruminants,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0" s="2" t="str">
        <x:v>Construction and operation use seed or planting stock, organic matter, fertilisers, soil amendments, water, fencing or structural materials, veterinary inputs and monitoring consumables. For Methane emission mitigation of ruminants, specifications must include durability, compatibility, recycled content and recoverability.</x:v>
      </x:c>
      <x:c r="AD60" s="2" t="str">
        <x:v>Maintenance of Methane emission mitigation of ruminants depends on seed, inoculants, filters, drip lines, nozzles, tool parts, sampling containers, sensor batteries, veterinary supplies and protective equipment; critical spares are selected from failure-mode, lead-time and safety analysis for its installed configuration.</x:v>
      </x:c>
      <x:c r="AE60" s="2" t="str">
        <x:v>The software stack for Methane emission mitigation of ruminants requires databases, secure communications, version-controlled models, computing, backup and interfaces with field or operational systems.</x:v>
      </x:c>
      <x:c r="AF60" s="2" t="str">
        <x:v>For Methane emission mitigation of ruminants, software-related energy is electricity for sensing, computing, storage, communication and cooling; it is normally secondary but must be included for data-intensive or continuous services.</x:v>
      </x:c>
      <x:c r="AG60" s="2" t="str">
        <x:v>The non-physical inputs are calibrated data, metadata, algorithms, boundary conditions, emission or hazard factors, manuals and validation records specific to Methane emission mitigation of ruminants.</x:v>
      </x:c>
      <x:c r="AH60" s="2" t="str">
        <x:v>Software continuity for Methane emission mitigation of ruminants requires licences where applicable, updates, cybersecurity patches, backups, calibration files, model validation and technical support.</x:v>
      </x:c>
      <x:c r="AI60" s="2" t="str">
        <x:v>Orgware depends on the institutions, laboratories, training providers, regulators, operators and community interfaces needed to govern Methane emission mitigation of ruminants.</x:v>
      </x:c>
      <x:c r="AJ60" s="2" t="str">
        <x:v>The orgware supporting Methane emission mitigation of ruminants has mainly indirect energy use from offices, meetings, training and information systems; travel and field supervision may be material at dispersed sites.</x:v>
      </x:c>
      <x:c r="AK60" s="2" t="str">
        <x:v>Its organisational inputs are permits, budgets, trained staff, competence records, contracts, procedures, safeguards, monitoring evidence and stakeholder agreements tailored to Methane emission mitigation of ruminants.</x:v>
      </x:c>
      <x:c r="AL60" s="2" t="str">
        <x:v>Sustained implementation of Methane emission mitigation of ruminants requires procurement and service contracts, audit protocols, training material, reporting templates, insurance or guarantees and periodic independent review.</x:v>
      </x:c>
      <x:c r="AM60" s="2" t="str">
        <x:v>No critical or strategic raw material is identifiable at taxonomy level; site-specific bulk materials may still be required.</x:v>
      </x:c>
      <x:c r="AN60" s="2" t="str"/>
      <x:c r="AO60" s="2" t="str"/>
      <x:c r="AP60" s="2" t="str">
        <x:v>Methane emission mitigation of ruminants: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0" s="2" t="str">
        <x:v>2024–2025</x:v>
      </x:c>
      <x:c r="AR60" s="2" t="str">
        <x:v>https://pubs.usgs.gov/periodicals/mcs2026/mcs2026.pdf</x:v>
      </x:c>
    </x:row>
    <x:row r="61" ht="240" customHeight="1">
      <x:c r="A61" s="2" t="str">
        <x:v>ADP-0054</x:v>
      </x:c>
      <x:c r="B61" s="2" t="str">
        <x:v>Adaptation</x:v>
      </x:c>
      <x:c r="C61" s="2" t="str">
        <x:v>Agriculture and Forestry</x:v>
      </x:c>
      <x:c r="D61" s="2" t="str">
        <x:v>Livestock management</x:v>
      </x:c>
      <x:c r="E61" s="2" t="str">
        <x:v>Straw ammoniation and silage</x:v>
      </x:c>
      <x:c r="F61" s="2" t="str">
        <x:v>Straw ammoniation and silage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Straw ammoniation and silage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1" s="2" t="str">
        <x:v>Flexible</x:v>
      </x:c>
      <x:c r="H61" s="2" t="str">
        <x:v>Straw ammoniation and silage is transferable through configurable methods, rules and operating parameters. Its principle remains the same, but resource quality, climate, scale, interfaces and safety constraints must be recalculated for each deployment.</x:v>
      </x:c>
      <x:c r="I61" s="2" t="str">
        <x:v>Primarily soft, with physical support</x:v>
      </x:c>
      <x:c r="J61" s="2" t="str">
        <x:v>Straw ammoniation and silage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1" s="2" t="str">
        <x:v>Operation</x:v>
      </x:c>
      <x:c r="L61" s="2" t="str">
        <x:v>Straw ammoniation and silage is embodied mainly as an operating practice. The deliverable is accepted only when measurable service, quality, safety and climate-performance criteria are met under real conditions.</x:v>
      </x:c>
      <x:c r="M61" s="2" t="str">
        <x:v>Yes, subject to life-cycle safeguards</x:v>
      </x:c>
      <x:c r="N61" s="2" t="str">
        <x:v>Straw ammoniation and silage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1" s="2" t="str">
        <x:v>Straw ammoniation and silage: field or forest implements, planting and irrigation equipment, storage or livestock facilities, sampling tools, sensors and protective structures as required.</x:v>
      </x:c>
      <x:c r="P61" s="2" t="str">
        <x:v>Straw ammoniation and silage: soil–crop–livestock knowledge, nutrient and water budgets, emission factors, carbon accounting, climate services, monitoring protocols and adaptive management.</x:v>
      </x:c>
      <x:c r="Q61" s="2" t="str">
        <x:v>Straw ammoniation and silage: land tenure, extension, producer organisations, veterinary or phytosanitary services, incentives, safeguards, certification and monitoring arrangements.</x:v>
      </x:c>
      <x:c r="R61" s="2" t="str">
        <x:v>Straw ammoniation and silage: nurseries or seed banks, field access, water and storage systems, laboratories, extension centres, monitoring plots and processing or market facilities.</x:v>
      </x:c>
      <x:c r="S61" s="2" t="str">
        <x:v>Straw ammoniation and silage: human and mechanical work, electricity or fuel for machinery, pumping, cooling and processing; biological energy and solar radiation dominate field processes.</x:v>
      </x:c>
      <x:c r="T61" s="2" t="str">
        <x:v>Straw ammoniation and silage: seed or planting stock, organic matter, fertilisers, soil amendments, water, fencing or structural materials, veterinary inputs and monitoring consumables.</x:v>
      </x:c>
      <x:c r="U61" s="2" t="str">
        <x:v>Straw ammoniation and silage: seed, inoculants, filters, drip lines, nozzles, tool parts, sampling containers, sensor batteries, veterinary supplies and protective equipment.</x:v>
      </x:c>
      <x:c r="V61" s="2" t="str">
        <x:v>https://www.ctc-n.org/sites/default/files/resources/ctcn_taxonomy_0.pdf</x:v>
      </x:c>
      <x:c r="W61" s="2" t="str">
        <x:v>https://institutoagricoladepueblobello.edu.co/colegiapp/archivostemas/GUIA%209.%5B25%5D.pdf</x:v>
      </x:c>
      <x:c r="X61" s="2" t="str">
        <x:v>https://iiasa.ac.at/what-is-technology</x:v>
      </x:c>
      <x:c r="Y61" s="2" t="str">
        <x:v>https://www.fao.org/climate-change/en; https://www.ipcc.ch/report/ar6/wg3/chapter/chapter-7/; https://openknowledge.fao.org/server/api/core/bitstreams/b21f2087-f398-4718-8461-b92afc82e617/content</x:v>
      </x:c>
      <x:c r="Z61" s="2" t="str">
        <x:v>Technology-specific analytical synthesis. The CTCN hierarchy is retained; classifications and component dependencies require validation against the selected design, site and supplier documentation before investment or policy use.</x:v>
      </x:c>
      <x:c r="AA61" s="2" t="str">
        <x:v>Physical deployment of Straw ammoniation and silage requires nurseries or seed banks, field access, water and storage systems, laboratories, extension centres, monitoring plots and processing or market facilities; interfaces, foundations, access and environmental protection are sized to the specific resource and design load.</x:v>
      </x:c>
      <x:c r="AB61" s="2" t="str">
        <x:v>For Straw ammoniation and silage,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1" s="2" t="str">
        <x:v>Construction and operation use seed or planting stock, organic matter, fertilisers, soil amendments, water, fencing or structural materials, veterinary inputs and monitoring consumables. For Straw ammoniation and silage, specifications must include durability, compatibility, recycled content and recoverability.</x:v>
      </x:c>
      <x:c r="AD61" s="2" t="str">
        <x:v>Maintenance of Straw ammoniation and silage depends on seed, inoculants, filters, drip lines, nozzles, tool parts, sampling containers, sensor batteries, veterinary supplies and protective equipment; critical spares are selected from failure-mode, lead-time and safety analysis for its installed configuration.</x:v>
      </x:c>
      <x:c r="AE61" s="2" t="str">
        <x:v>The software stack for Straw ammoniation and silage requires databases, secure communications, version-controlled models, computing, backup and interfaces with field or operational systems.</x:v>
      </x:c>
      <x:c r="AF61" s="2" t="str">
        <x:v>For Straw ammoniation and silage, software-related energy is electricity for sensing, computing, storage, communication and cooling; it is normally secondary but must be included for data-intensive or continuous services.</x:v>
      </x:c>
      <x:c r="AG61" s="2" t="str">
        <x:v>The non-physical inputs are calibrated data, metadata, algorithms, boundary conditions, emission or hazard factors, manuals and validation records specific to Straw ammoniation and silage.</x:v>
      </x:c>
      <x:c r="AH61" s="2" t="str">
        <x:v>Software continuity for Straw ammoniation and silage requires licences where applicable, updates, cybersecurity patches, backups, calibration files, model validation and technical support.</x:v>
      </x:c>
      <x:c r="AI61" s="2" t="str">
        <x:v>Orgware depends on the institutions, laboratories, training providers, regulators, operators and community interfaces needed to govern Straw ammoniation and silage.</x:v>
      </x:c>
      <x:c r="AJ61" s="2" t="str">
        <x:v>The orgware supporting Straw ammoniation and silage has mainly indirect energy use from offices, meetings, training and information systems; travel and field supervision may be material at dispersed sites.</x:v>
      </x:c>
      <x:c r="AK61" s="2" t="str">
        <x:v>Its organisational inputs are permits, budgets, trained staff, competence records, contracts, procedures, safeguards, monitoring evidence and stakeholder agreements tailored to Straw ammoniation and silage.</x:v>
      </x:c>
      <x:c r="AL61" s="2" t="str">
        <x:v>Sustained implementation of Straw ammoniation and silage requires procurement and service contracts, audit protocols, training material, reporting templates, insurance or guarantees and periodic independent review.</x:v>
      </x:c>
      <x:c r="AM61" s="2" t="str">
        <x:v>Platinum-group metals</x:v>
      </x:c>
      <x:c r="AN61" s="2" t="str">
        <x:v>South Africa; Russia; Zimbabwe</x:v>
      </x:c>
      <x:c r="AO61" s="2" t="str">
        <x:v>South Africa; Russia; Germany</x:v>
      </x:c>
      <x:c r="AP61" s="2" t="str">
        <x:v>Straw ammoniation and silage: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1" s="2" t="str">
        <x:v>2024–2025</x:v>
      </x:c>
      <x:c r="AR61" s="2" t="str">
        <x:v>https://pubs.usgs.gov/periodicals/mcs2026/mcs2026.pdf</x:v>
      </x:c>
    </x:row>
    <x:row r="62" ht="240" customHeight="1">
      <x:c r="A62" s="2" t="str">
        <x:v>ADP-0055</x:v>
      </x:c>
      <x:c r="B62" s="2" t="str">
        <x:v>Adaptation</x:v>
      </x:c>
      <x:c r="C62" s="2" t="str">
        <x:v>Agriculture and Forestry</x:v>
      </x:c>
      <x:c r="D62" s="2" t="str">
        <x:v>Livestock management</x:v>
      </x:c>
      <x:c r="E62" s="2" t="str">
        <x:v>Temperature regulation for livestock</x:v>
      </x:c>
      <x:c r="F62" s="2" t="str">
        <x:v>Temperature regulation for livestock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Temperature regulation for livestock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2" s="2" t="str">
        <x:v>Flexible</x:v>
      </x:c>
      <x:c r="H62" s="2" t="str">
        <x:v>Temperature regulation for livestock is transferable through configurable methods, rules and operating parameters. Its principle remains the same, but resource quality, climate, scale, interfaces and safety constraints must be recalculated for each deployment.</x:v>
      </x:c>
      <x:c r="I62" s="2" t="str">
        <x:v>Primarily soft, with physical support</x:v>
      </x:c>
      <x:c r="J62" s="2" t="str">
        <x:v>Temperature regulation for livestock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2" s="2" t="str">
        <x:v>Operation</x:v>
      </x:c>
      <x:c r="L62" s="2" t="str">
        <x:v>Temperature regulation for livestock is embodied mainly as an operating practice. The deliverable is accepted only when measurable service, quality, safety and climate-performance criteria are met under real conditions.</x:v>
      </x:c>
      <x:c r="M62" s="2" t="str">
        <x:v>Yes, subject to life-cycle safeguards</x:v>
      </x:c>
      <x:c r="N62" s="2" t="str">
        <x:v>Temperature regulation for livestock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2" s="2" t="str">
        <x:v>Temperature regulation for livestock: field or forest implements, planting and irrigation equipment, storage or livestock facilities, sampling tools, sensors and protective structures as required.</x:v>
      </x:c>
      <x:c r="P62" s="2" t="str">
        <x:v>Temperature regulation for livestock: soil–crop–livestock knowledge, nutrient and water budgets, emission factors, carbon accounting, climate services, monitoring protocols and adaptive management.</x:v>
      </x:c>
      <x:c r="Q62" s="2" t="str">
        <x:v>Temperature regulation for livestock: land tenure, extension, producer organisations, veterinary or phytosanitary services, incentives, safeguards, certification and monitoring arrangements.</x:v>
      </x:c>
      <x:c r="R62" s="2" t="str">
        <x:v>Temperature regulation for livestock: nurseries or seed banks, field access, water and storage systems, laboratories, extension centres, monitoring plots and processing or market facilities.</x:v>
      </x:c>
      <x:c r="S62" s="2" t="str">
        <x:v>Temperature regulation for livestock: human and mechanical work, electricity or fuel for machinery, pumping, cooling and processing; biological energy and solar radiation dominate field processes.</x:v>
      </x:c>
      <x:c r="T62" s="2" t="str">
        <x:v>Temperature regulation for livestock: seed or planting stock, organic matter, fertilisers, soil amendments, water, fencing or structural materials, veterinary inputs and monitoring consumables.</x:v>
      </x:c>
      <x:c r="U62" s="2" t="str">
        <x:v>Temperature regulation for livestock: seed, inoculants, filters, drip lines, nozzles, tool parts, sampling containers, sensor batteries, veterinary supplies and protective equipment.</x:v>
      </x:c>
      <x:c r="V62" s="2" t="str">
        <x:v>https://www.ctc-n.org/sites/default/files/resources/ctcn_taxonomy_0.pdf</x:v>
      </x:c>
      <x:c r="W62" s="2" t="str">
        <x:v>https://institutoagricoladepueblobello.edu.co/colegiapp/archivostemas/GUIA%209.%5B25%5D.pdf</x:v>
      </x:c>
      <x:c r="X62" s="2" t="str">
        <x:v>https://iiasa.ac.at/what-is-technology</x:v>
      </x:c>
      <x:c r="Y62" s="2" t="str">
        <x:v>https://www.fao.org/climate-change/en; https://www.ipcc.ch/report/ar6/wg3/chapter/chapter-7/; https://openknowledge.fao.org/server/api/core/bitstreams/b21f2087-f398-4718-8461-b92afc82e617/content</x:v>
      </x:c>
      <x:c r="Z62" s="2" t="str">
        <x:v>Technology-specific analytical synthesis. The CTCN hierarchy is retained; classifications and component dependencies require validation against the selected design, site and supplier documentation before investment or policy use.</x:v>
      </x:c>
      <x:c r="AA62" s="2" t="str">
        <x:v>Physical deployment of Temperature regulation for livestock requires nurseries or seed banks, field access, water and storage systems, laboratories, extension centres, monitoring plots and processing or market facilities; interfaces, foundations, access and environmental protection are sized to the specific resource and design load.</x:v>
      </x:c>
      <x:c r="AB62" s="2" t="str">
        <x:v>For Temperature regulation for livestock,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2" s="2" t="str">
        <x:v>Construction and operation use seed or planting stock, organic matter, fertilisers, soil amendments, water, fencing or structural materials, veterinary inputs and monitoring consumables. For Temperature regulation for livestock, specifications must include durability, compatibility, recycled content and recoverability.</x:v>
      </x:c>
      <x:c r="AD62" s="2" t="str">
        <x:v>Maintenance of Temperature regulation for livestock depends on seed, inoculants, filters, drip lines, nozzles, tool parts, sampling containers, sensor batteries, veterinary supplies and protective equipment; critical spares are selected from failure-mode, lead-time and safety analysis for its installed configuration.</x:v>
      </x:c>
      <x:c r="AE62" s="2" t="str">
        <x:v>The software stack for Temperature regulation for livestock requires databases, secure communications, version-controlled models, computing, backup and interfaces with field or operational systems.</x:v>
      </x:c>
      <x:c r="AF62" s="2" t="str">
        <x:v>For Temperature regulation for livestock, software-related energy is electricity for sensing, computing, storage, communication and cooling; it is normally secondary but must be included for data-intensive or continuous services.</x:v>
      </x:c>
      <x:c r="AG62" s="2" t="str">
        <x:v>The non-physical inputs are calibrated data, metadata, algorithms, boundary conditions, emission or hazard factors, manuals and validation records specific to Temperature regulation for livestock.</x:v>
      </x:c>
      <x:c r="AH62" s="2" t="str">
        <x:v>Software continuity for Temperature regulation for livestock requires licences where applicable, updates, cybersecurity patches, backups, calibration files, model validation and technical support.</x:v>
      </x:c>
      <x:c r="AI62" s="2" t="str">
        <x:v>Orgware depends on the institutions, laboratories, training providers, regulators, operators and community interfaces needed to govern Temperature regulation for livestock.</x:v>
      </x:c>
      <x:c r="AJ62" s="2" t="str">
        <x:v>The orgware supporting Temperature regulation for livestock has mainly indirect energy use from offices, meetings, training and information systems; travel and field supervision may be material at dispersed sites.</x:v>
      </x:c>
      <x:c r="AK62" s="2" t="str">
        <x:v>Its organisational inputs are permits, budgets, trained staff, competence records, contracts, procedures, safeguards, monitoring evidence and stakeholder agreements tailored to Temperature regulation for livestock.</x:v>
      </x:c>
      <x:c r="AL62" s="2" t="str">
        <x:v>Sustained implementation of Temperature regulation for livestock requires procurement and service contracts, audit protocols, training material, reporting templates, insurance or guarantees and periodic independent review.</x:v>
      </x:c>
      <x:c r="AM62" s="2" t="str">
        <x:v>No critical or strategic raw material is identifiable at taxonomy level; site-specific bulk materials may still be required.</x:v>
      </x:c>
      <x:c r="AN62" s="2" t="str"/>
      <x:c r="AO62" s="2" t="str"/>
      <x:c r="AP62" s="2" t="str">
        <x:v>Temperature regulation for livestock: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2" s="2" t="str">
        <x:v>2024–2025</x:v>
      </x:c>
      <x:c r="AR62" s="2" t="str">
        <x:v>https://pubs.usgs.gov/periodicals/mcs2026/mcs2026.pdf</x:v>
      </x:c>
    </x:row>
    <x:row r="63" ht="240" customHeight="1">
      <x:c r="A63" s="2" t="str">
        <x:v>ADP-0056</x:v>
      </x:c>
      <x:c r="B63" s="2" t="str">
        <x:v>Adaptation</x:v>
      </x:c>
      <x:c r="C63" s="2" t="str">
        <x:v>Agriculture and Forestry</x:v>
      </x:c>
      <x:c r="D63" s="2" t="str">
        <x:v>Livestock management</x:v>
      </x:c>
      <x:c r="E63" s="2" t="str">
        <x:v>Enteric fermentation</x:v>
      </x:c>
      <x:c r="F63" s="2" t="str">
        <x:v>Enteric fermentation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3" s="2" t="str">
        <x:v>Flexible</x:v>
      </x:c>
      <x:c r="H63" s="2" t="str">
        <x:v>Enteric fermentation is transferable through configurable methods, rules and operating parameters. Its principle remains the same, but resource quality, climate, scale, interfaces and safety constraints must be recalculated for each deployment.</x:v>
      </x:c>
      <x:c r="I63" s="2" t="str">
        <x:v>Primarily soft, with physical support</x:v>
      </x:c>
      <x:c r="J63" s="2" t="str">
        <x:v>Enteric fermentation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3" s="2" t="str">
        <x:v>Operation</x:v>
      </x:c>
      <x:c r="L63" s="2" t="str">
        <x:v>Enteric fermentation is embodied mainly as an operating practice. The deliverable is accepted only when measurable service, quality, safety and climate-performance criteria are met under real conditions.</x:v>
      </x:c>
      <x:c r="M63" s="2" t="str">
        <x:v>Yes, subject to life-cycle safeguards</x:v>
      </x:c>
      <x:c r="N63" s="2" t="str">
        <x:v>Enteric fermentation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3" s="2" t="str">
        <x:v>Enteric fermentation: field or forest implements, planting and irrigation equipment, storage or livestock facilities, sampling tools, sensors and protective structures as required.</x:v>
      </x:c>
      <x:c r="P63" s="2" t="str">
        <x:v>Enteric fermentation: soil–crop–livestock knowledge, nutrient and water budgets, emission factors, carbon accounting, climate services, monitoring protocols and adaptive management.</x:v>
      </x:c>
      <x:c r="Q63" s="2" t="str">
        <x:v>Enteric fermentation: land tenure, extension, producer organisations, veterinary or phytosanitary services, incentives, safeguards, certification and monitoring arrangements.</x:v>
      </x:c>
      <x:c r="R63" s="2" t="str">
        <x:v>Enteric fermentation: nurseries or seed banks, field access, water and storage systems, laboratories, extension centres, monitoring plots and processing or market facilities.</x:v>
      </x:c>
      <x:c r="S63" s="2" t="str">
        <x:v>Enteric fermentation: human and mechanical work, electricity or fuel for machinery, pumping, cooling and processing; biological energy and solar radiation dominate field processes.</x:v>
      </x:c>
      <x:c r="T63" s="2" t="str">
        <x:v>Enteric fermentation: seed or planting stock, organic matter, fertilisers, soil amendments, water, fencing or structural materials, veterinary inputs and monitoring consumables.</x:v>
      </x:c>
      <x:c r="U63" s="2" t="str">
        <x:v>Enteric fermentation: seed, inoculants, filters, drip lines, nozzles, tool parts, sampling containers, sensor batteries, veterinary supplies and protective equipment.</x:v>
      </x:c>
      <x:c r="V63" s="2" t="str">
        <x:v>https://www.ctc-n.org/sites/default/files/resources/ctcn_taxonomy_0.pdf</x:v>
      </x:c>
      <x:c r="W63" s="2" t="str">
        <x:v>https://institutoagricoladepueblobello.edu.co/colegiapp/archivostemas/GUIA%209.%5B25%5D.pdf</x:v>
      </x:c>
      <x:c r="X63" s="2" t="str">
        <x:v>https://iiasa.ac.at/what-is-technology</x:v>
      </x:c>
      <x:c r="Y63" s="2" t="str">
        <x:v>https://www.fao.org/climate-change/en; https://www.ipcc.ch/report/ar6/wg3/chapter/chapter-7/; https://openknowledge.fao.org/server/api/core/bitstreams/b21f2087-f398-4718-8461-b92afc82e617/content</x:v>
      </x:c>
      <x:c r="Z63" s="2" t="str">
        <x:v>Technology-specific analytical synthesis. The CTCN hierarchy is retained; classifications and component dependencies require validation against the selected design, site and supplier documentation before investment or policy use.</x:v>
      </x:c>
      <x:c r="AA63" s="2" t="str">
        <x:v>Physical deployment of Enteric fermentation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63" s="2" t="str">
        <x:v>For Enteric fermentation,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3" s="2" t="str">
        <x:v>Construction and operation use seed or planting stock, organic matter, fertilisers, soil amendments, water, fencing or structural materials, veterinary inputs and monitoring consumables. For Enteric fermentation, specifications must include durability, compatibility, recycled content and recoverability.</x:v>
      </x:c>
      <x:c r="AD63" s="2" t="str">
        <x:v>Maintenance of Enteric fermentation depends on seed, inoculants, filters, drip lines, nozzles, tool parts, sampling containers, sensor batteries, veterinary supplies and protective equipment; critical spares are selected from failure-mode, lead-time and safety analysis for its installed configuration.</x:v>
      </x:c>
      <x:c r="AE63" s="2" t="str">
        <x:v>The software stack for Enteric fermentation requires databases, secure communications, version-controlled models, computing, backup and interfaces with field or operational systems.</x:v>
      </x:c>
      <x:c r="AF63" s="2" t="str">
        <x:v>For Enteric fermentation, software-related energy is electricity for sensing, computing, storage, communication and cooling; it is normally secondary but must be included for data-intensive or continuous services.</x:v>
      </x:c>
      <x:c r="AG63" s="2" t="str">
        <x:v>The non-physical inputs are calibrated data, metadata, algorithms, boundary conditions, emission or hazard factors, manuals and validation records specific to Enteric fermentation.</x:v>
      </x:c>
      <x:c r="AH63" s="2" t="str">
        <x:v>Software continuity for Enteric fermentation requires licences where applicable, updates, cybersecurity patches, backups, calibration files, model validation and technical support.</x:v>
      </x:c>
      <x:c r="AI63" s="2" t="str">
        <x:v>Orgware depends on the institutions, laboratories, training providers, regulators, operators and community interfaces needed to govern Enteric fermentation.</x:v>
      </x:c>
      <x:c r="AJ63" s="2" t="str">
        <x:v>The orgware supporting Enteric fermentation has mainly indirect energy use from offices, meetings, training and information systems; travel and field supervision may be material at dispersed sites.</x:v>
      </x:c>
      <x:c r="AK63" s="2" t="str">
        <x:v>Its organisational inputs are permits, budgets, trained staff, competence records, contracts, procedures, safeguards, monitoring evidence and stakeholder agreements tailored to Enteric fermentation.</x:v>
      </x:c>
      <x:c r="AL63" s="2" t="str">
        <x:v>Sustained implementation of Enteric fermentation requires procurement and service contracts, audit protocols, training material, reporting templates, insurance or guarantees and periodic independent review.</x:v>
      </x:c>
      <x:c r="AM63" s="2" t="str">
        <x:v>No critical or strategic raw material is identifiable at taxonomy level; site-specific bulk materials may still be required.</x:v>
      </x:c>
      <x:c r="AN63" s="2" t="str"/>
      <x:c r="AO63" s="2" t="str"/>
      <x:c r="AP63" s="2" t="str">
        <x:v>Enteric fermentation: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3" s="2" t="str">
        <x:v>2024–2025</x:v>
      </x:c>
      <x:c r="AR63" s="2" t="str">
        <x:v>https://pubs.usgs.gov/periodicals/mcs2026/mcs2026.pdf</x:v>
      </x:c>
    </x:row>
    <x:row r="64" ht="240" customHeight="1">
      <x:c r="A64" s="2" t="str">
        <x:v>ADP-0057</x:v>
      </x:c>
      <x:c r="B64" s="2" t="str">
        <x:v>Adaptation</x:v>
      </x:c>
      <x:c r="C64" s="2" t="str">
        <x:v>Agriculture and Forestry</x:v>
      </x:c>
      <x:c r="D64" s="2" t="str">
        <x:v>Livestock management</x:v>
      </x:c>
      <x:c r="E64" s="2" t="str">
        <x:v>Livestock disease management</x:v>
      </x:c>
      <x:c r="F64" s="2" t="str">
        <x:v>Livestock disease management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Livestock disease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4" s="2" t="str">
        <x:v>Flexible</x:v>
      </x:c>
      <x:c r="H64" s="2" t="str">
        <x:v>Livestock disease management is transferable through configurable methods, rules and operating parameters. Its principle remains the same, but resource quality, climate, scale, interfaces and safety constraints must be recalculated for each deployment.</x:v>
      </x:c>
      <x:c r="I64" s="2" t="str">
        <x:v>Primarily soft, with physical support</x:v>
      </x:c>
      <x:c r="J64" s="2" t="str">
        <x:v>Livestock disease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4" s="2" t="str">
        <x:v>Operation</x:v>
      </x:c>
      <x:c r="L64" s="2" t="str">
        <x:v>Livestock disease management is embodied mainly as an operating practice. The deliverable is accepted only when measurable service, quality, safety and climate-performance criteria are met under real conditions.</x:v>
      </x:c>
      <x:c r="M64" s="2" t="str">
        <x:v>Yes, subject to life-cycle safeguards</x:v>
      </x:c>
      <x:c r="N64" s="2" t="str">
        <x:v>Livestock disease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4" s="2" t="str">
        <x:v>Livestock disease management: field or forest implements, planting and irrigation equipment, storage or livestock facilities, sampling tools, sensors and protective structures as required.</x:v>
      </x:c>
      <x:c r="P64" s="2" t="str">
        <x:v>Livestock disease management: soil–crop–livestock knowledge, nutrient and water budgets, emission factors, carbon accounting, climate services, monitoring protocols and adaptive management.</x:v>
      </x:c>
      <x:c r="Q64" s="2" t="str">
        <x:v>Livestock disease management: land tenure, extension, producer organisations, veterinary or phytosanitary services, incentives, safeguards, certification and monitoring arrangements.</x:v>
      </x:c>
      <x:c r="R64" s="2" t="str">
        <x:v>Livestock disease management: nurseries or seed banks, field access, water and storage systems, laboratories, extension centres, monitoring plots and processing or market facilities.</x:v>
      </x:c>
      <x:c r="S64" s="2" t="str">
        <x:v>Livestock disease management: human and mechanical work, electricity or fuel for machinery, pumping, cooling and processing; biological energy and solar radiation dominate field processes.</x:v>
      </x:c>
      <x:c r="T64" s="2" t="str">
        <x:v>Livestock disease management: seed or planting stock, organic matter, fertilisers, soil amendments, water, fencing or structural materials, veterinary inputs and monitoring consumables.</x:v>
      </x:c>
      <x:c r="U64" s="2" t="str">
        <x:v>Livestock disease management: seed, inoculants, filters, drip lines, nozzles, tool parts, sampling containers, sensor batteries, veterinary supplies and protective equipment.</x:v>
      </x:c>
      <x:c r="V64" s="2" t="str">
        <x:v>https://www.ctc-n.org/sites/default/files/resources/ctcn_taxonomy_0.pdf</x:v>
      </x:c>
      <x:c r="W64" s="2" t="str">
        <x:v>https://institutoagricoladepueblobello.edu.co/colegiapp/archivostemas/GUIA%209.%5B25%5D.pdf</x:v>
      </x:c>
      <x:c r="X64" s="2" t="str">
        <x:v>https://iiasa.ac.at/what-is-technology</x:v>
      </x:c>
      <x:c r="Y64" s="2" t="str">
        <x:v>https://www.fao.org/climate-change/en; https://www.ipcc.ch/report/ar6/wg3/chapter/chapter-7/; https://openknowledge.fao.org/server/api/core/bitstreams/b21f2087-f398-4718-8461-b92afc82e617/content</x:v>
      </x:c>
      <x:c r="Z64" s="2" t="str">
        <x:v>Technology-specific analytical synthesis. The CTCN hierarchy is retained; classifications and component dependencies require validation against the selected design, site and supplier documentation before investment or policy use.</x:v>
      </x:c>
      <x:c r="AA64" s="2" t="str">
        <x:v>Physical deployment of Livestock disease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64" s="2" t="str">
        <x:v>For Livestock disease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4" s="2" t="str">
        <x:v>Construction and operation use seed or planting stock, organic matter, fertilisers, soil amendments, water, fencing or structural materials, veterinary inputs and monitoring consumables. For Livestock disease management, specifications must include durability, compatibility, recycled content and recoverability.</x:v>
      </x:c>
      <x:c r="AD64" s="2" t="str">
        <x:v>Maintenance of Livestock disease management depends on seed, inoculants, filters, drip lines, nozzles, tool parts, sampling containers, sensor batteries, veterinary supplies and protective equipment; critical spares are selected from failure-mode, lead-time and safety analysis for its installed configuration.</x:v>
      </x:c>
      <x:c r="AE64" s="2" t="str">
        <x:v>The software stack for Livestock disease management requires databases, secure communications, version-controlled models, computing, backup and interfaces with field or operational systems.</x:v>
      </x:c>
      <x:c r="AF64" s="2" t="str">
        <x:v>For Livestock disease management, software-related energy is electricity for sensing, computing, storage, communication and cooling; it is normally secondary but must be included for data-intensive or continuous services.</x:v>
      </x:c>
      <x:c r="AG64" s="2" t="str">
        <x:v>The non-physical inputs are calibrated data, metadata, algorithms, boundary conditions, emission or hazard factors, manuals and validation records specific to Livestock disease management.</x:v>
      </x:c>
      <x:c r="AH64" s="2" t="str">
        <x:v>Software continuity for Livestock disease management requires licences where applicable, updates, cybersecurity patches, backups, calibration files, model validation and technical support.</x:v>
      </x:c>
      <x:c r="AI64" s="2" t="str">
        <x:v>Orgware depends on the institutions, laboratories, training providers, regulators, operators and community interfaces needed to govern Livestock disease management.</x:v>
      </x:c>
      <x:c r="AJ64" s="2" t="str">
        <x:v>The orgware supporting Livestock disease management has mainly indirect energy use from offices, meetings, training and information systems; travel and field supervision may be material at dispersed sites.</x:v>
      </x:c>
      <x:c r="AK64" s="2" t="str">
        <x:v>Its organisational inputs are permits, budgets, trained staff, competence records, contracts, procedures, safeguards, monitoring evidence and stakeholder agreements tailored to Livestock disease management.</x:v>
      </x:c>
      <x:c r="AL64" s="2" t="str">
        <x:v>Sustained implementation of Livestock disease management requires procurement and service contracts, audit protocols, training material, reporting templates, insurance or guarantees and periodic independent review.</x:v>
      </x:c>
      <x:c r="AM64" s="2" t="str">
        <x:v>No critical or strategic raw material is identifiable at taxonomy level; site-specific bulk materials may still be required.</x:v>
      </x:c>
      <x:c r="AN64" s="2" t="str"/>
      <x:c r="AO64" s="2" t="str"/>
      <x:c r="AP64" s="2" t="str">
        <x:v>Livestock disease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4" s="2" t="str">
        <x:v>2024–2025</x:v>
      </x:c>
      <x:c r="AR64" s="2" t="str">
        <x:v>https://pubs.usgs.gov/periodicals/mcs2026/mcs2026.pdf</x:v>
      </x:c>
    </x:row>
    <x:row r="65" ht="240" customHeight="1">
      <x:c r="A65" s="2" t="str">
        <x:v>ADP-0058</x:v>
      </x:c>
      <x:c r="B65" s="2" t="str">
        <x:v>Adaptation</x:v>
      </x:c>
      <x:c r="C65" s="2" t="str">
        <x:v>Agriculture and Forestry</x:v>
      </x:c>
      <x:c r="D65" s="2" t="str">
        <x:v>Livestock management</x:v>
      </x:c>
      <x:c r="E65" s="2" t="str">
        <x:v>Grazing land management</x:v>
      </x:c>
      <x:c r="F65" s="2" t="str">
        <x:v>Grazing land management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Grazing land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5" s="2" t="str">
        <x:v>Flexible</x:v>
      </x:c>
      <x:c r="H65" s="2" t="str">
        <x:v>Grazing land management is transferable through configurable methods, rules and operating parameters. Its principle remains the same, but resource quality, climate, scale, interfaces and safety constraints must be recalculated for each deployment.</x:v>
      </x:c>
      <x:c r="I65" s="2" t="str">
        <x:v>Primarily soft, with physical support</x:v>
      </x:c>
      <x:c r="J65" s="2" t="str">
        <x:v>Grazing land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5" s="2" t="str">
        <x:v>Operation</x:v>
      </x:c>
      <x:c r="L65" s="2" t="str">
        <x:v>Grazing land management is embodied mainly as an operating practice. The deliverable is accepted only when measurable service, quality, safety and climate-performance criteria are met under real conditions.</x:v>
      </x:c>
      <x:c r="M65" s="2" t="str">
        <x:v>Yes, subject to life-cycle safeguards</x:v>
      </x:c>
      <x:c r="N65" s="2" t="str">
        <x:v>Grazing land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5" s="2" t="str">
        <x:v>Grazing land management: field or forest implements, planting and irrigation equipment, storage or livestock facilities, sampling tools, sensors and protective structures as required.</x:v>
      </x:c>
      <x:c r="P65" s="2" t="str">
        <x:v>Grazing land management: soil–crop–livestock knowledge, nutrient and water budgets, emission factors, carbon accounting, climate services, monitoring protocols and adaptive management.</x:v>
      </x:c>
      <x:c r="Q65" s="2" t="str">
        <x:v>Grazing land management: land tenure, extension, producer organisations, veterinary or phytosanitary services, incentives, safeguards, certification and monitoring arrangements.</x:v>
      </x:c>
      <x:c r="R65" s="2" t="str">
        <x:v>Grazing land management: nurseries or seed banks, field access, water and storage systems, laboratories, extension centres, monitoring plots and processing or market facilities.</x:v>
      </x:c>
      <x:c r="S65" s="2" t="str">
        <x:v>Grazing land management: human and mechanical work, electricity or fuel for machinery, pumping, cooling and processing; biological energy and solar radiation dominate field processes.</x:v>
      </x:c>
      <x:c r="T65" s="2" t="str">
        <x:v>Grazing land management: seed or planting stock, organic matter, fertilisers, soil amendments, water, fencing or structural materials, veterinary inputs and monitoring consumables.</x:v>
      </x:c>
      <x:c r="U65" s="2" t="str">
        <x:v>Grazing land management: seed, inoculants, filters, drip lines, nozzles, tool parts, sampling containers, sensor batteries, veterinary supplies and protective equipment.</x:v>
      </x:c>
      <x:c r="V65" s="2" t="str">
        <x:v>https://www.ctc-n.org/sites/default/files/resources/ctcn_taxonomy_0.pdf</x:v>
      </x:c>
      <x:c r="W65" s="2" t="str">
        <x:v>https://institutoagricoladepueblobello.edu.co/colegiapp/archivostemas/GUIA%209.%5B25%5D.pdf</x:v>
      </x:c>
      <x:c r="X65" s="2" t="str">
        <x:v>https://iiasa.ac.at/what-is-technology</x:v>
      </x:c>
      <x:c r="Y65" s="2" t="str">
        <x:v>https://www.fao.org/climate-change/en; https://www.ipcc.ch/report/ar6/wg3/chapter/chapter-7/; https://openknowledge.fao.org/server/api/core/bitstreams/b21f2087-f398-4718-8461-b92afc82e617/content</x:v>
      </x:c>
      <x:c r="Z65" s="2" t="str">
        <x:v>Technology-specific analytical synthesis. The CTCN hierarchy is retained; classifications and component dependencies require validation against the selected design, site and supplier documentation before investment or policy use.</x:v>
      </x:c>
      <x:c r="AA65" s="2" t="str">
        <x:v>Physical deployment of Grazing land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65" s="2" t="str">
        <x:v>For Grazing land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5" s="2" t="str">
        <x:v>Construction and operation use seed or planting stock, organic matter, fertilisers, soil amendments, water, fencing or structural materials, veterinary inputs and monitoring consumables. For Grazing land management, specifications must include durability, compatibility, recycled content and recoverability.</x:v>
      </x:c>
      <x:c r="AD65" s="2" t="str">
        <x:v>Maintenance of Grazing land management depends on seed, inoculants, filters, drip lines, nozzles, tool parts, sampling containers, sensor batteries, veterinary supplies and protective equipment; critical spares are selected from failure-mode, lead-time and safety analysis for its installed configuration.</x:v>
      </x:c>
      <x:c r="AE65" s="2" t="str">
        <x:v>The software stack for Grazing land management requires databases, secure communications, version-controlled models, computing, backup and interfaces with field or operational systems.</x:v>
      </x:c>
      <x:c r="AF65" s="2" t="str">
        <x:v>For Grazing land management, software-related energy is electricity for sensing, computing, storage, communication and cooling; it is normally secondary but must be included for data-intensive or continuous services.</x:v>
      </x:c>
      <x:c r="AG65" s="2" t="str">
        <x:v>The non-physical inputs are calibrated data, metadata, algorithms, boundary conditions, emission or hazard factors, manuals and validation records specific to Grazing land management.</x:v>
      </x:c>
      <x:c r="AH65" s="2" t="str">
        <x:v>Software continuity for Grazing land management requires licences where applicable, updates, cybersecurity patches, backups, calibration files, model validation and technical support.</x:v>
      </x:c>
      <x:c r="AI65" s="2" t="str">
        <x:v>Orgware depends on the institutions, laboratories, training providers, regulators, operators and community interfaces needed to govern Grazing land management.</x:v>
      </x:c>
      <x:c r="AJ65" s="2" t="str">
        <x:v>The orgware supporting Grazing land management has mainly indirect energy use from offices, meetings, training and information systems; travel and field supervision may be material at dispersed sites.</x:v>
      </x:c>
      <x:c r="AK65" s="2" t="str">
        <x:v>Its organisational inputs are permits, budgets, trained staff, competence records, contracts, procedures, safeguards, monitoring evidence and stakeholder agreements tailored to Grazing land management.</x:v>
      </x:c>
      <x:c r="AL65" s="2" t="str">
        <x:v>Sustained implementation of Grazing land management requires procurement and service contracts, audit protocols, training material, reporting templates, insurance or guarantees and periodic independent review.</x:v>
      </x:c>
      <x:c r="AM65" s="2" t="str">
        <x:v>No critical or strategic raw material is identifiable at taxonomy level; site-specific bulk materials may still be required.</x:v>
      </x:c>
      <x:c r="AN65" s="2" t="str"/>
      <x:c r="AO65" s="2" t="str"/>
      <x:c r="AP65" s="2" t="str">
        <x:v>Grazing land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5" s="2" t="str">
        <x:v>2024–2025</x:v>
      </x:c>
      <x:c r="AR65" s="2" t="str">
        <x:v>https://pubs.usgs.gov/periodicals/mcs2026/mcs2026.pdf</x:v>
      </x:c>
    </x:row>
    <x:row r="66" ht="240" customHeight="1">
      <x:c r="A66" s="2" t="str">
        <x:v>ADP-0059</x:v>
      </x:c>
      <x:c r="B66" s="2" t="str">
        <x:v>Adaptation</x:v>
      </x:c>
      <x:c r="C66" s="2" t="str">
        <x:v>Agriculture and Forestry</x:v>
      </x:c>
      <x:c r="D66" s="2" t="str">
        <x:v>Livestock management</x:v>
      </x:c>
      <x:c r="E66" s="2" t="str">
        <x:v>Fodder banks</x:v>
      </x:c>
      <x:c r="F66" s="2" t="str">
        <x:v>Fodder banks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Fodder banks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6" s="2" t="str">
        <x:v>Flexible</x:v>
      </x:c>
      <x:c r="H66" s="2" t="str">
        <x:v>Fodder banks is transferable through configurable methods, rules and operating parameters. Its principle remains the same, but resource quality, climate, scale, interfaces and safety constraints must be recalculated for each deployment.</x:v>
      </x:c>
      <x:c r="I66" s="2" t="str">
        <x:v>Primarily soft, with physical support</x:v>
      </x:c>
      <x:c r="J66" s="2" t="str">
        <x:v>Fodder banks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6" s="2" t="str">
        <x:v>Operation</x:v>
      </x:c>
      <x:c r="L66" s="2" t="str">
        <x:v>Fodder banks is embodied mainly as an operating practice. The deliverable is accepted only when measurable service, quality, safety and climate-performance criteria are met under real conditions.</x:v>
      </x:c>
      <x:c r="M66" s="2" t="str">
        <x:v>Yes, subject to life-cycle safeguards</x:v>
      </x:c>
      <x:c r="N66" s="2" t="str">
        <x:v>Fodder banks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6" s="2" t="str">
        <x:v>Fodder banks: field or forest implements, planting and irrigation equipment, storage or livestock facilities, sampling tools, sensors and protective structures as required.</x:v>
      </x:c>
      <x:c r="P66" s="2" t="str">
        <x:v>Fodder banks: soil–crop–livestock knowledge, nutrient and water budgets, emission factors, carbon accounting, climate services, monitoring protocols and adaptive management.</x:v>
      </x:c>
      <x:c r="Q66" s="2" t="str">
        <x:v>Fodder banks: land tenure, extension, producer organisations, veterinary or phytosanitary services, incentives, safeguards, certification and monitoring arrangements.</x:v>
      </x:c>
      <x:c r="R66" s="2" t="str">
        <x:v>Fodder banks: nurseries or seed banks, field access, water and storage systems, laboratories, extension centres, monitoring plots and processing or market facilities.</x:v>
      </x:c>
      <x:c r="S66" s="2" t="str">
        <x:v>Fodder banks: human and mechanical work, electricity or fuel for machinery, pumping, cooling and processing; biological energy and solar radiation dominate field processes.</x:v>
      </x:c>
      <x:c r="T66" s="2" t="str">
        <x:v>Fodder banks: seed or planting stock, organic matter, fertilisers, soil amendments, water, fencing or structural materials, veterinary inputs and monitoring consumables.</x:v>
      </x:c>
      <x:c r="U66" s="2" t="str">
        <x:v>Fodder banks: seed, inoculants, filters, drip lines, nozzles, tool parts, sampling containers, sensor batteries, veterinary supplies and protective equipment.</x:v>
      </x:c>
      <x:c r="V66" s="2" t="str">
        <x:v>https://www.ctc-n.org/sites/default/files/resources/ctcn_taxonomy_0.pdf</x:v>
      </x:c>
      <x:c r="W66" s="2" t="str">
        <x:v>https://institutoagricoladepueblobello.edu.co/colegiapp/archivostemas/GUIA%209.%5B25%5D.pdf</x:v>
      </x:c>
      <x:c r="X66" s="2" t="str">
        <x:v>https://iiasa.ac.at/what-is-technology</x:v>
      </x:c>
      <x:c r="Y66" s="2" t="str">
        <x:v>https://www.fao.org/climate-change/en; https://www.ipcc.ch/report/ar6/wg3/chapter/chapter-7/; https://openknowledge.fao.org/server/api/core/bitstreams/b21f2087-f398-4718-8461-b92afc82e617/content</x:v>
      </x:c>
      <x:c r="Z66" s="2" t="str">
        <x:v>Technology-specific analytical synthesis. The CTCN hierarchy is retained; classifications and component dependencies require validation against the selected design, site and supplier documentation before investment or policy use.</x:v>
      </x:c>
      <x:c r="AA66" s="2" t="str">
        <x:v>Physical deployment of Fodder banks requires nurseries or seed banks, field access, water and storage systems, laboratories, extension centres, monitoring plots and processing or market facilities; interfaces, foundations, access and environmental protection are sized to the specific resource and design load.</x:v>
      </x:c>
      <x:c r="AB66" s="2" t="str">
        <x:v>For Fodder banks,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6" s="2" t="str">
        <x:v>Construction and operation use seed or planting stock, organic matter, fertilisers, soil amendments, water, fencing or structural materials, veterinary inputs and monitoring consumables. For Fodder banks, specifications must include durability, compatibility, recycled content and recoverability.</x:v>
      </x:c>
      <x:c r="AD66" s="2" t="str">
        <x:v>Maintenance of Fodder banks depends on seed, inoculants, filters, drip lines, nozzles, tool parts, sampling containers, sensor batteries, veterinary supplies and protective equipment; critical spares are selected from failure-mode, lead-time and safety analysis for its installed configuration.</x:v>
      </x:c>
      <x:c r="AE66" s="2" t="str">
        <x:v>The software stack for Fodder banks requires databases, secure communications, version-controlled models, computing, backup and interfaces with field or operational systems.</x:v>
      </x:c>
      <x:c r="AF66" s="2" t="str">
        <x:v>For Fodder banks, software-related energy is electricity for sensing, computing, storage, communication and cooling; it is normally secondary but must be included for data-intensive or continuous services.</x:v>
      </x:c>
      <x:c r="AG66" s="2" t="str">
        <x:v>The non-physical inputs are calibrated data, metadata, algorithms, boundary conditions, emission or hazard factors, manuals and validation records specific to Fodder banks.</x:v>
      </x:c>
      <x:c r="AH66" s="2" t="str">
        <x:v>Software continuity for Fodder banks requires licences where applicable, updates, cybersecurity patches, backups, calibration files, model validation and technical support.</x:v>
      </x:c>
      <x:c r="AI66" s="2" t="str">
        <x:v>Orgware depends on the institutions, laboratories, training providers, regulators, operators and community interfaces needed to govern Fodder banks.</x:v>
      </x:c>
      <x:c r="AJ66" s="2" t="str">
        <x:v>The orgware supporting Fodder banks has mainly indirect energy use from offices, meetings, training and information systems; travel and field supervision may be material at dispersed sites.</x:v>
      </x:c>
      <x:c r="AK66" s="2" t="str">
        <x:v>Its organisational inputs are permits, budgets, trained staff, competence records, contracts, procedures, safeguards, monitoring evidence and stakeholder agreements tailored to Fodder banks.</x:v>
      </x:c>
      <x:c r="AL66" s="2" t="str">
        <x:v>Sustained implementation of Fodder banks requires procurement and service contracts, audit protocols, training material, reporting templates, insurance or guarantees and periodic independent review.</x:v>
      </x:c>
      <x:c r="AM66" s="2" t="str">
        <x:v>Phosphate rock; Potash</x:v>
      </x:c>
      <x:c r="AN66" s="2" t="str">
        <x:v>China; Morocco; United States; Canada; Russia; Belarus</x:v>
      </x:c>
      <x:c r="AO66" s="2" t="str">
        <x:v>China; Morocco; United States; Canada; Russia; Belarus</x:v>
      </x:c>
      <x:c r="AP66" s="2" t="str">
        <x:v>Fodder banks: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6" s="2" t="str">
        <x:v>2024–2025</x:v>
      </x:c>
      <x:c r="AR66" s="2" t="str">
        <x:v>https://pubs.usgs.gov/periodicals/mcs2026/mcs2026.pdf</x:v>
      </x:c>
    </x:row>
    <x:row r="67" ht="240" customHeight="1">
      <x:c r="A67" s="2" t="str">
        <x:v>ADP-0060</x:v>
      </x:c>
      <x:c r="B67" s="2" t="str">
        <x:v>Adaptation</x:v>
      </x:c>
      <x:c r="C67" s="2" t="str">
        <x:v>Agriculture and Forestry</x:v>
      </x:c>
      <x:c r="D67" s="2" t="str">
        <x:v>Livestock management</x:v>
      </x:c>
      <x:c r="E67" s="2" t="str">
        <x:v>Climate tolerant livestock</x:v>
      </x:c>
      <x:c r="F67" s="2" t="str">
        <x:v>Climate tolerant livestock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Climate tolerant livestock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7" s="2" t="str">
        <x:v>Flexible</x:v>
      </x:c>
      <x:c r="H67" s="2" t="str">
        <x:v>Climate tolerant livestock is transferable through configurable methods, rules and operating parameters. Its principle remains the same, but resource quality, climate, scale, interfaces and safety constraints must be recalculated for each deployment.</x:v>
      </x:c>
      <x:c r="I67" s="2" t="str">
        <x:v>Primarily soft, with physical support</x:v>
      </x:c>
      <x:c r="J67" s="2" t="str">
        <x:v>Climate tolerant livestock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7" s="2" t="str">
        <x:v>Operation</x:v>
      </x:c>
      <x:c r="L67" s="2" t="str">
        <x:v>Climate tolerant livestock is embodied mainly as an operating practice. The deliverable is accepted only when measurable service, quality, safety and climate-performance criteria are met under real conditions.</x:v>
      </x:c>
      <x:c r="M67" s="2" t="str">
        <x:v>Yes, subject to life-cycle safeguards</x:v>
      </x:c>
      <x:c r="N67" s="2" t="str">
        <x:v>Climate tolerant livestock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7" s="2" t="str">
        <x:v>Climate tolerant livestock: field or forest implements, planting and irrigation equipment, storage or livestock facilities, sampling tools, sensors and protective structures as required.</x:v>
      </x:c>
      <x:c r="P67" s="2" t="str">
        <x:v>Climate tolerant livestock: soil–crop–livestock knowledge, nutrient and water budgets, emission factors, carbon accounting, climate services, monitoring protocols and adaptive management.</x:v>
      </x:c>
      <x:c r="Q67" s="2" t="str">
        <x:v>Climate tolerant livestock: land tenure, extension, producer organisations, veterinary or phytosanitary services, incentives, safeguards, certification and monitoring arrangements.</x:v>
      </x:c>
      <x:c r="R67" s="2" t="str">
        <x:v>Climate tolerant livestock: nurseries or seed banks, field access, water and storage systems, laboratories, extension centres, monitoring plots and processing or market facilities.</x:v>
      </x:c>
      <x:c r="S67" s="2" t="str">
        <x:v>Climate tolerant livestock: human and mechanical work, electricity or fuel for machinery, pumping, cooling and processing; biological energy and solar radiation dominate field processes.</x:v>
      </x:c>
      <x:c r="T67" s="2" t="str">
        <x:v>Climate tolerant livestock: seed or planting stock, organic matter, fertilisers, soil amendments, water, fencing or structural materials, veterinary inputs and monitoring consumables.</x:v>
      </x:c>
      <x:c r="U67" s="2" t="str">
        <x:v>Climate tolerant livestock: seed, inoculants, filters, drip lines, nozzles, tool parts, sampling containers, sensor batteries, veterinary supplies and protective equipment.</x:v>
      </x:c>
      <x:c r="V67" s="2" t="str">
        <x:v>https://www.ctc-n.org/sites/default/files/resources/ctcn_taxonomy_0.pdf</x:v>
      </x:c>
      <x:c r="W67" s="2" t="str">
        <x:v>https://institutoagricoladepueblobello.edu.co/colegiapp/archivostemas/GUIA%209.%5B25%5D.pdf</x:v>
      </x:c>
      <x:c r="X67" s="2" t="str">
        <x:v>https://iiasa.ac.at/what-is-technology</x:v>
      </x:c>
      <x:c r="Y67" s="2" t="str">
        <x:v>https://www.fao.org/climate-change/en; https://www.ipcc.ch/report/ar6/wg3/chapter/chapter-7/; https://openknowledge.fao.org/server/api/core/bitstreams/b21f2087-f398-4718-8461-b92afc82e617/content</x:v>
      </x:c>
      <x:c r="Z67" s="2" t="str">
        <x:v>Technology-specific analytical synthesis. The CTCN hierarchy is retained; classifications and component dependencies require validation against the selected design, site and supplier documentation before investment or policy use.</x:v>
      </x:c>
      <x:c r="AA67" s="2" t="str">
        <x:v>Physical deployment of Climate tolerant livestock requires nurseries or seed banks, field access, water and storage systems, laboratories, extension centres, monitoring plots and processing or market facilities; interfaces, foundations, access and environmental protection are sized to the specific resource and design load.</x:v>
      </x:c>
      <x:c r="AB67" s="2" t="str">
        <x:v>For Climate tolerant livestock,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7" s="2" t="str">
        <x:v>Construction and operation use seed or planting stock, organic matter, fertilisers, soil amendments, water, fencing or structural materials, veterinary inputs and monitoring consumables. For Climate tolerant livestock, specifications must include durability, compatibility, recycled content and recoverability.</x:v>
      </x:c>
      <x:c r="AD67" s="2" t="str">
        <x:v>Maintenance of Climate tolerant livestock depends on seed, inoculants, filters, drip lines, nozzles, tool parts, sampling containers, sensor batteries, veterinary supplies and protective equipment; critical spares are selected from failure-mode, lead-time and safety analysis for its installed configuration.</x:v>
      </x:c>
      <x:c r="AE67" s="2" t="str">
        <x:v>The software stack for Climate tolerant livestock requires databases, secure communications, version-controlled models, computing, backup and interfaces with field or operational systems.</x:v>
      </x:c>
      <x:c r="AF67" s="2" t="str">
        <x:v>For Climate tolerant livestock, software-related energy is electricity for sensing, computing, storage, communication and cooling; it is normally secondary but must be included for data-intensive or continuous services.</x:v>
      </x:c>
      <x:c r="AG67" s="2" t="str">
        <x:v>The non-physical inputs are calibrated data, metadata, algorithms, boundary conditions, emission or hazard factors, manuals and validation records specific to Climate tolerant livestock.</x:v>
      </x:c>
      <x:c r="AH67" s="2" t="str">
        <x:v>Software continuity for Climate tolerant livestock requires licences where applicable, updates, cybersecurity patches, backups, calibration files, model validation and technical support.</x:v>
      </x:c>
      <x:c r="AI67" s="2" t="str">
        <x:v>Orgware depends on the institutions, laboratories, training providers, regulators, operators and community interfaces needed to govern Climate tolerant livestock.</x:v>
      </x:c>
      <x:c r="AJ67" s="2" t="str">
        <x:v>The orgware supporting Climate tolerant livestock has mainly indirect energy use from offices, meetings, training and information systems; travel and field supervision may be material at dispersed sites.</x:v>
      </x:c>
      <x:c r="AK67" s="2" t="str">
        <x:v>Its organisational inputs are permits, budgets, trained staff, competence records, contracts, procedures, safeguards, monitoring evidence and stakeholder agreements tailored to Climate tolerant livestock.</x:v>
      </x:c>
      <x:c r="AL67" s="2" t="str">
        <x:v>Sustained implementation of Climate tolerant livestock requires procurement and service contracts, audit protocols, training material, reporting templates, insurance or guarantees and periodic independent review.</x:v>
      </x:c>
      <x:c r="AM67" s="2" t="str">
        <x:v>No critical or strategic raw material is identifiable at taxonomy level; site-specific bulk materials may still be required.</x:v>
      </x:c>
      <x:c r="AN67" s="2" t="str"/>
      <x:c r="AO67" s="2" t="str"/>
      <x:c r="AP67" s="2" t="str">
        <x:v>Climate tolerant livestock: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7" s="2" t="str">
        <x:v>2024–2025</x:v>
      </x:c>
      <x:c r="AR67" s="2" t="str">
        <x:v>https://pubs.usgs.gov/periodicals/mcs2026/mcs2026.pdf</x:v>
      </x:c>
    </x:row>
    <x:row r="68" ht="240" customHeight="1">
      <x:c r="A68" s="2" t="str">
        <x:v>ADP-0061</x:v>
      </x:c>
      <x:c r="B68" s="2" t="str">
        <x:v>Adaptation</x:v>
      </x:c>
      <x:c r="C68" s="2" t="str">
        <x:v>Agriculture and Forestry</x:v>
      </x:c>
      <x:c r="D68" s="2" t="str">
        <x:v>Livestock management</x:v>
      </x:c>
      <x:c r="E68" s="2" t="str">
        <x:v>Domestic manure</x:v>
      </x:c>
      <x:c r="F68" s="2" t="str">
        <x:v>Domestic manure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It separates, stores, covers, treats or anaerobically digests manure to control oxygen and temperature, limit CH₄ and N₂O formation, recover biogas and conserve nutrients.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8" s="2" t="str">
        <x:v>Flexible</x:v>
      </x:c>
      <x:c r="H68" s="2" t="str">
        <x:v>Domestic manure is transferable through configurable methods, rules and operating parameters. Its principle remains the same, but resource quality, climate, scale, interfaces and safety constraints must be recalculated for each deployment.</x:v>
      </x:c>
      <x:c r="I68" s="2" t="str">
        <x:v>Primarily soft, with physical support</x:v>
      </x:c>
      <x:c r="J68" s="2" t="str">
        <x:v>Domestic manure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8" s="2" t="str">
        <x:v>Operation</x:v>
      </x:c>
      <x:c r="L68" s="2" t="str">
        <x:v>Domestic manure is embodied mainly as an operating practice. The deliverable is accepted only when measurable service, quality, safety and climate-performance criteria are met under real conditions.</x:v>
      </x:c>
      <x:c r="M68" s="2" t="str">
        <x:v>Yes, subject to life-cycle safeguards</x:v>
      </x:c>
      <x:c r="N68" s="2" t="str">
        <x:v>Domestic manure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8" s="2" t="str">
        <x:v>Domestic manure: field or forest implements, planting and irrigation equipment, storage or livestock facilities, sampling tools, sensors and protective structures as required.</x:v>
      </x:c>
      <x:c r="P68" s="2" t="str">
        <x:v>Domestic manure: soil–crop–livestock knowledge, nutrient and water budgets, emission factors, carbon accounting, climate services, monitoring protocols and adaptive management.</x:v>
      </x:c>
      <x:c r="Q68" s="2" t="str">
        <x:v>Domestic manure: land tenure, extension, producer organisations, veterinary or phytosanitary services, incentives, safeguards, certification and monitoring arrangements.</x:v>
      </x:c>
      <x:c r="R68" s="2" t="str">
        <x:v>Domestic manure: nurseries or seed banks, field access, water and storage systems, laboratories, extension centres, monitoring plots and processing or market facilities.</x:v>
      </x:c>
      <x:c r="S68" s="2" t="str">
        <x:v>Domestic manure: human and mechanical work, electricity or fuel for machinery, pumping, cooling and processing; biological energy and solar radiation dominate field processes.</x:v>
      </x:c>
      <x:c r="T68" s="2" t="str">
        <x:v>Domestic manure: seed or planting stock, organic matter, fertilisers, soil amendments, water, fencing or structural materials, veterinary inputs and monitoring consumables.</x:v>
      </x:c>
      <x:c r="U68" s="2" t="str">
        <x:v>Domestic manure: seed, inoculants, filters, drip lines, nozzles, tool parts, sampling containers, sensor batteries, veterinary supplies and protective equipment.</x:v>
      </x:c>
      <x:c r="V68" s="2" t="str">
        <x:v>https://www.ctc-n.org/sites/default/files/resources/ctcn_taxonomy_0.pdf</x:v>
      </x:c>
      <x:c r="W68" s="2" t="str">
        <x:v>https://institutoagricoladepueblobello.edu.co/colegiapp/archivostemas/GUIA%209.%5B25%5D.pdf</x:v>
      </x:c>
      <x:c r="X68" s="2" t="str">
        <x:v>https://iiasa.ac.at/what-is-technology</x:v>
      </x:c>
      <x:c r="Y68" s="2" t="str">
        <x:v>https://www.fao.org/climate-change/en; https://www.ipcc.ch/report/ar6/wg3/chapter/chapter-7/; https://openknowledge.fao.org/server/api/core/bitstreams/b21f2087-f398-4718-8461-b92afc82e617/content</x:v>
      </x:c>
      <x:c r="Z68" s="2" t="str">
        <x:v>Technology-specific analytical synthesis. The CTCN hierarchy is retained; classifications and component dependencies require validation against the selected design, site and supplier documentation before investment or policy use.</x:v>
      </x:c>
      <x:c r="AA68" s="2" t="str">
        <x:v>Physical deployment of Domestic manure requires nurseries or seed banks, field access, water and storage systems, laboratories, extension centres, monitoring plots and processing or market facilities; interfaces, foundations, access and environmental protection are sized to the specific resource and design load.</x:v>
      </x:c>
      <x:c r="AB68" s="2" t="str">
        <x:v>For Domestic manure,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8" s="2" t="str">
        <x:v>Construction and operation use seed or planting stock, organic matter, fertilisers, soil amendments, water, fencing or structural materials, veterinary inputs and monitoring consumables. For Domestic manure, specifications must include durability, compatibility, recycled content and recoverability.</x:v>
      </x:c>
      <x:c r="AD68" s="2" t="str">
        <x:v>Maintenance of Domestic manure depends on seed, inoculants, filters, drip lines, nozzles, tool parts, sampling containers, sensor batteries, veterinary supplies and protective equipment; critical spares are selected from failure-mode, lead-time and safety analysis for its installed configuration.</x:v>
      </x:c>
      <x:c r="AE68" s="2" t="str">
        <x:v>The software stack for Domestic manure requires databases, secure communications, version-controlled models, computing, backup and interfaces with field or operational systems.</x:v>
      </x:c>
      <x:c r="AF68" s="2" t="str">
        <x:v>For Domestic manure, software-related energy is electricity for sensing, computing, storage, communication and cooling; it is normally secondary but must be included for data-intensive or continuous services.</x:v>
      </x:c>
      <x:c r="AG68" s="2" t="str">
        <x:v>The non-physical inputs are calibrated data, metadata, algorithms, boundary conditions, emission or hazard factors, manuals and validation records specific to Domestic manure.</x:v>
      </x:c>
      <x:c r="AH68" s="2" t="str">
        <x:v>Software continuity for Domestic manure requires licences where applicable, updates, cybersecurity patches, backups, calibration files, model validation and technical support.</x:v>
      </x:c>
      <x:c r="AI68" s="2" t="str">
        <x:v>Orgware depends on the institutions, laboratories, training providers, regulators, operators and community interfaces needed to govern Domestic manure.</x:v>
      </x:c>
      <x:c r="AJ68" s="2" t="str">
        <x:v>The orgware supporting Domestic manure has mainly indirect energy use from offices, meetings, training and information systems; travel and field supervision may be material at dispersed sites.</x:v>
      </x:c>
      <x:c r="AK68" s="2" t="str">
        <x:v>Its organisational inputs are permits, budgets, trained staff, competence records, contracts, procedures, safeguards, monitoring evidence and stakeholder agreements tailored to Domestic manure.</x:v>
      </x:c>
      <x:c r="AL68" s="2" t="str">
        <x:v>Sustained implementation of Domestic manure requires procurement and service contracts, audit protocols, training material, reporting templates, insurance or guarantees and periodic independent review.</x:v>
      </x:c>
      <x:c r="AM68" s="2" t="str">
        <x:v>No critical or strategic raw material is identifiable at taxonomy level; site-specific bulk materials may still be required.</x:v>
      </x:c>
      <x:c r="AN68" s="2" t="str"/>
      <x:c r="AO68" s="2" t="str"/>
      <x:c r="AP68" s="2" t="str">
        <x:v>Domestic manure: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8" s="2" t="str">
        <x:v>2024–2025</x:v>
      </x:c>
      <x:c r="AR68" s="2" t="str">
        <x:v>https://pubs.usgs.gov/periodicals/mcs2026/mcs2026.pdf</x:v>
      </x:c>
    </x:row>
    <x:row r="69" ht="240" customHeight="1">
      <x:c r="A69" s="2" t="str">
        <x:v>ADP-0062</x:v>
      </x:c>
      <x:c r="B69" s="2" t="str">
        <x:v>Adaptation</x:v>
      </x:c>
      <x:c r="C69" s="2" t="str">
        <x:v>Agriculture and Forestry</x:v>
      </x:c>
      <x:c r="D69" s="2" t="str">
        <x:v>Livestock management</x:v>
      </x:c>
      <x:c r="E69" s="2" t="str">
        <x:v>Pasture management</x:v>
      </x:c>
      <x:c r="F69" s="2" t="str">
        <x:v>Pasture management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Pasture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69" s="2" t="str">
        <x:v>Flexible</x:v>
      </x:c>
      <x:c r="H69" s="2" t="str">
        <x:v>Pasture management is transferable through configurable methods, rules and operating parameters. Its principle remains the same, but resource quality, climate, scale, interfaces and safety constraints must be recalculated for each deployment.</x:v>
      </x:c>
      <x:c r="I69" s="2" t="str">
        <x:v>Primarily soft, with physical support</x:v>
      </x:c>
      <x:c r="J69" s="2" t="str">
        <x:v>Pasture management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69" s="2" t="str">
        <x:v>Operation</x:v>
      </x:c>
      <x:c r="L69" s="2" t="str">
        <x:v>Pasture management is embodied mainly as an operating practice. The deliverable is accepted only when measurable service, quality, safety and climate-performance criteria are met under real conditions.</x:v>
      </x:c>
      <x:c r="M69" s="2" t="str">
        <x:v>Yes, subject to life-cycle safeguards</x:v>
      </x:c>
      <x:c r="N69" s="2" t="str">
        <x:v>Pasture management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69" s="2" t="str">
        <x:v>Pasture management: field or forest implements, planting and irrigation equipment, storage or livestock facilities, sampling tools, sensors and protective structures as required.</x:v>
      </x:c>
      <x:c r="P69" s="2" t="str">
        <x:v>Pasture management: soil–crop–livestock knowledge, nutrient and water budgets, emission factors, carbon accounting, climate services, monitoring protocols and adaptive management.</x:v>
      </x:c>
      <x:c r="Q69" s="2" t="str">
        <x:v>Pasture management: land tenure, extension, producer organisations, veterinary or phytosanitary services, incentives, safeguards, certification and monitoring arrangements.</x:v>
      </x:c>
      <x:c r="R69" s="2" t="str">
        <x:v>Pasture management: nurseries or seed banks, field access, water and storage systems, laboratories, extension centres, monitoring plots and processing or market facilities.</x:v>
      </x:c>
      <x:c r="S69" s="2" t="str">
        <x:v>Pasture management: human and mechanical work, electricity or fuel for machinery, pumping, cooling and processing; biological energy and solar radiation dominate field processes.</x:v>
      </x:c>
      <x:c r="T69" s="2" t="str">
        <x:v>Pasture management: seed or planting stock, organic matter, fertilisers, soil amendments, water, fencing or structural materials, veterinary inputs and monitoring consumables.</x:v>
      </x:c>
      <x:c r="U69" s="2" t="str">
        <x:v>Pasture management: seed, inoculants, filters, drip lines, nozzles, tool parts, sampling containers, sensor batteries, veterinary supplies and protective equipment.</x:v>
      </x:c>
      <x:c r="V69" s="2" t="str">
        <x:v>https://www.ctc-n.org/sites/default/files/resources/ctcn_taxonomy_0.pdf</x:v>
      </x:c>
      <x:c r="W69" s="2" t="str">
        <x:v>https://institutoagricoladepueblobello.edu.co/colegiapp/archivostemas/GUIA%209.%5B25%5D.pdf</x:v>
      </x:c>
      <x:c r="X69" s="2" t="str">
        <x:v>https://iiasa.ac.at/what-is-technology</x:v>
      </x:c>
      <x:c r="Y69" s="2" t="str">
        <x:v>https://www.fao.org/climate-change/en; https://www.ipcc.ch/report/ar6/wg3/chapter/chapter-7/; https://openknowledge.fao.org/server/api/core/bitstreams/b21f2087-f398-4718-8461-b92afc82e617/content</x:v>
      </x:c>
      <x:c r="Z69" s="2" t="str">
        <x:v>Technology-specific analytical synthesis. The CTCN hierarchy is retained; classifications and component dependencies require validation against the selected design, site and supplier documentation before investment or policy use.</x:v>
      </x:c>
      <x:c r="AA69" s="2" t="str">
        <x:v>Physical deployment of Pasture management requires nurseries or seed banks, field access, water and storage systems, laboratories, extension centres, monitoring plots and processing or market facilities; interfaces, foundations, access and environmental protection are sized to the specific resource and design load.</x:v>
      </x:c>
      <x:c r="AB69" s="2" t="str">
        <x:v>For Pasture management,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69" s="2" t="str">
        <x:v>Construction and operation use seed or planting stock, organic matter, fertilisers, soil amendments, water, fencing or structural materials, veterinary inputs and monitoring consumables. For Pasture management, specifications must include durability, compatibility, recycled content and recoverability.</x:v>
      </x:c>
      <x:c r="AD69" s="2" t="str">
        <x:v>Maintenance of Pasture management depends on seed, inoculants, filters, drip lines, nozzles, tool parts, sampling containers, sensor batteries, veterinary supplies and protective equipment; critical spares are selected from failure-mode, lead-time and safety analysis for its installed configuration.</x:v>
      </x:c>
      <x:c r="AE69" s="2" t="str">
        <x:v>The software stack for Pasture management requires databases, secure communications, version-controlled models, computing, backup and interfaces with field or operational systems.</x:v>
      </x:c>
      <x:c r="AF69" s="2" t="str">
        <x:v>For Pasture management, software-related energy is electricity for sensing, computing, storage, communication and cooling; it is normally secondary but must be included for data-intensive or continuous services.</x:v>
      </x:c>
      <x:c r="AG69" s="2" t="str">
        <x:v>The non-physical inputs are calibrated data, metadata, algorithms, boundary conditions, emission or hazard factors, manuals and validation records specific to Pasture management.</x:v>
      </x:c>
      <x:c r="AH69" s="2" t="str">
        <x:v>Software continuity for Pasture management requires licences where applicable, updates, cybersecurity patches, backups, calibration files, model validation and technical support.</x:v>
      </x:c>
      <x:c r="AI69" s="2" t="str">
        <x:v>Orgware depends on the institutions, laboratories, training providers, regulators, operators and community interfaces needed to govern Pasture management.</x:v>
      </x:c>
      <x:c r="AJ69" s="2" t="str">
        <x:v>The orgware supporting Pasture management has mainly indirect energy use from offices, meetings, training and information systems; travel and field supervision may be material at dispersed sites.</x:v>
      </x:c>
      <x:c r="AK69" s="2" t="str">
        <x:v>Its organisational inputs are permits, budgets, trained staff, competence records, contracts, procedures, safeguards, monitoring evidence and stakeholder agreements tailored to Pasture management.</x:v>
      </x:c>
      <x:c r="AL69" s="2" t="str">
        <x:v>Sustained implementation of Pasture management requires procurement and service contracts, audit protocols, training material, reporting templates, insurance or guarantees and periodic independent review.</x:v>
      </x:c>
      <x:c r="AM69" s="2" t="str">
        <x:v>Phosphate rock; Potash</x:v>
      </x:c>
      <x:c r="AN69" s="2" t="str">
        <x:v>China; Morocco; United States; Canada; Russia; Belarus</x:v>
      </x:c>
      <x:c r="AO69" s="2" t="str">
        <x:v>China; Morocco; United States; Canada; Russia; Belarus</x:v>
      </x:c>
      <x:c r="AP69" s="2" t="str">
        <x:v>Pasture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69" s="2" t="str">
        <x:v>2024–2025</x:v>
      </x:c>
      <x:c r="AR69" s="2" t="str">
        <x:v>https://pubs.usgs.gov/periodicals/mcs2026/mcs2026.pdf</x:v>
      </x:c>
    </x:row>
    <x:row r="70" ht="240" customHeight="1">
      <x:c r="A70" s="2" t="str">
        <x:v>ADP-0063</x:v>
      </x:c>
      <x:c r="B70" s="2" t="str">
        <x:v>Adaptation</x:v>
      </x:c>
      <x:c r="C70" s="2" t="str">
        <x:v>Agriculture and Forestry</x:v>
      </x:c>
      <x:c r="D70" s="2" t="str">
        <x:v>Livestock management</x:v>
      </x:c>
      <x:c r="E70" s="2" t="str">
        <x:v>Livestock feed optimisation</x:v>
      </x:c>
      <x:c r="F70" s="2" t="str">
        <x:v>Livestock feed optimisation is a adaptation technology in the Agriculture and Forestry sector and the Livestock management technology group. It is defined as a combined hardware–software–orgware system that changes vegetation, soil, nutrient, water, crop or livestock management to protect carbon stocks, increase resilience and productivity, and reduce CO₂, CH₄ or N₂O emissions. Feed quality, ration composition, additives, genetics and herd management modify rumen fermentation and animal productivity, reducing methane emitted per unit of product when health and intake are maintained.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70" s="2" t="str">
        <x:v>Flexible</x:v>
      </x:c>
      <x:c r="H70" s="2" t="str">
        <x:v>Livestock feed optimisation is transferable through configurable methods, rules and operating parameters. Its principle remains the same, but resource quality, climate, scale, interfaces and safety constraints must be recalculated for each deployment.</x:v>
      </x:c>
      <x:c r="I70" s="2" t="str">
        <x:v>Primarily soft, with physical support</x:v>
      </x:c>
      <x:c r="J70" s="2" t="str">
        <x:v>Livestock feed optimisation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70" s="2" t="str">
        <x:v>Operation</x:v>
      </x:c>
      <x:c r="L70" s="2" t="str">
        <x:v>Livestock feed optimisation is embodied mainly as an operating practice. The deliverable is accepted only when measurable service, quality, safety and climate-performance criteria are met under real conditions.</x:v>
      </x:c>
      <x:c r="M70" s="2" t="str">
        <x:v>Yes, subject to life-cycle safeguards</x:v>
      </x:c>
      <x:c r="N70" s="2" t="str">
        <x:v>Livestock feed optimisation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70" s="2" t="str">
        <x:v>Livestock feed optimisation: field or forest implements, planting and irrigation equipment, storage or livestock facilities, sampling tools, sensors and protective structures as required.</x:v>
      </x:c>
      <x:c r="P70" s="2" t="str">
        <x:v>Livestock feed optimisation: soil–crop–livestock knowledge, nutrient and water budgets, emission factors, carbon accounting, climate services, monitoring protocols and adaptive management.</x:v>
      </x:c>
      <x:c r="Q70" s="2" t="str">
        <x:v>Livestock feed optimisation: land tenure, extension, producer organisations, veterinary or phytosanitary services, incentives, safeguards, certification and monitoring arrangements.</x:v>
      </x:c>
      <x:c r="R70" s="2" t="str">
        <x:v>Livestock feed optimisation: nurseries or seed banks, field access, water and storage systems, laboratories, extension centres, monitoring plots and processing or market facilities.</x:v>
      </x:c>
      <x:c r="S70" s="2" t="str">
        <x:v>Livestock feed optimisation: human and mechanical work, electricity or fuel for machinery, pumping, cooling and processing; biological energy and solar radiation dominate field processes.</x:v>
      </x:c>
      <x:c r="T70" s="2" t="str">
        <x:v>Livestock feed optimisation: seed or planting stock, organic matter, fertilisers, soil amendments, water, fencing or structural materials, veterinary inputs and monitoring consumables.</x:v>
      </x:c>
      <x:c r="U70" s="2" t="str">
        <x:v>Livestock feed optimisation: seed, inoculants, filters, drip lines, nozzles, tool parts, sampling containers, sensor batteries, veterinary supplies and protective equipment.</x:v>
      </x:c>
      <x:c r="V70" s="2" t="str">
        <x:v>https://www.ctc-n.org/sites/default/files/resources/ctcn_taxonomy_0.pdf</x:v>
      </x:c>
      <x:c r="W70" s="2" t="str">
        <x:v>https://institutoagricoladepueblobello.edu.co/colegiapp/archivostemas/GUIA%209.%5B25%5D.pdf</x:v>
      </x:c>
      <x:c r="X70" s="2" t="str">
        <x:v>https://iiasa.ac.at/what-is-technology</x:v>
      </x:c>
      <x:c r="Y70" s="2" t="str">
        <x:v>https://www.fao.org/climate-change/en; https://www.ipcc.ch/report/ar6/wg3/chapter/chapter-7/; https://openknowledge.fao.org/server/api/core/bitstreams/b21f2087-f398-4718-8461-b92afc82e617/content</x:v>
      </x:c>
      <x:c r="Z70" s="2" t="str">
        <x:v>Technology-specific analytical synthesis. The CTCN hierarchy is retained; classifications and component dependencies require validation against the selected design, site and supplier documentation before investment or policy use.</x:v>
      </x:c>
      <x:c r="AA70" s="2" t="str">
        <x:v>Physical deployment of Livestock feed optimisation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70" s="2" t="str">
        <x:v>For Livestock feed optimisation,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70" s="2" t="str">
        <x:v>Construction and operation use seed or planting stock, organic matter, fertilisers, soil amendments, water, fencing or structural materials, veterinary inputs and monitoring consumables. For Livestock feed optimisation, specifications must include durability, compatibility, recycled content and recoverability.</x:v>
      </x:c>
      <x:c r="AD70" s="2" t="str">
        <x:v>Maintenance of Livestock feed optimisation depends on seed, inoculants, filters, drip lines, nozzles, tool parts, sampling containers, sensor batteries, veterinary supplies and protective equipment; critical spares are selected from failure-mode, lead-time and safety analysis for its installed configuration.</x:v>
      </x:c>
      <x:c r="AE70" s="2" t="str">
        <x:v>The software stack for Livestock feed optimisation requires databases, secure communications, version-controlled models, computing, backup and interfaces with field or operational systems.</x:v>
      </x:c>
      <x:c r="AF70" s="2" t="str">
        <x:v>For Livestock feed optimisation, software-related energy is electricity for sensing, computing, storage, communication and cooling; it is normally secondary but must be included for data-intensive or continuous services.</x:v>
      </x:c>
      <x:c r="AG70" s="2" t="str">
        <x:v>The non-physical inputs are calibrated data, metadata, algorithms, boundary conditions, emission or hazard factors, manuals and validation records specific to Livestock feed optimisation.</x:v>
      </x:c>
      <x:c r="AH70" s="2" t="str">
        <x:v>Software continuity for Livestock feed optimisation requires licences where applicable, updates, cybersecurity patches, backups, calibration files, model validation and technical support.</x:v>
      </x:c>
      <x:c r="AI70" s="2" t="str">
        <x:v>Orgware depends on the institutions, laboratories, training providers, regulators, operators and community interfaces needed to govern Livestock feed optimisation.</x:v>
      </x:c>
      <x:c r="AJ70" s="2" t="str">
        <x:v>The orgware supporting Livestock feed optimisation has mainly indirect energy use from offices, meetings, training and information systems; travel and field supervision may be material at dispersed sites.</x:v>
      </x:c>
      <x:c r="AK70" s="2" t="str">
        <x:v>Its organisational inputs are permits, budgets, trained staff, competence records, contracts, procedures, safeguards, monitoring evidence and stakeholder agreements tailored to Livestock feed optimisation.</x:v>
      </x:c>
      <x:c r="AL70" s="2" t="str">
        <x:v>Sustained implementation of Livestock feed optimisation requires procurement and service contracts, audit protocols, training material, reporting templates, insurance or guarantees and periodic independent review.</x:v>
      </x:c>
      <x:c r="AM70" s="2" t="str">
        <x:v>No critical or strategic raw material is identifiable at taxonomy level; site-specific bulk materials may still be required.</x:v>
      </x:c>
      <x:c r="AN70" s="2" t="str"/>
      <x:c r="AO70" s="2" t="str"/>
      <x:c r="AP70" s="2" t="str">
        <x:v>Livestock feed optimisation: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0" s="2" t="str">
        <x:v>2024–2025</x:v>
      </x:c>
      <x:c r="AR70" s="2" t="str">
        <x:v>https://pubs.usgs.gov/periodicals/mcs2026/mcs2026.pdf</x:v>
      </x:c>
    </x:row>
    <x:row r="71" ht="240" customHeight="1">
      <x:c r="A71" s="2" t="str">
        <x:v>ADP-0064</x:v>
      </x:c>
      <x:c r="B71" s="2" t="str">
        <x:v>Adaptation</x:v>
      </x:c>
      <x:c r="C71" s="2" t="str">
        <x:v>Agriculture and Forestry</x:v>
      </x:c>
      <x:c r="D71" s="2" t="str">
        <x:v>Land management training</x:v>
      </x:c>
      <x:c r="E71" s="2" t="str">
        <x:v>Community-based agricultural extension</x:v>
      </x:c>
      <x:c r="F71" s="2" t="str">
        <x:v>Community-based agricultural extension is a adaptation technology in the Agriculture and Forestry sector and the Land management training technology group. It is defined as a combined hardware–software–orgware system that changes vegetation, soil, nutrient, water, crop or livestock management to protect carbon stocks, increase resilience and productivity, and reduce CO₂, CH₄ or N₂O emissions. Community-based agricultural extension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71" s="2" t="str">
        <x:v>Flexible</x:v>
      </x:c>
      <x:c r="H71" s="2" t="str">
        <x:v>Community-based agricultural extension is transferable through configurable methods, rules and operating parameters. Its principle remains the same, but resource quality, climate, scale, interfaces and safety constraints must be recalculated for each deployment.</x:v>
      </x:c>
      <x:c r="I71" s="2" t="str">
        <x:v>Primarily soft, with physical support</x:v>
      </x:c>
      <x:c r="J71" s="2" t="str">
        <x:v>Community-based agricultural extension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71" s="2" t="str">
        <x:v>Operation</x:v>
      </x:c>
      <x:c r="L71" s="2" t="str">
        <x:v>Community-based agricultural extension is embodied mainly as an operating practice. The deliverable is accepted only when measurable service, quality, safety and climate-performance criteria are met under real conditions.</x:v>
      </x:c>
      <x:c r="M71" s="2" t="str">
        <x:v>Yes, subject to life-cycle safeguards</x:v>
      </x:c>
      <x:c r="N71" s="2" t="str">
        <x:v>Community-based agricultural extension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71" s="2" t="str">
        <x:v>Community-based agricultural extension: field or forest implements, planting and irrigation equipment, storage or livestock facilities, sampling tools, sensors and protective structures as required.</x:v>
      </x:c>
      <x:c r="P71" s="2" t="str">
        <x:v>Community-based agricultural extension: soil–crop–livestock knowledge, nutrient and water budgets, emission factors, carbon accounting, climate services, monitoring protocols and adaptive management.</x:v>
      </x:c>
      <x:c r="Q71" s="2" t="str">
        <x:v>Community-based agricultural extension: land tenure, extension, producer organisations, veterinary or phytosanitary services, incentives, safeguards, certification and monitoring arrangements.</x:v>
      </x:c>
      <x:c r="R71" s="2" t="str">
        <x:v>Community-based agricultural extension: nurseries or seed banks, field access, water and storage systems, laboratories, extension centres, monitoring plots and processing or market facilities.</x:v>
      </x:c>
      <x:c r="S71" s="2" t="str">
        <x:v>Community-based agricultural extension: human and mechanical work, electricity or fuel for machinery, pumping, cooling and processing; biological energy and solar radiation dominate field processes.</x:v>
      </x:c>
      <x:c r="T71" s="2" t="str">
        <x:v>Community-based agricultural extension: seed or planting stock, organic matter, fertilisers, soil amendments, water, fencing or structural materials, veterinary inputs and monitoring consumables.</x:v>
      </x:c>
      <x:c r="U71" s="2" t="str">
        <x:v>Community-based agricultural extension: seed, inoculants, filters, drip lines, nozzles, tool parts, sampling containers, sensor batteries, veterinary supplies and protective equipment.</x:v>
      </x:c>
      <x:c r="V71" s="2" t="str">
        <x:v>https://www.ctc-n.org/sites/default/files/resources/ctcn_taxonomy_0.pdf</x:v>
      </x:c>
      <x:c r="W71" s="2" t="str">
        <x:v>https://institutoagricoladepueblobello.edu.co/colegiapp/archivostemas/GUIA%209.%5B25%5D.pdf</x:v>
      </x:c>
      <x:c r="X71" s="2" t="str">
        <x:v>https://iiasa.ac.at/what-is-technology</x:v>
      </x:c>
      <x:c r="Y71" s="2" t="str">
        <x:v>https://www.fao.org/climate-change/en; https://www.ipcc.ch/report/ar6/wg3/chapter/chapter-7/; https://openknowledge.fao.org/server/api/core/bitstreams/b21f2087-f398-4718-8461-b92afc82e617/content</x:v>
      </x:c>
      <x:c r="Z71" s="2" t="str">
        <x:v>Technology-specific analytical synthesis. The CTCN hierarchy is retained; classifications and component dependencies require validation against the selected design, site and supplier documentation before investment or policy use.</x:v>
      </x:c>
      <x:c r="AA71" s="2" t="str">
        <x:v>Physical deployment of Community-based agricultural extension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71" s="2" t="str">
        <x:v>For Community-based agricultural extension,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71" s="2" t="str">
        <x:v>Construction and operation use seed or planting stock, organic matter, fertilisers, soil amendments, water, fencing or structural materials, veterinary inputs and monitoring consumables. For Community-based agricultural extension, specifications must include durability, compatibility, recycled content and recoverability.</x:v>
      </x:c>
      <x:c r="AD71" s="2" t="str">
        <x:v>Maintenance of Community-based agricultural extension depends on seed, inoculants, filters, drip lines, nozzles, tool parts, sampling containers, sensor batteries, veterinary supplies and protective equipment; critical spares are selected from failure-mode, lead-time and safety analysis for its installed configuration.</x:v>
      </x:c>
      <x:c r="AE71" s="2" t="str">
        <x:v>The software stack for Community-based agricultural extension requires databases, secure communications, version-controlled models, computing, backup and interfaces with field or operational systems.</x:v>
      </x:c>
      <x:c r="AF71" s="2" t="str">
        <x:v>For Community-based agricultural extension, software-related energy is electricity for sensing, computing, storage, communication and cooling; it is normally secondary but must be included for data-intensive or continuous services.</x:v>
      </x:c>
      <x:c r="AG71" s="2" t="str">
        <x:v>The non-physical inputs are calibrated data, metadata, algorithms, boundary conditions, emission or hazard factors, manuals and validation records specific to Community-based agricultural extension.</x:v>
      </x:c>
      <x:c r="AH71" s="2" t="str">
        <x:v>Software continuity for Community-based agricultural extension requires licences where applicable, updates, cybersecurity patches, backups, calibration files, model validation and technical support.</x:v>
      </x:c>
      <x:c r="AI71" s="2" t="str">
        <x:v>Orgware depends on the institutions, laboratories, training providers, regulators, operators and community interfaces needed to govern Community-based agricultural extension.</x:v>
      </x:c>
      <x:c r="AJ71" s="2" t="str">
        <x:v>The orgware supporting Community-based agricultural extension has mainly indirect energy use from offices, meetings, training and information systems; travel and field supervision may be material at dispersed sites.</x:v>
      </x:c>
      <x:c r="AK71" s="2" t="str">
        <x:v>Its organisational inputs are permits, budgets, trained staff, competence records, contracts, procedures, safeguards, monitoring evidence and stakeholder agreements tailored to Community-based agricultural extension.</x:v>
      </x:c>
      <x:c r="AL71" s="2" t="str">
        <x:v>Sustained implementation of Community-based agricultural extension requires procurement and service contracts, audit protocols, training material, reporting templates, insurance or guarantees and periodic independent review.</x:v>
      </x:c>
      <x:c r="AM71" s="2" t="str">
        <x:v>No critical or strategic raw material is identifiable at taxonomy level; site-specific bulk materials may still be required.</x:v>
      </x:c>
      <x:c r="AN71" s="2" t="str"/>
      <x:c r="AO71" s="2" t="str"/>
      <x:c r="AP71" s="2" t="str">
        <x:v>Community-based agricultural extension: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1" s="2" t="str">
        <x:v>2024–2025</x:v>
      </x:c>
      <x:c r="AR71" s="2" t="str">
        <x:v>https://pubs.usgs.gov/periodicals/mcs2026/mcs2026.pdf</x:v>
      </x:c>
    </x:row>
    <x:row r="72" ht="240" customHeight="1">
      <x:c r="A72" s="2" t="str">
        <x:v>ADP-0065</x:v>
      </x:c>
      <x:c r="B72" s="2" t="str">
        <x:v>Adaptation</x:v>
      </x:c>
      <x:c r="C72" s="2" t="str">
        <x:v>Agriculture and Forestry</x:v>
      </x:c>
      <x:c r="D72" s="2" t="str">
        <x:v>Land management training</x:v>
      </x:c>
      <x:c r="E72" s="2" t="str">
        <x:v>Forest user groups</x:v>
      </x:c>
      <x:c r="F72" s="2" t="str">
        <x:v>Forest user groups is a adaptation technology in the Agriculture and Forestry sector and the Land management training technology group. It is defined as a combined hardware–software–orgware system that changes vegetation, soil, nutrient, water, crop or livestock management to protect carbon stocks, increase resilience and productivity, and reduce CO₂, CH₄ or N₂O emissions. Forest user groups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72" s="2" t="str">
        <x:v>Flexible</x:v>
      </x:c>
      <x:c r="H72" s="2" t="str">
        <x:v>Forest user groups is transferable through configurable methods, rules and operating parameters. Its principle remains the same, but resource quality, climate, scale, interfaces and safety constraints must be recalculated for each deployment.</x:v>
      </x:c>
      <x:c r="I72" s="2" t="str">
        <x:v>Primarily soft, with physical support</x:v>
      </x:c>
      <x:c r="J72" s="2" t="str">
        <x:v>Forest user groups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72" s="2" t="str">
        <x:v>Operation</x:v>
      </x:c>
      <x:c r="L72" s="2" t="str">
        <x:v>Forest user groups is embodied mainly as an operating practice. The deliverable is accepted only when measurable service, quality, safety and climate-performance criteria are met under real conditions.</x:v>
      </x:c>
      <x:c r="M72" s="2" t="str">
        <x:v>Yes, subject to life-cycle safeguards</x:v>
      </x:c>
      <x:c r="N72" s="2" t="str">
        <x:v>Forest user groups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72" s="2" t="str">
        <x:v>Forest user groups: field or forest implements, planting and irrigation equipment, storage or livestock facilities, sampling tools, sensors and protective structures as required.</x:v>
      </x:c>
      <x:c r="P72" s="2" t="str">
        <x:v>Forest user groups: soil–crop–livestock knowledge, nutrient and water budgets, emission factors, carbon accounting, climate services, monitoring protocols and adaptive management.</x:v>
      </x:c>
      <x:c r="Q72" s="2" t="str">
        <x:v>Forest user groups: land tenure, extension, producer organisations, veterinary or phytosanitary services, incentives, safeguards, certification and monitoring arrangements.</x:v>
      </x:c>
      <x:c r="R72" s="2" t="str">
        <x:v>Forest user groups: nurseries or seed banks, field access, water and storage systems, laboratories, extension centres, monitoring plots and processing or market facilities.</x:v>
      </x:c>
      <x:c r="S72" s="2" t="str">
        <x:v>Forest user groups: human and mechanical work, electricity or fuel for machinery, pumping, cooling and processing; biological energy and solar radiation dominate field processes.</x:v>
      </x:c>
      <x:c r="T72" s="2" t="str">
        <x:v>Forest user groups: seed or planting stock, organic matter, fertilisers, soil amendments, water, fencing or structural materials, veterinary inputs and monitoring consumables.</x:v>
      </x:c>
      <x:c r="U72" s="2" t="str">
        <x:v>Forest user groups: seed, inoculants, filters, drip lines, nozzles, tool parts, sampling containers, sensor batteries, veterinary supplies and protective equipment.</x:v>
      </x:c>
      <x:c r="V72" s="2" t="str">
        <x:v>https://www.ctc-n.org/sites/default/files/resources/ctcn_taxonomy_0.pdf</x:v>
      </x:c>
      <x:c r="W72" s="2" t="str">
        <x:v>https://institutoagricoladepueblobello.edu.co/colegiapp/archivostemas/GUIA%209.%5B25%5D.pdf</x:v>
      </x:c>
      <x:c r="X72" s="2" t="str">
        <x:v>https://iiasa.ac.at/what-is-technology</x:v>
      </x:c>
      <x:c r="Y72" s="2" t="str">
        <x:v>https://www.fao.org/climate-change/en; https://www.ipcc.ch/report/ar6/wg3/chapter/chapter-7/; https://openknowledge.fao.org/server/api/core/bitstreams/b21f2087-f398-4718-8461-b92afc82e617/content</x:v>
      </x:c>
      <x:c r="Z72" s="2" t="str">
        <x:v>Technology-specific analytical synthesis. The CTCN hierarchy is retained; classifications and component dependencies require validation against the selected design, site and supplier documentation before investment or policy use.</x:v>
      </x:c>
      <x:c r="AA72" s="2" t="str">
        <x:v>Physical deployment of Forest user groups requires nurseries or seed banks, field access, water and storage systems, laboratories, extension centres, monitoring plots and processing or market facilities; interfaces, foundations, access and environmental protection are sized to the specific resource and design load.</x:v>
      </x:c>
      <x:c r="AB72" s="2" t="str">
        <x:v>For Forest user groups,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72" s="2" t="str">
        <x:v>Construction and operation use seed or planting stock, organic matter, fertilisers, soil amendments, water, fencing or structural materials, veterinary inputs and monitoring consumables. For Forest user groups, specifications must include durability, compatibility, recycled content and recoverability.</x:v>
      </x:c>
      <x:c r="AD72" s="2" t="str">
        <x:v>Maintenance of Forest user groups depends on seed, inoculants, filters, drip lines, nozzles, tool parts, sampling containers, sensor batteries, veterinary supplies and protective equipment; critical spares are selected from failure-mode, lead-time and safety analysis for its installed configuration.</x:v>
      </x:c>
      <x:c r="AE72" s="2" t="str">
        <x:v>The software stack for Forest user groups requires databases, secure communications, version-controlled models, computing, backup and interfaces with field or operational systems.</x:v>
      </x:c>
      <x:c r="AF72" s="2" t="str">
        <x:v>For Forest user groups, software-related energy is electricity for sensing, computing, storage, communication and cooling; it is normally secondary but must be included for data-intensive or continuous services.</x:v>
      </x:c>
      <x:c r="AG72" s="2" t="str">
        <x:v>The non-physical inputs are calibrated data, metadata, algorithms, boundary conditions, emission or hazard factors, manuals and validation records specific to Forest user groups.</x:v>
      </x:c>
      <x:c r="AH72" s="2" t="str">
        <x:v>Software continuity for Forest user groups requires licences where applicable, updates, cybersecurity patches, backups, calibration files, model validation and technical support.</x:v>
      </x:c>
      <x:c r="AI72" s="2" t="str">
        <x:v>Orgware depends on the institutions, laboratories, training providers, regulators, operators and community interfaces needed to govern Forest user groups.</x:v>
      </x:c>
      <x:c r="AJ72" s="2" t="str">
        <x:v>The orgware supporting Forest user groups has mainly indirect energy use from offices, meetings, training and information systems; travel and field supervision may be material at dispersed sites.</x:v>
      </x:c>
      <x:c r="AK72" s="2" t="str">
        <x:v>Its organisational inputs are permits, budgets, trained staff, competence records, contracts, procedures, safeguards, monitoring evidence and stakeholder agreements tailored to Forest user groups.</x:v>
      </x:c>
      <x:c r="AL72" s="2" t="str">
        <x:v>Sustained implementation of Forest user groups requires procurement and service contracts, audit protocols, training material, reporting templates, insurance or guarantees and periodic independent review.</x:v>
      </x:c>
      <x:c r="AM72" s="2" t="str">
        <x:v>No critical or strategic raw material is identifiable at taxonomy level; site-specific bulk materials may still be required.</x:v>
      </x:c>
      <x:c r="AN72" s="2" t="str"/>
      <x:c r="AO72" s="2" t="str"/>
      <x:c r="AP72" s="2" t="str">
        <x:v>Forest user groups: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2" s="2" t="str">
        <x:v>2024–2025</x:v>
      </x:c>
      <x:c r="AR72" s="2" t="str">
        <x:v>https://pubs.usgs.gov/periodicals/mcs2026/mcs2026.pdf; https://www.iea.org/reports/global-critical-minerals-outlook-2025</x:v>
      </x:c>
    </x:row>
    <x:row r="73" ht="240" customHeight="1">
      <x:c r="A73" s="2" t="str">
        <x:v>ADP-0066</x:v>
      </x:c>
      <x:c r="B73" s="2" t="str">
        <x:v>Adaptation</x:v>
      </x:c>
      <x:c r="C73" s="2" t="str">
        <x:v>Agriculture and Forestry</x:v>
      </x:c>
      <x:c r="D73" s="2" t="str">
        <x:v>Land management training</x:v>
      </x:c>
      <x:c r="E73" s="2" t="str">
        <x:v>Farmer field schools</x:v>
      </x:c>
      <x:c r="F73" s="2" t="str">
        <x:v>Farmer field schools is a adaptation technology in the Agriculture and Forestry sector and the Land management training technology group. It is defined as a combined hardware–software–orgware system that changes vegetation, soil, nutrient, water, crop or livestock management to protect carbon stocks, increase resilience and productivity, and reduce CO₂, CH₄ or N₂O emissions. Farmer field schools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73" s="2" t="str">
        <x:v>Flexible</x:v>
      </x:c>
      <x:c r="H73" s="2" t="str">
        <x:v>Farmer field schools is transferable through configurable methods, rules and operating parameters. Its principle remains the same, but resource quality, climate, scale, interfaces and safety constraints must be recalculated for each deployment.</x:v>
      </x:c>
      <x:c r="I73" s="2" t="str">
        <x:v>Primarily soft, with physical support</x:v>
      </x:c>
      <x:c r="J73" s="2" t="str">
        <x:v>Farmer field schools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73" s="2" t="str">
        <x:v>Operation</x:v>
      </x:c>
      <x:c r="L73" s="2" t="str">
        <x:v>Farmer field schools is embodied mainly as an operating practice. The deliverable is accepted only when measurable service, quality, safety and climate-performance criteria are met under real conditions.</x:v>
      </x:c>
      <x:c r="M73" s="2" t="str">
        <x:v>Yes, subject to life-cycle safeguards</x:v>
      </x:c>
      <x:c r="N73" s="2" t="str">
        <x:v>Farmer field schools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73" s="2" t="str">
        <x:v>Farmer field schools: field or forest implements, planting and irrigation equipment, storage or livestock facilities, sampling tools, sensors and protective structures as required.</x:v>
      </x:c>
      <x:c r="P73" s="2" t="str">
        <x:v>Farmer field schools: soil–crop–livestock knowledge, nutrient and water budgets, emission factors, carbon accounting, climate services, monitoring protocols and adaptive management.</x:v>
      </x:c>
      <x:c r="Q73" s="2" t="str">
        <x:v>Farmer field schools: land tenure, extension, producer organisations, veterinary or phytosanitary services, incentives, safeguards, certification and monitoring arrangements.</x:v>
      </x:c>
      <x:c r="R73" s="2" t="str">
        <x:v>Farmer field schools: nurseries or seed banks, field access, water and storage systems, laboratories, extension centres, monitoring plots and processing or market facilities.</x:v>
      </x:c>
      <x:c r="S73" s="2" t="str">
        <x:v>Farmer field schools: human and mechanical work, electricity or fuel for machinery, pumping, cooling and processing; biological energy and solar radiation dominate field processes.</x:v>
      </x:c>
      <x:c r="T73" s="2" t="str">
        <x:v>Farmer field schools: seed or planting stock, organic matter, fertilisers, soil amendments, water, fencing or structural materials, veterinary inputs and monitoring consumables.</x:v>
      </x:c>
      <x:c r="U73" s="2" t="str">
        <x:v>Farmer field schools: seed, inoculants, filters, drip lines, nozzles, tool parts, sampling containers, sensor batteries, veterinary supplies and protective equipment.</x:v>
      </x:c>
      <x:c r="V73" s="2" t="str">
        <x:v>https://www.ctc-n.org/sites/default/files/resources/ctcn_taxonomy_0.pdf</x:v>
      </x:c>
      <x:c r="W73" s="2" t="str">
        <x:v>https://institutoagricoladepueblobello.edu.co/colegiapp/archivostemas/GUIA%209.%5B25%5D.pdf</x:v>
      </x:c>
      <x:c r="X73" s="2" t="str">
        <x:v>https://iiasa.ac.at/what-is-technology</x:v>
      </x:c>
      <x:c r="Y73" s="2" t="str">
        <x:v>https://www.fao.org/climate-change/en; https://www.ipcc.ch/report/ar6/wg3/chapter/chapter-7/; https://openknowledge.fao.org/server/api/core/bitstreams/b21f2087-f398-4718-8461-b92afc82e617/content</x:v>
      </x:c>
      <x:c r="Z73" s="2" t="str">
        <x:v>Technology-specific analytical synthesis. The CTCN hierarchy is retained; classifications and component dependencies require validation against the selected design, site and supplier documentation before investment or policy use.</x:v>
      </x:c>
      <x:c r="AA73" s="2" t="str">
        <x:v>Physical deployment of Farmer field schools requires nurseries or seed banks, field access, water and storage systems, laboratories, extension centres, monitoring plots and processing or market facilities; interfaces, foundations, access and environmental protection are sized to the specific resource and design load.</x:v>
      </x:c>
      <x:c r="AB73" s="2" t="str">
        <x:v>For Farmer field schools,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73" s="2" t="str">
        <x:v>Construction and operation use seed or planting stock, organic matter, fertilisers, soil amendments, water, fencing or structural materials, veterinary inputs and monitoring consumables. For Farmer field schools, specifications must include durability, compatibility, recycled content and recoverability.</x:v>
      </x:c>
      <x:c r="AD73" s="2" t="str">
        <x:v>Maintenance of Farmer field schools depends on seed, inoculants, filters, drip lines, nozzles, tool parts, sampling containers, sensor batteries, veterinary supplies and protective equipment; critical spares are selected from failure-mode, lead-time and safety analysis for its installed configuration.</x:v>
      </x:c>
      <x:c r="AE73" s="2" t="str">
        <x:v>The software stack for Farmer field schools requires databases, secure communications, version-controlled models, computing, backup and interfaces with field or operational systems.</x:v>
      </x:c>
      <x:c r="AF73" s="2" t="str">
        <x:v>For Farmer field schools, software-related energy is electricity for sensing, computing, storage, communication and cooling; it is normally secondary but must be included for data-intensive or continuous services.</x:v>
      </x:c>
      <x:c r="AG73" s="2" t="str">
        <x:v>The non-physical inputs are calibrated data, metadata, algorithms, boundary conditions, emission or hazard factors, manuals and validation records specific to Farmer field schools.</x:v>
      </x:c>
      <x:c r="AH73" s="2" t="str">
        <x:v>Software continuity for Farmer field schools requires licences where applicable, updates, cybersecurity patches, backups, calibration files, model validation and technical support.</x:v>
      </x:c>
      <x:c r="AI73" s="2" t="str">
        <x:v>Orgware depends on the institutions, laboratories, training providers, regulators, operators and community interfaces needed to govern Farmer field schools.</x:v>
      </x:c>
      <x:c r="AJ73" s="2" t="str">
        <x:v>The orgware supporting Farmer field schools has mainly indirect energy use from offices, meetings, training and information systems; travel and field supervision may be material at dispersed sites.</x:v>
      </x:c>
      <x:c r="AK73" s="2" t="str">
        <x:v>Its organisational inputs are permits, budgets, trained staff, competence records, contracts, procedures, safeguards, monitoring evidence and stakeholder agreements tailored to Farmer field schools.</x:v>
      </x:c>
      <x:c r="AL73" s="2" t="str">
        <x:v>Sustained implementation of Farmer field schools requires procurement and service contracts, audit protocols, training material, reporting templates, insurance or guarantees and periodic independent review.</x:v>
      </x:c>
      <x:c r="AM73" s="2" t="str">
        <x:v>No critical or strategic raw material is identifiable at taxonomy level; site-specific bulk materials may still be required.</x:v>
      </x:c>
      <x:c r="AN73" s="2" t="str"/>
      <x:c r="AO73" s="2" t="str"/>
      <x:c r="AP73" s="2" t="str">
        <x:v>Farmer field schools: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3" s="2" t="str">
        <x:v>2024–2025</x:v>
      </x:c>
      <x:c r="AR73" s="2" t="str">
        <x:v>https://pubs.usgs.gov/periodicals/mcs2026/mcs2026.pdf</x:v>
      </x:c>
    </x:row>
    <x:row r="74" ht="240" customHeight="1">
      <x:c r="A74" s="2" t="str">
        <x:v>ADP-0067</x:v>
      </x:c>
      <x:c r="B74" s="2" t="str">
        <x:v>Adaptation</x:v>
      </x:c>
      <x:c r="C74" s="2" t="str">
        <x:v>Water</x:v>
      </x:c>
      <x:c r="D74" s="2" t="str">
        <x:v>Water efficiency and demand management</x:v>
      </x:c>
      <x:c r="E74" s="2" t="str">
        <x:v>Water efficiency in industry</x:v>
      </x:c>
      <x:c r="F74" s="2" t="str">
        <x:v>Water efficiency in industry is a adaptation technology in the Water sector and the Water efficiency and demand management technology group. It is defined as a combined hardware–software–orgware system that changes industrial chemistry, heat integration, equipment efficiency, material yield, fuel, process route or product design to reduce direct and energy-related emissions per unit of output. Water efficiency in industry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74" s="2" t="str">
        <x:v>Flexible</x:v>
      </x:c>
      <x:c r="H74" s="2" t="str">
        <x:v>Water efficiency in industry is transferable through configurable methods, rules and operating parameters. Its principle remains the same, but resource quality, climate, scale, interfaces and safety constraints must be recalculated for each deployment.</x:v>
      </x:c>
      <x:c r="I74" s="2" t="str">
        <x:v>Primarily soft, with physical support</x:v>
      </x:c>
      <x:c r="J74" s="2" t="str">
        <x:v>Water efficiency in industry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74" s="2" t="str">
        <x:v>Operation</x:v>
      </x:c>
      <x:c r="L74" s="2" t="str">
        <x:v>Water efficiency in industry is embodied mainly as an operating practice. The deliverable is accepted only when measurable service, quality, safety and climate-performance criteria are met under real conditions.</x:v>
      </x:c>
      <x:c r="M74" s="2" t="str">
        <x:v>Yes, subject to life-cycle safeguards</x:v>
      </x:c>
      <x:c r="N74" s="2" t="str">
        <x:v>Water efficiency in industry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74" s="2" t="str">
        <x:v>Water efficiency in industry: process reactors or furnaces, heat exchangers, motors and drives, compressors, burners, controls, pollution abatement, material handling and measurement equipment.</x:v>
      </x:c>
      <x:c r="P74" s="2" t="str">
        <x:v>Water efficiency in industry: process simulation, pinch and heat-integration analysis, advanced control, production scheduling, quality control, energy management and life-cycle assessment.</x:v>
      </x:c>
      <x:c r="Q74" s="2" t="str">
        <x:v>Water efficiency in industry: industrial permits, product standards, operating procedures, maintenance and competence systems, procurement, energy management and industrial-symbiosis agreements.</x:v>
      </x:c>
      <x:c r="R74" s="2" t="str">
        <x:v>Water efficiency in industry: industrial site, utilities, fuel and electricity supply, material storage, process buildings, laboratories, waste handling and logistics.</x:v>
      </x:c>
      <x:c r="S74" s="2" t="str">
        <x:v>Water efficiency in industry: electricity, steam, process heat, cooling and fuels; useful-energy efficiency, heat recovery and carbon intensity of supply determine savings.</x:v>
      </x:c>
      <x:c r="T74" s="2" t="str">
        <x:v>Water efficiency in industry: process feedstocks, steel and refractory materials, catalysts, solvents, lubricants, insulation, piping, sensors and technology-specific alloying elements.</x:v>
      </x:c>
      <x:c r="U74" s="2" t="str">
        <x:v>Water efficiency in industry: refractory linings, bearings, seals, valves, filters, burners, electrodes, sensors, control modules, lubricants and calibrated instruments.</x:v>
      </x:c>
      <x:c r="V74" s="2" t="str">
        <x:v>https://www.ctc-n.org/sites/default/files/resources/ctcn_taxonomy_0.pdf</x:v>
      </x:c>
      <x:c r="W74" s="2" t="str">
        <x:v>https://institutoagricoladepueblobello.edu.co/colegiapp/archivostemas/GUIA%209.%5B25%5D.pdf</x:v>
      </x:c>
      <x:c r="X74" s="2" t="str">
        <x:v>https://iiasa.ac.at/what-is-technology</x:v>
      </x:c>
      <x:c r="Y74" s="2" t="str">
        <x:v>https://www.unwater.org/water-facts/climate-change; https://www.ipcc.ch/report/ar6/wg3/chapter/chapter-11/</x:v>
      </x:c>
      <x:c r="Z74" s="2" t="str">
        <x:v>Technology-specific analytical synthesis. The CTCN hierarchy is retained; classifications and component dependencies require validation against the selected design, site and supplier documentation before investment or policy use.</x:v>
      </x:c>
      <x:c r="AA74" s="2" t="str">
        <x:v>Physical deployment of Water efficiency in industry requires industrial site, utilities, fuel and electricity supply, material storage, process buildings, laboratories, waste handling and logistics; interfaces, foundations, access and environmental protection are sized to the specific resource and design load.</x:v>
      </x:c>
      <x:c r="AB74" s="2" t="str">
        <x:v>For Water efficiency in industry,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74" s="2" t="str">
        <x:v>Construction and operation use process feedstocks, steel and refractory materials, catalysts, solvents, lubricants, insulation, piping, sensors and technology-specific alloying elements. For Water efficiency in industry, specifications must include durability, compatibility, recycled content and recoverability.</x:v>
      </x:c>
      <x:c r="AD74" s="2" t="str">
        <x:v>Maintenance of Water efficiency in industry depends on refractory linings, bearings, seals, valves, filters, burners, electrodes, sensors, control modules, lubricants and calibrated instruments; critical spares are selected from failure-mode, lead-time and safety analysis for its installed configuration.</x:v>
      </x:c>
      <x:c r="AE74" s="2" t="str">
        <x:v>The software stack for Water efficiency in industry requires databases, secure communications, version-controlled models, computing, backup and interfaces with field or operational systems.</x:v>
      </x:c>
      <x:c r="AF74" s="2" t="str">
        <x:v>For Water efficiency in industry, software-related energy is electricity for sensing, computing, storage, communication and cooling; it is normally secondary but must be included for data-intensive or continuous services.</x:v>
      </x:c>
      <x:c r="AG74" s="2" t="str">
        <x:v>The non-physical inputs are calibrated data, metadata, algorithms, boundary conditions, emission or hazard factors, manuals and validation records specific to Water efficiency in industry.</x:v>
      </x:c>
      <x:c r="AH74" s="2" t="str">
        <x:v>Software continuity for Water efficiency in industry requires licences where applicable, updates, cybersecurity patches, backups, calibration files, model validation and technical support.</x:v>
      </x:c>
      <x:c r="AI74" s="2" t="str">
        <x:v>Orgware depends on the institutions, laboratories, training providers, regulators, operators and community interfaces needed to govern Water efficiency in industry.</x:v>
      </x:c>
      <x:c r="AJ74" s="2" t="str">
        <x:v>The orgware supporting Water efficiency in industry has mainly indirect energy use from offices, meetings, training and information systems; travel and field supervision may be material at dispersed sites.</x:v>
      </x:c>
      <x:c r="AK74" s="2" t="str">
        <x:v>Its organisational inputs are permits, budgets, trained staff, competence records, contracts, procedures, safeguards, monitoring evidence and stakeholder agreements tailored to Water efficiency in industry.</x:v>
      </x:c>
      <x:c r="AL74" s="2" t="str">
        <x:v>Sustained implementation of Water efficiency in industry requires procurement and service contracts, audit protocols, training material, reporting templates, insurance or guarantees and periodic independent review.</x:v>
      </x:c>
      <x:c r="AM74" s="2" t="str">
        <x:v>Iron ore / steel inputs</x:v>
      </x:c>
      <x:c r="AN74" s="2" t="str">
        <x:v>Australia; Brazil; China</x:v>
      </x:c>
      <x:c r="AO74" s="2" t="str">
        <x:v>China; India; Japan</x:v>
      </x:c>
      <x:c r="AP74" s="2" t="str">
        <x:v>Water efficiency in industry: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4" s="2" t="str">
        <x:v>2024–2025</x:v>
      </x:c>
      <x:c r="AR74" s="2" t="str">
        <x:v>https://pubs.usgs.gov/periodicals/mcs2026/mcs2026.pdf</x:v>
      </x:c>
    </x:row>
    <x:row r="75" ht="240" customHeight="1">
      <x:c r="A75" s="2" t="str">
        <x:v>ADP-0068</x:v>
      </x:c>
      <x:c r="B75" s="2" t="str">
        <x:v>Adaptation</x:v>
      </x:c>
      <x:c r="C75" s="2" t="str">
        <x:v>Water</x:v>
      </x:c>
      <x:c r="D75" s="2" t="str">
        <x:v>Water efficiency and demand management</x:v>
      </x:c>
      <x:c r="E75" s="2" t="str">
        <x:v>Leakage management in piped systems</x:v>
      </x:c>
      <x:c r="F75" s="2" t="str">
        <x:v>Leakage management in piped systems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It locates losses by measurement and inspection, quantifies leak rate and restores containment through repair, pressure management or component replacement.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75" s="2" t="str">
        <x:v>Flexible</x:v>
      </x:c>
      <x:c r="H75" s="2" t="str">
        <x:v>Leakage management in piped systems is transferable through configurable methods, rules and operating parameters. Its principle remains the same, but resource quality, climate, scale, interfaces and safety constraints must be recalculated for each deployment.</x:v>
      </x:c>
      <x:c r="I75" s="2" t="str">
        <x:v>Primarily soft, with physical support</x:v>
      </x:c>
      <x:c r="J75" s="2" t="str">
        <x:v>Leakage management in piped systems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75" s="2" t="str">
        <x:v>Operation</x:v>
      </x:c>
      <x:c r="L75" s="2" t="str">
        <x:v>Leakage management in piped systems is embodied mainly as an operating practice. The deliverable is accepted only when measurable service, quality, safety and climate-performance criteria are met under real conditions.</x:v>
      </x:c>
      <x:c r="M75" s="2" t="str">
        <x:v>Yes, subject to life-cycle safeguards</x:v>
      </x:c>
      <x:c r="N75" s="2" t="str">
        <x:v>Leakage management in piped systems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75" s="2" t="str">
        <x:v>Leakage management in piped systems: intakes, pipes, pumps, meters, valves, tanks, treatment units, drainage or flood structures, monitoring stations and nature-based elements as applicable.</x:v>
      </x:c>
      <x:c r="P75" s="2" t="str">
        <x:v>Leakage management in piped systems: water balance, hydraulic and hydrological modelling, demand forecasting, water-quality analysis, asset management, drought or flood rules and decision support.</x:v>
      </x:c>
      <x:c r="Q75" s="2" t="str">
        <x:v>Leakage management in piped systems: water rights and permits, utility responsibilities, basin governance, service standards, emergency protocols, tariffs, maintenance funding and stakeholder agreements.</x:v>
      </x:c>
      <x:c r="R75" s="2" t="str">
        <x:v>Leakage management in piped systems: catchment or coast, treatment and storage sites, conveyance and drainage network, power supply, laboratory, control room and safe access.</x:v>
      </x:c>
      <x:c r="S75" s="2" t="str">
        <x:v>Leakage management in piped systems: electricity or fuel for pumping, aeration, desalination, treatment and controls; gravity and ecosystem processes can reduce auxiliary demand.</x:v>
      </x:c>
      <x:c r="T75" s="2" t="str">
        <x:v>Leakage management in piped systems: concrete, steel, ductile iron or polymers, filter media, membranes, treatment chemicals, geotextiles, soil, rock and vegetation according to the measure.</x:v>
      </x:c>
      <x:c r="U75" s="2" t="str">
        <x:v>Leakage management in piped systems: pump and valve parts, seals, meters, sensors, membranes, lamps, filter media, dosing equipment, reagents and erosion-control materials.</x:v>
      </x:c>
      <x:c r="V75" s="2" t="str">
        <x:v>https://www.ctc-n.org/sites/default/files/resources/ctcn_taxonomy_0.pdf</x:v>
      </x:c>
      <x:c r="W75" s="2" t="str">
        <x:v>https://institutoagricoladepueblobello.edu.co/colegiapp/archivostemas/GUIA%209.%5B25%5D.pdf</x:v>
      </x:c>
      <x:c r="X75" s="2" t="str">
        <x:v>https://iiasa.ac.at/what-is-technology</x:v>
      </x:c>
      <x:c r="Y75" s="2" t="str">
        <x:v>https://www.unwater.org/water-facts/climate-change</x:v>
      </x:c>
      <x:c r="Z75" s="2" t="str">
        <x:v>Technology-specific analytical synthesis. The CTCN hierarchy is retained; classifications and component dependencies require validation against the selected design, site and supplier documentation before investment or policy use.</x:v>
      </x:c>
      <x:c r="AA75" s="2" t="str">
        <x:v>Physical deployment of Leakage management in piped systems requires catchment or coast, treatment and storage sites, conveyance and drainage network, power supply, laboratory, control room and safe access; interfaces, foundations, access and environmental protection are sized to the specific resource and design load.</x:v>
      </x:c>
      <x:c r="AB75" s="2" t="str">
        <x:v>For Leakage management in piped systems,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75" s="2" t="str">
        <x:v>Construction and operation use concrete, steel, ductile iron or polymers, filter media, membranes, treatment chemicals, geotextiles, soil, rock and vegetation according to the measure. For Leakage management in piped systems, specifications must include durability, compatibility, recycled content and recoverability.</x:v>
      </x:c>
      <x:c r="AD75" s="2" t="str">
        <x:v>Maintenance of Leakage management in piped systems depends on pump and valve parts, seals, meters, sensors, membranes, lamps, filter media, dosing equipment, reagents and erosion-control materials; critical spares are selected from failure-mode, lead-time and safety analysis for its installed configuration.</x:v>
      </x:c>
      <x:c r="AE75" s="2" t="str">
        <x:v>The software stack for Leakage management in piped systems requires databases, secure communications, version-controlled models, computing, backup and interfaces with field or operational systems.</x:v>
      </x:c>
      <x:c r="AF75" s="2" t="str">
        <x:v>For Leakage management in piped systems, software-related energy is electricity for sensing, computing, storage, communication and cooling; it is normally secondary but must be included for data-intensive or continuous services.</x:v>
      </x:c>
      <x:c r="AG75" s="2" t="str">
        <x:v>The non-physical inputs are calibrated data, metadata, algorithms, boundary conditions, emission or hazard factors, manuals and validation records specific to Leakage management in piped systems.</x:v>
      </x:c>
      <x:c r="AH75" s="2" t="str">
        <x:v>Software continuity for Leakage management in piped systems requires licences where applicable, updates, cybersecurity patches, backups, calibration files, model validation and technical support.</x:v>
      </x:c>
      <x:c r="AI75" s="2" t="str">
        <x:v>Orgware depends on the institutions, laboratories, training providers, regulators, operators and community interfaces needed to govern Leakage management in piped systems.</x:v>
      </x:c>
      <x:c r="AJ75" s="2" t="str">
        <x:v>The orgware supporting Leakage management in piped systems has mainly indirect energy use from offices, meetings, training and information systems; travel and field supervision may be material at dispersed sites.</x:v>
      </x:c>
      <x:c r="AK75" s="2" t="str">
        <x:v>Its organisational inputs are permits, budgets, trained staff, competence records, contracts, procedures, safeguards, monitoring evidence and stakeholder agreements tailored to Leakage management in piped systems.</x:v>
      </x:c>
      <x:c r="AL75" s="2" t="str">
        <x:v>Sustained implementation of Leakage management in piped systems requires procurement and service contracts, audit protocols, training material, reporting templates, insurance or guarantees and periodic independent review.</x:v>
      </x:c>
      <x:c r="AM75" s="2" t="str">
        <x:v>Iron ore / steel inputs</x:v>
      </x:c>
      <x:c r="AN75" s="2" t="str">
        <x:v>Australia; Brazil; China</x:v>
      </x:c>
      <x:c r="AO75" s="2" t="str">
        <x:v>China; India; Japan</x:v>
      </x:c>
      <x:c r="AP75" s="2" t="str">
        <x:v>Leakage management in piped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5" s="2" t="str">
        <x:v>2024–2025</x:v>
      </x:c>
      <x:c r="AR75" s="2" t="str">
        <x:v>https://pubs.usgs.gov/periodicals/mcs2026/mcs2026.pdf</x:v>
      </x:c>
    </x:row>
    <x:row r="76" ht="240" customHeight="1">
      <x:c r="A76" s="2" t="str">
        <x:v>ADP-0069</x:v>
      </x:c>
      <x:c r="B76" s="2" t="str">
        <x:v>Adaptation</x:v>
      </x:c>
      <x:c r="C76" s="2" t="str">
        <x:v>Water</x:v>
      </x:c>
      <x:c r="D76" s="2" t="str">
        <x:v>Water efficiency and demand management</x:v>
      </x:c>
      <x:c r="E76" s="2" t="str">
        <x:v>Water accounting</x:v>
      </x:c>
      <x:c r="F76" s="2" t="str">
        <x:v>Water accounting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Water accounting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76" s="2" t="str">
        <x:v>Flexible</x:v>
      </x:c>
      <x:c r="H76" s="2" t="str">
        <x:v>Water accounting is transferable through configurable methods, rules and operating parameters. Its principle remains the same, but resource quality, climate, scale, interfaces and safety constraints must be recalculated for each deployment.</x:v>
      </x:c>
      <x:c r="I76" s="2" t="str">
        <x:v>Primarily soft, with physical support</x:v>
      </x:c>
      <x:c r="J76" s="2" t="str">
        <x:v>Water accounting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76" s="2" t="str">
        <x:v>Operation</x:v>
      </x:c>
      <x:c r="L76" s="2" t="str">
        <x:v>Water accounting is embodied mainly as an operating practice. The deliverable is accepted only when measurable service, quality, safety and climate-performance criteria are met under real conditions.</x:v>
      </x:c>
      <x:c r="M76" s="2" t="str">
        <x:v>Yes, subject to life-cycle safeguards</x:v>
      </x:c>
      <x:c r="N76" s="2" t="str">
        <x:v>Water accounting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76" s="2" t="str">
        <x:v>Water accounting: intakes, pipes, pumps, meters, valves, tanks, treatment units, drainage or flood structures, monitoring stations and nature-based elements as applicable.</x:v>
      </x:c>
      <x:c r="P76" s="2" t="str">
        <x:v>Water accounting: water balance, hydraulic and hydrological modelling, demand forecasting, water-quality analysis, asset management, drought or flood rules and decision support.</x:v>
      </x:c>
      <x:c r="Q76" s="2" t="str">
        <x:v>Water accounting: water rights and permits, utility responsibilities, basin governance, service standards, emergency protocols, tariffs, maintenance funding and stakeholder agreements.</x:v>
      </x:c>
      <x:c r="R76" s="2" t="str">
        <x:v>Water accounting: catchment or coast, treatment and storage sites, conveyance and drainage network, power supply, laboratory, control room and safe access.</x:v>
      </x:c>
      <x:c r="S76" s="2" t="str">
        <x:v>Water accounting: electricity or fuel for pumping, aeration, desalination, treatment and controls; gravity and ecosystem processes can reduce auxiliary demand.</x:v>
      </x:c>
      <x:c r="T76" s="2" t="str">
        <x:v>Water accounting: concrete, steel, ductile iron or polymers, filter media, membranes, treatment chemicals, geotextiles, soil, rock and vegetation according to the measure.</x:v>
      </x:c>
      <x:c r="U76" s="2" t="str">
        <x:v>Water accounting: pump and valve parts, seals, meters, sensors, membranes, lamps, filter media, dosing equipment, reagents and erosion-control materials.</x:v>
      </x:c>
      <x:c r="V76" s="2" t="str">
        <x:v>https://www.ctc-n.org/sites/default/files/resources/ctcn_taxonomy_0.pdf</x:v>
      </x:c>
      <x:c r="W76" s="2" t="str">
        <x:v>https://institutoagricoladepueblobello.edu.co/colegiapp/archivostemas/GUIA%209.%5B25%5D.pdf</x:v>
      </x:c>
      <x:c r="X76" s="2" t="str">
        <x:v>https://iiasa.ac.at/what-is-technology</x:v>
      </x:c>
      <x:c r="Y76" s="2" t="str">
        <x:v>https://www.unwater.org/water-facts/climate-change</x:v>
      </x:c>
      <x:c r="Z76" s="2" t="str">
        <x:v>Technology-specific analytical synthesis. The CTCN hierarchy is retained; classifications and component dependencies require validation against the selected design, site and supplier documentation before investment or policy use.</x:v>
      </x:c>
      <x:c r="AA76" s="2" t="str">
        <x:v>Physical deployment of Water accounting requires catchment or coast, treatment and storage sites, conveyance and drainage network, power supply, laboratory, control room and safe access; interfaces, foundations, access and environmental protection are sized to the specific resource and design load.</x:v>
      </x:c>
      <x:c r="AB76" s="2" t="str">
        <x:v>For Water accounting,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76" s="2" t="str">
        <x:v>Construction and operation use concrete, steel, ductile iron or polymers, filter media, membranes, treatment chemicals, geotextiles, soil, rock and vegetation according to the measure. For Water accounting, specifications must include durability, compatibility, recycled content and recoverability.</x:v>
      </x:c>
      <x:c r="AD76" s="2" t="str">
        <x:v>Maintenance of Water accounting depends on pump and valve parts, seals, meters, sensors, membranes, lamps, filter media, dosing equipment, reagents and erosion-control materials; critical spares are selected from failure-mode, lead-time and safety analysis for its installed configuration.</x:v>
      </x:c>
      <x:c r="AE76" s="2" t="str">
        <x:v>The software stack for Water accounting requires databases, secure communications, version-controlled models, computing, backup and interfaces with field or operational systems.</x:v>
      </x:c>
      <x:c r="AF76" s="2" t="str">
        <x:v>For Water accounting, software-related energy is electricity for sensing, computing, storage, communication and cooling; it is normally secondary but must be included for data-intensive or continuous services.</x:v>
      </x:c>
      <x:c r="AG76" s="2" t="str">
        <x:v>The non-physical inputs are calibrated data, metadata, algorithms, boundary conditions, emission or hazard factors, manuals and validation records specific to Water accounting.</x:v>
      </x:c>
      <x:c r="AH76" s="2" t="str">
        <x:v>Software continuity for Water accounting requires licences where applicable, updates, cybersecurity patches, backups, calibration files, model validation and technical support.</x:v>
      </x:c>
      <x:c r="AI76" s="2" t="str">
        <x:v>Orgware depends on the institutions, laboratories, training providers, regulators, operators and community interfaces needed to govern Water accounting.</x:v>
      </x:c>
      <x:c r="AJ76" s="2" t="str">
        <x:v>The orgware supporting Water accounting has mainly indirect energy use from offices, meetings, training and information systems; travel and field supervision may be material at dispersed sites.</x:v>
      </x:c>
      <x:c r="AK76" s="2" t="str">
        <x:v>Its organisational inputs are permits, budgets, trained staff, competence records, contracts, procedures, safeguards, monitoring evidence and stakeholder agreements tailored to Water accounting.</x:v>
      </x:c>
      <x:c r="AL76" s="2" t="str">
        <x:v>Sustained implementation of Water accounting requires procurement and service contracts, audit protocols, training material, reporting templates, insurance or guarantees and periodic independent review.</x:v>
      </x:c>
      <x:c r="AM76" s="2" t="str">
        <x:v>Iron ore / steel inputs</x:v>
      </x:c>
      <x:c r="AN76" s="2" t="str">
        <x:v>Australia; Brazil; China</x:v>
      </x:c>
      <x:c r="AO76" s="2" t="str">
        <x:v>China; India; Japan</x:v>
      </x:c>
      <x:c r="AP76" s="2" t="str">
        <x:v>Water accounting: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6" s="2" t="str">
        <x:v>2024–2025</x:v>
      </x:c>
      <x:c r="AR76" s="2" t="str">
        <x:v>https://pubs.usgs.gov/periodicals/mcs2026/mcs2026.pdf</x:v>
      </x:c>
    </x:row>
    <x:row r="77" ht="240" customHeight="1">
      <x:c r="A77" s="2" t="str">
        <x:v>ADP-0070</x:v>
      </x:c>
      <x:c r="B77" s="2" t="str">
        <x:v>Adaptation</x:v>
      </x:c>
      <x:c r="C77" s="2" t="str">
        <x:v>Water</x:v>
      </x:c>
      <x:c r="D77" s="2" t="str">
        <x:v>Water efficiency and demand management</x:v>
      </x:c>
      <x:c r="E77" s="2" t="str">
        <x:v>Irrigation efficiency and information systems</x:v>
      </x:c>
      <x:c r="F77" s="2" t="str">
        <x:v>Irrigation efficiency and information systems is a adaptation technology in the Water sector and the Water efficiency and demand management technology group. It is defined as a combined hardware–software–orgware system that changes vegetation, soil, nutrient, water, crop or livestock management to protect carbon stocks, increase resilience and productivity, and reduce CO₂, CH₄ or N₂O emissions. Irrigation efficiency and information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77" s="2" t="str">
        <x:v>Flexible</x:v>
      </x:c>
      <x:c r="H77" s="2" t="str">
        <x:v>Irrigation efficiency and information systems is transferable through configurable methods, rules and operating parameters. Its principle remains the same, but resource quality, climate, scale, interfaces and safety constraints must be recalculated for each deployment.</x:v>
      </x:c>
      <x:c r="I77" s="2" t="str">
        <x:v>Hard and soft</x:v>
      </x:c>
      <x:c r="J77" s="2" t="str">
        <x:v>Irrigation efficiency and information systems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77" s="2" t="str">
        <x:v>Operation and information service</x:v>
      </x:c>
      <x:c r="L77" s="2" t="str">
        <x:v>Irrigation efficiency and information systems is embodied mainly as an information and decision service. The deliverable is accepted only when measurable service, quality, safety and climate-performance criteria are met under real conditions.</x:v>
      </x:c>
      <x:c r="M77" s="2" t="str">
        <x:v>Yes, subject to life-cycle safeguards</x:v>
      </x:c>
      <x:c r="N77" s="2" t="str">
        <x:v>Irrigation efficiency and information systems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77" s="2" t="str">
        <x:v>Irrigation efficiency and information systems: field or forest implements, planting and irrigation equipment, storage or livestock facilities, sampling tools, sensors and protective structures as required.</x:v>
      </x:c>
      <x:c r="P77" s="2" t="str">
        <x:v>Irrigation efficiency and information systems: soil–crop–livestock knowledge, nutrient and water budgets, emission factors, carbon accounting, climate services, monitoring protocols and adaptive management.</x:v>
      </x:c>
      <x:c r="Q77" s="2" t="str">
        <x:v>Irrigation efficiency and information systems: land tenure, extension, producer organisations, veterinary or phytosanitary services, incentives, safeguards, certification and monitoring arrangements.</x:v>
      </x:c>
      <x:c r="R77" s="2" t="str">
        <x:v>Irrigation efficiency and information systems: nurseries or seed banks, field access, water and storage systems, laboratories, extension centres, monitoring plots and processing or market facilities.</x:v>
      </x:c>
      <x:c r="S77" s="2" t="str">
        <x:v>Irrigation efficiency and information systems: human and mechanical work, electricity or fuel for machinery, pumping, cooling and processing; biological energy and solar radiation dominate field processes.</x:v>
      </x:c>
      <x:c r="T77" s="2" t="str">
        <x:v>Irrigation efficiency and information systems: seed or planting stock, organic matter, fertilisers, soil amendments, water, fencing or structural materials, veterinary inputs and monitoring consumables.</x:v>
      </x:c>
      <x:c r="U77" s="2" t="str">
        <x:v>Irrigation efficiency and information systems: seed, inoculants, filters, drip lines, nozzles, tool parts, sampling containers, sensor batteries, veterinary supplies and protective equipment.</x:v>
      </x:c>
      <x:c r="V77" s="2" t="str">
        <x:v>https://www.ctc-n.org/sites/default/files/resources/ctcn_taxonomy_0.pdf</x:v>
      </x:c>
      <x:c r="W77" s="2" t="str">
        <x:v>https://institutoagricoladepueblobello.edu.co/colegiapp/archivostemas/GUIA%209.%5B25%5D.pdf</x:v>
      </x:c>
      <x:c r="X77" s="2" t="str">
        <x:v>https://iiasa.ac.at/what-is-technology</x:v>
      </x:c>
      <x:c r="Y77" s="2" t="str">
        <x:v>https://www.unwater.org/water-facts/climate-change; https://www.ipcc.ch/report/ar6/wg3/chapter/chapter-7/; https://openknowledge.fao.org/server/api/core/bitstreams/b21f2087-f398-4718-8461-b92afc82e617/content</x:v>
      </x:c>
      <x:c r="Z77" s="2" t="str">
        <x:v>Technology-specific analytical synthesis. The CTCN hierarchy is retained; classifications and component dependencies require validation against the selected design, site and supplier documentation before investment or policy use.</x:v>
      </x:c>
      <x:c r="AA77" s="2" t="str">
        <x:v>Physical deployment of Irrigation efficiency and information systems requires nurseries or seed banks, field access, water and storage systems, laboratories, extension centres, monitoring plots and processing or market facilities; interfaces, foundations, access and environmental protection are sized to the specific resource and design load.</x:v>
      </x:c>
      <x:c r="AB77" s="2" t="str">
        <x:v>For Irrigation efficiency and information systems,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77" s="2" t="str">
        <x:v>Construction and operation use seed or planting stock, organic matter, fertilisers, soil amendments, water, fencing or structural materials, veterinary inputs and monitoring consumables. For Irrigation efficiency and information systems, specifications must include durability, compatibility, recycled content and recoverability.</x:v>
      </x:c>
      <x:c r="AD77" s="2" t="str">
        <x:v>Maintenance of Irrigation efficiency and information systems depends on seed, inoculants, filters, drip lines, nozzles, tool parts, sampling containers, sensor batteries, veterinary supplies and protective equipment; critical spares are selected from failure-mode, lead-time and safety analysis for its installed configuration.</x:v>
      </x:c>
      <x:c r="AE77" s="2" t="str">
        <x:v>The software stack for Irrigation efficiency and information systems requires databases, secure communications, version-controlled models, computing, backup and interfaces with field or operational systems.</x:v>
      </x:c>
      <x:c r="AF77" s="2" t="str">
        <x:v>For Irrigation efficiency and information systems, software-related energy is electricity for sensing, computing, storage, communication and cooling; it is normally secondary but must be included for data-intensive or continuous services.</x:v>
      </x:c>
      <x:c r="AG77" s="2" t="str">
        <x:v>The non-physical inputs are calibrated data, metadata, algorithms, boundary conditions, emission or hazard factors, manuals and validation records specific to Irrigation efficiency and information systems.</x:v>
      </x:c>
      <x:c r="AH77" s="2" t="str">
        <x:v>Software continuity for Irrigation efficiency and information systems requires licences where applicable, updates, cybersecurity patches, backups, calibration files, model validation and technical support.</x:v>
      </x:c>
      <x:c r="AI77" s="2" t="str">
        <x:v>Orgware depends on the institutions, laboratories, training providers, regulators, operators and community interfaces needed to govern Irrigation efficiency and information systems.</x:v>
      </x:c>
      <x:c r="AJ77" s="2" t="str">
        <x:v>The orgware supporting Irrigation efficiency and information systems has mainly indirect energy use from offices, meetings, training and information systems; travel and field supervision may be material at dispersed sites.</x:v>
      </x:c>
      <x:c r="AK77" s="2" t="str">
        <x:v>Its organisational inputs are permits, budgets, trained staff, competence records, contracts, procedures, safeguards, monitoring evidence and stakeholder agreements tailored to Irrigation efficiency and information systems.</x:v>
      </x:c>
      <x:c r="AL77" s="2" t="str">
        <x:v>Sustained implementation of Irrigation efficiency and information systems requires procurement and service contracts, audit protocols, training material, reporting templates, insurance or guarantees and periodic independent review.</x:v>
      </x:c>
      <x:c r="AM77" s="2" t="str">
        <x:v>No critical or strategic raw material is identifiable at taxonomy level; site-specific bulk materials may still be required.</x:v>
      </x:c>
      <x:c r="AN77" s="2" t="str"/>
      <x:c r="AO77" s="2" t="str"/>
      <x:c r="AP77" s="2" t="str">
        <x:v>Irrigation efficiency and information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7" s="2" t="str">
        <x:v>2024–2025</x:v>
      </x:c>
      <x:c r="AR77" s="2" t="str">
        <x:v>https://pubs.usgs.gov/periodicals/mcs2026/mcs2026.pdf; https://www.iea.org/reports/global-critical-minerals-outlook-2025</x:v>
      </x:c>
    </x:row>
    <x:row r="78" ht="240" customHeight="1">
      <x:c r="A78" s="2" t="str">
        <x:v>ADP-0071</x:v>
      </x:c>
      <x:c r="B78" s="2" t="str">
        <x:v>Adaptation</x:v>
      </x:c>
      <x:c r="C78" s="2" t="str">
        <x:v>Water</x:v>
      </x:c>
      <x:c r="D78" s="2" t="str">
        <x:v>Water efficiency and demand management</x:v>
      </x:c>
      <x:c r="E78" s="2" t="str">
        <x:v>Progressive water pricing</x:v>
      </x:c>
      <x:c r="F78" s="2" t="str">
        <x:v>Progressive water pricing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Progressive water pricing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78" s="2" t="str">
        <x:v>Flexible</x:v>
      </x:c>
      <x:c r="H78" s="2" t="str">
        <x:v>Progressive water pricing is transferable through configurable methods, rules and operating parameters. Its principle remains the same, but resource quality, climate, scale, interfaces and safety constraints must be recalculated for each deployment.</x:v>
      </x:c>
      <x:c r="I78" s="2" t="str">
        <x:v>Primarily soft, with physical support</x:v>
      </x:c>
      <x:c r="J78" s="2" t="str">
        <x:v>Progressive water pricing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78" s="2" t="str">
        <x:v>Operation</x:v>
      </x:c>
      <x:c r="L78" s="2" t="str">
        <x:v>Progressive water pricing is embodied mainly as an operating practice. The deliverable is accepted only when measurable service, quality, safety and climate-performance criteria are met under real conditions.</x:v>
      </x:c>
      <x:c r="M78" s="2" t="str">
        <x:v>Yes, subject to life-cycle safeguards</x:v>
      </x:c>
      <x:c r="N78" s="2" t="str">
        <x:v>Progressive water pricing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78" s="2" t="str">
        <x:v>Progressive water pricing: intakes, pipes, pumps, meters, valves, tanks, treatment units, drainage or flood structures, monitoring stations and nature-based elements as applicable.</x:v>
      </x:c>
      <x:c r="P78" s="2" t="str">
        <x:v>Progressive water pricing: water balance, hydraulic and hydrological modelling, demand forecasting, water-quality analysis, asset management, drought or flood rules and decision support.</x:v>
      </x:c>
      <x:c r="Q78" s="2" t="str">
        <x:v>Progressive water pricing: water rights and permits, utility responsibilities, basin governance, service standards, emergency protocols, tariffs, maintenance funding and stakeholder agreements.</x:v>
      </x:c>
      <x:c r="R78" s="2" t="str">
        <x:v>Progressive water pricing: catchment or coast, treatment and storage sites, conveyance and drainage network, power supply, laboratory, control room and safe access.</x:v>
      </x:c>
      <x:c r="S78" s="2" t="str">
        <x:v>Progressive water pricing: electricity or fuel for pumping, aeration, desalination, treatment and controls; gravity and ecosystem processes can reduce auxiliary demand.</x:v>
      </x:c>
      <x:c r="T78" s="2" t="str">
        <x:v>Progressive water pricing: concrete, steel, ductile iron or polymers, filter media, membranes, treatment chemicals, geotextiles, soil, rock and vegetation according to the measure.</x:v>
      </x:c>
      <x:c r="U78" s="2" t="str">
        <x:v>Progressive water pricing: pump and valve parts, seals, meters, sensors, membranes, lamps, filter media, dosing equipment, reagents and erosion-control materials.</x:v>
      </x:c>
      <x:c r="V78" s="2" t="str">
        <x:v>https://www.ctc-n.org/sites/default/files/resources/ctcn_taxonomy_0.pdf</x:v>
      </x:c>
      <x:c r="W78" s="2" t="str">
        <x:v>https://institutoagricoladepueblobello.edu.co/colegiapp/archivostemas/GUIA%209.%5B25%5D.pdf</x:v>
      </x:c>
      <x:c r="X78" s="2" t="str">
        <x:v>https://iiasa.ac.at/what-is-technology</x:v>
      </x:c>
      <x:c r="Y78" s="2" t="str">
        <x:v>https://www.unwater.org/water-facts/climate-change</x:v>
      </x:c>
      <x:c r="Z78" s="2" t="str">
        <x:v>Technology-specific analytical synthesis. The CTCN hierarchy is retained; classifications and component dependencies require validation against the selected design, site and supplier documentation before investment or policy use.</x:v>
      </x:c>
      <x:c r="AA78" s="2" t="str">
        <x:v>Physical deployment of Progressive water pricing requires catchment or coast, treatment and storage sites, conveyance and drainage network, power supply, laboratory, control room and safe access; interfaces, foundations, access and environmental protection are sized to the specific resource and design load.</x:v>
      </x:c>
      <x:c r="AB78" s="2" t="str">
        <x:v>For Progressive water pricing,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78" s="2" t="str">
        <x:v>Construction and operation use concrete, steel, ductile iron or polymers, filter media, membranes, treatment chemicals, geotextiles, soil, rock and vegetation according to the measure. For Progressive water pricing, specifications must include durability, compatibility, recycled content and recoverability.</x:v>
      </x:c>
      <x:c r="AD78" s="2" t="str">
        <x:v>Maintenance of Progressive water pricing depends on pump and valve parts, seals, meters, sensors, membranes, lamps, filter media, dosing equipment, reagents and erosion-control materials; critical spares are selected from failure-mode, lead-time and safety analysis for its installed configuration.</x:v>
      </x:c>
      <x:c r="AE78" s="2" t="str">
        <x:v>The software stack for Progressive water pricing requires databases, secure communications, version-controlled models, computing, backup and interfaces with field or operational systems.</x:v>
      </x:c>
      <x:c r="AF78" s="2" t="str">
        <x:v>For Progressive water pricing, software-related energy is electricity for sensing, computing, storage, communication and cooling; it is normally secondary but must be included for data-intensive or continuous services.</x:v>
      </x:c>
      <x:c r="AG78" s="2" t="str">
        <x:v>The non-physical inputs are calibrated data, metadata, algorithms, boundary conditions, emission or hazard factors, manuals and validation records specific to Progressive water pricing.</x:v>
      </x:c>
      <x:c r="AH78" s="2" t="str">
        <x:v>Software continuity for Progressive water pricing requires licences where applicable, updates, cybersecurity patches, backups, calibration files, model validation and technical support.</x:v>
      </x:c>
      <x:c r="AI78" s="2" t="str">
        <x:v>Orgware depends on the institutions, laboratories, training providers, regulators, operators and community interfaces needed to govern Progressive water pricing.</x:v>
      </x:c>
      <x:c r="AJ78" s="2" t="str">
        <x:v>The orgware supporting Progressive water pricing has mainly indirect energy use from offices, meetings, training and information systems; travel and field supervision may be material at dispersed sites.</x:v>
      </x:c>
      <x:c r="AK78" s="2" t="str">
        <x:v>Its organisational inputs are permits, budgets, trained staff, competence records, contracts, procedures, safeguards, monitoring evidence and stakeholder agreements tailored to Progressive water pricing.</x:v>
      </x:c>
      <x:c r="AL78" s="2" t="str">
        <x:v>Sustained implementation of Progressive water pricing requires procurement and service contracts, audit protocols, training material, reporting templates, insurance or guarantees and periodic independent review.</x:v>
      </x:c>
      <x:c r="AM78" s="2" t="str">
        <x:v>No critical or strategic raw material is identifiable at taxonomy level; site-specific bulk materials may still be required.</x:v>
      </x:c>
      <x:c r="AN78" s="2" t="str"/>
      <x:c r="AO78" s="2" t="str"/>
      <x:c r="AP78" s="2" t="str">
        <x:v>Progressive water pricing: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8" s="2" t="str">
        <x:v>2024–2025</x:v>
      </x:c>
      <x:c r="AR78" s="2" t="str">
        <x:v>https://pubs.usgs.gov/periodicals/mcs2026/mcs2026.pdf</x:v>
      </x:c>
    </x:row>
    <x:row r="79" ht="240" customHeight="1">
      <x:c r="A79" s="2" t="str">
        <x:v>ADP-0072</x:v>
      </x:c>
      <x:c r="B79" s="2" t="str">
        <x:v>Adaptation</x:v>
      </x:c>
      <x:c r="C79" s="2" t="str">
        <x:v>Water</x:v>
      </x:c>
      <x:c r="D79" s="2" t="str">
        <x:v>Water efficiency and demand management</x:v>
      </x:c>
      <x:c r="E79" s="2" t="str">
        <x:v>Water savings requirements in building codes</x:v>
      </x:c>
      <x:c r="F79" s="2" t="str">
        <x:v>Water savings requirements in building codes is a adaptation technology in the Water sector and the Water efficiency and demand management technology group. It is defined as a combined hardware–software–orgware system that reduces thermal, electrical or water demand through passive design, efficient equipment, controls and low-impact materials. Water savings requirements in building codes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79" s="2" t="str">
        <x:v>Flexible</x:v>
      </x:c>
      <x:c r="H79" s="2" t="str">
        <x:v>Water savings requirements in building codes is transferable through configurable methods, rules and operating parameters. Its principle remains the same, but resource quality, climate, scale, interfaces and safety constraints must be recalculated for each deployment.</x:v>
      </x:c>
      <x:c r="I79" s="2" t="str">
        <x:v>Primarily soft, with physical support</x:v>
      </x:c>
      <x:c r="J79" s="2" t="str">
        <x:v>Water savings requirements in building codes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79" s="2" t="str">
        <x:v>Operation</x:v>
      </x:c>
      <x:c r="L79" s="2" t="str">
        <x:v>Water savings requirements in building codes is embodied mainly as an operating practice. The deliverable is accepted only when measurable service, quality, safety and climate-performance criteria are met under real conditions.</x:v>
      </x:c>
      <x:c r="M79" s="2" t="str">
        <x:v>Yes, subject to life-cycle safeguards</x:v>
      </x:c>
      <x:c r="N79" s="2" t="str">
        <x:v>Water savings requirements in building codes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79" s="2" t="str">
        <x:v>Water savings requirements in building codes: envelope assemblies, efficient equipment, sensors, actuators, meters and distribution systems.</x:v>
      </x:c>
      <x:c r="P79" s="2" t="str">
        <x:v>Water savings requirements in building codes: energy simulation, load calculation, control sequences, commissioning data and building management.</x:v>
      </x:c>
      <x:c r="Q79" s="2" t="str">
        <x:v>Water savings requirements in building codes: building codes, performance standards, procurement, commissioning, maintenance plans and occupant guidance.</x:v>
      </x:c>
      <x:c r="R79" s="2" t="str">
        <x:v>Water savings requirements in building codes: building fabric, plant rooms, electrical and water networks, access for maintenance and metering.</x:v>
      </x:c>
      <x:c r="S79" s="2" t="str">
        <x:v>Water savings requirements in building codes: electricity and thermal energy; peak demand, part-load efficiency and controls determine actual savings.</x:v>
      </x:c>
      <x:c r="T79" s="2" t="str">
        <x:v>Water savings requirements in building codes: insulation, glass, concrete, steel, timber, aluminium, copper, refrigerants and electronic components as applicable.</x:v>
      </x:c>
      <x:c r="U79" s="2" t="str">
        <x:v>Water savings requirements in building codes: filters, belts, seals, lamps or drivers, sensors, actuators, valves, control modules and envelope repair materials.</x:v>
      </x:c>
      <x:c r="V79" s="2" t="str">
        <x:v>https://www.ctc-n.org/sites/default/files/resources/ctcn_taxonomy_0.pdf</x:v>
      </x:c>
      <x:c r="W79" s="2" t="str">
        <x:v>https://institutoagricoladepueblobello.edu.co/colegiapp/archivostemas/GUIA%209.%5B25%5D.pdf</x:v>
      </x:c>
      <x:c r="X79" s="2" t="str">
        <x:v>https://iiasa.ac.at/what-is-technology</x:v>
      </x:c>
      <x:c r="Y79" s="2" t="str">
        <x:v>https://www.unwater.org/water-facts/climate-change; https://www.ipcc.ch/report/ar6/wg3/chapter/chapter-9/</x:v>
      </x:c>
      <x:c r="Z79" s="2" t="str">
        <x:v>Technology-specific analytical synthesis. The CTCN hierarchy is retained; classifications and component dependencies require validation against the selected design, site and supplier documentation before investment or policy use.</x:v>
      </x:c>
      <x:c r="AA79" s="2" t="str">
        <x:v>Physical deployment of Water savings requirements in building codes requires building fabric, plant rooms, electrical and water networks, access for maintenance and metering; interfaces, foundations, access and environmental protection are sized to the specific resource and design load.</x:v>
      </x:c>
      <x:c r="AB79" s="2" t="str">
        <x:v>For Water savings requirements in building codes, the hardware energy balance comprises electricity and thermal energy; peak demand, part-load efficiency and controls determine actual savings; metering must separate useful output, conversion losses and auxiliaries for the selected design.</x:v>
      </x:c>
      <x:c r="AC79" s="2" t="str">
        <x:v>Construction and operation use insulation, glass, concrete, steel, timber, aluminium, copper, refrigerants and electronic components as applicable. For Water savings requirements in building codes, specifications must include durability, compatibility, recycled content and recoverability.</x:v>
      </x:c>
      <x:c r="AD79" s="2" t="str">
        <x:v>Maintenance of Water savings requirements in building codes depends on filters, belts, seals, lamps or drivers, sensors, actuators, valves, control modules and envelope repair materials; critical spares are selected from failure-mode, lead-time and safety analysis for its installed configuration.</x:v>
      </x:c>
      <x:c r="AE79" s="2" t="str">
        <x:v>The software stack for Water savings requirements in building codes requires databases, secure communications, version-controlled models, computing, backup and interfaces with field or operational systems.</x:v>
      </x:c>
      <x:c r="AF79" s="2" t="str">
        <x:v>For Water savings requirements in building codes, software-related energy is electricity for sensing, computing, storage, communication and cooling; it is normally secondary but must be included for data-intensive or continuous services.</x:v>
      </x:c>
      <x:c r="AG79" s="2" t="str">
        <x:v>The non-physical inputs are calibrated data, metadata, algorithms, boundary conditions, emission or hazard factors, manuals and validation records specific to Water savings requirements in building codes.</x:v>
      </x:c>
      <x:c r="AH79" s="2" t="str">
        <x:v>Software continuity for Water savings requirements in building codes requires licences where applicable, updates, cybersecurity patches, backups, calibration files, model validation and technical support.</x:v>
      </x:c>
      <x:c r="AI79" s="2" t="str">
        <x:v>Orgware depends on the institutions, laboratories, training providers, regulators, operators and community interfaces needed to govern Water savings requirements in building codes.</x:v>
      </x:c>
      <x:c r="AJ79" s="2" t="str">
        <x:v>The orgware supporting Water savings requirements in building codes has mainly indirect energy use from offices, meetings, training and information systems; travel and field supervision may be material at dispersed sites.</x:v>
      </x:c>
      <x:c r="AK79" s="2" t="str">
        <x:v>Its organisational inputs are permits, budgets, trained staff, competence records, contracts, procedures, safeguards, monitoring evidence and stakeholder agreements tailored to Water savings requirements in building codes.</x:v>
      </x:c>
      <x:c r="AL79" s="2" t="str">
        <x:v>Sustained implementation of Water savings requirements in building codes requires procurement and service contracts, audit protocols, training material, reporting templates, insurance or guarantees and periodic independent review.</x:v>
      </x:c>
      <x:c r="AM79" s="2" t="str">
        <x:v>Iron ore / steel inputs; Limestone / cement raw materials</x:v>
      </x:c>
      <x:c r="AN79" s="2" t="str">
        <x:v>Australia; Brazil; China; India; Vietnam</x:v>
      </x:c>
      <x:c r="AO79" s="2" t="str">
        <x:v>China; India; Japan; Vietnam</x:v>
      </x:c>
      <x:c r="AP79" s="2" t="str">
        <x:v>Water savings requirements in building codes: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79" s="2" t="str">
        <x:v>2024–2025</x:v>
      </x:c>
      <x:c r="AR79" s="2" t="str">
        <x:v>https://pubs.usgs.gov/periodicals/mcs2026/mcs2026.pdf</x:v>
      </x:c>
    </x:row>
    <x:row r="80" ht="240" customHeight="1">
      <x:c r="A80" s="2" t="str">
        <x:v>ADP-0073</x:v>
      </x:c>
      <x:c r="B80" s="2" t="str">
        <x:v>Adaptation</x:v>
      </x:c>
      <x:c r="C80" s="2" t="str">
        <x:v>Water</x:v>
      </x:c>
      <x:c r="D80" s="2" t="str">
        <x:v>Water efficiency and demand management</x:v>
      </x:c>
      <x:c r="E80" s="2" t="str">
        <x:v>Public water conservation campaigns</x:v>
      </x:c>
      <x:c r="F80" s="2" t="str">
        <x:v>Public water conservation campaigns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Public water conservation campaigns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80" s="2" t="str">
        <x:v>Flexible</x:v>
      </x:c>
      <x:c r="H80" s="2" t="str">
        <x:v>Public water conservation campaigns is transferable through configurable methods, rules and operating parameters. Its principle remains the same, but resource quality, climate, scale, interfaces and safety constraints must be recalculated for each deployment.</x:v>
      </x:c>
      <x:c r="I80" s="2" t="str">
        <x:v>Primarily soft, with physical support</x:v>
      </x:c>
      <x:c r="J80" s="2" t="str">
        <x:v>Public water conservation campaigns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80" s="2" t="str">
        <x:v>Operation</x:v>
      </x:c>
      <x:c r="L80" s="2" t="str">
        <x:v>Public water conservation campaigns is embodied mainly as an operating practice. The deliverable is accepted only when measurable service, quality, safety and climate-performance criteria are met under real conditions.</x:v>
      </x:c>
      <x:c r="M80" s="2" t="str">
        <x:v>Yes, subject to life-cycle safeguards</x:v>
      </x:c>
      <x:c r="N80" s="2" t="str">
        <x:v>Public water conservation campaigns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80" s="2" t="str">
        <x:v>Public water conservation campaigns: intakes, pipes, pumps, meters, valves, tanks, treatment units, drainage or flood structures, monitoring stations and nature-based elements as applicable.</x:v>
      </x:c>
      <x:c r="P80" s="2" t="str">
        <x:v>Public water conservation campaigns: water balance, hydraulic and hydrological modelling, demand forecasting, water-quality analysis, asset management, drought or flood rules and decision support.</x:v>
      </x:c>
      <x:c r="Q80" s="2" t="str">
        <x:v>Public water conservation campaigns: water rights and permits, utility responsibilities, basin governance, service standards, emergency protocols, tariffs, maintenance funding and stakeholder agreements.</x:v>
      </x:c>
      <x:c r="R80" s="2" t="str">
        <x:v>Public water conservation campaigns: catchment or coast, treatment and storage sites, conveyance and drainage network, power supply, laboratory, control room and safe access.</x:v>
      </x:c>
      <x:c r="S80" s="2" t="str">
        <x:v>Public water conservation campaigns: electricity or fuel for pumping, aeration, desalination, treatment and controls; gravity and ecosystem processes can reduce auxiliary demand.</x:v>
      </x:c>
      <x:c r="T80" s="2" t="str">
        <x:v>Public water conservation campaigns: concrete, steel, ductile iron or polymers, filter media, membranes, treatment chemicals, geotextiles, soil, rock and vegetation according to the measure.</x:v>
      </x:c>
      <x:c r="U80" s="2" t="str">
        <x:v>Public water conservation campaigns: pump and valve parts, seals, meters, sensors, membranes, lamps, filter media, dosing equipment, reagents and erosion-control materials.</x:v>
      </x:c>
      <x:c r="V80" s="2" t="str">
        <x:v>https://www.ctc-n.org/sites/default/files/resources/ctcn_taxonomy_0.pdf</x:v>
      </x:c>
      <x:c r="W80" s="2" t="str">
        <x:v>https://institutoagricoladepueblobello.edu.co/colegiapp/archivostemas/GUIA%209.%5B25%5D.pdf</x:v>
      </x:c>
      <x:c r="X80" s="2" t="str">
        <x:v>https://iiasa.ac.at/what-is-technology</x:v>
      </x:c>
      <x:c r="Y80" s="2" t="str">
        <x:v>https://www.unwater.org/water-facts/climate-change</x:v>
      </x:c>
      <x:c r="Z80" s="2" t="str">
        <x:v>Technology-specific analytical synthesis. The CTCN hierarchy is retained; classifications and component dependencies require validation against the selected design, site and supplier documentation before investment or policy use.</x:v>
      </x:c>
      <x:c r="AA80" s="2" t="str">
        <x:v>Physical deployment of Public water conservation campaigns requires catchment or coast, treatment and storage sites, conveyance and drainage network, power supply, laboratory, control room and safe access; interfaces, foundations, access and environmental protection are sized to the specific resource and design load.</x:v>
      </x:c>
      <x:c r="AB80" s="2" t="str">
        <x:v>For Public water conservation campaigns,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80" s="2" t="str">
        <x:v>Construction and operation use concrete, steel, ductile iron or polymers, filter media, membranes, treatment chemicals, geotextiles, soil, rock and vegetation according to the measure. For Public water conservation campaigns, specifications must include durability, compatibility, recycled content and recoverability.</x:v>
      </x:c>
      <x:c r="AD80" s="2" t="str">
        <x:v>Maintenance of Public water conservation campaigns depends on pump and valve parts, seals, meters, sensors, membranes, lamps, filter media, dosing equipment, reagents and erosion-control materials; critical spares are selected from failure-mode, lead-time and safety analysis for its installed configuration.</x:v>
      </x:c>
      <x:c r="AE80" s="2" t="str">
        <x:v>The software stack for Public water conservation campaigns requires databases, secure communications, version-controlled models, computing, backup and interfaces with field or operational systems.</x:v>
      </x:c>
      <x:c r="AF80" s="2" t="str">
        <x:v>For Public water conservation campaigns, software-related energy is electricity for sensing, computing, storage, communication and cooling; it is normally secondary but must be included for data-intensive or continuous services.</x:v>
      </x:c>
      <x:c r="AG80" s="2" t="str">
        <x:v>The non-physical inputs are calibrated data, metadata, algorithms, boundary conditions, emission or hazard factors, manuals and validation records specific to Public water conservation campaigns.</x:v>
      </x:c>
      <x:c r="AH80" s="2" t="str">
        <x:v>Software continuity for Public water conservation campaigns requires licences where applicable, updates, cybersecurity patches, backups, calibration files, model validation and technical support.</x:v>
      </x:c>
      <x:c r="AI80" s="2" t="str">
        <x:v>Orgware depends on the institutions, laboratories, training providers, regulators, operators and community interfaces needed to govern Public water conservation campaigns.</x:v>
      </x:c>
      <x:c r="AJ80" s="2" t="str">
        <x:v>The orgware supporting Public water conservation campaigns has mainly indirect energy use from offices, meetings, training and information systems; travel and field supervision may be material at dispersed sites.</x:v>
      </x:c>
      <x:c r="AK80" s="2" t="str">
        <x:v>Its organisational inputs are permits, budgets, trained staff, competence records, contracts, procedures, safeguards, monitoring evidence and stakeholder agreements tailored to Public water conservation campaigns.</x:v>
      </x:c>
      <x:c r="AL80" s="2" t="str">
        <x:v>Sustained implementation of Public water conservation campaigns requires procurement and service contracts, audit protocols, training material, reporting templates, insurance or guarantees and periodic independent review.</x:v>
      </x:c>
      <x:c r="AM80" s="2" t="str">
        <x:v>No critical or strategic raw material is identifiable at taxonomy level; site-specific bulk materials may still be required.</x:v>
      </x:c>
      <x:c r="AN80" s="2" t="str"/>
      <x:c r="AO80" s="2" t="str"/>
      <x:c r="AP80" s="2" t="str">
        <x:v>Public water conservation campaigns: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0" s="2" t="str">
        <x:v>2024–2025</x:v>
      </x:c>
      <x:c r="AR80" s="2" t="str">
        <x:v>https://pubs.usgs.gov/periodicals/mcs2026/mcs2026.pdf</x:v>
      </x:c>
    </x:row>
    <x:row r="81" ht="240" customHeight="1">
      <x:c r="A81" s="2" t="str">
        <x:v>ADP-0074</x:v>
      </x:c>
      <x:c r="B81" s="2" t="str">
        <x:v>Adaptation</x:v>
      </x:c>
      <x:c r="C81" s="2" t="str">
        <x:v>Water</x:v>
      </x:c>
      <x:c r="D81" s="2" t="str">
        <x:v>Water efficiency and demand management</x:v>
      </x:c>
      <x:c r="E81" s="2" t="str">
        <x:v>Water licensing and permits</x:v>
      </x:c>
      <x:c r="F81" s="2" t="str">
        <x:v>Water licensing and permits is a adaptation technology in the Water sector and the Water efficiency and demand management technology group. It is defined as a combined hardware–software–orgware system that manages water quantity, quality, timing or exposure through demand reduction, capture, storage, treatment, allocation, hydraulic protection and ecosystem functions. Water licensing and permits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81" s="2" t="str">
        <x:v>Flexible</x:v>
      </x:c>
      <x:c r="H81" s="2" t="str">
        <x:v>Water licensing and permits is transferable through configurable methods, rules and operating parameters. Its principle remains the same, but resource quality, climate, scale, interfaces and safety constraints must be recalculated for each deployment.</x:v>
      </x:c>
      <x:c r="I81" s="2" t="str">
        <x:v>Primarily soft, with physical support</x:v>
      </x:c>
      <x:c r="J81" s="2" t="str">
        <x:v>Water licensing and permits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81" s="2" t="str">
        <x:v>Operation</x:v>
      </x:c>
      <x:c r="L81" s="2" t="str">
        <x:v>Water licensing and permits is embodied mainly as an operating practice. The deliverable is accepted only when measurable service, quality, safety and climate-performance criteria are met under real conditions.</x:v>
      </x:c>
      <x:c r="M81" s="2" t="str">
        <x:v>Yes, subject to life-cycle safeguards</x:v>
      </x:c>
      <x:c r="N81" s="2" t="str">
        <x:v>Water licensing and permits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81" s="2" t="str">
        <x:v>Water licensing and permits: intakes, pipes, pumps, meters, valves, tanks, treatment units, drainage or flood structures, monitoring stations and nature-based elements as applicable.</x:v>
      </x:c>
      <x:c r="P81" s="2" t="str">
        <x:v>Water licensing and permits: water balance, hydraulic and hydrological modelling, demand forecasting, water-quality analysis, asset management, drought or flood rules and decision support.</x:v>
      </x:c>
      <x:c r="Q81" s="2" t="str">
        <x:v>Water licensing and permits: water rights and permits, utility responsibilities, basin governance, service standards, emergency protocols, tariffs, maintenance funding and stakeholder agreements.</x:v>
      </x:c>
      <x:c r="R81" s="2" t="str">
        <x:v>Water licensing and permits: catchment or coast, treatment and storage sites, conveyance and drainage network, power supply, laboratory, control room and safe access.</x:v>
      </x:c>
      <x:c r="S81" s="2" t="str">
        <x:v>Water licensing and permits: electricity or fuel for pumping, aeration, desalination, treatment and controls; gravity and ecosystem processes can reduce auxiliary demand.</x:v>
      </x:c>
      <x:c r="T81" s="2" t="str">
        <x:v>Water licensing and permits: concrete, steel, ductile iron or polymers, filter media, membranes, treatment chemicals, geotextiles, soil, rock and vegetation according to the measure.</x:v>
      </x:c>
      <x:c r="U81" s="2" t="str">
        <x:v>Water licensing and permits: pump and valve parts, seals, meters, sensors, membranes, lamps, filter media, dosing equipment, reagents and erosion-control materials.</x:v>
      </x:c>
      <x:c r="V81" s="2" t="str">
        <x:v>https://www.ctc-n.org/sites/default/files/resources/ctcn_taxonomy_0.pdf</x:v>
      </x:c>
      <x:c r="W81" s="2" t="str">
        <x:v>https://institutoagricoladepueblobello.edu.co/colegiapp/archivostemas/GUIA%209.%5B25%5D.pdf</x:v>
      </x:c>
      <x:c r="X81" s="2" t="str">
        <x:v>https://iiasa.ac.at/what-is-technology</x:v>
      </x:c>
      <x:c r="Y81" s="2" t="str">
        <x:v>https://www.unwater.org/water-facts/climate-change</x:v>
      </x:c>
      <x:c r="Z81" s="2" t="str">
        <x:v>Technology-specific analytical synthesis. The CTCN hierarchy is retained; classifications and component dependencies require validation against the selected design, site and supplier documentation before investment or policy use.</x:v>
      </x:c>
      <x:c r="AA81" s="2" t="str">
        <x:v>Physical deployment of Water licensing and permits requires catchment or coast, treatment and storage sites, conveyance and drainage network, power supply, laboratory, control room and safe access; interfaces, foundations, access and environmental protection are sized to the specific resource and design load.</x:v>
      </x:c>
      <x:c r="AB81" s="2" t="str">
        <x:v>For Water licensing and permits,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81" s="2" t="str">
        <x:v>Construction and operation use concrete, steel, ductile iron or polymers, filter media, membranes, treatment chemicals, geotextiles, soil, rock and vegetation according to the measure. For Water licensing and permits, specifications must include durability, compatibility, recycled content and recoverability.</x:v>
      </x:c>
      <x:c r="AD81" s="2" t="str">
        <x:v>Maintenance of Water licensing and permits depends on pump and valve parts, seals, meters, sensors, membranes, lamps, filter media, dosing equipment, reagents and erosion-control materials; critical spares are selected from failure-mode, lead-time and safety analysis for its installed configuration.</x:v>
      </x:c>
      <x:c r="AE81" s="2" t="str">
        <x:v>The software stack for Water licensing and permits requires databases, secure communications, version-controlled models, computing, backup and interfaces with field or operational systems.</x:v>
      </x:c>
      <x:c r="AF81" s="2" t="str">
        <x:v>For Water licensing and permits, software-related energy is electricity for sensing, computing, storage, communication and cooling; it is normally secondary but must be included for data-intensive or continuous services.</x:v>
      </x:c>
      <x:c r="AG81" s="2" t="str">
        <x:v>The non-physical inputs are calibrated data, metadata, algorithms, boundary conditions, emission or hazard factors, manuals and validation records specific to Water licensing and permits.</x:v>
      </x:c>
      <x:c r="AH81" s="2" t="str">
        <x:v>Software continuity for Water licensing and permits requires licences where applicable, updates, cybersecurity patches, backups, calibration files, model validation and technical support.</x:v>
      </x:c>
      <x:c r="AI81" s="2" t="str">
        <x:v>Orgware depends on the institutions, laboratories, training providers, regulators, operators and community interfaces needed to govern Water licensing and permits.</x:v>
      </x:c>
      <x:c r="AJ81" s="2" t="str">
        <x:v>The orgware supporting Water licensing and permits has mainly indirect energy use from offices, meetings, training and information systems; travel and field supervision may be material at dispersed sites.</x:v>
      </x:c>
      <x:c r="AK81" s="2" t="str">
        <x:v>Its organisational inputs are permits, budgets, trained staff, competence records, contracts, procedures, safeguards, monitoring evidence and stakeholder agreements tailored to Water licensing and permits.</x:v>
      </x:c>
      <x:c r="AL81" s="2" t="str">
        <x:v>Sustained implementation of Water licensing and permits requires procurement and service contracts, audit protocols, training material, reporting templates, insurance or guarantees and periodic independent review.</x:v>
      </x:c>
      <x:c r="AM81" s="2" t="str">
        <x:v>No critical or strategic raw material is identifiable at taxonomy level; site-specific bulk materials may still be required.</x:v>
      </x:c>
      <x:c r="AN81" s="2" t="str"/>
      <x:c r="AO81" s="2" t="str"/>
      <x:c r="AP81" s="2" t="str">
        <x:v>Water licensing and permits: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1" s="2" t="str">
        <x:v>2024–2025</x:v>
      </x:c>
      <x:c r="AR81" s="2" t="str">
        <x:v>https://pubs.usgs.gov/periodicals/mcs2026/mcs2026.pdf</x:v>
      </x:c>
    </x:row>
    <x:row r="82" ht="240" customHeight="1">
      <x:c r="A82" s="2" t="str">
        <x:v>ADP-0075</x:v>
      </x:c>
      <x:c r="B82" s="2" t="str">
        <x:v>Adaptation</x:v>
      </x:c>
      <x:c r="C82" s="2" t="str">
        <x:v>Water</x:v>
      </x:c>
      <x:c r="D82" s="2" t="str">
        <x:v>Adaptation planning</x:v>
      </x:c>
      <x:c r="E82" s="2" t="str">
        <x:v>Hazard mapping</x:v>
      </x:c>
      <x:c r="F82" s="2" t="str">
        <x:v>Hazard mapping is a adaptation technology in the Water sector and the Adaptation planning technology group. It is defined as a combined hardware–software–orgware system that observes hazards and exposure, assimilates data, models possible evolution, converts forecasts into impact-based warnings and disseminates actionable information before thresholds are exceeded. Hazard mapping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82" s="2" t="str">
        <x:v>Flexible</x:v>
      </x:c>
      <x:c r="H82" s="2" t="str">
        <x:v>Hazard mapping is transferable through configurable methods, rules and operating parameters. Its principle remains the same, but resource quality, climate, scale, interfaces and safety constraints must be recalculated for each deployment.</x:v>
      </x:c>
      <x:c r="I82" s="2" t="str">
        <x:v>Hard and soft</x:v>
      </x:c>
      <x:c r="J82" s="2" t="str">
        <x:v>Hazard mapping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82" s="2" t="str">
        <x:v>Operation and information service</x:v>
      </x:c>
      <x:c r="L82" s="2" t="str">
        <x:v>Hazard mapping is embodied mainly as an information and decision service. The deliverable is accepted only when measurable service, quality, safety and climate-performance criteria are met under real conditions.</x:v>
      </x:c>
      <x:c r="M82" s="2" t="str">
        <x:v>Yes, subject to life-cycle safeguards</x:v>
      </x:c>
      <x:c r="N82" s="2" t="str">
        <x:v>Hazard mapping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82" s="2" t="str">
        <x:v>Hazard mapping: in-situ stations, remote sensors, radar or lidar, satellites or receivers, telemetry, servers, backup power, sirens and communication terminals.</x:v>
      </x:c>
      <x:c r="P82" s="2" t="str">
        <x:v>Hazard mapping: quality control, geospatial processing, data assimilation, forecasting, downscaling, hazard and impact models, uncertainty treatment, alert logic and visualisation.</x:v>
      </x:c>
      <x:c r="Q82" s="2" t="str">
        <x:v>Hazard mapping: institutional mandates, data-sharing agreements, warning authority, standard operating procedures, last-mile communication, accessibility, drills and feedback.</x:v>
      </x:c>
      <x:c r="R82" s="2" t="str">
        <x:v>Hazard mapping: observation network, telecommunications, data centre or cloud, operations room, redundant power and multiple dissemination channels.</x:v>
      </x:c>
      <x:c r="S82" s="2" t="str">
        <x:v>Hazard mapping: electricity for sensing, communications, computing, cooling and warning devices, with batteries or generators for continuity during emergencies.</x:v>
      </x:c>
      <x:c r="T82" s="2" t="str">
        <x:v>Hazard mapping: electronics, semiconductors, copper cabling, batteries, antenna and mast materials, optical components, enclosures and calibration standards.</x:v>
      </x:c>
      <x:c r="U82" s="2" t="str">
        <x:v>Hazard mapping: sensor heads, batteries, solar modules, data loggers, modems, cables, connectors, storage media, calibration equipment and siren parts.</x:v>
      </x:c>
      <x:c r="V82" s="2" t="str">
        <x:v>https://www.ctc-n.org/sites/default/files/resources/ctcn_taxonomy_0.pdf</x:v>
      </x:c>
      <x:c r="W82" s="2" t="str">
        <x:v>https://institutoagricoladepueblobello.edu.co/colegiapp/archivostemas/GUIA%209.%5B25%5D.pdf</x:v>
      </x:c>
      <x:c r="X82" s="2" t="str">
        <x:v>https://iiasa.ac.at/what-is-technology</x:v>
      </x:c>
      <x:c r="Y82" s="2" t="str">
        <x:v>https://www.unwater.org/water-facts/climate-change; https://wmo.int/resources/publication-series/global-status-of-multi-hazard-early-warning-systems/global-status-of-multi-hazard-early-warning-systems-2025</x:v>
      </x:c>
      <x:c r="Z82" s="2" t="str">
        <x:v>Technology-specific analytical synthesis. The CTCN hierarchy is retained; classifications and component dependencies require validation against the selected design, site and supplier documentation before investment or policy use.</x:v>
      </x:c>
      <x:c r="AA82" s="2" t="str">
        <x:v>Physical deployment of Hazard mapping requires observation network, telecommunications, data centre or cloud, operations room, redundant power and multiple dissemination channels; interfaces, foundations, access and environmental protection are sized to the specific resource and design load.</x:v>
      </x:c>
      <x:c r="AB82" s="2" t="str">
        <x:v>For Hazard mapping,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82" s="2" t="str">
        <x:v>Construction and operation use electronics, semiconductors, copper cabling, batteries, antenna and mast materials, optical components, enclosures and calibration standards. For Hazard mapping, specifications must include durability, compatibility, recycled content and recoverability.</x:v>
      </x:c>
      <x:c r="AD82" s="2" t="str">
        <x:v>Maintenance of Hazard mapping depends on sensor heads, batteries, solar modules, data loggers, modems, cables, connectors, storage media, calibration equipment and siren parts; critical spares are selected from failure-mode, lead-time and safety analysis for its installed configuration.</x:v>
      </x:c>
      <x:c r="AE82" s="2" t="str">
        <x:v>The software stack for Hazard mapping requires databases, secure communications, version-controlled models, computing, backup and interfaces with field or operational systems.</x:v>
      </x:c>
      <x:c r="AF82" s="2" t="str">
        <x:v>For Hazard mapping, software-related energy is electricity for sensing, computing, storage, communication and cooling; it is normally secondary but must be included for data-intensive or continuous services.</x:v>
      </x:c>
      <x:c r="AG82" s="2" t="str">
        <x:v>The non-physical inputs are calibrated data, metadata, algorithms, boundary conditions, emission or hazard factors, manuals and validation records specific to Hazard mapping.</x:v>
      </x:c>
      <x:c r="AH82" s="2" t="str">
        <x:v>Software continuity for Hazard mapping requires licences where applicable, updates, cybersecurity patches, backups, calibration files, model validation and technical support.</x:v>
      </x:c>
      <x:c r="AI82" s="2" t="str">
        <x:v>Orgware depends on the institutions, laboratories, training providers, regulators, operators and community interfaces needed to govern Hazard mapping.</x:v>
      </x:c>
      <x:c r="AJ82" s="2" t="str">
        <x:v>The orgware supporting Hazard mapping has mainly indirect energy use from offices, meetings, training and information systems; travel and field supervision may be material at dispersed sites.</x:v>
      </x:c>
      <x:c r="AK82" s="2" t="str">
        <x:v>Its organisational inputs are permits, budgets, trained staff, competence records, contracts, procedures, safeguards, monitoring evidence and stakeholder agreements tailored to Hazard mapping.</x:v>
      </x:c>
      <x:c r="AL82" s="2" t="str">
        <x:v>Sustained implementation of Hazard mapping requires procurement and service contracts, audit protocols, training material, reporting templates, insurance or guarantees and periodic independent review.</x:v>
      </x:c>
      <x:c r="AM82" s="2" t="str">
        <x:v>Copper; Tin</x:v>
      </x:c>
      <x:c r="AN82" s="2" t="str">
        <x:v>Chile; Democratic Republic of the Congo; Peru; China; Indonesia; Myanmar</x:v>
      </x:c>
      <x:c r="AO82" s="2" t="str">
        <x:v>China; Chile; Democratic Republic of the Congo; Indonesia; Malaysia</x:v>
      </x:c>
      <x:c r="AP82" s="2" t="str">
        <x:v>Hazard mapping: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2" s="2" t="str">
        <x:v>2024–2025</x:v>
      </x:c>
      <x:c r="AR82" s="2" t="str">
        <x:v>https://pubs.usgs.gov/periodicals/mcs2026/mcs2026.pdf</x:v>
      </x:c>
    </x:row>
    <x:row r="83" ht="240" customHeight="1">
      <x:c r="A83" s="2" t="str">
        <x:v>ADP-0076</x:v>
      </x:c>
      <x:c r="B83" s="2" t="str">
        <x:v>Adaptation</x:v>
      </x:c>
      <x:c r="C83" s="2" t="str">
        <x:v>Water</x:v>
      </x:c>
      <x:c r="D83" s="2" t="str">
        <x:v>Adaptation planning</x:v>
      </x:c>
      <x:c r="E83" s="2" t="str">
        <x:v>seasonal to interannual weather forecast</x:v>
      </x:c>
      <x:c r="F83" s="2" t="str">
        <x:v>seasonal to interannual weather forecast is a adaptation technology in the Water sector and the Adaptation planning technology group. It is defined as a combined hardware–software–orgware system that observes hazards and exposure, assimilates data, models possible evolution, converts forecasts into impact-based warnings and disseminates actionable information before thresholds are exceeded.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83" s="2" t="str">
        <x:v>Flexible</x:v>
      </x:c>
      <x:c r="H83" s="2" t="str">
        <x:v>seasonal to interannual weather forecast is transferable through configurable methods, rules and operating parameters. Its principle remains the same, but resource quality, climate, scale, interfaces and safety constraints must be recalculated for each deployment.</x:v>
      </x:c>
      <x:c r="I83" s="2" t="str">
        <x:v>Hard and soft</x:v>
      </x:c>
      <x:c r="J83" s="2" t="str">
        <x:v>seasonal to interannual weather forecast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83" s="2" t="str">
        <x:v>Operation and information service</x:v>
      </x:c>
      <x:c r="L83" s="2" t="str">
        <x:v>seasonal to interannual weather forecast is embodied mainly as an information and decision service. The deliverable is accepted only when measurable service, quality, safety and climate-performance criteria are met under real conditions.</x:v>
      </x:c>
      <x:c r="M83" s="2" t="str">
        <x:v>Yes, subject to life-cycle safeguards</x:v>
      </x:c>
      <x:c r="N83" s="2" t="str">
        <x:v>seasonal to interannual weather forecast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83" s="2" t="str">
        <x:v>seasonal to interannual weather forecast: in-situ stations, remote sensors, radar or lidar, satellites or receivers, telemetry, servers, backup power, sirens and communication terminals.</x:v>
      </x:c>
      <x:c r="P83" s="2" t="str">
        <x:v>seasonal to interannual weather forecast: quality control, geospatial processing, data assimilation, forecasting, downscaling, hazard and impact models, uncertainty treatment, alert logic and visualisation.</x:v>
      </x:c>
      <x:c r="Q83" s="2" t="str">
        <x:v>seasonal to interannual weather forecast: institutional mandates, data-sharing agreements, warning authority, standard operating procedures, last-mile communication, accessibility, drills and feedback.</x:v>
      </x:c>
      <x:c r="R83" s="2" t="str">
        <x:v>seasonal to interannual weather forecast: observation network, telecommunications, data centre or cloud, operations room, redundant power and multiple dissemination channels.</x:v>
      </x:c>
      <x:c r="S83" s="2" t="str">
        <x:v>seasonal to interannual weather forecast: electricity for sensing, communications, computing, cooling and warning devices, with batteries or generators for continuity during emergencies.</x:v>
      </x:c>
      <x:c r="T83" s="2" t="str">
        <x:v>seasonal to interannual weather forecast: electronics, semiconductors, copper cabling, batteries, antenna and mast materials, optical components, enclosures and calibration standards.</x:v>
      </x:c>
      <x:c r="U83" s="2" t="str">
        <x:v>seasonal to interannual weather forecast: sensor heads, batteries, solar modules, data loggers, modems, cables, connectors, storage media, calibration equipment and siren parts.</x:v>
      </x:c>
      <x:c r="V83" s="2" t="str">
        <x:v>https://www.ctc-n.org/sites/default/files/resources/ctcn_taxonomy_0.pdf</x:v>
      </x:c>
      <x:c r="W83" s="2" t="str">
        <x:v>https://institutoagricoladepueblobello.edu.co/colegiapp/archivostemas/GUIA%209.%5B25%5D.pdf</x:v>
      </x:c>
      <x:c r="X83" s="2" t="str">
        <x:v>https://iiasa.ac.at/what-is-technology</x:v>
      </x:c>
      <x:c r="Y83" s="2" t="str">
        <x:v>https://www.unwater.org/water-facts/climate-change; https://wmo.int/resources/publication-series/global-status-of-multi-hazard-early-warning-systems/global-status-of-multi-hazard-early-warning-systems-2025</x:v>
      </x:c>
      <x:c r="Z83" s="2" t="str">
        <x:v>Technology-specific analytical synthesis. The CTCN hierarchy is retained; classifications and component dependencies require validation against the selected design, site and supplier documentation before investment or policy use.</x:v>
      </x:c>
      <x:c r="AA83" s="2" t="str">
        <x:v>Physical deployment of seasonal to interannual weather forecast requires observation network, telecommunications, data centre or cloud, operations room, redundant power and multiple dissemination channels; interfaces, foundations, access and environmental protection are sized to the specific resource and design load.</x:v>
      </x:c>
      <x:c r="AB83" s="2" t="str">
        <x:v>For seasonal to interannual weather forecast,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83" s="2" t="str">
        <x:v>Construction and operation use electronics, semiconductors, copper cabling, batteries, antenna and mast materials, optical components, enclosures and calibration standards. For seasonal to interannual weather forecast, specifications must include durability, compatibility, recycled content and recoverability.</x:v>
      </x:c>
      <x:c r="AD83" s="2" t="str">
        <x:v>Maintenance of seasonal to interannual weather forecast depends on sensor heads, batteries, solar modules, data loggers, modems, cables, connectors, storage media, calibration equipment and siren parts; critical spares are selected from failure-mode, lead-time and safety analysis for its installed configuration.</x:v>
      </x:c>
      <x:c r="AE83" s="2" t="str">
        <x:v>The software stack for seasonal to interannual weather forecast requires databases, secure communications, version-controlled models, computing, backup and interfaces with field or operational systems.</x:v>
      </x:c>
      <x:c r="AF83" s="2" t="str">
        <x:v>For seasonal to interannual weather forecast, software-related energy is electricity for sensing, computing, storage, communication and cooling; it is normally secondary but must be included for data-intensive or continuous services.</x:v>
      </x:c>
      <x:c r="AG83" s="2" t="str">
        <x:v>The non-physical inputs are calibrated data, metadata, algorithms, boundary conditions, emission or hazard factors, manuals and validation records specific to seasonal to interannual weather forecast.</x:v>
      </x:c>
      <x:c r="AH83" s="2" t="str">
        <x:v>Software continuity for seasonal to interannual weather forecast requires licences where applicable, updates, cybersecurity patches, backups, calibration files, model validation and technical support.</x:v>
      </x:c>
      <x:c r="AI83" s="2" t="str">
        <x:v>Orgware depends on the institutions, laboratories, training providers, regulators, operators and community interfaces needed to govern seasonal to interannual weather forecast.</x:v>
      </x:c>
      <x:c r="AJ83" s="2" t="str">
        <x:v>The orgware supporting seasonal to interannual weather forecast has mainly indirect energy use from offices, meetings, training and information systems; travel and field supervision may be material at dispersed sites.</x:v>
      </x:c>
      <x:c r="AK83" s="2" t="str">
        <x:v>Its organisational inputs are permits, budgets, trained staff, competence records, contracts, procedures, safeguards, monitoring evidence and stakeholder agreements tailored to seasonal to interannual weather forecast.</x:v>
      </x:c>
      <x:c r="AL83" s="2" t="str">
        <x:v>Sustained implementation of seasonal to interannual weather forecast requires procurement and service contracts, audit protocols, training material, reporting templates, insurance or guarantees and periodic independent review.</x:v>
      </x:c>
      <x:c r="AM83" s="2" t="str">
        <x:v>Copper; Tin</x:v>
      </x:c>
      <x:c r="AN83" s="2" t="str">
        <x:v>Chile; Democratic Republic of the Congo; Peru; China; Indonesia; Myanmar</x:v>
      </x:c>
      <x:c r="AO83" s="2" t="str">
        <x:v>China; Chile; Democratic Republic of the Congo; Indonesia; Malaysia</x:v>
      </x:c>
      <x:c r="AP83" s="2" t="str">
        <x:v>seasonal to interannual weather forecast: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3" s="2" t="str">
        <x:v>2024–2025</x:v>
      </x:c>
      <x:c r="AR83" s="2" t="str">
        <x:v>https://pubs.usgs.gov/periodicals/mcs2026/mcs2026.pdf</x:v>
      </x:c>
    </x:row>
    <x:row r="84" ht="240" customHeight="1">
      <x:c r="A84" s="2" t="str">
        <x:v>ADP-0077</x:v>
      </x:c>
      <x:c r="B84" s="2" t="str">
        <x:v>Adaptation</x:v>
      </x:c>
      <x:c r="C84" s="2" t="str">
        <x:v>Water</x:v>
      </x:c>
      <x:c r="D84" s="2" t="str">
        <x:v>Adaptation planning</x:v>
      </x:c>
      <x:c r="E84" s="2" t="str">
        <x:v>Disaster risk assessment tools</x:v>
      </x:c>
      <x:c r="F84" s="2" t="str">
        <x:v>Disaster risk assessment tools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Disaster risk assessment tools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84" s="2" t="str">
        <x:v>Flexible</x:v>
      </x:c>
      <x:c r="H84" s="2" t="str">
        <x:v>Disaster risk assessment tools is transferable through configurable methods, rules and operating parameters. Its principle remains the same, but resource quality, climate, scale, interfaces and safety constraints must be recalculated for each deployment.</x:v>
      </x:c>
      <x:c r="I84" s="2" t="str">
        <x:v>Hard and soft</x:v>
      </x:c>
      <x:c r="J84" s="2" t="str">
        <x:v>Disaster risk assessment tools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84" s="2" t="str">
        <x:v>Operation and information service</x:v>
      </x:c>
      <x:c r="L84" s="2" t="str">
        <x:v>Disaster risk assessment tools is embodied mainly as an information and decision service. The deliverable is accepted only when measurable service, quality, safety and climate-performance criteria are met under real conditions.</x:v>
      </x:c>
      <x:c r="M84" s="2" t="str">
        <x:v>Yes, subject to life-cycle safeguards</x:v>
      </x:c>
      <x:c r="N84" s="2" t="str">
        <x:v>Disaster risk assessment tools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84" s="2" t="str">
        <x:v>Disaster risk assessment tools: intakes, pipes, pumps, meters, valves, tanks, treatment units, drainage or flood structures, monitoring stations and nature-based elements as applicable.</x:v>
      </x:c>
      <x:c r="P84" s="2" t="str">
        <x:v>Disaster risk assessment tools: water balance, hydraulic and hydrological modelling, demand forecasting, water-quality analysis, asset management, drought or flood rules and decision support.</x:v>
      </x:c>
      <x:c r="Q84" s="2" t="str">
        <x:v>Disaster risk assessment tools: water rights and permits, utility responsibilities, basin governance, service standards, emergency protocols, tariffs, maintenance funding and stakeholder agreements.</x:v>
      </x:c>
      <x:c r="R84" s="2" t="str">
        <x:v>Disaster risk assessment tools: catchment or coast, treatment and storage sites, conveyance and drainage network, power supply, laboratory, control room and safe access.</x:v>
      </x:c>
      <x:c r="S84" s="2" t="str">
        <x:v>Disaster risk assessment tools: electricity or fuel for pumping, aeration, desalination, treatment and controls; gravity and ecosystem processes can reduce auxiliary demand.</x:v>
      </x:c>
      <x:c r="T84" s="2" t="str">
        <x:v>Disaster risk assessment tools: concrete, steel, ductile iron or polymers, filter media, membranes, treatment chemicals, geotextiles, soil, rock and vegetation according to the measure.</x:v>
      </x:c>
      <x:c r="U84" s="2" t="str">
        <x:v>Disaster risk assessment tools: pump and valve parts, seals, meters, sensors, membranes, lamps, filter media, dosing equipment, reagents and erosion-control materials.</x:v>
      </x:c>
      <x:c r="V84" s="2" t="str">
        <x:v>https://www.ctc-n.org/sites/default/files/resources/ctcn_taxonomy_0.pdf</x:v>
      </x:c>
      <x:c r="W84" s="2" t="str">
        <x:v>https://institutoagricoladepueblobello.edu.co/colegiapp/archivostemas/GUIA%209.%5B25%5D.pdf</x:v>
      </x:c>
      <x:c r="X84" s="2" t="str">
        <x:v>https://iiasa.ac.at/what-is-technology</x:v>
      </x:c>
      <x:c r="Y84" s="2" t="str">
        <x:v>https://www.unwater.org/water-facts/climate-change</x:v>
      </x:c>
      <x:c r="Z84" s="2" t="str">
        <x:v>Technology-specific analytical synthesis. The CTCN hierarchy is retained; classifications and component dependencies require validation against the selected design, site and supplier documentation before investment or policy use.</x:v>
      </x:c>
      <x:c r="AA84" s="2" t="str">
        <x:v>Physical deployment of Disaster risk assessment tools requires catchment or coast, treatment and storage sites, conveyance and drainage network, power supply, laboratory, control room and safe access; interfaces, foundations, access and environmental protection are sized to the specific resource and design load.</x:v>
      </x:c>
      <x:c r="AB84" s="2" t="str">
        <x:v>For Disaster risk assessment tools,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84" s="2" t="str">
        <x:v>Construction and operation use concrete, steel, ductile iron or polymers, filter media, membranes, treatment chemicals, geotextiles, soil, rock and vegetation according to the measure. For Disaster risk assessment tools, specifications must include durability, compatibility, recycled content and recoverability.</x:v>
      </x:c>
      <x:c r="AD84" s="2" t="str">
        <x:v>Maintenance of Disaster risk assessment tools depends on pump and valve parts, seals, meters, sensors, membranes, lamps, filter media, dosing equipment, reagents and erosion-control materials; critical spares are selected from failure-mode, lead-time and safety analysis for its installed configuration.</x:v>
      </x:c>
      <x:c r="AE84" s="2" t="str">
        <x:v>The software stack for Disaster risk assessment tools requires databases, secure communications, version-controlled models, computing, backup and interfaces with field or operational systems.</x:v>
      </x:c>
      <x:c r="AF84" s="2" t="str">
        <x:v>For Disaster risk assessment tools, software-related energy is electricity for sensing, computing, storage, communication and cooling; it is normally secondary but must be included for data-intensive or continuous services.</x:v>
      </x:c>
      <x:c r="AG84" s="2" t="str">
        <x:v>The non-physical inputs are calibrated data, metadata, algorithms, boundary conditions, emission or hazard factors, manuals and validation records specific to Disaster risk assessment tools.</x:v>
      </x:c>
      <x:c r="AH84" s="2" t="str">
        <x:v>Software continuity for Disaster risk assessment tools requires licences where applicable, updates, cybersecurity patches, backups, calibration files, model validation and technical support.</x:v>
      </x:c>
      <x:c r="AI84" s="2" t="str">
        <x:v>Orgware depends on the institutions, laboratories, training providers, regulators, operators and community interfaces needed to govern Disaster risk assessment tools.</x:v>
      </x:c>
      <x:c r="AJ84" s="2" t="str">
        <x:v>The orgware supporting Disaster risk assessment tools has mainly indirect energy use from offices, meetings, training and information systems; travel and field supervision may be material at dispersed sites.</x:v>
      </x:c>
      <x:c r="AK84" s="2" t="str">
        <x:v>Its organisational inputs are permits, budgets, trained staff, competence records, contracts, procedures, safeguards, monitoring evidence and stakeholder agreements tailored to Disaster risk assessment tools.</x:v>
      </x:c>
      <x:c r="AL84" s="2" t="str">
        <x:v>Sustained implementation of Disaster risk assessment tools requires procurement and service contracts, audit protocols, training material, reporting templates, insurance or guarantees and periodic independent review.</x:v>
      </x:c>
      <x:c r="AM84" s="2" t="str">
        <x:v>No critical or strategic raw material is identifiable at taxonomy level; site-specific bulk materials may still be required.</x:v>
      </x:c>
      <x:c r="AN84" s="2" t="str"/>
      <x:c r="AO84" s="2" t="str"/>
      <x:c r="AP84" s="2" t="str">
        <x:v>Disaster risk assessment tools: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4" s="2" t="str">
        <x:v>2024–2025</x:v>
      </x:c>
      <x:c r="AR84" s="2" t="str">
        <x:v>https://pubs.usgs.gov/periodicals/mcs2026/mcs2026.pdf</x:v>
      </x:c>
    </x:row>
    <x:row r="85" ht="240" customHeight="1">
      <x:c r="A85" s="2" t="str">
        <x:v>ADP-0078</x:v>
      </x:c>
      <x:c r="B85" s="2" t="str">
        <x:v>Adaptation</x:v>
      </x:c>
      <x:c r="C85" s="2" t="str">
        <x:v>Water</x:v>
      </x:c>
      <x:c r="D85" s="2" t="str">
        <x:v>Adaptation planning</x:v>
      </x:c>
      <x:c r="E85" s="2" t="str">
        <x:v>Hazard mapping solutions</x:v>
      </x:c>
      <x:c r="F85" s="2" t="str">
        <x:v>Hazard mapping solutions is a adaptation technology in the Water sector and the Adaptation planning technology group. It is defined as a combined hardware–software–orgware system that observes hazards and exposure, assimilates data, models possible evolution, converts forecasts into impact-based warnings and disseminates actionable information before thresholds are exceeded. Hazard mapping solutions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85" s="2" t="str">
        <x:v>Flexible</x:v>
      </x:c>
      <x:c r="H85" s="2" t="str">
        <x:v>Hazard mapping solutions is transferable through configurable methods, rules and operating parameters. Its principle remains the same, but resource quality, climate, scale, interfaces and safety constraints must be recalculated for each deployment.</x:v>
      </x:c>
      <x:c r="I85" s="2" t="str">
        <x:v>Hard and soft</x:v>
      </x:c>
      <x:c r="J85" s="2" t="str">
        <x:v>Hazard mapping solutions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85" s="2" t="str">
        <x:v>Operation and information service</x:v>
      </x:c>
      <x:c r="L85" s="2" t="str">
        <x:v>Hazard mapping solutions is embodied mainly as an information and decision service. The deliverable is accepted only when measurable service, quality, safety and climate-performance criteria are met under real conditions.</x:v>
      </x:c>
      <x:c r="M85" s="2" t="str">
        <x:v>Yes, subject to life-cycle safeguards</x:v>
      </x:c>
      <x:c r="N85" s="2" t="str">
        <x:v>Hazard mapping solutions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85" s="2" t="str">
        <x:v>Hazard mapping solutions: in-situ stations, remote sensors, radar or lidar, satellites or receivers, telemetry, servers, backup power, sirens and communication terminals.</x:v>
      </x:c>
      <x:c r="P85" s="2" t="str">
        <x:v>Hazard mapping solutions: quality control, geospatial processing, data assimilation, forecasting, downscaling, hazard and impact models, uncertainty treatment, alert logic and visualisation.</x:v>
      </x:c>
      <x:c r="Q85" s="2" t="str">
        <x:v>Hazard mapping solutions: institutional mandates, data-sharing agreements, warning authority, standard operating procedures, last-mile communication, accessibility, drills and feedback.</x:v>
      </x:c>
      <x:c r="R85" s="2" t="str">
        <x:v>Hazard mapping solutions: observation network, telecommunications, data centre or cloud, operations room, redundant power and multiple dissemination channels.</x:v>
      </x:c>
      <x:c r="S85" s="2" t="str">
        <x:v>Hazard mapping solutions: electricity for sensing, communications, computing, cooling and warning devices, with batteries or generators for continuity during emergencies.</x:v>
      </x:c>
      <x:c r="T85" s="2" t="str">
        <x:v>Hazard mapping solutions: electronics, semiconductors, copper cabling, batteries, antenna and mast materials, optical components, enclosures and calibration standards.</x:v>
      </x:c>
      <x:c r="U85" s="2" t="str">
        <x:v>Hazard mapping solutions: sensor heads, batteries, solar modules, data loggers, modems, cables, connectors, storage media, calibration equipment and siren parts.</x:v>
      </x:c>
      <x:c r="V85" s="2" t="str">
        <x:v>https://www.ctc-n.org/sites/default/files/resources/ctcn_taxonomy_0.pdf</x:v>
      </x:c>
      <x:c r="W85" s="2" t="str">
        <x:v>https://institutoagricoladepueblobello.edu.co/colegiapp/archivostemas/GUIA%209.%5B25%5D.pdf</x:v>
      </x:c>
      <x:c r="X85" s="2" t="str">
        <x:v>https://iiasa.ac.at/what-is-technology</x:v>
      </x:c>
      <x:c r="Y85" s="2" t="str">
        <x:v>https://www.unwater.org/water-facts/climate-change; https://wmo.int/resources/publication-series/global-status-of-multi-hazard-early-warning-systems/global-status-of-multi-hazard-early-warning-systems-2025</x:v>
      </x:c>
      <x:c r="Z85" s="2" t="str">
        <x:v>Technology-specific analytical synthesis. The CTCN hierarchy is retained; classifications and component dependencies require validation against the selected design, site and supplier documentation before investment or policy use.</x:v>
      </x:c>
      <x:c r="AA85" s="2" t="str">
        <x:v>Physical deployment of Hazard mapping solutions requires observation network, telecommunications, data centre or cloud, operations room, redundant power and multiple dissemination channels; interfaces, foundations, access and environmental protection are sized to the specific resource and design load.</x:v>
      </x:c>
      <x:c r="AB85" s="2" t="str">
        <x:v>For Hazard mapping solutions,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85" s="2" t="str">
        <x:v>Construction and operation use electronics, semiconductors, copper cabling, batteries, antenna and mast materials, optical components, enclosures and calibration standards. For Hazard mapping solutions, specifications must include durability, compatibility, recycled content and recoverability.</x:v>
      </x:c>
      <x:c r="AD85" s="2" t="str">
        <x:v>Maintenance of Hazard mapping solutions depends on sensor heads, batteries, solar modules, data loggers, modems, cables, connectors, storage media, calibration equipment and siren parts; critical spares are selected from failure-mode, lead-time and safety analysis for its installed configuration.</x:v>
      </x:c>
      <x:c r="AE85" s="2" t="str">
        <x:v>The software stack for Hazard mapping solutions requires databases, secure communications, version-controlled models, computing, backup and interfaces with field or operational systems.</x:v>
      </x:c>
      <x:c r="AF85" s="2" t="str">
        <x:v>For Hazard mapping solutions, software-related energy is electricity for sensing, computing, storage, communication and cooling; it is normally secondary but must be included for data-intensive or continuous services.</x:v>
      </x:c>
      <x:c r="AG85" s="2" t="str">
        <x:v>The non-physical inputs are calibrated data, metadata, algorithms, boundary conditions, emission or hazard factors, manuals and validation records specific to Hazard mapping solutions.</x:v>
      </x:c>
      <x:c r="AH85" s="2" t="str">
        <x:v>Software continuity for Hazard mapping solutions requires licences where applicable, updates, cybersecurity patches, backups, calibration files, model validation and technical support.</x:v>
      </x:c>
      <x:c r="AI85" s="2" t="str">
        <x:v>Orgware depends on the institutions, laboratories, training providers, regulators, operators and community interfaces needed to govern Hazard mapping solutions.</x:v>
      </x:c>
      <x:c r="AJ85" s="2" t="str">
        <x:v>The orgware supporting Hazard mapping solutions has mainly indirect energy use from offices, meetings, training and information systems; travel and field supervision may be material at dispersed sites.</x:v>
      </x:c>
      <x:c r="AK85" s="2" t="str">
        <x:v>Its organisational inputs are permits, budgets, trained staff, competence records, contracts, procedures, safeguards, monitoring evidence and stakeholder agreements tailored to Hazard mapping solutions.</x:v>
      </x:c>
      <x:c r="AL85" s="2" t="str">
        <x:v>Sustained implementation of Hazard mapping solutions requires procurement and service contracts, audit protocols, training material, reporting templates, insurance or guarantees and periodic independent review.</x:v>
      </x:c>
      <x:c r="AM85" s="2" t="str">
        <x:v>Copper; Tin</x:v>
      </x:c>
      <x:c r="AN85" s="2" t="str">
        <x:v>Chile; Democratic Republic of the Congo; Peru; China; Indonesia; Myanmar</x:v>
      </x:c>
      <x:c r="AO85" s="2" t="str">
        <x:v>China; Chile; Democratic Republic of the Congo; Indonesia; Malaysia</x:v>
      </x:c>
      <x:c r="AP85" s="2" t="str">
        <x:v>Hazard mapping solutions: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5" s="2" t="str">
        <x:v>2024–2025</x:v>
      </x:c>
      <x:c r="AR85" s="2" t="str">
        <x:v>https://pubs.usgs.gov/periodicals/mcs2026/mcs2026.pdf</x:v>
      </x:c>
    </x:row>
    <x:row r="86" ht="240" customHeight="1">
      <x:c r="A86" s="2" t="str">
        <x:v>ADP-0079</x:v>
      </x:c>
      <x:c r="B86" s="2" t="str">
        <x:v>Adaptation</x:v>
      </x:c>
      <x:c r="C86" s="2" t="str">
        <x:v>Water</x:v>
      </x:c>
      <x:c r="D86" s="2" t="str">
        <x:v>Adaptation planning</x:v>
      </x:c>
      <x:c r="E86" s="2" t="str">
        <x:v>Flood hazard mapping</x:v>
      </x:c>
      <x:c r="F86" s="2" t="str">
        <x:v>Flood hazard mapping is a adaptation technology in the Water sector and the Adaptation planning technology group. It is defined as a combined hardware–software–orgware system that observes hazards and exposure, assimilates data, models possible evolution, converts forecasts into impact-based warnings and disseminates actionable information before thresholds are exceeded. Flood hazard mapping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Effectiveness depends on data continuity, model skill, false-alarm and missed-event rates, communication reach, user trust, maintenance, cybersecurity, electronic waste and institutional learning after events. WMO's Early Warnings for All framework structures real systems around risk knowledge, detection and forecasting, dissemination, and preparedness and response.</x:v>
      </x:c>
      <x:c r="G86" s="2" t="str">
        <x:v>Flexible</x:v>
      </x:c>
      <x:c r="H86" s="2" t="str">
        <x:v>Flood hazard mapping is transferable through configurable methods, rules and operating parameters. Its principle remains the same, but resource quality, climate, scale, interfaces and safety constraints must be recalculated for each deployment.</x:v>
      </x:c>
      <x:c r="I86" s="2" t="str">
        <x:v>Hard and soft</x:v>
      </x:c>
      <x:c r="J86" s="2" t="str">
        <x:v>Flood hazard mapping combines in-situ stations, remote sensors, radar or lidar, satellites or receivers, telemetry, servers, backup power, sirens and communication terminals with the codified knowledge in quality control, geospatial processing, data assimilation, forecasting, downscaling, hazard and impact models, uncertainty treatment, alert logic and visualisation. Its performance cannot be assigned to artefacts alone: operation, competence, data quality and institutional arrangements are causal parts of the technology.</x:v>
      </x:c>
      <x:c r="K86" s="2" t="str">
        <x:v>Operation and information service</x:v>
      </x:c>
      <x:c r="L86" s="2" t="str">
        <x:v>Flood hazard mapping is embodied mainly as an information and decision service. The deliverable is accepted only when measurable service, quality, safety and climate-performance criteria are met under real conditions.</x:v>
      </x:c>
      <x:c r="M86" s="2" t="str">
        <x:v>Yes, subject to life-cycle safeguards</x:v>
      </x:c>
      <x:c r="N86" s="2" t="str">
        <x:v>Flood hazard mapping is classified as climate-beneficial subject to safeguards. Effectiveness depends on data continuity, model skill, false-alarm and missed-event rates, communication reach, user trust, maintenance, cybersecurity, electronic waste and institutional learning after events. Avoided emissions or reduced vulnerability must be demonstrated against a defined baseline, without shifting material, pollution or social burdens outside the system boundary.</x:v>
      </x:c>
      <x:c r="O86" s="2" t="str">
        <x:v>Flood hazard mapping: in-situ stations, remote sensors, radar or lidar, satellites or receivers, telemetry, servers, backup power, sirens and communication terminals.</x:v>
      </x:c>
      <x:c r="P86" s="2" t="str">
        <x:v>Flood hazard mapping: quality control, geospatial processing, data assimilation, forecasting, downscaling, hazard and impact models, uncertainty treatment, alert logic and visualisation.</x:v>
      </x:c>
      <x:c r="Q86" s="2" t="str">
        <x:v>Flood hazard mapping: institutional mandates, data-sharing agreements, warning authority, standard operating procedures, last-mile communication, accessibility, drills and feedback.</x:v>
      </x:c>
      <x:c r="R86" s="2" t="str">
        <x:v>Flood hazard mapping: observation network, telecommunications, data centre or cloud, operations room, redundant power and multiple dissemination channels.</x:v>
      </x:c>
      <x:c r="S86" s="2" t="str">
        <x:v>Flood hazard mapping: electricity for sensing, communications, computing, cooling and warning devices, with batteries or generators for continuity during emergencies.</x:v>
      </x:c>
      <x:c r="T86" s="2" t="str">
        <x:v>Flood hazard mapping: electronics, semiconductors, copper cabling, batteries, antenna and mast materials, optical components, enclosures and calibration standards.</x:v>
      </x:c>
      <x:c r="U86" s="2" t="str">
        <x:v>Flood hazard mapping: sensor heads, batteries, solar modules, data loggers, modems, cables, connectors, storage media, calibration equipment and siren parts.</x:v>
      </x:c>
      <x:c r="V86" s="2" t="str">
        <x:v>https://www.ctc-n.org/sites/default/files/resources/ctcn_taxonomy_0.pdf</x:v>
      </x:c>
      <x:c r="W86" s="2" t="str">
        <x:v>https://institutoagricoladepueblobello.edu.co/colegiapp/archivostemas/GUIA%209.%5B25%5D.pdf</x:v>
      </x:c>
      <x:c r="X86" s="2" t="str">
        <x:v>https://iiasa.ac.at/what-is-technology</x:v>
      </x:c>
      <x:c r="Y86" s="2" t="str">
        <x:v>https://www.unwater.org/water-facts/climate-change; https://wmo.int/resources/publication-series/global-status-of-multi-hazard-early-warning-systems/global-status-of-multi-hazard-early-warning-systems-2025</x:v>
      </x:c>
      <x:c r="Z86" s="2" t="str">
        <x:v>Technology-specific analytical synthesis. The CTCN hierarchy is retained; classifications and component dependencies require validation against the selected design, site and supplier documentation before investment or policy use.</x:v>
      </x:c>
      <x:c r="AA86" s="2" t="str">
        <x:v>Physical deployment of Flood hazard mapping requires observation network, telecommunications, data centre or cloud, operations room, redundant power and multiple dissemination channels; interfaces, foundations, access and environmental protection are sized to the specific resource and design load.</x:v>
      </x:c>
      <x:c r="AB86" s="2" t="str">
        <x:v>For Flood hazard mapping, the hardware energy balance comprises electricity for sensing, communications, computing, cooling and warning devices, with batteries or generators for continuity during emergencies; metering must separate useful output, conversion losses and auxiliaries for the selected design.</x:v>
      </x:c>
      <x:c r="AC86" s="2" t="str">
        <x:v>Construction and operation use electronics, semiconductors, copper cabling, batteries, antenna and mast materials, optical components, enclosures and calibration standards. For Flood hazard mapping, specifications must include durability, compatibility, recycled content and recoverability.</x:v>
      </x:c>
      <x:c r="AD86" s="2" t="str">
        <x:v>Maintenance of Flood hazard mapping depends on sensor heads, batteries, solar modules, data loggers, modems, cables, connectors, storage media, calibration equipment and siren parts; critical spares are selected from failure-mode, lead-time and safety analysis for its installed configuration.</x:v>
      </x:c>
      <x:c r="AE86" s="2" t="str">
        <x:v>The software stack for Flood hazard mapping requires databases, secure communications, version-controlled models, computing, backup and interfaces with field or operational systems.</x:v>
      </x:c>
      <x:c r="AF86" s="2" t="str">
        <x:v>For Flood hazard mapping, software-related energy is electricity for sensing, computing, storage, communication and cooling; it is normally secondary but must be included for data-intensive or continuous services.</x:v>
      </x:c>
      <x:c r="AG86" s="2" t="str">
        <x:v>The non-physical inputs are calibrated data, metadata, algorithms, boundary conditions, emission or hazard factors, manuals and validation records specific to Flood hazard mapping.</x:v>
      </x:c>
      <x:c r="AH86" s="2" t="str">
        <x:v>Software continuity for Flood hazard mapping requires licences where applicable, updates, cybersecurity patches, backups, calibration files, model validation and technical support.</x:v>
      </x:c>
      <x:c r="AI86" s="2" t="str">
        <x:v>Orgware depends on the institutions, laboratories, training providers, regulators, operators and community interfaces needed to govern Flood hazard mapping.</x:v>
      </x:c>
      <x:c r="AJ86" s="2" t="str">
        <x:v>The orgware supporting Flood hazard mapping has mainly indirect energy use from offices, meetings, training and information systems; travel and field supervision may be material at dispersed sites.</x:v>
      </x:c>
      <x:c r="AK86" s="2" t="str">
        <x:v>Its organisational inputs are permits, budgets, trained staff, competence records, contracts, procedures, safeguards, monitoring evidence and stakeholder agreements tailored to Flood hazard mapping.</x:v>
      </x:c>
      <x:c r="AL86" s="2" t="str">
        <x:v>Sustained implementation of Flood hazard mapping requires procurement and service contracts, audit protocols, training material, reporting templates, insurance or guarantees and periodic independent review.</x:v>
      </x:c>
      <x:c r="AM86" s="2" t="str">
        <x:v>Copper; Tin</x:v>
      </x:c>
      <x:c r="AN86" s="2" t="str">
        <x:v>Chile; Democratic Republic of the Congo; Peru; China; Indonesia; Myanmar</x:v>
      </x:c>
      <x:c r="AO86" s="2" t="str">
        <x:v>China; Chile; Democratic Republic of the Congo; Indonesia; Malaysia</x:v>
      </x:c>
      <x:c r="AP86" s="2" t="str">
        <x:v>Flood hazard mapping: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6" s="2" t="str">
        <x:v>2024–2025</x:v>
      </x:c>
      <x:c r="AR86" s="2" t="str">
        <x:v>https://pubs.usgs.gov/periodicals/mcs2026/mcs2026.pdf</x:v>
      </x:c>
    </x:row>
    <x:row r="87" ht="240" customHeight="1">
      <x:c r="A87" s="2" t="str">
        <x:v>ADP-0080</x:v>
      </x:c>
      <x:c r="B87" s="2" t="str">
        <x:v>Adaptation</x:v>
      </x:c>
      <x:c r="C87" s="2" t="str">
        <x:v>Water</x:v>
      </x:c>
      <x:c r="D87" s="2" t="str">
        <x:v>Adaptation planning</x:v>
      </x:c>
      <x:c r="E87" s="2" t="str">
        <x:v>National plan</x:v>
      </x:c>
      <x:c r="F87" s="2" t="str">
        <x:v>National plan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National plan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87" s="2" t="str">
        <x:v>Flexible</x:v>
      </x:c>
      <x:c r="H87" s="2" t="str">
        <x:v>National plan is transferable through configurable methods, rules and operating parameters. Its principle remains the same, but resource quality, climate, scale, interfaces and safety constraints must be recalculated for each deployment.</x:v>
      </x:c>
      <x:c r="I87" s="2" t="str">
        <x:v>Hard and soft</x:v>
      </x:c>
      <x:c r="J87" s="2" t="str">
        <x:v>National plan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87" s="2" t="str">
        <x:v>Operation and information service</x:v>
      </x:c>
      <x:c r="L87" s="2" t="str">
        <x:v>National plan is embodied mainly as an information and decision service. The deliverable is accepted only when measurable service, quality, safety and climate-performance criteria are met under real conditions.</x:v>
      </x:c>
      <x:c r="M87" s="2" t="str">
        <x:v>Yes, subject to life-cycle safeguards</x:v>
      </x:c>
      <x:c r="N87" s="2" t="str">
        <x:v>National plan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87" s="2" t="str">
        <x:v>National plan: intakes, pipes, pumps, meters, valves, tanks, treatment units, drainage or flood structures, monitoring stations and nature-based elements as applicable.</x:v>
      </x:c>
      <x:c r="P87" s="2" t="str">
        <x:v>National plan: water balance, hydraulic and hydrological modelling, demand forecasting, water-quality analysis, asset management, drought or flood rules and decision support.</x:v>
      </x:c>
      <x:c r="Q87" s="2" t="str">
        <x:v>National plan: water rights and permits, utility responsibilities, basin governance, service standards, emergency protocols, tariffs, maintenance funding and stakeholder agreements.</x:v>
      </x:c>
      <x:c r="R87" s="2" t="str">
        <x:v>National plan: catchment or coast, treatment and storage sites, conveyance and drainage network, power supply, laboratory, control room and safe access.</x:v>
      </x:c>
      <x:c r="S87" s="2" t="str">
        <x:v>National plan: electricity or fuel for pumping, aeration, desalination, treatment and controls; gravity and ecosystem processes can reduce auxiliary demand.</x:v>
      </x:c>
      <x:c r="T87" s="2" t="str">
        <x:v>National plan: concrete, steel, ductile iron or polymers, filter media, membranes, treatment chemicals, geotextiles, soil, rock and vegetation according to the measure.</x:v>
      </x:c>
      <x:c r="U87" s="2" t="str">
        <x:v>National plan: pump and valve parts, seals, meters, sensors, membranes, lamps, filter media, dosing equipment, reagents and erosion-control materials.</x:v>
      </x:c>
      <x:c r="V87" s="2" t="str">
        <x:v>https://www.ctc-n.org/sites/default/files/resources/ctcn_taxonomy_0.pdf</x:v>
      </x:c>
      <x:c r="W87" s="2" t="str">
        <x:v>https://institutoagricoladepueblobello.edu.co/colegiapp/archivostemas/GUIA%209.%5B25%5D.pdf</x:v>
      </x:c>
      <x:c r="X87" s="2" t="str">
        <x:v>https://iiasa.ac.at/what-is-technology</x:v>
      </x:c>
      <x:c r="Y87" s="2" t="str">
        <x:v>https://www.unwater.org/water-facts/climate-change</x:v>
      </x:c>
      <x:c r="Z87" s="2" t="str">
        <x:v>Technology-specific analytical synthesis. The CTCN hierarchy is retained; classifications and component dependencies require validation against the selected design, site and supplier documentation before investment or policy use.</x:v>
      </x:c>
      <x:c r="AA87" s="2" t="str">
        <x:v>Physical deployment of National plan requires catchment or coast, treatment and storage sites, conveyance and drainage network, power supply, laboratory, control room and safe access; interfaces, foundations, access and environmental protection are sized to the specific resource and design load.</x:v>
      </x:c>
      <x:c r="AB87" s="2" t="str">
        <x:v>For National plan,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87" s="2" t="str">
        <x:v>Construction and operation use concrete, steel, ductile iron or polymers, filter media, membranes, treatment chemicals, geotextiles, soil, rock and vegetation according to the measure. For National plan, specifications must include durability, compatibility, recycled content and recoverability.</x:v>
      </x:c>
      <x:c r="AD87" s="2" t="str">
        <x:v>Maintenance of National plan depends on pump and valve parts, seals, meters, sensors, membranes, lamps, filter media, dosing equipment, reagents and erosion-control materials; critical spares are selected from failure-mode, lead-time and safety analysis for its installed configuration.</x:v>
      </x:c>
      <x:c r="AE87" s="2" t="str">
        <x:v>The software stack for National plan requires databases, secure communications, version-controlled models, computing, backup and interfaces with field or operational systems.</x:v>
      </x:c>
      <x:c r="AF87" s="2" t="str">
        <x:v>For National plan, software-related energy is electricity for sensing, computing, storage, communication and cooling; it is normally secondary but must be included for data-intensive or continuous services.</x:v>
      </x:c>
      <x:c r="AG87" s="2" t="str">
        <x:v>The non-physical inputs are calibrated data, metadata, algorithms, boundary conditions, emission or hazard factors, manuals and validation records specific to National plan.</x:v>
      </x:c>
      <x:c r="AH87" s="2" t="str">
        <x:v>Software continuity for National plan requires licences where applicable, updates, cybersecurity patches, backups, calibration files, model validation and technical support.</x:v>
      </x:c>
      <x:c r="AI87" s="2" t="str">
        <x:v>Orgware depends on the institutions, laboratories, training providers, regulators, operators and community interfaces needed to govern National plan.</x:v>
      </x:c>
      <x:c r="AJ87" s="2" t="str">
        <x:v>The orgware supporting National plan has mainly indirect energy use from offices, meetings, training and information systems; travel and field supervision may be material at dispersed sites.</x:v>
      </x:c>
      <x:c r="AK87" s="2" t="str">
        <x:v>Its organisational inputs are permits, budgets, trained staff, competence records, contracts, procedures, safeguards, monitoring evidence and stakeholder agreements tailored to National plan.</x:v>
      </x:c>
      <x:c r="AL87" s="2" t="str">
        <x:v>Sustained implementation of National plan requires procurement and service contracts, audit protocols, training material, reporting templates, insurance or guarantees and periodic independent review.</x:v>
      </x:c>
      <x:c r="AM87" s="2" t="str">
        <x:v>No critical or strategic raw material is identifiable at taxonomy level; site-specific bulk materials may still be required.</x:v>
      </x:c>
      <x:c r="AN87" s="2" t="str"/>
      <x:c r="AO87" s="2" t="str"/>
      <x:c r="AP87" s="2" t="str">
        <x:v>National plan: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7" s="2" t="str">
        <x:v>2024–2025</x:v>
      </x:c>
      <x:c r="AR87" s="2" t="str">
        <x:v>https://pubs.usgs.gov/periodicals/mcs2026/mcs2026.pdf</x:v>
      </x:c>
    </x:row>
    <x:row r="88" ht="240" customHeight="1">
      <x:c r="A88" s="2" t="str">
        <x:v>ADP-0081</x:v>
      </x:c>
      <x:c r="B88" s="2" t="str">
        <x:v>Adaptation</x:v>
      </x:c>
      <x:c r="C88" s="2" t="str">
        <x:v>Water</x:v>
      </x:c>
      <x:c r="D88" s="2" t="str">
        <x:v>Adaptation planning</x:v>
      </x:c>
      <x:c r="E88" s="2" t="str">
        <x:v>Technology Needs Assessment</x:v>
      </x:c>
      <x:c r="F88" s="2" t="str">
        <x:v>Technology Needs Assessment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Technology Needs Assessment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88" s="2" t="str">
        <x:v>Flexible</x:v>
      </x:c>
      <x:c r="H88" s="2" t="str">
        <x:v>Technology Needs Assessment is transferable through configurable methods, rules and operating parameters. Its principle remains the same, but resource quality, climate, scale, interfaces and safety constraints must be recalculated for each deployment.</x:v>
      </x:c>
      <x:c r="I88" s="2" t="str">
        <x:v>Hard and soft</x:v>
      </x:c>
      <x:c r="J88" s="2" t="str">
        <x:v>Technology Needs Assessment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88" s="2" t="str">
        <x:v>Operation and information service</x:v>
      </x:c>
      <x:c r="L88" s="2" t="str">
        <x:v>Technology Needs Assessment is embodied mainly as an information and decision service. The deliverable is accepted only when measurable service, quality, safety and climate-performance criteria are met under real conditions.</x:v>
      </x:c>
      <x:c r="M88" s="2" t="str">
        <x:v>Yes, subject to life-cycle safeguards</x:v>
      </x:c>
      <x:c r="N88" s="2" t="str">
        <x:v>Technology Needs Assessment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88" s="2" t="str">
        <x:v>Technology Needs Assessment: intakes, pipes, pumps, meters, valves, tanks, treatment units, drainage or flood structures, monitoring stations and nature-based elements as applicable.</x:v>
      </x:c>
      <x:c r="P88" s="2" t="str">
        <x:v>Technology Needs Assessment: water balance, hydraulic and hydrological modelling, demand forecasting, water-quality analysis, asset management, drought or flood rules and decision support.</x:v>
      </x:c>
      <x:c r="Q88" s="2" t="str">
        <x:v>Technology Needs Assessment: water rights and permits, utility responsibilities, basin governance, service standards, emergency protocols, tariffs, maintenance funding and stakeholder agreements.</x:v>
      </x:c>
      <x:c r="R88" s="2" t="str">
        <x:v>Technology Needs Assessment: catchment or coast, treatment and storage sites, conveyance and drainage network, power supply, laboratory, control room and safe access.</x:v>
      </x:c>
      <x:c r="S88" s="2" t="str">
        <x:v>Technology Needs Assessment: electricity or fuel for pumping, aeration, desalination, treatment and controls; gravity and ecosystem processes can reduce auxiliary demand.</x:v>
      </x:c>
      <x:c r="T88" s="2" t="str">
        <x:v>Technology Needs Assessment: concrete, steel, ductile iron or polymers, filter media, membranes, treatment chemicals, geotextiles, soil, rock and vegetation according to the measure.</x:v>
      </x:c>
      <x:c r="U88" s="2" t="str">
        <x:v>Technology Needs Assessment: pump and valve parts, seals, meters, sensors, membranes, lamps, filter media, dosing equipment, reagents and erosion-control materials.</x:v>
      </x:c>
      <x:c r="V88" s="2" t="str">
        <x:v>https://www.ctc-n.org/sites/default/files/resources/ctcn_taxonomy_0.pdf</x:v>
      </x:c>
      <x:c r="W88" s="2" t="str">
        <x:v>https://institutoagricoladepueblobello.edu.co/colegiapp/archivostemas/GUIA%209.%5B25%5D.pdf</x:v>
      </x:c>
      <x:c r="X88" s="2" t="str">
        <x:v>https://iiasa.ac.at/what-is-technology</x:v>
      </x:c>
      <x:c r="Y88" s="2" t="str">
        <x:v>https://www.unwater.org/water-facts/climate-change</x:v>
      </x:c>
      <x:c r="Z88" s="2" t="str">
        <x:v>Technology-specific analytical synthesis. The CTCN hierarchy is retained; classifications and component dependencies require validation against the selected design, site and supplier documentation before investment or policy use.</x:v>
      </x:c>
      <x:c r="AA88" s="2" t="str">
        <x:v>Physical deployment of Technology Needs Assessment requires catchment or coast, treatment and storage sites, conveyance and drainage network, power supply, laboratory, control room and safe access; interfaces, foundations, access and environmental protection are sized to the specific resource and design load.</x:v>
      </x:c>
      <x:c r="AB88" s="2" t="str">
        <x:v>For Technology Needs Assessment,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88" s="2" t="str">
        <x:v>Construction and operation use concrete, steel, ductile iron or polymers, filter media, membranes, treatment chemicals, geotextiles, soil, rock and vegetation according to the measure. For Technology Needs Assessment, specifications must include durability, compatibility, recycled content and recoverability.</x:v>
      </x:c>
      <x:c r="AD88" s="2" t="str">
        <x:v>Maintenance of Technology Needs Assessment depends on pump and valve parts, seals, meters, sensors, membranes, lamps, filter media, dosing equipment, reagents and erosion-control materials; critical spares are selected from failure-mode, lead-time and safety analysis for its installed configuration.</x:v>
      </x:c>
      <x:c r="AE88" s="2" t="str">
        <x:v>The software stack for Technology Needs Assessment requires databases, secure communications, version-controlled models, computing, backup and interfaces with field or operational systems.</x:v>
      </x:c>
      <x:c r="AF88" s="2" t="str">
        <x:v>For Technology Needs Assessment, software-related energy is electricity for sensing, computing, storage, communication and cooling; it is normally secondary but must be included for data-intensive or continuous services.</x:v>
      </x:c>
      <x:c r="AG88" s="2" t="str">
        <x:v>The non-physical inputs are calibrated data, metadata, algorithms, boundary conditions, emission or hazard factors, manuals and validation records specific to Technology Needs Assessment.</x:v>
      </x:c>
      <x:c r="AH88" s="2" t="str">
        <x:v>Software continuity for Technology Needs Assessment requires licences where applicable, updates, cybersecurity patches, backups, calibration files, model validation and technical support.</x:v>
      </x:c>
      <x:c r="AI88" s="2" t="str">
        <x:v>Orgware depends on the institutions, laboratories, training providers, regulators, operators and community interfaces needed to govern Technology Needs Assessment.</x:v>
      </x:c>
      <x:c r="AJ88" s="2" t="str">
        <x:v>The orgware supporting Technology Needs Assessment has mainly indirect energy use from offices, meetings, training and information systems; travel and field supervision may be material at dispersed sites.</x:v>
      </x:c>
      <x:c r="AK88" s="2" t="str">
        <x:v>Its organisational inputs are permits, budgets, trained staff, competence records, contracts, procedures, safeguards, monitoring evidence and stakeholder agreements tailored to Technology Needs Assessment.</x:v>
      </x:c>
      <x:c r="AL88" s="2" t="str">
        <x:v>Sustained implementation of Technology Needs Assessment requires procurement and service contracts, audit protocols, training material, reporting templates, insurance or guarantees and periodic independent review.</x:v>
      </x:c>
      <x:c r="AM88" s="2" t="str">
        <x:v>No critical or strategic raw material is identifiable at taxonomy level; site-specific bulk materials may still be required.</x:v>
      </x:c>
      <x:c r="AN88" s="2" t="str"/>
      <x:c r="AO88" s="2" t="str"/>
      <x:c r="AP88" s="2" t="str">
        <x:v>Technology Needs Assessment: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8" s="2" t="str">
        <x:v>2024–2025</x:v>
      </x:c>
      <x:c r="AR88" s="2" t="str">
        <x:v>https://pubs.usgs.gov/periodicals/mcs2026/mcs2026.pdf</x:v>
      </x:c>
    </x:row>
    <x:row r="89" ht="240" customHeight="1">
      <x:c r="A89" s="2" t="str">
        <x:v>ADP-0082</x:v>
      </x:c>
      <x:c r="B89" s="2" t="str">
        <x:v>Adaptation</x:v>
      </x:c>
      <x:c r="C89" s="2" t="str">
        <x:v>Water</x:v>
      </x:c>
      <x:c r="D89" s="2" t="str">
        <x:v>Adaptation planning</x:v>
      </x:c>
      <x:c r="E89" s="2" t="str">
        <x:v>National Biodiversity Strategies and Action Plan</x:v>
      </x:c>
      <x:c r="F89" s="2" t="str">
        <x:v>National Biodiversity Strategies and Action Plan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National Biodiversity Strategies and Action Plan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89" s="2" t="str">
        <x:v>Flexible</x:v>
      </x:c>
      <x:c r="H89" s="2" t="str">
        <x:v>National Biodiversity Strategies and Action Plan is transferable through configurable methods, rules and operating parameters. Its principle remains the same, but resource quality, climate, scale, interfaces and safety constraints must be recalculated for each deployment.</x:v>
      </x:c>
      <x:c r="I89" s="2" t="str">
        <x:v>Hard and soft</x:v>
      </x:c>
      <x:c r="J89" s="2" t="str">
        <x:v>National Biodiversity Strategies and Action Plan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89" s="2" t="str">
        <x:v>Operation and information service</x:v>
      </x:c>
      <x:c r="L89" s="2" t="str">
        <x:v>National Biodiversity Strategies and Action Plan is embodied mainly as an information and decision service. The deliverable is accepted only when measurable service, quality, safety and climate-performance criteria are met under real conditions.</x:v>
      </x:c>
      <x:c r="M89" s="2" t="str">
        <x:v>Yes, subject to life-cycle safeguards</x:v>
      </x:c>
      <x:c r="N89" s="2" t="str">
        <x:v>National Biodiversity Strategies and Action Plan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89" s="2" t="str">
        <x:v>National Biodiversity Strategies and Action Plan: intakes, pipes, pumps, meters, valves, tanks, treatment units, drainage or flood structures, monitoring stations and nature-based elements as applicable.</x:v>
      </x:c>
      <x:c r="P89" s="2" t="str">
        <x:v>National Biodiversity Strategies and Action Plan: water balance, hydraulic and hydrological modelling, demand forecasting, water-quality analysis, asset management, drought or flood rules and decision support.</x:v>
      </x:c>
      <x:c r="Q89" s="2" t="str">
        <x:v>National Biodiversity Strategies and Action Plan: water rights and permits, utility responsibilities, basin governance, service standards, emergency protocols, tariffs, maintenance funding and stakeholder agreements.</x:v>
      </x:c>
      <x:c r="R89" s="2" t="str">
        <x:v>National Biodiversity Strategies and Action Plan: catchment or coast, treatment and storage sites, conveyance and drainage network, power supply, laboratory, control room and safe access.</x:v>
      </x:c>
      <x:c r="S89" s="2" t="str">
        <x:v>National Biodiversity Strategies and Action Plan: electricity or fuel for pumping, aeration, desalination, treatment and controls; gravity and ecosystem processes can reduce auxiliary demand.</x:v>
      </x:c>
      <x:c r="T89" s="2" t="str">
        <x:v>National Biodiversity Strategies and Action Plan: concrete, steel, ductile iron or polymers, filter media, membranes, treatment chemicals, geotextiles, soil, rock and vegetation according to the measure.</x:v>
      </x:c>
      <x:c r="U89" s="2" t="str">
        <x:v>National Biodiversity Strategies and Action Plan: pump and valve parts, seals, meters, sensors, membranes, lamps, filter media, dosing equipment, reagents and erosion-control materials.</x:v>
      </x:c>
      <x:c r="V89" s="2" t="str">
        <x:v>https://www.ctc-n.org/sites/default/files/resources/ctcn_taxonomy_0.pdf</x:v>
      </x:c>
      <x:c r="W89" s="2" t="str">
        <x:v>https://institutoagricoladepueblobello.edu.co/colegiapp/archivostemas/GUIA%209.%5B25%5D.pdf</x:v>
      </x:c>
      <x:c r="X89" s="2" t="str">
        <x:v>https://iiasa.ac.at/what-is-technology</x:v>
      </x:c>
      <x:c r="Y89" s="2" t="str">
        <x:v>https://www.unwater.org/water-facts/climate-change</x:v>
      </x:c>
      <x:c r="Z89" s="2" t="str">
        <x:v>Technology-specific analytical synthesis. The CTCN hierarchy is retained; classifications and component dependencies require validation against the selected design, site and supplier documentation before investment or policy use.</x:v>
      </x:c>
      <x:c r="AA89" s="2" t="str">
        <x:v>Physical deployment of National Biodiversity Strategies and Action Plan requires catchment or coast, treatment and storage sites, conveyance and drainage network, power supply, laboratory, control room and safe access; interfaces, foundations, access and environmental protection are sized to the specific resource and design load.</x:v>
      </x:c>
      <x:c r="AB89" s="2" t="str">
        <x:v>For National Biodiversity Strategies and Action Plan,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89" s="2" t="str">
        <x:v>Construction and operation use concrete, steel, ductile iron or polymers, filter media, membranes, treatment chemicals, geotextiles, soil, rock and vegetation according to the measure. For National Biodiversity Strategies and Action Plan, specifications must include durability, compatibility, recycled content and recoverability.</x:v>
      </x:c>
      <x:c r="AD89" s="2" t="str">
        <x:v>Maintenance of National Biodiversity Strategies and Action Plan depends on pump and valve parts, seals, meters, sensors, membranes, lamps, filter media, dosing equipment, reagents and erosion-control materials; critical spares are selected from failure-mode, lead-time and safety analysis for its installed configuration.</x:v>
      </x:c>
      <x:c r="AE89" s="2" t="str">
        <x:v>The software stack for National Biodiversity Strategies and Action Plan requires databases, secure communications, version-controlled models, computing, backup and interfaces with field or operational systems.</x:v>
      </x:c>
      <x:c r="AF89" s="2" t="str">
        <x:v>For National Biodiversity Strategies and Action Plan, software-related energy is electricity for sensing, computing, storage, communication and cooling; it is normally secondary but must be included for data-intensive or continuous services.</x:v>
      </x:c>
      <x:c r="AG89" s="2" t="str">
        <x:v>The non-physical inputs are calibrated data, metadata, algorithms, boundary conditions, emission or hazard factors, manuals and validation records specific to National Biodiversity Strategies and Action Plan.</x:v>
      </x:c>
      <x:c r="AH89" s="2" t="str">
        <x:v>Software continuity for National Biodiversity Strategies and Action Plan requires licences where applicable, updates, cybersecurity patches, backups, calibration files, model validation and technical support.</x:v>
      </x:c>
      <x:c r="AI89" s="2" t="str">
        <x:v>Orgware depends on the institutions, laboratories, training providers, regulators, operators and community interfaces needed to govern National Biodiversity Strategies and Action Plan.</x:v>
      </x:c>
      <x:c r="AJ89" s="2" t="str">
        <x:v>The orgware supporting National Biodiversity Strategies and Action Plan has mainly indirect energy use from offices, meetings, training and information systems; travel and field supervision may be material at dispersed sites.</x:v>
      </x:c>
      <x:c r="AK89" s="2" t="str">
        <x:v>Its organisational inputs are permits, budgets, trained staff, competence records, contracts, procedures, safeguards, monitoring evidence and stakeholder agreements tailored to National Biodiversity Strategies and Action Plan.</x:v>
      </x:c>
      <x:c r="AL89" s="2" t="str">
        <x:v>Sustained implementation of National Biodiversity Strategies and Action Plan requires procurement and service contracts, audit protocols, training material, reporting templates, insurance or guarantees and periodic independent review.</x:v>
      </x:c>
      <x:c r="AM89" s="2" t="str">
        <x:v>No critical or strategic raw material is identifiable at taxonomy level; site-specific bulk materials may still be required.</x:v>
      </x:c>
      <x:c r="AN89" s="2" t="str"/>
      <x:c r="AO89" s="2" t="str"/>
      <x:c r="AP89" s="2" t="str">
        <x:v>National Biodiversity Strategies and Action Plan: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89" s="2" t="str">
        <x:v>2024–2025</x:v>
      </x:c>
      <x:c r="AR89" s="2" t="str">
        <x:v>https://pubs.usgs.gov/periodicals/mcs2026/mcs2026.pdf</x:v>
      </x:c>
    </x:row>
    <x:row r="90" ht="240" customHeight="1">
      <x:c r="A90" s="2" t="str">
        <x:v>ADP-0083</x:v>
      </x:c>
      <x:c r="B90" s="2" t="str">
        <x:v>Adaptation</x:v>
      </x:c>
      <x:c r="C90" s="2" t="str">
        <x:v>Water</x:v>
      </x:c>
      <x:c r="D90" s="2" t="str">
        <x:v>Adaptation planning</x:v>
      </x:c>
      <x:c r="E90" s="2" t="str">
        <x:v>National Adaptation Plan</x:v>
      </x:c>
      <x:c r="F90" s="2" t="str">
        <x:v>National Adaptation Plan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National Adaptation Plan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90" s="2" t="str">
        <x:v>Flexible</x:v>
      </x:c>
      <x:c r="H90" s="2" t="str">
        <x:v>National Adaptation Plan is transferable through configurable methods, rules and operating parameters. Its principle remains the same, but resource quality, climate, scale, interfaces and safety constraints must be recalculated for each deployment.</x:v>
      </x:c>
      <x:c r="I90" s="2" t="str">
        <x:v>Hard and soft</x:v>
      </x:c>
      <x:c r="J90" s="2" t="str">
        <x:v>National Adaptation Plan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90" s="2" t="str">
        <x:v>Operation and information service</x:v>
      </x:c>
      <x:c r="L90" s="2" t="str">
        <x:v>National Adaptation Plan is embodied mainly as an information and decision service. The deliverable is accepted only when measurable service, quality, safety and climate-performance criteria are met under real conditions.</x:v>
      </x:c>
      <x:c r="M90" s="2" t="str">
        <x:v>Yes, subject to life-cycle safeguards</x:v>
      </x:c>
      <x:c r="N90" s="2" t="str">
        <x:v>National Adaptation Plan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90" s="2" t="str">
        <x:v>National Adaptation Plan: intakes, pipes, pumps, meters, valves, tanks, treatment units, drainage or flood structures, monitoring stations and nature-based elements as applicable.</x:v>
      </x:c>
      <x:c r="P90" s="2" t="str">
        <x:v>National Adaptation Plan: water balance, hydraulic and hydrological modelling, demand forecasting, water-quality analysis, asset management, drought or flood rules and decision support.</x:v>
      </x:c>
      <x:c r="Q90" s="2" t="str">
        <x:v>National Adaptation Plan: water rights and permits, utility responsibilities, basin governance, service standards, emergency protocols, tariffs, maintenance funding and stakeholder agreements.</x:v>
      </x:c>
      <x:c r="R90" s="2" t="str">
        <x:v>National Adaptation Plan: catchment or coast, treatment and storage sites, conveyance and drainage network, power supply, laboratory, control room and safe access.</x:v>
      </x:c>
      <x:c r="S90" s="2" t="str">
        <x:v>National Adaptation Plan: electricity or fuel for pumping, aeration, desalination, treatment and controls; gravity and ecosystem processes can reduce auxiliary demand.</x:v>
      </x:c>
      <x:c r="T90" s="2" t="str">
        <x:v>National Adaptation Plan: concrete, steel, ductile iron or polymers, filter media, membranes, treatment chemicals, geotextiles, soil, rock and vegetation according to the measure.</x:v>
      </x:c>
      <x:c r="U90" s="2" t="str">
        <x:v>National Adaptation Plan: pump and valve parts, seals, meters, sensors, membranes, lamps, filter media, dosing equipment, reagents and erosion-control materials.</x:v>
      </x:c>
      <x:c r="V90" s="2" t="str">
        <x:v>https://www.ctc-n.org/sites/default/files/resources/ctcn_taxonomy_0.pdf</x:v>
      </x:c>
      <x:c r="W90" s="2" t="str">
        <x:v>https://institutoagricoladepueblobello.edu.co/colegiapp/archivostemas/GUIA%209.%5B25%5D.pdf</x:v>
      </x:c>
      <x:c r="X90" s="2" t="str">
        <x:v>https://iiasa.ac.at/what-is-technology</x:v>
      </x:c>
      <x:c r="Y90" s="2" t="str">
        <x:v>https://www.unwater.org/water-facts/climate-change</x:v>
      </x:c>
      <x:c r="Z90" s="2" t="str">
        <x:v>Technology-specific analytical synthesis. The CTCN hierarchy is retained; classifications and component dependencies require validation against the selected design, site and supplier documentation before investment or policy use.</x:v>
      </x:c>
      <x:c r="AA90" s="2" t="str">
        <x:v>Physical deployment of National Adaptation Plan requires catchment or coast, treatment and storage sites, conveyance and drainage network, power supply, laboratory, control room and safe access; interfaces, foundations, access and environmental protection are sized to the specific resource and design load.</x:v>
      </x:c>
      <x:c r="AB90" s="2" t="str">
        <x:v>For National Adaptation Plan,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90" s="2" t="str">
        <x:v>Construction and operation use concrete, steel, ductile iron or polymers, filter media, membranes, treatment chemicals, geotextiles, soil, rock and vegetation according to the measure. For National Adaptation Plan, specifications must include durability, compatibility, recycled content and recoverability.</x:v>
      </x:c>
      <x:c r="AD90" s="2" t="str">
        <x:v>Maintenance of National Adaptation Plan depends on pump and valve parts, seals, meters, sensors, membranes, lamps, filter media, dosing equipment, reagents and erosion-control materials; critical spares are selected from failure-mode, lead-time and safety analysis for its installed configuration.</x:v>
      </x:c>
      <x:c r="AE90" s="2" t="str">
        <x:v>The software stack for National Adaptation Plan requires databases, secure communications, version-controlled models, computing, backup and interfaces with field or operational systems.</x:v>
      </x:c>
      <x:c r="AF90" s="2" t="str">
        <x:v>For National Adaptation Plan, software-related energy is electricity for sensing, computing, storage, communication and cooling; it is normally secondary but must be included for data-intensive or continuous services.</x:v>
      </x:c>
      <x:c r="AG90" s="2" t="str">
        <x:v>The non-physical inputs are calibrated data, metadata, algorithms, boundary conditions, emission or hazard factors, manuals and validation records specific to National Adaptation Plan.</x:v>
      </x:c>
      <x:c r="AH90" s="2" t="str">
        <x:v>Software continuity for National Adaptation Plan requires licences where applicable, updates, cybersecurity patches, backups, calibration files, model validation and technical support.</x:v>
      </x:c>
      <x:c r="AI90" s="2" t="str">
        <x:v>Orgware depends on the institutions, laboratories, training providers, regulators, operators and community interfaces needed to govern National Adaptation Plan.</x:v>
      </x:c>
      <x:c r="AJ90" s="2" t="str">
        <x:v>The orgware supporting National Adaptation Plan has mainly indirect energy use from offices, meetings, training and information systems; travel and field supervision may be material at dispersed sites.</x:v>
      </x:c>
      <x:c r="AK90" s="2" t="str">
        <x:v>Its organisational inputs are permits, budgets, trained staff, competence records, contracts, procedures, safeguards, monitoring evidence and stakeholder agreements tailored to National Adaptation Plan.</x:v>
      </x:c>
      <x:c r="AL90" s="2" t="str">
        <x:v>Sustained implementation of National Adaptation Plan requires procurement and service contracts, audit protocols, training material, reporting templates, insurance or guarantees and periodic independent review.</x:v>
      </x:c>
      <x:c r="AM90" s="2" t="str">
        <x:v>No critical or strategic raw material is identifiable at taxonomy level; site-specific bulk materials may still be required.</x:v>
      </x:c>
      <x:c r="AN90" s="2" t="str"/>
      <x:c r="AO90" s="2" t="str"/>
      <x:c r="AP90" s="2" t="str">
        <x:v>National Adaptation Plan: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0" s="2" t="str">
        <x:v>2024–2025</x:v>
      </x:c>
      <x:c r="AR90" s="2" t="str">
        <x:v>https://pubs.usgs.gov/periodicals/mcs2026/mcs2026.pdf</x:v>
      </x:c>
    </x:row>
    <x:row r="91" ht="240" customHeight="1">
      <x:c r="A91" s="2" t="str">
        <x:v>ADP-0084</x:v>
      </x:c>
      <x:c r="B91" s="2" t="str">
        <x:v>Adaptation</x:v>
      </x:c>
      <x:c r="C91" s="2" t="str">
        <x:v>Water</x:v>
      </x:c>
      <x:c r="D91" s="2" t="str">
        <x:v>Adaptation planning</x:v>
      </x:c>
      <x:c r="E91" s="2" t="str">
        <x:v>National adaptation programmes of action</x:v>
      </x:c>
      <x:c r="F91" s="2" t="str">
        <x:v>National adaptation programmes of action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National adaptation programmes of action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91" s="2" t="str">
        <x:v>Flexible</x:v>
      </x:c>
      <x:c r="H91" s="2" t="str">
        <x:v>National adaptation programmes of action is transferable through configurable methods, rules and operating parameters. Its principle remains the same, but resource quality, climate, scale, interfaces and safety constraints must be recalculated for each deployment.</x:v>
      </x:c>
      <x:c r="I91" s="2" t="str">
        <x:v>Hard and soft</x:v>
      </x:c>
      <x:c r="J91" s="2" t="str">
        <x:v>National adaptation programmes of action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91" s="2" t="str">
        <x:v>Operation and information service</x:v>
      </x:c>
      <x:c r="L91" s="2" t="str">
        <x:v>National adaptation programmes of action is embodied mainly as an information and decision service. The deliverable is accepted only when measurable service, quality, safety and climate-performance criteria are met under real conditions.</x:v>
      </x:c>
      <x:c r="M91" s="2" t="str">
        <x:v>Yes, subject to life-cycle safeguards</x:v>
      </x:c>
      <x:c r="N91" s="2" t="str">
        <x:v>National adaptation programmes of action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91" s="2" t="str">
        <x:v>National adaptation programmes of action: intakes, pipes, pumps, meters, valves, tanks, treatment units, drainage or flood structures, monitoring stations and nature-based elements as applicable.</x:v>
      </x:c>
      <x:c r="P91" s="2" t="str">
        <x:v>National adaptation programmes of action: water balance, hydraulic and hydrological modelling, demand forecasting, water-quality analysis, asset management, drought or flood rules and decision support.</x:v>
      </x:c>
      <x:c r="Q91" s="2" t="str">
        <x:v>National adaptation programmes of action: water rights and permits, utility responsibilities, basin governance, service standards, emergency protocols, tariffs, maintenance funding and stakeholder agreements.</x:v>
      </x:c>
      <x:c r="R91" s="2" t="str">
        <x:v>National adaptation programmes of action: catchment or coast, treatment and storage sites, conveyance and drainage network, power supply, laboratory, control room and safe access.</x:v>
      </x:c>
      <x:c r="S91" s="2" t="str">
        <x:v>National adaptation programmes of action: electricity or fuel for pumping, aeration, desalination, treatment and controls; gravity and ecosystem processes can reduce auxiliary demand.</x:v>
      </x:c>
      <x:c r="T91" s="2" t="str">
        <x:v>National adaptation programmes of action: concrete, steel, ductile iron or polymers, filter media, membranes, treatment chemicals, geotextiles, soil, rock and vegetation according to the measure.</x:v>
      </x:c>
      <x:c r="U91" s="2" t="str">
        <x:v>National adaptation programmes of action: pump and valve parts, seals, meters, sensors, membranes, lamps, filter media, dosing equipment, reagents and erosion-control materials.</x:v>
      </x:c>
      <x:c r="V91" s="2" t="str">
        <x:v>https://www.ctc-n.org/sites/default/files/resources/ctcn_taxonomy_0.pdf</x:v>
      </x:c>
      <x:c r="W91" s="2" t="str">
        <x:v>https://institutoagricoladepueblobello.edu.co/colegiapp/archivostemas/GUIA%209.%5B25%5D.pdf</x:v>
      </x:c>
      <x:c r="X91" s="2" t="str">
        <x:v>https://iiasa.ac.at/what-is-technology</x:v>
      </x:c>
      <x:c r="Y91" s="2" t="str">
        <x:v>https://www.unwater.org/water-facts/climate-change</x:v>
      </x:c>
      <x:c r="Z91" s="2" t="str">
        <x:v>Technology-specific analytical synthesis. The CTCN hierarchy is retained; classifications and component dependencies require validation against the selected design, site and supplier documentation before investment or policy use.</x:v>
      </x:c>
      <x:c r="AA91" s="2" t="str">
        <x:v>Physical deployment of National adaptation programmes of action requires catchment or coast, treatment and storage sites, conveyance and drainage network, power supply, laboratory, control room and safe access; interfaces, foundations, access and environmental protection are sized to the specific resource and design load.</x:v>
      </x:c>
      <x:c r="AB91" s="2" t="str">
        <x:v>For National adaptation programmes of action,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91" s="2" t="str">
        <x:v>Construction and operation use concrete, steel, ductile iron or polymers, filter media, membranes, treatment chemicals, geotextiles, soil, rock and vegetation according to the measure. For National adaptation programmes of action, specifications must include durability, compatibility, recycled content and recoverability.</x:v>
      </x:c>
      <x:c r="AD91" s="2" t="str">
        <x:v>Maintenance of National adaptation programmes of action depends on pump and valve parts, seals, meters, sensors, membranes, lamps, filter media, dosing equipment, reagents and erosion-control materials; critical spares are selected from failure-mode, lead-time and safety analysis for its installed configuration.</x:v>
      </x:c>
      <x:c r="AE91" s="2" t="str">
        <x:v>The software stack for National adaptation programmes of action requires databases, secure communications, version-controlled models, computing, backup and interfaces with field or operational systems.</x:v>
      </x:c>
      <x:c r="AF91" s="2" t="str">
        <x:v>For National adaptation programmes of action, software-related energy is electricity for sensing, computing, storage, communication and cooling; it is normally secondary but must be included for data-intensive or continuous services.</x:v>
      </x:c>
      <x:c r="AG91" s="2" t="str">
        <x:v>The non-physical inputs are calibrated data, metadata, algorithms, boundary conditions, emission or hazard factors, manuals and validation records specific to National adaptation programmes of action.</x:v>
      </x:c>
      <x:c r="AH91" s="2" t="str">
        <x:v>Software continuity for National adaptation programmes of action requires licences where applicable, updates, cybersecurity patches, backups, calibration files, model validation and technical support.</x:v>
      </x:c>
      <x:c r="AI91" s="2" t="str">
        <x:v>Orgware depends on the institutions, laboratories, training providers, regulators, operators and community interfaces needed to govern National adaptation programmes of action.</x:v>
      </x:c>
      <x:c r="AJ91" s="2" t="str">
        <x:v>The orgware supporting National adaptation programmes of action has mainly indirect energy use from offices, meetings, training and information systems; travel and field supervision may be material at dispersed sites.</x:v>
      </x:c>
      <x:c r="AK91" s="2" t="str">
        <x:v>Its organisational inputs are permits, budgets, trained staff, competence records, contracts, procedures, safeguards, monitoring evidence and stakeholder agreements tailored to National adaptation programmes of action.</x:v>
      </x:c>
      <x:c r="AL91" s="2" t="str">
        <x:v>Sustained implementation of National adaptation programmes of action requires procurement and service contracts, audit protocols, training material, reporting templates, insurance or guarantees and periodic independent review.</x:v>
      </x:c>
      <x:c r="AM91" s="2" t="str">
        <x:v>No critical or strategic raw material is identifiable at taxonomy level; site-specific bulk materials may still be required.</x:v>
      </x:c>
      <x:c r="AN91" s="2" t="str"/>
      <x:c r="AO91" s="2" t="str"/>
      <x:c r="AP91" s="2" t="str">
        <x:v>National adaptation programmes of action: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1" s="2" t="str">
        <x:v>2024–2025</x:v>
      </x:c>
      <x:c r="AR91" s="2" t="str">
        <x:v>https://pubs.usgs.gov/periodicals/mcs2026/mcs2026.pdf</x:v>
      </x:c>
    </x:row>
    <x:row r="92" ht="240" customHeight="1">
      <x:c r="A92" s="2" t="str">
        <x:v>ADP-0085</x:v>
      </x:c>
      <x:c r="B92" s="2" t="str">
        <x:v>Adaptation</x:v>
      </x:c>
      <x:c r="C92" s="2" t="str">
        <x:v>Water</x:v>
      </x:c>
      <x:c r="D92" s="2" t="str">
        <x:v>Adaptation planning</x:v>
      </x:c>
      <x:c r="E92" s="2" t="str">
        <x:v>Stakeholder consultations</x:v>
      </x:c>
      <x:c r="F92" s="2" t="str">
        <x:v>Stakeholder consultations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Stakeholder consultations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92" s="2" t="str">
        <x:v>Flexible</x:v>
      </x:c>
      <x:c r="H92" s="2" t="str">
        <x:v>Stakeholder consultations is transferable through configurable methods, rules and operating parameters. Its principle remains the same, but resource quality, climate, scale, interfaces and safety constraints must be recalculated for each deployment.</x:v>
      </x:c>
      <x:c r="I92" s="2" t="str">
        <x:v>Hard and soft</x:v>
      </x:c>
      <x:c r="J92" s="2" t="str">
        <x:v>Stakeholder consultations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92" s="2" t="str">
        <x:v>Operation and information service</x:v>
      </x:c>
      <x:c r="L92" s="2" t="str">
        <x:v>Stakeholder consultations is embodied mainly as an information and decision service. The deliverable is accepted only when measurable service, quality, safety and climate-performance criteria are met under real conditions.</x:v>
      </x:c>
      <x:c r="M92" s="2" t="str">
        <x:v>Yes, subject to life-cycle safeguards</x:v>
      </x:c>
      <x:c r="N92" s="2" t="str">
        <x:v>Stakeholder consultations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92" s="2" t="str">
        <x:v>Stakeholder consultations: intakes, pipes, pumps, meters, valves, tanks, treatment units, drainage or flood structures, monitoring stations and nature-based elements as applicable.</x:v>
      </x:c>
      <x:c r="P92" s="2" t="str">
        <x:v>Stakeholder consultations: water balance, hydraulic and hydrological modelling, demand forecasting, water-quality analysis, asset management, drought or flood rules and decision support.</x:v>
      </x:c>
      <x:c r="Q92" s="2" t="str">
        <x:v>Stakeholder consultations: water rights and permits, utility responsibilities, basin governance, service standards, emergency protocols, tariffs, maintenance funding and stakeholder agreements.</x:v>
      </x:c>
      <x:c r="R92" s="2" t="str">
        <x:v>Stakeholder consultations: catchment or coast, treatment and storage sites, conveyance and drainage network, power supply, laboratory, control room and safe access.</x:v>
      </x:c>
      <x:c r="S92" s="2" t="str">
        <x:v>Stakeholder consultations: electricity or fuel for pumping, aeration, desalination, treatment and controls; gravity and ecosystem processes can reduce auxiliary demand.</x:v>
      </x:c>
      <x:c r="T92" s="2" t="str">
        <x:v>Stakeholder consultations: concrete, steel, ductile iron or polymers, filter media, membranes, treatment chemicals, geotextiles, soil, rock and vegetation according to the measure.</x:v>
      </x:c>
      <x:c r="U92" s="2" t="str">
        <x:v>Stakeholder consultations: pump and valve parts, seals, meters, sensors, membranes, lamps, filter media, dosing equipment, reagents and erosion-control materials.</x:v>
      </x:c>
      <x:c r="V92" s="2" t="str">
        <x:v>https://www.ctc-n.org/sites/default/files/resources/ctcn_taxonomy_0.pdf</x:v>
      </x:c>
      <x:c r="W92" s="2" t="str">
        <x:v>https://institutoagricoladepueblobello.edu.co/colegiapp/archivostemas/GUIA%209.%5B25%5D.pdf</x:v>
      </x:c>
      <x:c r="X92" s="2" t="str">
        <x:v>https://iiasa.ac.at/what-is-technology</x:v>
      </x:c>
      <x:c r="Y92" s="2" t="str">
        <x:v>https://www.unwater.org/water-facts/climate-change</x:v>
      </x:c>
      <x:c r="Z92" s="2" t="str">
        <x:v>Technology-specific analytical synthesis. The CTCN hierarchy is retained; classifications and component dependencies require validation against the selected design, site and supplier documentation before investment or policy use.</x:v>
      </x:c>
      <x:c r="AA92" s="2" t="str">
        <x:v>Physical deployment of Stakeholder consultations requires catchment or coast, treatment and storage sites, conveyance and drainage network, power supply, laboratory, control room and safe access; interfaces, foundations, access and environmental protection are sized to the specific resource and design load.</x:v>
      </x:c>
      <x:c r="AB92" s="2" t="str">
        <x:v>For Stakeholder consultations,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92" s="2" t="str">
        <x:v>Construction and operation use concrete, steel, ductile iron or polymers, filter media, membranes, treatment chemicals, geotextiles, soil, rock and vegetation according to the measure. For Stakeholder consultations, specifications must include durability, compatibility, recycled content and recoverability.</x:v>
      </x:c>
      <x:c r="AD92" s="2" t="str">
        <x:v>Maintenance of Stakeholder consultations depends on pump and valve parts, seals, meters, sensors, membranes, lamps, filter media, dosing equipment, reagents and erosion-control materials; critical spares are selected from failure-mode, lead-time and safety analysis for its installed configuration.</x:v>
      </x:c>
      <x:c r="AE92" s="2" t="str">
        <x:v>The software stack for Stakeholder consultations requires databases, secure communications, version-controlled models, computing, backup and interfaces with field or operational systems.</x:v>
      </x:c>
      <x:c r="AF92" s="2" t="str">
        <x:v>For Stakeholder consultations, software-related energy is electricity for sensing, computing, storage, communication and cooling; it is normally secondary but must be included for data-intensive or continuous services.</x:v>
      </x:c>
      <x:c r="AG92" s="2" t="str">
        <x:v>The non-physical inputs are calibrated data, metadata, algorithms, boundary conditions, emission or hazard factors, manuals and validation records specific to Stakeholder consultations.</x:v>
      </x:c>
      <x:c r="AH92" s="2" t="str">
        <x:v>Software continuity for Stakeholder consultations requires licences where applicable, updates, cybersecurity patches, backups, calibration files, model validation and technical support.</x:v>
      </x:c>
      <x:c r="AI92" s="2" t="str">
        <x:v>Orgware depends on the institutions, laboratories, training providers, regulators, operators and community interfaces needed to govern Stakeholder consultations.</x:v>
      </x:c>
      <x:c r="AJ92" s="2" t="str">
        <x:v>The orgware supporting Stakeholder consultations has mainly indirect energy use from offices, meetings, training and information systems; travel and field supervision may be material at dispersed sites.</x:v>
      </x:c>
      <x:c r="AK92" s="2" t="str">
        <x:v>Its organisational inputs are permits, budgets, trained staff, competence records, contracts, procedures, safeguards, monitoring evidence and stakeholder agreements tailored to Stakeholder consultations.</x:v>
      </x:c>
      <x:c r="AL92" s="2" t="str">
        <x:v>Sustained implementation of Stakeholder consultations requires procurement and service contracts, audit protocols, training material, reporting templates, insurance or guarantees and periodic independent review.</x:v>
      </x:c>
      <x:c r="AM92" s="2" t="str">
        <x:v>No critical or strategic raw material is identifiable at taxonomy level; site-specific bulk materials may still be required.</x:v>
      </x:c>
      <x:c r="AN92" s="2" t="str"/>
      <x:c r="AO92" s="2" t="str"/>
      <x:c r="AP92" s="2" t="str">
        <x:v>Stakeholder consultations: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2" s="2" t="str">
        <x:v>2024–2025</x:v>
      </x:c>
      <x:c r="AR92" s="2" t="str">
        <x:v>https://pubs.usgs.gov/periodicals/mcs2026/mcs2026.pdf</x:v>
      </x:c>
    </x:row>
    <x:row r="93" ht="240" customHeight="1">
      <x:c r="A93" s="2" t="str">
        <x:v>ADP-0086</x:v>
      </x:c>
      <x:c r="B93" s="2" t="str">
        <x:v>Adaptation</x:v>
      </x:c>
      <x:c r="C93" s="2" t="str">
        <x:v>Water</x:v>
      </x:c>
      <x:c r="D93" s="2" t="str">
        <x:v>Adaptation planning</x:v>
      </x:c>
      <x:c r="E93" s="2" t="str">
        <x:v>Open source climate data and tools</x:v>
      </x:c>
      <x:c r="F93" s="2" t="str">
        <x:v>Open source climate data and tools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Open source climate data and tools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93" s="2" t="str">
        <x:v>Flexible</x:v>
      </x:c>
      <x:c r="H93" s="2" t="str">
        <x:v>Open source climate data and tools is transferable through configurable methods, rules and operating parameters. Its principle remains the same, but resource quality, climate, scale, interfaces and safety constraints must be recalculated for each deployment.</x:v>
      </x:c>
      <x:c r="I93" s="2" t="str">
        <x:v>Hard and soft</x:v>
      </x:c>
      <x:c r="J93" s="2" t="str">
        <x:v>Open source climate data and tools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93" s="2" t="str">
        <x:v>Operation and information service</x:v>
      </x:c>
      <x:c r="L93" s="2" t="str">
        <x:v>Open source climate data and tools is embodied mainly as an information and decision service. The deliverable is accepted only when measurable service, quality, safety and climate-performance criteria are met under real conditions.</x:v>
      </x:c>
      <x:c r="M93" s="2" t="str">
        <x:v>Yes, subject to life-cycle safeguards</x:v>
      </x:c>
      <x:c r="N93" s="2" t="str">
        <x:v>Open source climate data and tools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93" s="2" t="str">
        <x:v>Open source climate data and tools: intakes, pipes, pumps, meters, valves, tanks, treatment units, drainage or flood structures, monitoring stations and nature-based elements as applicable.</x:v>
      </x:c>
      <x:c r="P93" s="2" t="str">
        <x:v>Open source climate data and tools: water balance, hydraulic and hydrological modelling, demand forecasting, water-quality analysis, asset management, drought or flood rules and decision support.</x:v>
      </x:c>
      <x:c r="Q93" s="2" t="str">
        <x:v>Open source climate data and tools: water rights and permits, utility responsibilities, basin governance, service standards, emergency protocols, tariffs, maintenance funding and stakeholder agreements.</x:v>
      </x:c>
      <x:c r="R93" s="2" t="str">
        <x:v>Open source climate data and tools: catchment or coast, treatment and storage sites, conveyance and drainage network, power supply, laboratory, control room and safe access.</x:v>
      </x:c>
      <x:c r="S93" s="2" t="str">
        <x:v>Open source climate data and tools: electricity or fuel for pumping, aeration, desalination, treatment and controls; gravity and ecosystem processes can reduce auxiliary demand.</x:v>
      </x:c>
      <x:c r="T93" s="2" t="str">
        <x:v>Open source climate data and tools: concrete, steel, ductile iron or polymers, filter media, membranes, treatment chemicals, geotextiles, soil, rock and vegetation according to the measure.</x:v>
      </x:c>
      <x:c r="U93" s="2" t="str">
        <x:v>Open source climate data and tools: pump and valve parts, seals, meters, sensors, membranes, lamps, filter media, dosing equipment, reagents and erosion-control materials.</x:v>
      </x:c>
      <x:c r="V93" s="2" t="str">
        <x:v>https://www.ctc-n.org/sites/default/files/resources/ctcn_taxonomy_0.pdf</x:v>
      </x:c>
      <x:c r="W93" s="2" t="str">
        <x:v>https://institutoagricoladepueblobello.edu.co/colegiapp/archivostemas/GUIA%209.%5B25%5D.pdf</x:v>
      </x:c>
      <x:c r="X93" s="2" t="str">
        <x:v>https://iiasa.ac.at/what-is-technology</x:v>
      </x:c>
      <x:c r="Y93" s="2" t="str">
        <x:v>https://www.unwater.org/water-facts/climate-change</x:v>
      </x:c>
      <x:c r="Z93" s="2" t="str">
        <x:v>Technology-specific analytical synthesis. The CTCN hierarchy is retained; classifications and component dependencies require validation against the selected design, site and supplier documentation before investment or policy use.</x:v>
      </x:c>
      <x:c r="AA93" s="2" t="str">
        <x:v>Physical deployment of Open source climate data and tools requires catchment or coast, treatment and storage sites, conveyance and drainage network, power supply, laboratory, control room and safe access; interfaces, foundations, access and environmental protection are sized to the specific resource and design load.</x:v>
      </x:c>
      <x:c r="AB93" s="2" t="str">
        <x:v>For Open source climate data and tools,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93" s="2" t="str">
        <x:v>Construction and operation use concrete, steel, ductile iron or polymers, filter media, membranes, treatment chemicals, geotextiles, soil, rock and vegetation according to the measure. For Open source climate data and tools, specifications must include durability, compatibility, recycled content and recoverability.</x:v>
      </x:c>
      <x:c r="AD93" s="2" t="str">
        <x:v>Maintenance of Open source climate data and tools depends on pump and valve parts, seals, meters, sensors, membranes, lamps, filter media, dosing equipment, reagents and erosion-control materials; critical spares are selected from failure-mode, lead-time and safety analysis for its installed configuration.</x:v>
      </x:c>
      <x:c r="AE93" s="2" t="str">
        <x:v>The software stack for Open source climate data and tools requires databases, secure communications, version-controlled models, computing, backup and interfaces with field or operational systems.</x:v>
      </x:c>
      <x:c r="AF93" s="2" t="str">
        <x:v>For Open source climate data and tools, software-related energy is electricity for sensing, computing, storage, communication and cooling; it is normally secondary but must be included for data-intensive or continuous services.</x:v>
      </x:c>
      <x:c r="AG93" s="2" t="str">
        <x:v>The non-physical inputs are calibrated data, metadata, algorithms, boundary conditions, emission or hazard factors, manuals and validation records specific to Open source climate data and tools.</x:v>
      </x:c>
      <x:c r="AH93" s="2" t="str">
        <x:v>Software continuity for Open source climate data and tools requires licences where applicable, updates, cybersecurity patches, backups, calibration files, model validation and technical support.</x:v>
      </x:c>
      <x:c r="AI93" s="2" t="str">
        <x:v>Orgware depends on the institutions, laboratories, training providers, regulators, operators and community interfaces needed to govern Open source climate data and tools.</x:v>
      </x:c>
      <x:c r="AJ93" s="2" t="str">
        <x:v>The orgware supporting Open source climate data and tools has mainly indirect energy use from offices, meetings, training and information systems; travel and field supervision may be material at dispersed sites.</x:v>
      </x:c>
      <x:c r="AK93" s="2" t="str">
        <x:v>Its organisational inputs are permits, budgets, trained staff, competence records, contracts, procedures, safeguards, monitoring evidence and stakeholder agreements tailored to Open source climate data and tools.</x:v>
      </x:c>
      <x:c r="AL93" s="2" t="str">
        <x:v>Sustained implementation of Open source climate data and tools requires procurement and service contracts, audit protocols, training material, reporting templates, insurance or guarantees and periodic independent review.</x:v>
      </x:c>
      <x:c r="AM93" s="2" t="str">
        <x:v>No critical or strategic raw material is identifiable at taxonomy level; site-specific bulk materials may still be required.</x:v>
      </x:c>
      <x:c r="AN93" s="2" t="str"/>
      <x:c r="AO93" s="2" t="str"/>
      <x:c r="AP93" s="2" t="str">
        <x:v>Open source climate data and tools: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3" s="2" t="str">
        <x:v>2024–2025</x:v>
      </x:c>
      <x:c r="AR93" s="2" t="str">
        <x:v>https://pubs.usgs.gov/periodicals/mcs2026/mcs2026.pdf</x:v>
      </x:c>
    </x:row>
    <x:row r="94" ht="240" customHeight="1">
      <x:c r="A94" s="2" t="str">
        <x:v>ADP-0087</x:v>
      </x:c>
      <x:c r="B94" s="2" t="str">
        <x:v>Adaptation</x:v>
      </x:c>
      <x:c r="C94" s="2" t="str">
        <x:v>Water</x:v>
      </x:c>
      <x:c r="D94" s="2" t="str">
        <x:v>Adaptation planning</x:v>
      </x:c>
      <x:c r="E94" s="2" t="str">
        <x:v>Climate change vulnerability assessment</x:v>
      </x:c>
      <x:c r="F94" s="2" t="str">
        <x:v>Climate change vulnerability assessment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Climate change vulnerability assessment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94" s="2" t="str">
        <x:v>Flexible</x:v>
      </x:c>
      <x:c r="H94" s="2" t="str">
        <x:v>Climate change vulnerability assessment is transferable through configurable methods, rules and operating parameters. Its principle remains the same, but resource quality, climate, scale, interfaces and safety constraints must be recalculated for each deployment.</x:v>
      </x:c>
      <x:c r="I94" s="2" t="str">
        <x:v>Hard and soft</x:v>
      </x:c>
      <x:c r="J94" s="2" t="str">
        <x:v>Climate change vulnerability assessment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94" s="2" t="str">
        <x:v>Operation and information service</x:v>
      </x:c>
      <x:c r="L94" s="2" t="str">
        <x:v>Climate change vulnerability assessment is embodied mainly as an information and decision service. The deliverable is accepted only when measurable service, quality, safety and climate-performance criteria are met under real conditions.</x:v>
      </x:c>
      <x:c r="M94" s="2" t="str">
        <x:v>Yes, subject to life-cycle safeguards</x:v>
      </x:c>
      <x:c r="N94" s="2" t="str">
        <x:v>Climate change vulnerability assessment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94" s="2" t="str">
        <x:v>Climate change vulnerability assessment: intakes, pipes, pumps, meters, valves, tanks, treatment units, drainage or flood structures, monitoring stations and nature-based elements as applicable.</x:v>
      </x:c>
      <x:c r="P94" s="2" t="str">
        <x:v>Climate change vulnerability assessment: water balance, hydraulic and hydrological modelling, demand forecasting, water-quality analysis, asset management, drought or flood rules and decision support.</x:v>
      </x:c>
      <x:c r="Q94" s="2" t="str">
        <x:v>Climate change vulnerability assessment: water rights and permits, utility responsibilities, basin governance, service standards, emergency protocols, tariffs, maintenance funding and stakeholder agreements.</x:v>
      </x:c>
      <x:c r="R94" s="2" t="str">
        <x:v>Climate change vulnerability assessment: catchment or coast, treatment and storage sites, conveyance and drainage network, power supply, laboratory, control room and safe access.</x:v>
      </x:c>
      <x:c r="S94" s="2" t="str">
        <x:v>Climate change vulnerability assessment: electricity or fuel for pumping, aeration, desalination, treatment and controls; gravity and ecosystem processes can reduce auxiliary demand.</x:v>
      </x:c>
      <x:c r="T94" s="2" t="str">
        <x:v>Climate change vulnerability assessment: concrete, steel, ductile iron or polymers, filter media, membranes, treatment chemicals, geotextiles, soil, rock and vegetation according to the measure.</x:v>
      </x:c>
      <x:c r="U94" s="2" t="str">
        <x:v>Climate change vulnerability assessment: pump and valve parts, seals, meters, sensors, membranes, lamps, filter media, dosing equipment, reagents and erosion-control materials.</x:v>
      </x:c>
      <x:c r="V94" s="2" t="str">
        <x:v>https://www.ctc-n.org/sites/default/files/resources/ctcn_taxonomy_0.pdf</x:v>
      </x:c>
      <x:c r="W94" s="2" t="str">
        <x:v>https://institutoagricoladepueblobello.edu.co/colegiapp/archivostemas/GUIA%209.%5B25%5D.pdf</x:v>
      </x:c>
      <x:c r="X94" s="2" t="str">
        <x:v>https://iiasa.ac.at/what-is-technology</x:v>
      </x:c>
      <x:c r="Y94" s="2" t="str">
        <x:v>https://www.unwater.org/water-facts/climate-change</x:v>
      </x:c>
      <x:c r="Z94" s="2" t="str">
        <x:v>Technology-specific analytical synthesis. The CTCN hierarchy is retained; classifications and component dependencies require validation against the selected design, site and supplier documentation before investment or policy use.</x:v>
      </x:c>
      <x:c r="AA94" s="2" t="str">
        <x:v>Physical deployment of Climate change vulnerability assessment requires catchment or coast, treatment and storage sites, conveyance and drainage network, power supply, laboratory, control room and safe access; interfaces, foundations, access and environmental protection are sized to the specific resource and design load.</x:v>
      </x:c>
      <x:c r="AB94" s="2" t="str">
        <x:v>For Climate change vulnerability assessment,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94" s="2" t="str">
        <x:v>Construction and operation use concrete, steel, ductile iron or polymers, filter media, membranes, treatment chemicals, geotextiles, soil, rock and vegetation according to the measure. For Climate change vulnerability assessment, specifications must include durability, compatibility, recycled content and recoverability.</x:v>
      </x:c>
      <x:c r="AD94" s="2" t="str">
        <x:v>Maintenance of Climate change vulnerability assessment depends on pump and valve parts, seals, meters, sensors, membranes, lamps, filter media, dosing equipment, reagents and erosion-control materials; critical spares are selected from failure-mode, lead-time and safety analysis for its installed configuration.</x:v>
      </x:c>
      <x:c r="AE94" s="2" t="str">
        <x:v>The software stack for Climate change vulnerability assessment requires databases, secure communications, version-controlled models, computing, backup and interfaces with field or operational systems.</x:v>
      </x:c>
      <x:c r="AF94" s="2" t="str">
        <x:v>For Climate change vulnerability assessment, software-related energy is electricity for sensing, computing, storage, communication and cooling; it is normally secondary but must be included for data-intensive or continuous services.</x:v>
      </x:c>
      <x:c r="AG94" s="2" t="str">
        <x:v>The non-physical inputs are calibrated data, metadata, algorithms, boundary conditions, emission or hazard factors, manuals and validation records specific to Climate change vulnerability assessment.</x:v>
      </x:c>
      <x:c r="AH94" s="2" t="str">
        <x:v>Software continuity for Climate change vulnerability assessment requires licences where applicable, updates, cybersecurity patches, backups, calibration files, model validation and technical support.</x:v>
      </x:c>
      <x:c r="AI94" s="2" t="str">
        <x:v>Orgware depends on the institutions, laboratories, training providers, regulators, operators and community interfaces needed to govern Climate change vulnerability assessment.</x:v>
      </x:c>
      <x:c r="AJ94" s="2" t="str">
        <x:v>The orgware supporting Climate change vulnerability assessment has mainly indirect energy use from offices, meetings, training and information systems; travel and field supervision may be material at dispersed sites.</x:v>
      </x:c>
      <x:c r="AK94" s="2" t="str">
        <x:v>Its organisational inputs are permits, budgets, trained staff, competence records, contracts, procedures, safeguards, monitoring evidence and stakeholder agreements tailored to Climate change vulnerability assessment.</x:v>
      </x:c>
      <x:c r="AL94" s="2" t="str">
        <x:v>Sustained implementation of Climate change vulnerability assessment requires procurement and service contracts, audit protocols, training material, reporting templates, insurance or guarantees and periodic independent review.</x:v>
      </x:c>
      <x:c r="AM94" s="2" t="str">
        <x:v>No critical or strategic raw material is identifiable at taxonomy level; site-specific bulk materials may still be required.</x:v>
      </x:c>
      <x:c r="AN94" s="2" t="str"/>
      <x:c r="AO94" s="2" t="str"/>
      <x:c r="AP94" s="2" t="str">
        <x:v>Climate change vulnerability assessment: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4" s="2" t="str">
        <x:v>2024–2025</x:v>
      </x:c>
      <x:c r="AR94" s="2" t="str">
        <x:v>https://pubs.usgs.gov/periodicals/mcs2026/mcs2026.pdf</x:v>
      </x:c>
    </x:row>
    <x:row r="95" ht="240" customHeight="1">
      <x:c r="A95" s="2" t="str">
        <x:v>ADP-0088</x:v>
      </x:c>
      <x:c r="B95" s="2" t="str">
        <x:v>Adaptation</x:v>
      </x:c>
      <x:c r="C95" s="2" t="str">
        <x:v>Water</x:v>
      </x:c>
      <x:c r="D95" s="2" t="str">
        <x:v>Adaptation planning</x:v>
      </x:c>
      <x:c r="E95" s="2" t="str">
        <x:v>Downscaling of climate model projections</x:v>
      </x:c>
      <x:c r="F95" s="2" t="str">
        <x:v>Downscaling of climate model projections is a adaptation technology in the Water sector and the Adaptation planning technology group. It is defined as a combined hardware–software–orgware system that manages water quantity, quality, timing or exposure through demand reduction, capture, storage, treatment, allocation, hydraulic protection and ecosystem functions. Downscaling of climate model projections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95" s="2" t="str">
        <x:v>Flexible</x:v>
      </x:c>
      <x:c r="H95" s="2" t="str">
        <x:v>Downscaling of climate model projections is transferable through configurable methods, rules and operating parameters. Its principle remains the same, but resource quality, climate, scale, interfaces and safety constraints must be recalculated for each deployment.</x:v>
      </x:c>
      <x:c r="I95" s="2" t="str">
        <x:v>Hard and soft</x:v>
      </x:c>
      <x:c r="J95" s="2" t="str">
        <x:v>Downscaling of climate model projections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95" s="2" t="str">
        <x:v>Operation and information service</x:v>
      </x:c>
      <x:c r="L95" s="2" t="str">
        <x:v>Downscaling of climate model projections is embodied mainly as an information and decision service. The deliverable is accepted only when measurable service, quality, safety and climate-performance criteria are met under real conditions.</x:v>
      </x:c>
      <x:c r="M95" s="2" t="str">
        <x:v>Yes, subject to life-cycle safeguards</x:v>
      </x:c>
      <x:c r="N95" s="2" t="str">
        <x:v>Downscaling of climate model projections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95" s="2" t="str">
        <x:v>Downscaling of climate model projections: intakes, pipes, pumps, meters, valves, tanks, treatment units, drainage or flood structures, monitoring stations and nature-based elements as applicable.</x:v>
      </x:c>
      <x:c r="P95" s="2" t="str">
        <x:v>Downscaling of climate model projections: water balance, hydraulic and hydrological modelling, demand forecasting, water-quality analysis, asset management, drought or flood rules and decision support.</x:v>
      </x:c>
      <x:c r="Q95" s="2" t="str">
        <x:v>Downscaling of climate model projections: water rights and permits, utility responsibilities, basin governance, service standards, emergency protocols, tariffs, maintenance funding and stakeholder agreements.</x:v>
      </x:c>
      <x:c r="R95" s="2" t="str">
        <x:v>Downscaling of climate model projections: catchment or coast, treatment and storage sites, conveyance and drainage network, power supply, laboratory, control room and safe access.</x:v>
      </x:c>
      <x:c r="S95" s="2" t="str">
        <x:v>Downscaling of climate model projections: electricity or fuel for pumping, aeration, desalination, treatment and controls; gravity and ecosystem processes can reduce auxiliary demand.</x:v>
      </x:c>
      <x:c r="T95" s="2" t="str">
        <x:v>Downscaling of climate model projections: concrete, steel, ductile iron or polymers, filter media, membranes, treatment chemicals, geotextiles, soil, rock and vegetation according to the measure.</x:v>
      </x:c>
      <x:c r="U95" s="2" t="str">
        <x:v>Downscaling of climate model projections: pump and valve parts, seals, meters, sensors, membranes, lamps, filter media, dosing equipment, reagents and erosion-control materials.</x:v>
      </x:c>
      <x:c r="V95" s="2" t="str">
        <x:v>https://www.ctc-n.org/sites/default/files/resources/ctcn_taxonomy_0.pdf</x:v>
      </x:c>
      <x:c r="W95" s="2" t="str">
        <x:v>https://institutoagricoladepueblobello.edu.co/colegiapp/archivostemas/GUIA%209.%5B25%5D.pdf</x:v>
      </x:c>
      <x:c r="X95" s="2" t="str">
        <x:v>https://iiasa.ac.at/what-is-technology</x:v>
      </x:c>
      <x:c r="Y95" s="2" t="str">
        <x:v>https://www.unwater.org/water-facts/climate-change</x:v>
      </x:c>
      <x:c r="Z95" s="2" t="str">
        <x:v>Technology-specific analytical synthesis. The CTCN hierarchy is retained; classifications and component dependencies require validation against the selected design, site and supplier documentation before investment or policy use.</x:v>
      </x:c>
      <x:c r="AA95" s="2" t="str">
        <x:v>Physical deployment of Downscaling of climate model projections requires catchment or coast, treatment and storage sites, conveyance and drainage network, power supply, laboratory, control room and safe access; interfaces, foundations, access and environmental protection are sized to the specific resource and design load.</x:v>
      </x:c>
      <x:c r="AB95" s="2" t="str">
        <x:v>For Downscaling of climate model projections,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95" s="2" t="str">
        <x:v>Construction and operation use concrete, steel, ductile iron or polymers, filter media, membranes, treatment chemicals, geotextiles, soil, rock and vegetation according to the measure. For Downscaling of climate model projections, specifications must include durability, compatibility, recycled content and recoverability.</x:v>
      </x:c>
      <x:c r="AD95" s="2" t="str">
        <x:v>Maintenance of Downscaling of climate model projections depends on pump and valve parts, seals, meters, sensors, membranes, lamps, filter media, dosing equipment, reagents and erosion-control materials; critical spares are selected from failure-mode, lead-time and safety analysis for its installed configuration.</x:v>
      </x:c>
      <x:c r="AE95" s="2" t="str">
        <x:v>The software stack for Downscaling of climate model projections requires databases, secure communications, version-controlled models, computing, backup and interfaces with field or operational systems.</x:v>
      </x:c>
      <x:c r="AF95" s="2" t="str">
        <x:v>For Downscaling of climate model projections, software-related energy is electricity for sensing, computing, storage, communication and cooling; it is normally secondary but must be included for data-intensive or continuous services.</x:v>
      </x:c>
      <x:c r="AG95" s="2" t="str">
        <x:v>The non-physical inputs are calibrated data, metadata, algorithms, boundary conditions, emission or hazard factors, manuals and validation records specific to Downscaling of climate model projections.</x:v>
      </x:c>
      <x:c r="AH95" s="2" t="str">
        <x:v>Software continuity for Downscaling of climate model projections requires licences where applicable, updates, cybersecurity patches, backups, calibration files, model validation and technical support.</x:v>
      </x:c>
      <x:c r="AI95" s="2" t="str">
        <x:v>Orgware depends on the institutions, laboratories, training providers, regulators, operators and community interfaces needed to govern Downscaling of climate model projections.</x:v>
      </x:c>
      <x:c r="AJ95" s="2" t="str">
        <x:v>The orgware supporting Downscaling of climate model projections has mainly indirect energy use from offices, meetings, training and information systems; travel and field supervision may be material at dispersed sites.</x:v>
      </x:c>
      <x:c r="AK95" s="2" t="str">
        <x:v>Its organisational inputs are permits, budgets, trained staff, competence records, contracts, procedures, safeguards, monitoring evidence and stakeholder agreements tailored to Downscaling of climate model projections.</x:v>
      </x:c>
      <x:c r="AL95" s="2" t="str">
        <x:v>Sustained implementation of Downscaling of climate model projections requires procurement and service contracts, audit protocols, training material, reporting templates, insurance or guarantees and periodic independent review.</x:v>
      </x:c>
      <x:c r="AM95" s="2" t="str">
        <x:v>No critical or strategic raw material is identifiable at taxonomy level; site-specific bulk materials may still be required.</x:v>
      </x:c>
      <x:c r="AN95" s="2" t="str"/>
      <x:c r="AO95" s="2" t="str"/>
      <x:c r="AP95" s="2" t="str">
        <x:v>Downscaling of climate model projections: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5" s="2" t="str">
        <x:v>2024–2025</x:v>
      </x:c>
      <x:c r="AR95" s="2" t="str">
        <x:v>https://pubs.usgs.gov/periodicals/mcs2026/mcs2026.pdf</x:v>
      </x:c>
    </x:row>
    <x:row r="96" ht="240" customHeight="1">
      <x:c r="A96" s="2" t="str">
        <x:v>ADP-0089</x:v>
      </x:c>
      <x:c r="B96" s="2" t="str">
        <x:v>Adaptation</x:v>
      </x:c>
      <x:c r="C96" s="2" t="str">
        <x:v>Water</x:v>
      </x:c>
      <x:c r="D96" s="2" t="str">
        <x:v>Water augmentation (increasing capture and storage of surface run-off)</x:v>
      </x:c>
      <x:c r="E96" s="2" t="str">
        <x:v>Rainwater harvesting</x:v>
      </x:c>
      <x:c r="F96" s="2" t="str">
        <x:v>Rainwater harvesting is a adaptation technology in the Water sector and the Water augmentation (increasing capture and storage of surface run-off) technology group. It is defined as a combined hardware–software–orgware system that detects, separates, captures, conditions, transports or securely contains carbon-bearing gases so that methane or CO₂ does not reach the atmosphere. Rainwater harvesting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96" s="2" t="str">
        <x:v>Mixed: adaptable design, site-specific implementation</x:v>
      </x:c>
      <x:c r="H96" s="2" t="str">
        <x:v>Rainwater harvesting is adaptable in capacity and configuration but site-specific in final engineering. Its principle remains the same, but resource quality, climate, scale, interfaces and safety constraints must be recalculated for each deployment.</x:v>
      </x:c>
      <x:c r="I96" s="2" t="str">
        <x:v>Primarily hard, with a soft component</x:v>
      </x:c>
      <x:c r="J96" s="2" t="str">
        <x:v>Rainwater harvesting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96" s="2" t="str">
        <x:v>Equipment and operation</x:v>
      </x:c>
      <x:c r="L96" s="2" t="str">
        <x:v>Rainwater harvesting is embodied mainly as an equipment-and-operation system. The deliverable is accepted only when measurable service, quality, safety and climate-performance criteria are met under real conditions.</x:v>
      </x:c>
      <x:c r="M96" s="2" t="str">
        <x:v>Yes, subject to life-cycle safeguards</x:v>
      </x:c>
      <x:c r="N96" s="2" t="str">
        <x:v>Rainwater harvesting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96" s="2" t="str">
        <x:v>Rainwater harvesting: gas analysers; flow, pressure and temperature instrumentation; separators; compressors; valves; sealed piping; flare or injection equipment.</x:v>
      </x:c>
      <x:c r="P96" s="2" t="str">
        <x:v>Rainwater harvesting: mass and energy balances; leak detection and repair logic; process simulation; dispersion modelling; integrity and injection surveillance.</x:v>
      </x:c>
      <x:c r="Q96" s="2" t="str">
        <x:v>Rainwater harvesting: emission permits; measurement, reporting and verification; asset-integrity management; emergency procedures; long-term liability.</x:v>
      </x:c>
      <x:c r="R96" s="2" t="str">
        <x:v>Rainwater harvesting: process units, access roads, power supply, pipelines, compression or storage sites, laboratories and monitoring networks.</x:v>
      </x:c>
      <x:c r="S96" s="2" t="str">
        <x:v>Rainwater harvesting: electricity for compression, pumping, refrigeration and instrumentation; fuel or heat where oxidation or regeneration is required.</x:v>
      </x:c>
      <x:c r="T96" s="2" t="str">
        <x:v>Rainwater harvesting: pressure-grade steel, corrosion-resistant alloys, concrete, elastomeric seals, sorbents, solvents, membranes or catalysts according to the process.</x:v>
      </x:c>
      <x:c r="U96" s="2" t="str">
        <x:v>Rainwater harvesting: calibrated sensors, valve trim, seals, compressor parts, filters, reagents and certified sampling equipment.</x:v>
      </x:c>
      <x:c r="V96" s="2" t="str">
        <x:v>https://www.ctc-n.org/sites/default/files/resources/ctcn_taxonomy_0.pdf</x:v>
      </x:c>
      <x:c r="W96" s="2" t="str">
        <x:v>https://institutoagricoladepueblobello.edu.co/colegiapp/archivostemas/GUIA%209.%5B25%5D.pdf</x:v>
      </x:c>
      <x:c r="X96" s="2" t="str">
        <x:v>https://iiasa.ac.at/what-is-technology</x:v>
      </x:c>
      <x:c r="Y96" s="2" t="str">
        <x:v>https://www.unwater.org/water-facts/climate-change; https://www.ipcc.ch/report/ar6/wg3/chapter/chapter-11/</x:v>
      </x:c>
      <x:c r="Z96" s="2" t="str">
        <x:v>Technology-specific analytical synthesis. The CTCN hierarchy is retained; classifications and component dependencies require validation against the selected design, site and supplier documentation before investment or policy use.</x:v>
      </x:c>
      <x:c r="AA96" s="2" t="str">
        <x:v>Physical deployment of Rainwater harvesting requires process units, access roads, power supply, pipelines, compression or storage sites, laboratories and monitoring networks; interfaces, foundations, access and environmental protection are sized to the specific resource and design load.</x:v>
      </x:c>
      <x:c r="AB96" s="2" t="str">
        <x:v>For Rainwater harvesting, the hardware energy balance comprises electricity for compression, pumping, refrigeration and instrumentation; fuel or heat where oxidation or regeneration is required; metering must separate useful output, conversion losses and auxiliaries for the selected design.</x:v>
      </x:c>
      <x:c r="AC96" s="2" t="str">
        <x:v>Construction and operation use pressure-grade steel, corrosion-resistant alloys, concrete, elastomeric seals, sorbents, solvents, membranes or catalysts according to the process. For Rainwater harvesting, specifications must include durability, compatibility, recycled content and recoverability.</x:v>
      </x:c>
      <x:c r="AD96" s="2" t="str">
        <x:v>Maintenance of Rainwater harvesting depends on calibrated sensors, valve trim, seals, compressor parts, filters, reagents and certified sampling equipment; critical spares are selected from failure-mode, lead-time and safety analysis for its installed configuration.</x:v>
      </x:c>
      <x:c r="AE96" s="2" t="str">
        <x:v>The software stack for Rainwater harvesting requires databases, secure communications, version-controlled models, computing, backup and interfaces with field or operational systems.</x:v>
      </x:c>
      <x:c r="AF96" s="2" t="str">
        <x:v>For Rainwater harvesting, software-related energy is electricity for sensing, computing, storage, communication and cooling; it is normally secondary but must be included for data-intensive or continuous services.</x:v>
      </x:c>
      <x:c r="AG96" s="2" t="str">
        <x:v>The non-physical inputs are calibrated data, metadata, algorithms, boundary conditions, emission or hazard factors, manuals and validation records specific to Rainwater harvesting.</x:v>
      </x:c>
      <x:c r="AH96" s="2" t="str">
        <x:v>Software continuity for Rainwater harvesting requires licences where applicable, updates, cybersecurity patches, backups, calibration files, model validation and technical support.</x:v>
      </x:c>
      <x:c r="AI96" s="2" t="str">
        <x:v>Orgware depends on the institutions, laboratories, training providers, regulators, operators and community interfaces needed to govern Rainwater harvesting.</x:v>
      </x:c>
      <x:c r="AJ96" s="2" t="str">
        <x:v>The orgware supporting Rainwater harvesting has mainly indirect energy use from offices, meetings, training and information systems; travel and field supervision may be material at dispersed sites.</x:v>
      </x:c>
      <x:c r="AK96" s="2" t="str">
        <x:v>Its organisational inputs are permits, budgets, trained staff, competence records, contracts, procedures, safeguards, monitoring evidence and stakeholder agreements tailored to Rainwater harvesting.</x:v>
      </x:c>
      <x:c r="AL96" s="2" t="str">
        <x:v>Sustained implementation of Rainwater harvesting requires procurement and service contracts, audit protocols, training material, reporting templates, insurance or guarantees and periodic independent review.</x:v>
      </x:c>
      <x:c r="AM96" s="2" t="str">
        <x:v>Iron ore / steel inputs</x:v>
      </x:c>
      <x:c r="AN96" s="2" t="str">
        <x:v>Australia; Brazil; China</x:v>
      </x:c>
      <x:c r="AO96" s="2" t="str">
        <x:v>China; India; Japan</x:v>
      </x:c>
      <x:c r="AP96" s="2" t="str">
        <x:v>Rainwater harvesting: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6" s="2" t="str">
        <x:v>2024–2025</x:v>
      </x:c>
      <x:c r="AR96" s="2" t="str">
        <x:v>https://pubs.usgs.gov/periodicals/mcs2026/mcs2026.pdf</x:v>
      </x:c>
    </x:row>
    <x:row r="97" ht="240" customHeight="1">
      <x:c r="A97" s="2" t="str">
        <x:v>ADP-0090</x:v>
      </x:c>
      <x:c r="B97" s="2" t="str">
        <x:v>Adaptation</x:v>
      </x:c>
      <x:c r="C97" s="2" t="str">
        <x:v>Water</x:v>
      </x:c>
      <x:c r="D97" s="2" t="str">
        <x:v>Water augmentation (increasing capture and storage of surface run-off)</x:v>
      </x:c>
      <x:c r="E97" s="2" t="str">
        <x:v>Integration of green spaces in planning</x:v>
      </x:c>
      <x:c r="F97" s="2" t="str">
        <x:v>Integration of green spaces in planning is a adaptation technology in the Water sector and the Water augmentation (increasing capture and storage of surface run-off) technology group. It is defined as a combined hardware–software–orgware system that detects, separates, captures, conditions, transports or securely contains carbon-bearing gases so that methane or CO₂ does not reach the atmosphere. Integration of green spaces in planning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97" s="2" t="str">
        <x:v>Flexible</x:v>
      </x:c>
      <x:c r="H97" s="2" t="str">
        <x:v>Integration of green spaces in planning is transferable through configurable methods, rules and operating parameters. Its principle remains the same, but resource quality, climate, scale, interfaces and safety constraints must be recalculated for each deployment.</x:v>
      </x:c>
      <x:c r="I97" s="2" t="str">
        <x:v>Hard and soft</x:v>
      </x:c>
      <x:c r="J97" s="2" t="str">
        <x:v>Integration of green spaces in planning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97" s="2" t="str">
        <x:v>Operation and information service</x:v>
      </x:c>
      <x:c r="L97" s="2" t="str">
        <x:v>Integration of green spaces in planning is embodied mainly as an information and decision service. The deliverable is accepted only when measurable service, quality, safety and climate-performance criteria are met under real conditions.</x:v>
      </x:c>
      <x:c r="M97" s="2" t="str">
        <x:v>Yes, subject to life-cycle safeguards</x:v>
      </x:c>
      <x:c r="N97" s="2" t="str">
        <x:v>Integration of green spaces in planning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97" s="2" t="str">
        <x:v>Integration of green spaces in planning: gas analysers; flow, pressure and temperature instrumentation; separators; compressors; valves; sealed piping; flare or injection equipment.</x:v>
      </x:c>
      <x:c r="P97" s="2" t="str">
        <x:v>Integration of green spaces in planning: mass and energy balances; leak detection and repair logic; process simulation; dispersion modelling; integrity and injection surveillance.</x:v>
      </x:c>
      <x:c r="Q97" s="2" t="str">
        <x:v>Integration of green spaces in planning: emission permits; measurement, reporting and verification; asset-integrity management; emergency procedures; long-term liability.</x:v>
      </x:c>
      <x:c r="R97" s="2" t="str">
        <x:v>Integration of green spaces in planning: process units, access roads, power supply, pipelines, compression or storage sites, laboratories and monitoring networks.</x:v>
      </x:c>
      <x:c r="S97" s="2" t="str">
        <x:v>Integration of green spaces in planning: electricity for compression, pumping, refrigeration and instrumentation; fuel or heat where oxidation or regeneration is required.</x:v>
      </x:c>
      <x:c r="T97" s="2" t="str">
        <x:v>Integration of green spaces in planning: pressure-grade steel, corrosion-resistant alloys, concrete, elastomeric seals, sorbents, solvents, membranes or catalysts according to the process.</x:v>
      </x:c>
      <x:c r="U97" s="2" t="str">
        <x:v>Integration of green spaces in planning: calibrated sensors, valve trim, seals, compressor parts, filters, reagents and certified sampling equipment.</x:v>
      </x:c>
      <x:c r="V97" s="2" t="str">
        <x:v>https://www.ctc-n.org/sites/default/files/resources/ctcn_taxonomy_0.pdf</x:v>
      </x:c>
      <x:c r="W97" s="2" t="str">
        <x:v>https://institutoagricoladepueblobello.edu.co/colegiapp/archivostemas/GUIA%209.%5B25%5D.pdf</x:v>
      </x:c>
      <x:c r="X97" s="2" t="str">
        <x:v>https://iiasa.ac.at/what-is-technology</x:v>
      </x:c>
      <x:c r="Y97" s="2" t="str">
        <x:v>https://www.unwater.org/water-facts/climate-change; https://www.ipcc.ch/report/ar6/wg3/chapter/chapter-11/</x:v>
      </x:c>
      <x:c r="Z97" s="2" t="str">
        <x:v>Technology-specific analytical synthesis. The CTCN hierarchy is retained; classifications and component dependencies require validation against the selected design, site and supplier documentation before investment or policy use.</x:v>
      </x:c>
      <x:c r="AA97" s="2" t="str">
        <x:v>Physical deployment of Integration of green spaces in planning requires process units, access roads, power supply, pipelines, compression or storage sites, laboratories and monitoring networks; interfaces, foundations, access and environmental protection are sized to the specific resource and design load.</x:v>
      </x:c>
      <x:c r="AB97" s="2" t="str">
        <x:v>For Integration of green spaces in planning, the hardware energy balance comprises electricity for compression, pumping, refrigeration and instrumentation; fuel or heat where oxidation or regeneration is required; metering must separate useful output, conversion losses and auxiliaries for the selected design.</x:v>
      </x:c>
      <x:c r="AC97" s="2" t="str">
        <x:v>Construction and operation use pressure-grade steel, corrosion-resistant alloys, concrete, elastomeric seals, sorbents, solvents, membranes or catalysts according to the process. For Integration of green spaces in planning, specifications must include durability, compatibility, recycled content and recoverability.</x:v>
      </x:c>
      <x:c r="AD97" s="2" t="str">
        <x:v>Maintenance of Integration of green spaces in planning depends on calibrated sensors, valve trim, seals, compressor parts, filters, reagents and certified sampling equipment; critical spares are selected from failure-mode, lead-time and safety analysis for its installed configuration.</x:v>
      </x:c>
      <x:c r="AE97" s="2" t="str">
        <x:v>The software stack for Integration of green spaces in planning requires databases, secure communications, version-controlled models, computing, backup and interfaces with field or operational systems.</x:v>
      </x:c>
      <x:c r="AF97" s="2" t="str">
        <x:v>For Integration of green spaces in planning, software-related energy is electricity for sensing, computing, storage, communication and cooling; it is normally secondary but must be included for data-intensive or continuous services.</x:v>
      </x:c>
      <x:c r="AG97" s="2" t="str">
        <x:v>The non-physical inputs are calibrated data, metadata, algorithms, boundary conditions, emission or hazard factors, manuals and validation records specific to Integration of green spaces in planning.</x:v>
      </x:c>
      <x:c r="AH97" s="2" t="str">
        <x:v>Software continuity for Integration of green spaces in planning requires licences where applicable, updates, cybersecurity patches, backups, calibration files, model validation and technical support.</x:v>
      </x:c>
      <x:c r="AI97" s="2" t="str">
        <x:v>Orgware depends on the institutions, laboratories, training providers, regulators, operators and community interfaces needed to govern Integration of green spaces in planning.</x:v>
      </x:c>
      <x:c r="AJ97" s="2" t="str">
        <x:v>The orgware supporting Integration of green spaces in planning has mainly indirect energy use from offices, meetings, training and information systems; travel and field supervision may be material at dispersed sites.</x:v>
      </x:c>
      <x:c r="AK97" s="2" t="str">
        <x:v>Its organisational inputs are permits, budgets, trained staff, competence records, contracts, procedures, safeguards, monitoring evidence and stakeholder agreements tailored to Integration of green spaces in planning.</x:v>
      </x:c>
      <x:c r="AL97" s="2" t="str">
        <x:v>Sustained implementation of Integration of green spaces in planning requires procurement and service contracts, audit protocols, training material, reporting templates, insurance or guarantees and periodic independent review.</x:v>
      </x:c>
      <x:c r="AM97" s="2" t="str">
        <x:v>No critical or strategic raw material is identifiable at taxonomy level; site-specific bulk materials may still be required.</x:v>
      </x:c>
      <x:c r="AN97" s="2" t="str"/>
      <x:c r="AO97" s="2" t="str"/>
      <x:c r="AP97" s="2" t="str">
        <x:v>Integration of green spaces in planning: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7" s="2" t="str">
        <x:v>2024–2025</x:v>
      </x:c>
      <x:c r="AR97" s="2" t="str">
        <x:v>https://pubs.usgs.gov/periodicals/mcs2026/mcs2026.pdf</x:v>
      </x:c>
    </x:row>
    <x:row r="98" ht="240" customHeight="1">
      <x:c r="A98" s="2" t="str">
        <x:v>ADP-0091</x:v>
      </x:c>
      <x:c r="B98" s="2" t="str">
        <x:v>Adaptation</x:v>
      </x:c>
      <x:c r="C98" s="2" t="str">
        <x:v>Water</x:v>
      </x:c>
      <x:c r="D98" s="2" t="str">
        <x:v>Water augmentation (increasing capture and storage of surface run-off)</x:v>
      </x:c>
      <x:c r="E98" s="2" t="str">
        <x:v>Watershed conservation</x:v>
      </x:c>
      <x:c r="F98" s="2" t="str">
        <x:v>Watershed conservation is a adaptation technology in the Water sector and the Water augmentation (increasing capture and storage of surface run-off) technology group. It is defined as a combined hardware–software–orgware system that detects, separates, captures, conditions, transports or securely contains carbon-bearing gases so that methane or CO₂ does not reach the atmosphere. Watershed conservation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98" s="2" t="str">
        <x:v>Mixed: adaptable design, site-specific implementation</x:v>
      </x:c>
      <x:c r="H98" s="2" t="str">
        <x:v>Watershed conservation is adaptable in capacity and configuration but site-specific in final engineering. Its principle remains the same, but resource quality, climate, scale, interfaces and safety constraints must be recalculated for each deployment.</x:v>
      </x:c>
      <x:c r="I98" s="2" t="str">
        <x:v>Primarily hard, with a soft component</x:v>
      </x:c>
      <x:c r="J98" s="2" t="str">
        <x:v>Watershed conservation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98" s="2" t="str">
        <x:v>Equipment and operation</x:v>
      </x:c>
      <x:c r="L98" s="2" t="str">
        <x:v>Watershed conservation is embodied mainly as an equipment-and-operation system. The deliverable is accepted only when measurable service, quality, safety and climate-performance criteria are met under real conditions.</x:v>
      </x:c>
      <x:c r="M98" s="2" t="str">
        <x:v>Yes, subject to life-cycle safeguards</x:v>
      </x:c>
      <x:c r="N98" s="2" t="str">
        <x:v>Watershed conservation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98" s="2" t="str">
        <x:v>Watershed conservation: gas analysers; flow, pressure and temperature instrumentation; separators; compressors; valves; sealed piping; flare or injection equipment.</x:v>
      </x:c>
      <x:c r="P98" s="2" t="str">
        <x:v>Watershed conservation: mass and energy balances; leak detection and repair logic; process simulation; dispersion modelling; integrity and injection surveillance.</x:v>
      </x:c>
      <x:c r="Q98" s="2" t="str">
        <x:v>Watershed conservation: emission permits; measurement, reporting and verification; asset-integrity management; emergency procedures; long-term liability.</x:v>
      </x:c>
      <x:c r="R98" s="2" t="str">
        <x:v>Watershed conservation: process units, access roads, power supply, pipelines, compression or storage sites, laboratories and monitoring networks.</x:v>
      </x:c>
      <x:c r="S98" s="2" t="str">
        <x:v>Watershed conservation: electricity for compression, pumping, refrigeration and instrumentation; fuel or heat where oxidation or regeneration is required.</x:v>
      </x:c>
      <x:c r="T98" s="2" t="str">
        <x:v>Watershed conservation: pressure-grade steel, corrosion-resistant alloys, concrete, elastomeric seals, sorbents, solvents, membranes or catalysts according to the process.</x:v>
      </x:c>
      <x:c r="U98" s="2" t="str">
        <x:v>Watershed conservation: calibrated sensors, valve trim, seals, compressor parts, filters, reagents and certified sampling equipment.</x:v>
      </x:c>
      <x:c r="V98" s="2" t="str">
        <x:v>https://www.ctc-n.org/sites/default/files/resources/ctcn_taxonomy_0.pdf</x:v>
      </x:c>
      <x:c r="W98" s="2" t="str">
        <x:v>https://institutoagricoladepueblobello.edu.co/colegiapp/archivostemas/GUIA%209.%5B25%5D.pdf</x:v>
      </x:c>
      <x:c r="X98" s="2" t="str">
        <x:v>https://iiasa.ac.at/what-is-technology</x:v>
      </x:c>
      <x:c r="Y98" s="2" t="str">
        <x:v>https://www.unwater.org/water-facts/climate-change; https://www.ipcc.ch/report/ar6/wg3/chapter/chapter-11/</x:v>
      </x:c>
      <x:c r="Z98" s="2" t="str">
        <x:v>Technology-specific analytical synthesis. The CTCN hierarchy is retained; classifications and component dependencies require validation against the selected design, site and supplier documentation before investment or policy use.</x:v>
      </x:c>
      <x:c r="AA98" s="2" t="str">
        <x:v>Physical deployment of Watershed conservation requires process units, access roads, power supply, pipelines, compression or storage sites, laboratories and monitoring networks; interfaces, foundations, access and environmental protection are sized to the specific resource and design load.</x:v>
      </x:c>
      <x:c r="AB98" s="2" t="str">
        <x:v>For Watershed conservation, the hardware energy balance comprises electricity for compression, pumping, refrigeration and instrumentation; fuel or heat where oxidation or regeneration is required; metering must separate useful output, conversion losses and auxiliaries for the selected design.</x:v>
      </x:c>
      <x:c r="AC98" s="2" t="str">
        <x:v>Construction and operation use pressure-grade steel, corrosion-resistant alloys, concrete, elastomeric seals, sorbents, solvents, membranes or catalysts according to the process. For Watershed conservation, specifications must include durability, compatibility, recycled content and recoverability.</x:v>
      </x:c>
      <x:c r="AD98" s="2" t="str">
        <x:v>Maintenance of Watershed conservation depends on calibrated sensors, valve trim, seals, compressor parts, filters, reagents and certified sampling equipment; critical spares are selected from failure-mode, lead-time and safety analysis for its installed configuration.</x:v>
      </x:c>
      <x:c r="AE98" s="2" t="str">
        <x:v>The software stack for Watershed conservation requires databases, secure communications, version-controlled models, computing, backup and interfaces with field or operational systems.</x:v>
      </x:c>
      <x:c r="AF98" s="2" t="str">
        <x:v>For Watershed conservation, software-related energy is electricity for sensing, computing, storage, communication and cooling; it is normally secondary but must be included for data-intensive or continuous services.</x:v>
      </x:c>
      <x:c r="AG98" s="2" t="str">
        <x:v>The non-physical inputs are calibrated data, metadata, algorithms, boundary conditions, emission or hazard factors, manuals and validation records specific to Watershed conservation.</x:v>
      </x:c>
      <x:c r="AH98" s="2" t="str">
        <x:v>Software continuity for Watershed conservation requires licences where applicable, updates, cybersecurity patches, backups, calibration files, model validation and technical support.</x:v>
      </x:c>
      <x:c r="AI98" s="2" t="str">
        <x:v>Orgware depends on the institutions, laboratories, training providers, regulators, operators and community interfaces needed to govern Watershed conservation.</x:v>
      </x:c>
      <x:c r="AJ98" s="2" t="str">
        <x:v>The orgware supporting Watershed conservation has mainly indirect energy use from offices, meetings, training and information systems; travel and field supervision may be material at dispersed sites.</x:v>
      </x:c>
      <x:c r="AK98" s="2" t="str">
        <x:v>Its organisational inputs are permits, budgets, trained staff, competence records, contracts, procedures, safeguards, monitoring evidence and stakeholder agreements tailored to Watershed conservation.</x:v>
      </x:c>
      <x:c r="AL98" s="2" t="str">
        <x:v>Sustained implementation of Watershed conservation requires procurement and service contracts, audit protocols, training material, reporting templates, insurance or guarantees and periodic independent review.</x:v>
      </x:c>
      <x:c r="AM98" s="2" t="str">
        <x:v>Iron ore / steel inputs</x:v>
      </x:c>
      <x:c r="AN98" s="2" t="str">
        <x:v>Australia; Brazil; China</x:v>
      </x:c>
      <x:c r="AO98" s="2" t="str">
        <x:v>China; India; Japan</x:v>
      </x:c>
      <x:c r="AP98" s="2" t="str">
        <x:v>Watershed conservation: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8" s="2" t="str">
        <x:v>2024–2025</x:v>
      </x:c>
      <x:c r="AR98" s="2" t="str">
        <x:v>https://pubs.usgs.gov/periodicals/mcs2026/mcs2026.pdf</x:v>
      </x:c>
    </x:row>
    <x:row r="99" ht="240" customHeight="1">
      <x:c r="A99" s="2" t="str">
        <x:v>ADP-0092</x:v>
      </x:c>
      <x:c r="B99" s="2" t="str">
        <x:v>Adaptation</x:v>
      </x:c>
      <x:c r="C99" s="2" t="str">
        <x:v>Water</x:v>
      </x:c>
      <x:c r="D99" s="2" t="str">
        <x:v>Water augmentation (increasing capture and storage of surface run-off)</x:v>
      </x:c>
      <x:c r="E99" s="2" t="str">
        <x:v>Source water protection</x:v>
      </x:c>
      <x:c r="F99" s="2" t="str">
        <x:v>Source water protection is a adaptation technology in the Water sector and the Water augmentation (increasing capture and storage of surface run-off) technology group. It is defined as a combined hardware–software–orgware system that detects, separates, captures, conditions, transports or securely contains carbon-bearing gases so that methane or CO₂ does not reach the atmosphere. Source water protection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Life-cycle performance depends on capture or destruction efficiency, methane slip, auxiliary energy, construction materials, leakage during transport and verified permanence at end use or storage. Operational examples include methane recovery and LDAR programmes in oil, gas and mining, and integrated capture–transport–storage chains such as North Sea CCS projects.</x:v>
      </x:c>
      <x:c r="G99" s="2" t="str">
        <x:v>Mixed: adaptable design, site-specific implementation</x:v>
      </x:c>
      <x:c r="H99" s="2" t="str">
        <x:v>Source water protection is adaptable in capacity and configuration but site-specific in final engineering. Its principle remains the same, but resource quality, climate, scale, interfaces and safety constraints must be recalculated for each deployment.</x:v>
      </x:c>
      <x:c r="I99" s="2" t="str">
        <x:v>Primarily hard, with a soft component</x:v>
      </x:c>
      <x:c r="J99" s="2" t="str">
        <x:v>Source water protection combines gas analysers; flow, pressure and temperature instrumentation; separators; compressors; valves; sealed piping; flare or injection equipment with the codified knowledge in mass and energy balances; leak detection and repair logic; process simulation; dispersion modelling; integrity and injection surveillance. Its performance cannot be assigned to artefacts alone: operation, competence, data quality and institutional arrangements are causal parts of the technology.</x:v>
      </x:c>
      <x:c r="K99" s="2" t="str">
        <x:v>Equipment and operation</x:v>
      </x:c>
      <x:c r="L99" s="2" t="str">
        <x:v>Source water protection is embodied mainly as an equipment-and-operation system. The deliverable is accepted only when measurable service, quality, safety and climate-performance criteria are met under real conditions.</x:v>
      </x:c>
      <x:c r="M99" s="2" t="str">
        <x:v>Yes, subject to life-cycle safeguards</x:v>
      </x:c>
      <x:c r="N99" s="2" t="str">
        <x:v>Source water protection is classified as climate-beneficial subject to safeguards. Life-cycle performance depends on capture or destruction efficiency, methane slip, auxiliary energy, construction materials, leakage during transport and verified permanence at end use or storage. Avoided emissions or reduced vulnerability must be demonstrated against a defined baseline, without shifting material, pollution or social burdens outside the system boundary.</x:v>
      </x:c>
      <x:c r="O99" s="2" t="str">
        <x:v>Source water protection: gas analysers; flow, pressure and temperature instrumentation; separators; compressors; valves; sealed piping; flare or injection equipment.</x:v>
      </x:c>
      <x:c r="P99" s="2" t="str">
        <x:v>Source water protection: mass and energy balances; leak detection and repair logic; process simulation; dispersion modelling; integrity and injection surveillance.</x:v>
      </x:c>
      <x:c r="Q99" s="2" t="str">
        <x:v>Source water protection: emission permits; measurement, reporting and verification; asset-integrity management; emergency procedures; long-term liability.</x:v>
      </x:c>
      <x:c r="R99" s="2" t="str">
        <x:v>Source water protection: process units, access roads, power supply, pipelines, compression or storage sites, laboratories and monitoring networks.</x:v>
      </x:c>
      <x:c r="S99" s="2" t="str">
        <x:v>Source water protection: electricity for compression, pumping, refrigeration and instrumentation; fuel or heat where oxidation or regeneration is required.</x:v>
      </x:c>
      <x:c r="T99" s="2" t="str">
        <x:v>Source water protection: pressure-grade steel, corrosion-resistant alloys, concrete, elastomeric seals, sorbents, solvents, membranes or catalysts according to the process.</x:v>
      </x:c>
      <x:c r="U99" s="2" t="str">
        <x:v>Source water protection: calibrated sensors, valve trim, seals, compressor parts, filters, reagents and certified sampling equipment.</x:v>
      </x:c>
      <x:c r="V99" s="2" t="str">
        <x:v>https://www.ctc-n.org/sites/default/files/resources/ctcn_taxonomy_0.pdf</x:v>
      </x:c>
      <x:c r="W99" s="2" t="str">
        <x:v>https://institutoagricoladepueblobello.edu.co/colegiapp/archivostemas/GUIA%209.%5B25%5D.pdf</x:v>
      </x:c>
      <x:c r="X99" s="2" t="str">
        <x:v>https://iiasa.ac.at/what-is-technology</x:v>
      </x:c>
      <x:c r="Y99" s="2" t="str">
        <x:v>https://www.unwater.org/water-facts/climate-change; https://www.ipcc.ch/report/ar6/wg3/chapter/chapter-11/</x:v>
      </x:c>
      <x:c r="Z99" s="2" t="str">
        <x:v>Technology-specific analytical synthesis. The CTCN hierarchy is retained; classifications and component dependencies require validation against the selected design, site and supplier documentation before investment or policy use.</x:v>
      </x:c>
      <x:c r="AA99" s="2" t="str">
        <x:v>Physical deployment of Source water protection requires process units, access roads, power supply, pipelines, compression or storage sites, laboratories and monitoring networks; interfaces, foundations, access and environmental protection are sized to the specific resource and design load.</x:v>
      </x:c>
      <x:c r="AB99" s="2" t="str">
        <x:v>For Source water protection, the hardware energy balance comprises electricity for compression, pumping, refrigeration and instrumentation; fuel or heat where oxidation or regeneration is required; metering must separate useful output, conversion losses and auxiliaries for the selected design.</x:v>
      </x:c>
      <x:c r="AC99" s="2" t="str">
        <x:v>Construction and operation use pressure-grade steel, corrosion-resistant alloys, concrete, elastomeric seals, sorbents, solvents, membranes or catalysts according to the process. For Source water protection, specifications must include durability, compatibility, recycled content and recoverability.</x:v>
      </x:c>
      <x:c r="AD99" s="2" t="str">
        <x:v>Maintenance of Source water protection depends on calibrated sensors, valve trim, seals, compressor parts, filters, reagents and certified sampling equipment; critical spares are selected from failure-mode, lead-time and safety analysis for its installed configuration.</x:v>
      </x:c>
      <x:c r="AE99" s="2" t="str">
        <x:v>The software stack for Source water protection requires databases, secure communications, version-controlled models, computing, backup and interfaces with field or operational systems.</x:v>
      </x:c>
      <x:c r="AF99" s="2" t="str">
        <x:v>For Source water protection, software-related energy is electricity for sensing, computing, storage, communication and cooling; it is normally secondary but must be included for data-intensive or continuous services.</x:v>
      </x:c>
      <x:c r="AG99" s="2" t="str">
        <x:v>The non-physical inputs are calibrated data, metadata, algorithms, boundary conditions, emission or hazard factors, manuals and validation records specific to Source water protection.</x:v>
      </x:c>
      <x:c r="AH99" s="2" t="str">
        <x:v>Software continuity for Source water protection requires licences where applicable, updates, cybersecurity patches, backups, calibration files, model validation and technical support.</x:v>
      </x:c>
      <x:c r="AI99" s="2" t="str">
        <x:v>Orgware depends on the institutions, laboratories, training providers, regulators, operators and community interfaces needed to govern Source water protection.</x:v>
      </x:c>
      <x:c r="AJ99" s="2" t="str">
        <x:v>The orgware supporting Source water protection has mainly indirect energy use from offices, meetings, training and information systems; travel and field supervision may be material at dispersed sites.</x:v>
      </x:c>
      <x:c r="AK99" s="2" t="str">
        <x:v>Its organisational inputs are permits, budgets, trained staff, competence records, contracts, procedures, safeguards, monitoring evidence and stakeholder agreements tailored to Source water protection.</x:v>
      </x:c>
      <x:c r="AL99" s="2" t="str">
        <x:v>Sustained implementation of Source water protection requires procurement and service contracts, audit protocols, training material, reporting templates, insurance or guarantees and periodic independent review.</x:v>
      </x:c>
      <x:c r="AM99" s="2" t="str">
        <x:v>Iron ore / steel inputs</x:v>
      </x:c>
      <x:c r="AN99" s="2" t="str">
        <x:v>Australia; Brazil; China</x:v>
      </x:c>
      <x:c r="AO99" s="2" t="str">
        <x:v>China; India; Japan</x:v>
      </x:c>
      <x:c r="AP99" s="2" t="str">
        <x:v>Source water protection: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99" s="2" t="str">
        <x:v>2024–2025</x:v>
      </x:c>
      <x:c r="AR99" s="2" t="str">
        <x:v>https://pubs.usgs.gov/periodicals/mcs2026/mcs2026.pdf</x:v>
      </x:c>
    </x:row>
    <x:row r="100" ht="240" customHeight="1">
      <x:c r="A100" s="2" t="str">
        <x:v>ADP-0093</x:v>
      </x:c>
      <x:c r="B100" s="2" t="str">
        <x:v>Adaptation</x:v>
      </x:c>
      <x:c r="C100" s="2" t="str">
        <x:v>Water</x:v>
      </x:c>
      <x:c r="D100" s="2" t="str">
        <x:v>Hydropower</x:v>
      </x:c>
      <x:c r="E100" s="2" t="str">
        <x:v>Multi-purpose dams</x:v>
      </x:c>
      <x:c r="F100" s="2" t="str">
        <x:v>Multi-purpose dams is a adaptation technology in the Water sector and the Hydropower technology group. It is defined as a combined hardware–software–orgware system that converts a renewable solar, wind, water, ocean, geothermal or chemical resource into electricity, heat or mechanical work while controlling variability and conversion losses. Multi-purpose dams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0" s="2" t="str">
        <x:v>Primarily fixed</x:v>
      </x:c>
      <x:c r="H100" s="2" t="str">
        <x:v>Multi-purpose dams is tied to long-lived, site-specific assets and design loads. Its principle remains the same, but resource quality, climate, scale, interfaces and safety constraints must be recalculated for each deployment.</x:v>
      </x:c>
      <x:c r="I100" s="2" t="str">
        <x:v>Primarily hard, with a soft component</x:v>
      </x:c>
      <x:c r="J100" s="2" t="str">
        <x:v>Multi-purpose dams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0" s="2" t="str">
        <x:v>Equipment and operation</x:v>
      </x:c>
      <x:c r="L100" s="2" t="str">
        <x:v>Multi-purpose dams is embodied mainly as an equipment-and-operation system. The deliverable is accepted only when measurable service, quality, safety and climate-performance criteria are met under real conditions.</x:v>
      </x:c>
      <x:c r="M100" s="2" t="str">
        <x:v>Yes, subject to life-cycle safeguards</x:v>
      </x:c>
      <x:c r="N100" s="2" t="str">
        <x:v>Multi-purpose dams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0" s="2" t="str">
        <x:v>Multi-purpose dams: resource collector or prime mover, generator or heat exchanger, support structure, power conversion, protection, metering and connection equipment.</x:v>
      </x:c>
      <x:c r="P100" s="2" t="str">
        <x:v>Multi-purpose dams: resource assessment, energy-yield modelling, forecasting, maximum-power or process control, dispatch, condition monitoring and maintenance planning.</x:v>
      </x:c>
      <x:c r="Q100" s="2" t="str">
        <x:v>Multi-purpose dams: resource and land or sea rights, environmental licensing, grid code, safety, community participation, revenue contract and decommissioning plan.</x:v>
      </x:c>
      <x:c r="R100" s="2" t="str">
        <x:v>Multi-purpose dams: foundations, access, electrical or thermal network, substation, control and communications, drainage and construction or marine logistics.</x:v>
      </x:c>
      <x:c r="S100" s="2" t="str">
        <x:v>Multi-purpose dams: the renewable resource is the primary input; auxiliary electricity, start-up fuel, pumping or thermal energy may be required depending on the design.</x:v>
      </x:c>
      <x:c r="T100" s="2" t="str">
        <x:v>Multi-purpose dams: steel, concrete, copper, aluminium, polymers, glass and technology-specific materials such as silicon, magnets, coatings, catalysts or working fluids.</x:v>
      </x:c>
      <x:c r="U100" s="2" t="str">
        <x:v>Multi-purpose dams: bearings, seals, filters, lubricants, sensors, converter parts, cables, fasteners, coatings and replaceable collector or heat-exchanger components.</x:v>
      </x:c>
      <x:c r="V100" s="2" t="str">
        <x:v>https://www.ctc-n.org/sites/default/files/resources/ctcn_taxonomy_0.pdf</x:v>
      </x:c>
      <x:c r="W100" s="2" t="str">
        <x:v>https://institutoagricoladepueblobello.edu.co/colegiapp/archivostemas/GUIA%209.%5B25%5D.pdf</x:v>
      </x:c>
      <x:c r="X100" s="2" t="str">
        <x:v>https://iiasa.ac.at/what-is-technology</x:v>
      </x:c>
      <x:c r="Y100" s="2" t="str">
        <x:v>https://www.unwater.org/water-facts/climate-change; https://www.iea.org/data-and-statistics/data-tools/etp-clean-energy-technology-guide</x:v>
      </x:c>
      <x:c r="Z100" s="2" t="str">
        <x:v>Technology-specific analytical synthesis. The CTCN hierarchy is retained; classifications and component dependencies require validation against the selected design, site and supplier documentation before investment or policy use.</x:v>
      </x:c>
      <x:c r="AA100" s="2" t="str">
        <x:v>Physical deployment of Multi-purpose dams requires foundations, access, electrical or thermal network, substation, control and communications, drainage and construction or marine logistics; interfaces, foundations, access and environmental protection are sized to the specific resource and design load.</x:v>
      </x:c>
      <x:c r="AB100" s="2" t="str">
        <x:v>For Multi-purpose dams,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0" s="2" t="str">
        <x:v>Construction and operation use steel, concrete, copper, aluminium, polymers, glass and technology-specific materials such as silicon, magnets, coatings, catalysts or working fluids. For Multi-purpose dams, specifications must include durability, compatibility, recycled content and recoverability.</x:v>
      </x:c>
      <x:c r="AD100" s="2" t="str">
        <x:v>Maintenance of Multi-purpose dams depends on bearings, seals, filters, lubricants, sensors, converter parts, cables, fasteners, coatings and replaceable collector or heat-exchanger components; critical spares are selected from failure-mode, lead-time and safety analysis for its installed configuration.</x:v>
      </x:c>
      <x:c r="AE100" s="2" t="str">
        <x:v>The software stack for Multi-purpose dams requires databases, secure communications, version-controlled models, computing, backup and interfaces with field or operational systems.</x:v>
      </x:c>
      <x:c r="AF100" s="2" t="str">
        <x:v>For Multi-purpose dams, software-related energy is electricity for sensing, computing, storage, communication and cooling; it is normally secondary but must be included for data-intensive or continuous services.</x:v>
      </x:c>
      <x:c r="AG100" s="2" t="str">
        <x:v>The non-physical inputs are calibrated data, metadata, algorithms, boundary conditions, emission or hazard factors, manuals and validation records specific to Multi-purpose dams.</x:v>
      </x:c>
      <x:c r="AH100" s="2" t="str">
        <x:v>Software continuity for Multi-purpose dams requires licences where applicable, updates, cybersecurity patches, backups, calibration files, model validation and technical support.</x:v>
      </x:c>
      <x:c r="AI100" s="2" t="str">
        <x:v>Orgware depends on the institutions, laboratories, training providers, regulators, operators and community interfaces needed to govern Multi-purpose dams.</x:v>
      </x:c>
      <x:c r="AJ100" s="2" t="str">
        <x:v>The orgware supporting Multi-purpose dams has mainly indirect energy use from offices, meetings, training and information systems; travel and field supervision may be material at dispersed sites.</x:v>
      </x:c>
      <x:c r="AK100" s="2" t="str">
        <x:v>Its organisational inputs are permits, budgets, trained staff, competence records, contracts, procedures, safeguards, monitoring evidence and stakeholder agreements tailored to Multi-purpose dams.</x:v>
      </x:c>
      <x:c r="AL100" s="2" t="str">
        <x:v>Sustained implementation of Multi-purpose dams requires procurement and service contracts, audit protocols, training material, reporting templates, insurance or guarantees and periodic independent review.</x:v>
      </x:c>
      <x:c r="AM100" s="2" t="str">
        <x:v>Iron ore / steel inputs; Limestone / cement raw materials</x:v>
      </x:c>
      <x:c r="AN100" s="2" t="str">
        <x:v>Australia; Brazil; China; India; Vietnam</x:v>
      </x:c>
      <x:c r="AO100" s="2" t="str">
        <x:v>China; India; Japan; Vietnam</x:v>
      </x:c>
      <x:c r="AP100" s="2" t="str">
        <x:v>Multi-purpose dams: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0" s="2" t="str">
        <x:v>2024–2025</x:v>
      </x:c>
      <x:c r="AR100" s="2" t="str">
        <x:v>https://pubs.usgs.gov/periodicals/mcs2026/mcs2026.pdf</x:v>
      </x:c>
    </x:row>
    <x:row r="101" ht="240" customHeight="1">
      <x:c r="A101" s="2" t="str">
        <x:v>ADP-0094</x:v>
      </x:c>
      <x:c r="B101" s="2" t="str">
        <x:v>Adaptation</x:v>
      </x:c>
      <x:c r="C101" s="2" t="str">
        <x:v>Water</x:v>
      </x:c>
      <x:c r="D101" s="2" t="str">
        <x:v>Hydropower</x:v>
      </x:c>
      <x:c r="E101" s="2" t="str">
        <x:v>Small hydropower</x:v>
      </x:c>
      <x:c r="F101" s="2" t="str">
        <x:v>Small hydropower is a adaptation technology in the Water sector and the Hydropower technology group. It is defined as a combined hardware–software–orgware system that converts a renewable solar, wind, water, ocean, geothermal or chemical resource into electricity, heat or mechanical work while controlling variability and conversion losses. Small hydropower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1" s="2" t="str">
        <x:v>Primarily fixed</x:v>
      </x:c>
      <x:c r="H101" s="2" t="str">
        <x:v>Small hydropower is tied to long-lived, site-specific assets and design loads. Its principle remains the same, but resource quality, climate, scale, interfaces and safety constraints must be recalculated for each deployment.</x:v>
      </x:c>
      <x:c r="I101" s="2" t="str">
        <x:v>Primarily hard, with a soft component</x:v>
      </x:c>
      <x:c r="J101" s="2" t="str">
        <x:v>Small hydropower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1" s="2" t="str">
        <x:v>Equipment and operation</x:v>
      </x:c>
      <x:c r="L101" s="2" t="str">
        <x:v>Small hydropower is embodied mainly as an equipment-and-operation system. The deliverable is accepted only when measurable service, quality, safety and climate-performance criteria are met under real conditions.</x:v>
      </x:c>
      <x:c r="M101" s="2" t="str">
        <x:v>Yes, subject to life-cycle safeguards</x:v>
      </x:c>
      <x:c r="N101" s="2" t="str">
        <x:v>Small hydropower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1" s="2" t="str">
        <x:v>Small hydropower: resource collector or prime mover, generator or heat exchanger, support structure, power conversion, protection, metering and connection equipment.</x:v>
      </x:c>
      <x:c r="P101" s="2" t="str">
        <x:v>Small hydropower: resource assessment, energy-yield modelling, forecasting, maximum-power or process control, dispatch, condition monitoring and maintenance planning.</x:v>
      </x:c>
      <x:c r="Q101" s="2" t="str">
        <x:v>Small hydropower: resource and land or sea rights, environmental licensing, grid code, safety, community participation, revenue contract and decommissioning plan.</x:v>
      </x:c>
      <x:c r="R101" s="2" t="str">
        <x:v>Small hydropower: foundations, access, electrical or thermal network, substation, control and communications, drainage and construction or marine logistics.</x:v>
      </x:c>
      <x:c r="S101" s="2" t="str">
        <x:v>Small hydropower: the renewable resource is the primary input; auxiliary electricity, start-up fuel, pumping or thermal energy may be required depending on the design.</x:v>
      </x:c>
      <x:c r="T101" s="2" t="str">
        <x:v>Small hydropower: steel, concrete, copper, aluminium, polymers, glass and technology-specific materials such as silicon, magnets, coatings, catalysts or working fluids.</x:v>
      </x:c>
      <x:c r="U101" s="2" t="str">
        <x:v>Small hydropower: bearings, seals, filters, lubricants, sensors, converter parts, cables, fasteners, coatings and replaceable collector or heat-exchanger components.</x:v>
      </x:c>
      <x:c r="V101" s="2" t="str">
        <x:v>https://www.ctc-n.org/sites/default/files/resources/ctcn_taxonomy_0.pdf</x:v>
      </x:c>
      <x:c r="W101" s="2" t="str">
        <x:v>https://institutoagricoladepueblobello.edu.co/colegiapp/archivostemas/GUIA%209.%5B25%5D.pdf</x:v>
      </x:c>
      <x:c r="X101" s="2" t="str">
        <x:v>https://iiasa.ac.at/what-is-technology</x:v>
      </x:c>
      <x:c r="Y101" s="2" t="str">
        <x:v>https://www.unwater.org/water-facts/climate-change; https://www.iea.org/data-and-statistics/data-tools/etp-clean-energy-technology-guide</x:v>
      </x:c>
      <x:c r="Z101" s="2" t="str">
        <x:v>Technology-specific analytical synthesis. The CTCN hierarchy is retained; classifications and component dependencies require validation against the selected design, site and supplier documentation before investment or policy use.</x:v>
      </x:c>
      <x:c r="AA101" s="2" t="str">
        <x:v>Physical deployment of Small hydropower requires foundations, access, electrical or thermal network, substation, control and communications, drainage and construction or marine logistics; interfaces, foundations, access and environmental protection are sized to the specific resource and design load.</x:v>
      </x:c>
      <x:c r="AB101" s="2" t="str">
        <x:v>For Small hydropower,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1" s="2" t="str">
        <x:v>Construction and operation use steel, concrete, copper, aluminium, polymers, glass and technology-specific materials such as silicon, magnets, coatings, catalysts or working fluids. For Small hydropower, specifications must include durability, compatibility, recycled content and recoverability.</x:v>
      </x:c>
      <x:c r="AD101" s="2" t="str">
        <x:v>Maintenance of Small hydropower depends on bearings, seals, filters, lubricants, sensors, converter parts, cables, fasteners, coatings and replaceable collector or heat-exchanger components; critical spares are selected from failure-mode, lead-time and safety analysis for its installed configuration.</x:v>
      </x:c>
      <x:c r="AE101" s="2" t="str">
        <x:v>The software stack for Small hydropower requires databases, secure communications, version-controlled models, computing, backup and interfaces with field or operational systems.</x:v>
      </x:c>
      <x:c r="AF101" s="2" t="str">
        <x:v>For Small hydropower, software-related energy is electricity for sensing, computing, storage, communication and cooling; it is normally secondary but must be included for data-intensive or continuous services.</x:v>
      </x:c>
      <x:c r="AG101" s="2" t="str">
        <x:v>The non-physical inputs are calibrated data, metadata, algorithms, boundary conditions, emission or hazard factors, manuals and validation records specific to Small hydropower.</x:v>
      </x:c>
      <x:c r="AH101" s="2" t="str">
        <x:v>Software continuity for Small hydropower requires licences where applicable, updates, cybersecurity patches, backups, calibration files, model validation and technical support.</x:v>
      </x:c>
      <x:c r="AI101" s="2" t="str">
        <x:v>Orgware depends on the institutions, laboratories, training providers, regulators, operators and community interfaces needed to govern Small hydropower.</x:v>
      </x:c>
      <x:c r="AJ101" s="2" t="str">
        <x:v>The orgware supporting Small hydropower has mainly indirect energy use from offices, meetings, training and information systems; travel and field supervision may be material at dispersed sites.</x:v>
      </x:c>
      <x:c r="AK101" s="2" t="str">
        <x:v>Its organisational inputs are permits, budgets, trained staff, competence records, contracts, procedures, safeguards, monitoring evidence and stakeholder agreements tailored to Small hydropower.</x:v>
      </x:c>
      <x:c r="AL101" s="2" t="str">
        <x:v>Sustained implementation of Small hydropower requires procurement and service contracts, audit protocols, training material, reporting templates, insurance or guarantees and periodic independent review.</x:v>
      </x:c>
      <x:c r="AM101" s="2" t="str">
        <x:v>Iron ore / steel inputs</x:v>
      </x:c>
      <x:c r="AN101" s="2" t="str">
        <x:v>Australia; Brazil; China</x:v>
      </x:c>
      <x:c r="AO101" s="2" t="str">
        <x:v>China; India; Japan</x:v>
      </x:c>
      <x:c r="AP101" s="2" t="str">
        <x:v>Small hydropower: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1" s="2" t="str">
        <x:v>2024–2025</x:v>
      </x:c>
      <x:c r="AR101" s="2" t="str">
        <x:v>https://pubs.usgs.gov/periodicals/mcs2026/mcs2026.pdf</x:v>
      </x:c>
    </x:row>
    <x:row r="102" ht="240" customHeight="1">
      <x:c r="A102" s="2" t="str">
        <x:v>ADP-0095</x:v>
      </x:c>
      <x:c r="B102" s="2" t="str">
        <x:v>Adaptation</x:v>
      </x:c>
      <x:c r="C102" s="2" t="str">
        <x:v>Water</x:v>
      </x:c>
      <x:c r="D102" s="2" t="str">
        <x:v>Hydropower</x:v>
      </x:c>
      <x:c r="E102" s="2" t="str">
        <x:v>Large hydropower</x:v>
      </x:c>
      <x:c r="F102" s="2" t="str">
        <x:v>Large hydropower is a adaptation technology in the Water sector and the Hydropower technology group. It is defined as a combined hardware–software–orgware system that converts a renewable solar, wind, water, ocean, geothermal or chemical resource into electricity, heat or mechanical work while controlling variability and conversion losses. Large hydropower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2" s="2" t="str">
        <x:v>Primarily fixed</x:v>
      </x:c>
      <x:c r="H102" s="2" t="str">
        <x:v>Large hydropower is tied to long-lived, site-specific assets and design loads. Its principle remains the same, but resource quality, climate, scale, interfaces and safety constraints must be recalculated for each deployment.</x:v>
      </x:c>
      <x:c r="I102" s="2" t="str">
        <x:v>Primarily hard, with a soft component</x:v>
      </x:c>
      <x:c r="J102" s="2" t="str">
        <x:v>Large hydropower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2" s="2" t="str">
        <x:v>Equipment and operation</x:v>
      </x:c>
      <x:c r="L102" s="2" t="str">
        <x:v>Large hydropower is embodied mainly as an equipment-and-operation system. The deliverable is accepted only when measurable service, quality, safety and climate-performance criteria are met under real conditions.</x:v>
      </x:c>
      <x:c r="M102" s="2" t="str">
        <x:v>Conditional on performance and life cycle</x:v>
      </x:c>
      <x:c r="N102" s="2" t="str">
        <x:v>Large hydropower is classified as conditional.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2" s="2" t="str">
        <x:v>Large hydropower: resource collector or prime mover, generator or heat exchanger, support structure, power conversion, protection, metering and connection equipment.</x:v>
      </x:c>
      <x:c r="P102" s="2" t="str">
        <x:v>Large hydropower: resource assessment, energy-yield modelling, forecasting, maximum-power or process control, dispatch, condition monitoring and maintenance planning.</x:v>
      </x:c>
      <x:c r="Q102" s="2" t="str">
        <x:v>Large hydropower: resource and land or sea rights, environmental licensing, grid code, safety, community participation, revenue contract and decommissioning plan.</x:v>
      </x:c>
      <x:c r="R102" s="2" t="str">
        <x:v>Large hydropower: foundations, access, electrical or thermal network, substation, control and communications, drainage and construction or marine logistics.</x:v>
      </x:c>
      <x:c r="S102" s="2" t="str">
        <x:v>Large hydropower: the renewable resource is the primary input; auxiliary electricity, start-up fuel, pumping or thermal energy may be required depending on the design.</x:v>
      </x:c>
      <x:c r="T102" s="2" t="str">
        <x:v>Large hydropower: steel, concrete, copper, aluminium, polymers, glass and technology-specific materials such as silicon, magnets, coatings, catalysts or working fluids.</x:v>
      </x:c>
      <x:c r="U102" s="2" t="str">
        <x:v>Large hydropower: bearings, seals, filters, lubricants, sensors, converter parts, cables, fasteners, coatings and replaceable collector or heat-exchanger components.</x:v>
      </x:c>
      <x:c r="V102" s="2" t="str">
        <x:v>https://www.ctc-n.org/sites/default/files/resources/ctcn_taxonomy_0.pdf</x:v>
      </x:c>
      <x:c r="W102" s="2" t="str">
        <x:v>https://institutoagricoladepueblobello.edu.co/colegiapp/archivostemas/GUIA%209.%5B25%5D.pdf</x:v>
      </x:c>
      <x:c r="X102" s="2" t="str">
        <x:v>https://iiasa.ac.at/what-is-technology</x:v>
      </x:c>
      <x:c r="Y102" s="2" t="str">
        <x:v>https://www.unwater.org/water-facts/climate-change; https://www.iea.org/data-and-statistics/data-tools/etp-clean-energy-technology-guide</x:v>
      </x:c>
      <x:c r="Z102" s="2" t="str">
        <x:v>Technology-specific analytical synthesis. The CTCN hierarchy is retained; classifications and component dependencies require validation against the selected design, site and supplier documentation before investment or policy use.</x:v>
      </x:c>
      <x:c r="AA102" s="2" t="str">
        <x:v>Physical deployment of Large hydropower requires foundations, access, electrical or thermal network, substation, control and communications, drainage and construction or marine logistics; interfaces, foundations, access and environmental protection are sized to the specific resource and design load.</x:v>
      </x:c>
      <x:c r="AB102" s="2" t="str">
        <x:v>For Large hydropower,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2" s="2" t="str">
        <x:v>Construction and operation use steel, concrete, copper, aluminium, polymers, glass and technology-specific materials such as silicon, magnets, coatings, catalysts or working fluids. For Large hydropower, specifications must include durability, compatibility, recycled content and recoverability.</x:v>
      </x:c>
      <x:c r="AD102" s="2" t="str">
        <x:v>Maintenance of Large hydropower depends on bearings, seals, filters, lubricants, sensors, converter parts, cables, fasteners, coatings and replaceable collector or heat-exchanger components; critical spares are selected from failure-mode, lead-time and safety analysis for its installed configuration.</x:v>
      </x:c>
      <x:c r="AE102" s="2" t="str">
        <x:v>The software stack for Large hydropower requires databases, secure communications, version-controlled models, computing, backup and interfaces with field or operational systems.</x:v>
      </x:c>
      <x:c r="AF102" s="2" t="str">
        <x:v>For Large hydropower, software-related energy is electricity for sensing, computing, storage, communication and cooling; it is normally secondary but must be included for data-intensive or continuous services.</x:v>
      </x:c>
      <x:c r="AG102" s="2" t="str">
        <x:v>The non-physical inputs are calibrated data, metadata, algorithms, boundary conditions, emission or hazard factors, manuals and validation records specific to Large hydropower.</x:v>
      </x:c>
      <x:c r="AH102" s="2" t="str">
        <x:v>Software continuity for Large hydropower requires licences where applicable, updates, cybersecurity patches, backups, calibration files, model validation and technical support.</x:v>
      </x:c>
      <x:c r="AI102" s="2" t="str">
        <x:v>Orgware depends on the institutions, laboratories, training providers, regulators, operators and community interfaces needed to govern Large hydropower.</x:v>
      </x:c>
      <x:c r="AJ102" s="2" t="str">
        <x:v>The orgware supporting Large hydropower has mainly indirect energy use from offices, meetings, training and information systems; travel and field supervision may be material at dispersed sites.</x:v>
      </x:c>
      <x:c r="AK102" s="2" t="str">
        <x:v>Its organisational inputs are permits, budgets, trained staff, competence records, contracts, procedures, safeguards, monitoring evidence and stakeholder agreements tailored to Large hydropower.</x:v>
      </x:c>
      <x:c r="AL102" s="2" t="str">
        <x:v>Sustained implementation of Large hydropower requires procurement and service contracts, audit protocols, training material, reporting templates, insurance or guarantees and periodic independent review.</x:v>
      </x:c>
      <x:c r="AM102" s="2" t="str">
        <x:v>Iron ore / steel inputs</x:v>
      </x:c>
      <x:c r="AN102" s="2" t="str">
        <x:v>Australia; Brazil; China</x:v>
      </x:c>
      <x:c r="AO102" s="2" t="str">
        <x:v>China; India; Japan</x:v>
      </x:c>
      <x:c r="AP102" s="2" t="str">
        <x:v>Large hydropower: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2" s="2" t="str">
        <x:v>2024–2025</x:v>
      </x:c>
      <x:c r="AR102" s="2" t="str">
        <x:v>https://pubs.usgs.gov/periodicals/mcs2026/mcs2026.pdf</x:v>
      </x:c>
    </x:row>
    <x:row r="103" ht="240" customHeight="1">
      <x:c r="A103" s="2" t="str">
        <x:v>ADP-0096</x:v>
      </x:c>
      <x:c r="B103" s="2" t="str">
        <x:v>Adaptation</x:v>
      </x:c>
      <x:c r="C103" s="2" t="str">
        <x:v>Water</x:v>
      </x:c>
      <x:c r="D103" s="2" t="str">
        <x:v>Hydropower</x:v>
      </x:c>
      <x:c r="E103" s="2" t="str">
        <x:v>Embedding climate variability in hydropower design</x:v>
      </x:c>
      <x:c r="F103" s="2" t="str">
        <x:v>Embedding climate variability in hydropower design is a adaptation technology in the Water sector and the Hydropower technology group. It is defined as a combined hardware–software–orgware system that converts a renewable solar, wind, water, ocean, geothermal or chemical resource into electricity, heat or mechanical work while controlling variability and conversion losses. Embedding climate variability in hydropower design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03" s="2" t="str">
        <x:v>Primarily fixed</x:v>
      </x:c>
      <x:c r="H103" s="2" t="str">
        <x:v>Embedding climate variability in hydropower design is tied to long-lived, site-specific assets and design loads. Its principle remains the same, but resource quality, climate, scale, interfaces and safety constraints must be recalculated for each deployment.</x:v>
      </x:c>
      <x:c r="I103" s="2" t="str">
        <x:v>Primarily hard, with a soft component</x:v>
      </x:c>
      <x:c r="J103" s="2" t="str">
        <x:v>Embedding climate variability in hydropower design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03" s="2" t="str">
        <x:v>Equipment and operation</x:v>
      </x:c>
      <x:c r="L103" s="2" t="str">
        <x:v>Embedding climate variability in hydropower design is embodied mainly as an equipment-and-operation system. The deliverable is accepted only when measurable service, quality, safety and climate-performance criteria are met under real conditions.</x:v>
      </x:c>
      <x:c r="M103" s="2" t="str">
        <x:v>Yes, subject to life-cycle safeguards</x:v>
      </x:c>
      <x:c r="N103" s="2" t="str">
        <x:v>Embedding climate variability in hydropower design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03" s="2" t="str">
        <x:v>Embedding climate variability in hydropower design: resource collector or prime mover, generator or heat exchanger, support structure, power conversion, protection, metering and connection equipment.</x:v>
      </x:c>
      <x:c r="P103" s="2" t="str">
        <x:v>Embedding climate variability in hydropower design: resource assessment, energy-yield modelling, forecasting, maximum-power or process control, dispatch, condition monitoring and maintenance planning.</x:v>
      </x:c>
      <x:c r="Q103" s="2" t="str">
        <x:v>Embedding climate variability in hydropower design: resource and land or sea rights, environmental licensing, grid code, safety, community participation, revenue contract and decommissioning plan.</x:v>
      </x:c>
      <x:c r="R103" s="2" t="str">
        <x:v>Embedding climate variability in hydropower design: foundations, access, electrical or thermal network, substation, control and communications, drainage and construction or marine logistics.</x:v>
      </x:c>
      <x:c r="S103" s="2" t="str">
        <x:v>Embedding climate variability in hydropower design: the renewable resource is the primary input; auxiliary electricity, start-up fuel, pumping or thermal energy may be required depending on the design.</x:v>
      </x:c>
      <x:c r="T103" s="2" t="str">
        <x:v>Embedding climate variability in hydropower design: steel, concrete, copper, aluminium, polymers, glass and technology-specific materials such as silicon, magnets, coatings, catalysts or working fluids.</x:v>
      </x:c>
      <x:c r="U103" s="2" t="str">
        <x:v>Embedding climate variability in hydropower design: bearings, seals, filters, lubricants, sensors, converter parts, cables, fasteners, coatings and replaceable collector or heat-exchanger components.</x:v>
      </x:c>
      <x:c r="V103" s="2" t="str">
        <x:v>https://www.ctc-n.org/sites/default/files/resources/ctcn_taxonomy_0.pdf</x:v>
      </x:c>
      <x:c r="W103" s="2" t="str">
        <x:v>https://institutoagricoladepueblobello.edu.co/colegiapp/archivostemas/GUIA%209.%5B25%5D.pdf</x:v>
      </x:c>
      <x:c r="X103" s="2" t="str">
        <x:v>https://iiasa.ac.at/what-is-technology</x:v>
      </x:c>
      <x:c r="Y103" s="2" t="str">
        <x:v>https://www.unwater.org/water-facts/climate-change; https://www.iea.org/data-and-statistics/data-tools/etp-clean-energy-technology-guide</x:v>
      </x:c>
      <x:c r="Z103" s="2" t="str">
        <x:v>Technology-specific analytical synthesis. The CTCN hierarchy is retained; classifications and component dependencies require validation against the selected design, site and supplier documentation before investment or policy use.</x:v>
      </x:c>
      <x:c r="AA103" s="2" t="str">
        <x:v>Physical deployment of Embedding climate variability in hydropower design requires foundations, access, electrical or thermal network, substation, control and communications, drainage and construction or marine logistics; interfaces, foundations, access and environmental protection are sized to the specific resource and design load.</x:v>
      </x:c>
      <x:c r="AB103" s="2" t="str">
        <x:v>For Embedding climate variability in hydropower design,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03" s="2" t="str">
        <x:v>Construction and operation use steel, concrete, copper, aluminium, polymers, glass and technology-specific materials such as silicon, magnets, coatings, catalysts or working fluids. For Embedding climate variability in hydropower design, specifications must include durability, compatibility, recycled content and recoverability.</x:v>
      </x:c>
      <x:c r="AD103" s="2" t="str">
        <x:v>Maintenance of Embedding climate variability in hydropower design depends on bearings, seals, filters, lubricants, sensors, converter parts, cables, fasteners, coatings and replaceable collector or heat-exchanger components; critical spares are selected from failure-mode, lead-time and safety analysis for its installed configuration.</x:v>
      </x:c>
      <x:c r="AE103" s="2" t="str">
        <x:v>The software stack for Embedding climate variability in hydropower design requires databases, secure communications, version-controlled models, computing, backup and interfaces with field or operational systems.</x:v>
      </x:c>
      <x:c r="AF103" s="2" t="str">
        <x:v>For Embedding climate variability in hydropower design, software-related energy is electricity for sensing, computing, storage, communication and cooling; it is normally secondary but must be included for data-intensive or continuous services.</x:v>
      </x:c>
      <x:c r="AG103" s="2" t="str">
        <x:v>The non-physical inputs are calibrated data, metadata, algorithms, boundary conditions, emission or hazard factors, manuals and validation records specific to Embedding climate variability in hydropower design.</x:v>
      </x:c>
      <x:c r="AH103" s="2" t="str">
        <x:v>Software continuity for Embedding climate variability in hydropower design requires licences where applicable, updates, cybersecurity patches, backups, calibration files, model validation and technical support.</x:v>
      </x:c>
      <x:c r="AI103" s="2" t="str">
        <x:v>Orgware depends on the institutions, laboratories, training providers, regulators, operators and community interfaces needed to govern Embedding climate variability in hydropower design.</x:v>
      </x:c>
      <x:c r="AJ103" s="2" t="str">
        <x:v>The orgware supporting Embedding climate variability in hydropower design has mainly indirect energy use from offices, meetings, training and information systems; travel and field supervision may be material at dispersed sites.</x:v>
      </x:c>
      <x:c r="AK103" s="2" t="str">
        <x:v>Its organisational inputs are permits, budgets, trained staff, competence records, contracts, procedures, safeguards, monitoring evidence and stakeholder agreements tailored to Embedding climate variability in hydropower design.</x:v>
      </x:c>
      <x:c r="AL103" s="2" t="str">
        <x:v>Sustained implementation of Embedding climate variability in hydropower design requires procurement and service contracts, audit protocols, training material, reporting templates, insurance or guarantees and periodic independent review.</x:v>
      </x:c>
      <x:c r="AM103" s="2" t="str">
        <x:v>Iron ore / steel inputs</x:v>
      </x:c>
      <x:c r="AN103" s="2" t="str">
        <x:v>Australia; Brazil; China</x:v>
      </x:c>
      <x:c r="AO103" s="2" t="str">
        <x:v>China; India; Japan</x:v>
      </x:c>
      <x:c r="AP103" s="2" t="str">
        <x:v>Embedding climate variability in hydropower design: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3" s="2" t="str">
        <x:v>2024–2025</x:v>
      </x:c>
      <x:c r="AR103" s="2" t="str">
        <x:v>https://pubs.usgs.gov/periodicals/mcs2026/mcs2026.pdf</x:v>
      </x:c>
    </x:row>
    <x:row r="104" ht="240" customHeight="1">
      <x:c r="A104" s="2" t="str">
        <x:v>ADP-0097</x:v>
      </x:c>
      <x:c r="B104" s="2" t="str">
        <x:v>Adaptation</x:v>
      </x:c>
      <x:c r="C104" s="2" t="str">
        <x:v>Water</x:v>
      </x:c>
      <x:c r="D104" s="2" t="str">
        <x:v>Water pollution</x:v>
      </x:c>
      <x:c r="E104" s="2" t="str">
        <x:v>Point of use water treatment</x:v>
      </x:c>
      <x:c r="F104" s="2" t="str">
        <x:v>Point of use water treatment is a adaptation technology in the Water sector and the Water pollution technology group. It is defined as a combined hardware–software–orgware system that manages water quantity, quality, timing or exposure through demand reduction, capture, storage, treatment, allocation, hydraulic protection and ecosystem functions. Point of use water treatment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04" s="2" t="str">
        <x:v>Mixed: adaptable design, site-specific implementation</x:v>
      </x:c>
      <x:c r="H104" s="2" t="str">
        <x:v>Point of use water treatment is adaptable in capacity and configuration but site-specific in final engineering. Its principle remains the same, but resource quality, climate, scale, interfaces and safety constraints must be recalculated for each deployment.</x:v>
      </x:c>
      <x:c r="I104" s="2" t="str">
        <x:v>Primarily hard, with a soft component</x:v>
      </x:c>
      <x:c r="J104" s="2" t="str">
        <x:v>Point of use water treatment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04" s="2" t="str">
        <x:v>Equipment and operation</x:v>
      </x:c>
      <x:c r="L104" s="2" t="str">
        <x:v>Point of use water treatment is embodied mainly as an equipment-and-operation system. The deliverable is accepted only when measurable service, quality, safety and climate-performance criteria are met under real conditions.</x:v>
      </x:c>
      <x:c r="M104" s="2" t="str">
        <x:v>Yes, subject to life-cycle safeguards</x:v>
      </x:c>
      <x:c r="N104" s="2" t="str">
        <x:v>Point of use water treatment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04" s="2" t="str">
        <x:v>Point of use water treatment: intakes, pipes, pumps, meters, valves, tanks, treatment units, drainage or flood structures, monitoring stations and nature-based elements as applicable.</x:v>
      </x:c>
      <x:c r="P104" s="2" t="str">
        <x:v>Point of use water treatment: water balance, hydraulic and hydrological modelling, demand forecasting, water-quality analysis, asset management, drought or flood rules and decision support.</x:v>
      </x:c>
      <x:c r="Q104" s="2" t="str">
        <x:v>Point of use water treatment: water rights and permits, utility responsibilities, basin governance, service standards, emergency protocols, tariffs, maintenance funding and stakeholder agreements.</x:v>
      </x:c>
      <x:c r="R104" s="2" t="str">
        <x:v>Point of use water treatment: catchment or coast, treatment and storage sites, conveyance and drainage network, power supply, laboratory, control room and safe access.</x:v>
      </x:c>
      <x:c r="S104" s="2" t="str">
        <x:v>Point of use water treatment: electricity or fuel for pumping, aeration, desalination, treatment and controls; gravity and ecosystem processes can reduce auxiliary demand.</x:v>
      </x:c>
      <x:c r="T104" s="2" t="str">
        <x:v>Point of use water treatment: concrete, steel, ductile iron or polymers, filter media, membranes, treatment chemicals, geotextiles, soil, rock and vegetation according to the measure.</x:v>
      </x:c>
      <x:c r="U104" s="2" t="str">
        <x:v>Point of use water treatment: pump and valve parts, seals, meters, sensors, membranes, lamps, filter media, dosing equipment, reagents and erosion-control materials.</x:v>
      </x:c>
      <x:c r="V104" s="2" t="str">
        <x:v>https://www.ctc-n.org/sites/default/files/resources/ctcn_taxonomy_0.pdf</x:v>
      </x:c>
      <x:c r="W104" s="2" t="str">
        <x:v>https://institutoagricoladepueblobello.edu.co/colegiapp/archivostemas/GUIA%209.%5B25%5D.pdf</x:v>
      </x:c>
      <x:c r="X104" s="2" t="str">
        <x:v>https://iiasa.ac.at/what-is-technology</x:v>
      </x:c>
      <x:c r="Y104" s="2" t="str">
        <x:v>https://www.unwater.org/water-facts/climate-change</x:v>
      </x:c>
      <x:c r="Z104" s="2" t="str">
        <x:v>Technology-specific analytical synthesis. The CTCN hierarchy is retained; classifications and component dependencies require validation against the selected design, site and supplier documentation before investment or policy use.</x:v>
      </x:c>
      <x:c r="AA104" s="2" t="str">
        <x:v>Physical deployment of Point of use water treatment requires catchment or coast, treatment and storage sites, conveyance and drainage network, power supply, laboratory, control room and safe access; interfaces, foundations, access and environmental protection are sized to the specific resource and design load.</x:v>
      </x:c>
      <x:c r="AB104" s="2" t="str">
        <x:v>For Point of use water treatment,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04" s="2" t="str">
        <x:v>Construction and operation use concrete, steel, ductile iron or polymers, filter media, membranes, treatment chemicals, geotextiles, soil, rock and vegetation according to the measure. For Point of use water treatment, specifications must include durability, compatibility, recycled content and recoverability.</x:v>
      </x:c>
      <x:c r="AD104" s="2" t="str">
        <x:v>Maintenance of Point of use water treatment depends on pump and valve parts, seals, meters, sensors, membranes, lamps, filter media, dosing equipment, reagents and erosion-control materials; critical spares are selected from failure-mode, lead-time and safety analysis for its installed configuration.</x:v>
      </x:c>
      <x:c r="AE104" s="2" t="str">
        <x:v>The software stack for Point of use water treatment requires databases, secure communications, version-controlled models, computing, backup and interfaces with field or operational systems.</x:v>
      </x:c>
      <x:c r="AF104" s="2" t="str">
        <x:v>For Point of use water treatment, software-related energy is electricity for sensing, computing, storage, communication and cooling; it is normally secondary but must be included for data-intensive or continuous services.</x:v>
      </x:c>
      <x:c r="AG104" s="2" t="str">
        <x:v>The non-physical inputs are calibrated data, metadata, algorithms, boundary conditions, emission or hazard factors, manuals and validation records specific to Point of use water treatment.</x:v>
      </x:c>
      <x:c r="AH104" s="2" t="str">
        <x:v>Software continuity for Point of use water treatment requires licences where applicable, updates, cybersecurity patches, backups, calibration files, model validation and technical support.</x:v>
      </x:c>
      <x:c r="AI104" s="2" t="str">
        <x:v>Orgware depends on the institutions, laboratories, training providers, regulators, operators and community interfaces needed to govern Point of use water treatment.</x:v>
      </x:c>
      <x:c r="AJ104" s="2" t="str">
        <x:v>The orgware supporting Point of use water treatment has mainly indirect energy use from offices, meetings, training and information systems; travel and field supervision may be material at dispersed sites.</x:v>
      </x:c>
      <x:c r="AK104" s="2" t="str">
        <x:v>Its organisational inputs are permits, budgets, trained staff, competence records, contracts, procedures, safeguards, monitoring evidence and stakeholder agreements tailored to Point of use water treatment.</x:v>
      </x:c>
      <x:c r="AL104" s="2" t="str">
        <x:v>Sustained implementation of Point of use water treatment requires procurement and service contracts, audit protocols, training material, reporting templates, insurance or guarantees and periodic independent review.</x:v>
      </x:c>
      <x:c r="AM104" s="2" t="str">
        <x:v>Iron ore / steel inputs</x:v>
      </x:c>
      <x:c r="AN104" s="2" t="str">
        <x:v>Australia; Brazil; China</x:v>
      </x:c>
      <x:c r="AO104" s="2" t="str">
        <x:v>China; India; Japan</x:v>
      </x:c>
      <x:c r="AP104" s="2" t="str">
        <x:v>Point of use water treatment: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4" s="2" t="str">
        <x:v>2024–2025</x:v>
      </x:c>
      <x:c r="AR104" s="2" t="str">
        <x:v>https://pubs.usgs.gov/periodicals/mcs2026/mcs2026.pdf</x:v>
      </x:c>
    </x:row>
    <x:row r="105" ht="240" customHeight="1">
      <x:c r="A105" s="2" t="str">
        <x:v>ADP-0098</x:v>
      </x:c>
      <x:c r="B105" s="2" t="str">
        <x:v>Adaptation</x:v>
      </x:c>
      <x:c r="C105" s="2" t="str">
        <x:v>Water</x:v>
      </x:c>
      <x:c r="D105" s="2" t="str">
        <x:v>Water pollution</x:v>
      </x:c>
      <x:c r="E105" s="2" t="str">
        <x:v>Domestic water treatment &amp; management</x:v>
      </x:c>
      <x:c r="F105" s="2" t="str">
        <x:v>Domestic water treatment &amp; management is a adaptation technology in the Water sector and the Water pollution technology group. It is defined as a combined hardware–software–orgware system that manages water quantity, quality, timing or exposure through demand reduction, capture, storage, treatment, allocation, hydraulic protection and ecosystem functions. Domestic water treatment &amp;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05" s="2" t="str">
        <x:v>Flexible</x:v>
      </x:c>
      <x:c r="H105" s="2" t="str">
        <x:v>Domestic water treatment &amp; management is transferable through configurable methods, rules and operating parameters. Its principle remains the same, but resource quality, climate, scale, interfaces and safety constraints must be recalculated for each deployment.</x:v>
      </x:c>
      <x:c r="I105" s="2" t="str">
        <x:v>Primarily soft, with physical support</x:v>
      </x:c>
      <x:c r="J105" s="2" t="str">
        <x:v>Domestic water treatment &amp; management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05" s="2" t="str">
        <x:v>Operation</x:v>
      </x:c>
      <x:c r="L105" s="2" t="str">
        <x:v>Domestic water treatment &amp; management is embodied mainly as an operating practice. The deliverable is accepted only when measurable service, quality, safety and climate-performance criteria are met under real conditions.</x:v>
      </x:c>
      <x:c r="M105" s="2" t="str">
        <x:v>Yes, subject to life-cycle safeguards</x:v>
      </x:c>
      <x:c r="N105" s="2" t="str">
        <x:v>Domestic water treatment &amp; management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05" s="2" t="str">
        <x:v>Domestic water treatment &amp; management: intakes, pipes, pumps, meters, valves, tanks, treatment units, drainage or flood structures, monitoring stations and nature-based elements as applicable.</x:v>
      </x:c>
      <x:c r="P105" s="2" t="str">
        <x:v>Domestic water treatment &amp; management: water balance, hydraulic and hydrological modelling, demand forecasting, water-quality analysis, asset management, drought or flood rules and decision support.</x:v>
      </x:c>
      <x:c r="Q105" s="2" t="str">
        <x:v>Domestic water treatment &amp; management: water rights and permits, utility responsibilities, basin governance, service standards, emergency protocols, tariffs, maintenance funding and stakeholder agreements.</x:v>
      </x:c>
      <x:c r="R105" s="2" t="str">
        <x:v>Domestic water treatment &amp; management: catchment or coast, treatment and storage sites, conveyance and drainage network, power supply, laboratory, control room and safe access.</x:v>
      </x:c>
      <x:c r="S105" s="2" t="str">
        <x:v>Domestic water treatment &amp; management: electricity or fuel for pumping, aeration, desalination, treatment and controls; gravity and ecosystem processes can reduce auxiliary demand.</x:v>
      </x:c>
      <x:c r="T105" s="2" t="str">
        <x:v>Domestic water treatment &amp; management: concrete, steel, ductile iron or polymers, filter media, membranes, treatment chemicals, geotextiles, soil, rock and vegetation according to the measure.</x:v>
      </x:c>
      <x:c r="U105" s="2" t="str">
        <x:v>Domestic water treatment &amp; management: pump and valve parts, seals, meters, sensors, membranes, lamps, filter media, dosing equipment, reagents and erosion-control materials.</x:v>
      </x:c>
      <x:c r="V105" s="2" t="str">
        <x:v>https://www.ctc-n.org/sites/default/files/resources/ctcn_taxonomy_0.pdf</x:v>
      </x:c>
      <x:c r="W105" s="2" t="str">
        <x:v>https://institutoagricoladepueblobello.edu.co/colegiapp/archivostemas/GUIA%209.%5B25%5D.pdf</x:v>
      </x:c>
      <x:c r="X105" s="2" t="str">
        <x:v>https://iiasa.ac.at/what-is-technology</x:v>
      </x:c>
      <x:c r="Y105" s="2" t="str">
        <x:v>https://www.unwater.org/water-facts/climate-change</x:v>
      </x:c>
      <x:c r="Z105" s="2" t="str">
        <x:v>Technology-specific analytical synthesis. The CTCN hierarchy is retained; classifications and component dependencies require validation against the selected design, site and supplier documentation before investment or policy use.</x:v>
      </x:c>
      <x:c r="AA105" s="2" t="str">
        <x:v>Physical deployment of Domestic water treatment &amp; management requires catchment or coast, treatment and storage sites, conveyance and drainage network, power supply, laboratory, control room and safe access; interfaces, foundations, access and environmental protection are sized to the specific resource and design load.</x:v>
      </x:c>
      <x:c r="AB105" s="2" t="str">
        <x:v>For Domestic water treatment &amp; management,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05" s="2" t="str">
        <x:v>Construction and operation use concrete, steel, ductile iron or polymers, filter media, membranes, treatment chemicals, geotextiles, soil, rock and vegetation according to the measure. For Domestic water treatment &amp; management, specifications must include durability, compatibility, recycled content and recoverability.</x:v>
      </x:c>
      <x:c r="AD105" s="2" t="str">
        <x:v>Maintenance of Domestic water treatment &amp; management depends on pump and valve parts, seals, meters, sensors, membranes, lamps, filter media, dosing equipment, reagents and erosion-control materials; critical spares are selected from failure-mode, lead-time and safety analysis for its installed configuration.</x:v>
      </x:c>
      <x:c r="AE105" s="2" t="str">
        <x:v>The software stack for Domestic water treatment &amp; management requires databases, secure communications, version-controlled models, computing, backup and interfaces with field or operational systems.</x:v>
      </x:c>
      <x:c r="AF105" s="2" t="str">
        <x:v>For Domestic water treatment &amp; management, software-related energy is electricity for sensing, computing, storage, communication and cooling; it is normally secondary but must be included for data-intensive or continuous services.</x:v>
      </x:c>
      <x:c r="AG105" s="2" t="str">
        <x:v>The non-physical inputs are calibrated data, metadata, algorithms, boundary conditions, emission or hazard factors, manuals and validation records specific to Domestic water treatment &amp; management.</x:v>
      </x:c>
      <x:c r="AH105" s="2" t="str">
        <x:v>Software continuity for Domestic water treatment &amp; management requires licences where applicable, updates, cybersecurity patches, backups, calibration files, model validation and technical support.</x:v>
      </x:c>
      <x:c r="AI105" s="2" t="str">
        <x:v>Orgware depends on the institutions, laboratories, training providers, regulators, operators and community interfaces needed to govern Domestic water treatment &amp; management.</x:v>
      </x:c>
      <x:c r="AJ105" s="2" t="str">
        <x:v>The orgware supporting Domestic water treatment &amp; management has mainly indirect energy use from offices, meetings, training and information systems; travel and field supervision may be material at dispersed sites.</x:v>
      </x:c>
      <x:c r="AK105" s="2" t="str">
        <x:v>Its organisational inputs are permits, budgets, trained staff, competence records, contracts, procedures, safeguards, monitoring evidence and stakeholder agreements tailored to Domestic water treatment &amp; management.</x:v>
      </x:c>
      <x:c r="AL105" s="2" t="str">
        <x:v>Sustained implementation of Domestic water treatment &amp; management requires procurement and service contracts, audit protocols, training material, reporting templates, insurance or guarantees and periodic independent review.</x:v>
      </x:c>
      <x:c r="AM105" s="2" t="str">
        <x:v>No critical or strategic raw material is identifiable at taxonomy level; site-specific bulk materials may still be required.</x:v>
      </x:c>
      <x:c r="AN105" s="2" t="str"/>
      <x:c r="AO105" s="2" t="str"/>
      <x:c r="AP105" s="2" t="str">
        <x:v>Domestic water treatment &amp;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5" s="2" t="str">
        <x:v>2024–2025</x:v>
      </x:c>
      <x:c r="AR105" s="2" t="str">
        <x:v>https://pubs.usgs.gov/periodicals/mcs2026/mcs2026.pdf</x:v>
      </x:c>
    </x:row>
    <x:row r="106" ht="240" customHeight="1">
      <x:c r="A106" s="2" t="str">
        <x:v>ADP-0099</x:v>
      </x:c>
      <x:c r="B106" s="2" t="str">
        <x:v>Adaptation</x:v>
      </x:c>
      <x:c r="C106" s="2" t="str">
        <x:v>Water</x:v>
      </x:c>
      <x:c r="D106" s="2" t="str">
        <x:v>Water pollution</x:v>
      </x:c>
      <x:c r="E106" s="2" t="str">
        <x:v>Wastewater treatment plant</x:v>
      </x:c>
      <x:c r="F106" s="2" t="str">
        <x:v>Wastewater treatment plant is a adaptation technology in the Water sector and the Water pollution technology group. It is defined as a combined hardware–software–orgware system that controls biological or thermochemical conversion of biomass, residues, solid waste or wastewater to avoid methane, recover materials and energy, or stabilise organic matter. Wastewater treatment plant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Net climate performance depends on avoided methane, collection efficiency, auxiliary energy, displacement of virgin materials or fuels, air pollutants, digestate or ash quality and final residue management. Operational applications include landfill-gas recovery, anaerobic digestion, source-separated recycling, aerobic wastewater treatment and industrial heat recovery from residues.</x:v>
      </x:c>
      <x:c r="G106" s="2" t="str">
        <x:v>Primarily fixed</x:v>
      </x:c>
      <x:c r="H106" s="2" t="str">
        <x:v>Wastewater treatment plant is tied to long-lived, site-specific assets and design loads. Its principle remains the same, but resource quality, climate, scale, interfaces and safety constraints must be recalculated for each deployment.</x:v>
      </x:c>
      <x:c r="I106" s="2" t="str">
        <x:v>Primarily hard, with a soft component</x:v>
      </x:c>
      <x:c r="J106" s="2" t="str">
        <x:v>Wastewater treatment plant combines collection and sorting equipment, reactors or digesters, aeration, gas handling, thermal conversion, pollution control and product conditioning with the codified knowledge in feedstock characterisation, mass balances, biological or thermal process control, methane accounting, quality assurance and logistics optimisation. Its performance cannot be assigned to artefacts alone: operation, competence, data quality and institutional arrangements are causal parts of the technology.</x:v>
      </x:c>
      <x:c r="K106" s="2" t="str">
        <x:v>Equipment and operation</x:v>
      </x:c>
      <x:c r="L106" s="2" t="str">
        <x:v>Wastewater treatment plant is embodied mainly as an equipment-and-operation system. The deliverable is accepted only when measurable service, quality, safety and climate-performance criteria are met under real conditions.</x:v>
      </x:c>
      <x:c r="M106" s="2" t="str">
        <x:v>Yes, subject to life-cycle safeguards</x:v>
      </x:c>
      <x:c r="N106" s="2" t="str">
        <x:v>Wastewater treatment plant is classified as climate-beneficial subject to safeguards. Net climate performance depends on avoided methane, collection efficiency, auxiliary energy, displacement of virgin materials or fuels, air pollutants, digestate or ash quality and final residue management. Avoided emissions or reduced vulnerability must be demonstrated against a defined baseline, without shifting material, pollution or social burdens outside the system boundary.</x:v>
      </x:c>
      <x:c r="O106" s="2" t="str">
        <x:v>Wastewater treatment plant: collection and sorting equipment, reactors or digesters, aeration, gas handling, thermal conversion, pollution control and product conditioning.</x:v>
      </x:c>
      <x:c r="P106" s="2" t="str">
        <x:v>Wastewater treatment plant: feedstock characterisation, mass balances, biological or thermal process control, methane accounting, quality assurance and logistics optimisation.</x:v>
      </x:c>
      <x:c r="Q106" s="2" t="str">
        <x:v>Wastewater treatment plant: waste hierarchy, source separation, collection contracts, emission permits, digestate or product standards, occupational safety and informal-sector inclusion.</x:v>
      </x:c>
      <x:c r="R106" s="2" t="str">
        <x:v>Wastewater treatment plant: collection network, transfer and treatment sites, weighbridge, drainage, electricity or heat connection, gas line and residue disposal.</x:v>
      </x:c>
      <x:c r="S106" s="2" t="str">
        <x:v>Wastewater treatment plant: electricity, process heat or auxiliary fuel; recovered biogas, syngas, heat or electricity may offset external energy.</x:v>
      </x:c>
      <x:c r="T106" s="2" t="str">
        <x:v>Wastewater treatment plant: steel, concrete, polymers, filters, catalysts or sorbents, biological inoculum and treatment chemicals according to the process.</x:v>
      </x:c>
      <x:c r="U106" s="2" t="str">
        <x:v>Wastewater treatment plant: pumps, screens, blowers, mixers, seals, burners, analysers, filter media, reagents and personal protective equipment.</x:v>
      </x:c>
      <x:c r="V106" s="2" t="str">
        <x:v>https://www.ctc-n.org/sites/default/files/resources/ctcn_taxonomy_0.pdf</x:v>
      </x:c>
      <x:c r="W106" s="2" t="str">
        <x:v>https://institutoagricoladepueblobello.edu.co/colegiapp/archivostemas/GUIA%209.%5B25%5D.pdf</x:v>
      </x:c>
      <x:c r="X106" s="2" t="str">
        <x:v>https://iiasa.ac.at/what-is-technology</x:v>
      </x:c>
      <x:c r="Y106" s="2" t="str">
        <x:v>https://www.unwater.org/water-facts/climate-change; https://www.unep.org/resources/report/global-waste-management-outlook-2024</x:v>
      </x:c>
      <x:c r="Z106" s="2" t="str">
        <x:v>Technology-specific analytical synthesis. The CTCN hierarchy is retained; classifications and component dependencies require validation against the selected design, site and supplier documentation before investment or policy use.</x:v>
      </x:c>
      <x:c r="AA106" s="2" t="str">
        <x:v>Physical deployment of Wastewater treatment plant requires collection network, transfer and treatment sites, weighbridge, drainage, electricity or heat connection, gas line and residue disposal; interfaces, foundations, access and environmental protection are sized to the specific resource and design load.</x:v>
      </x:c>
      <x:c r="AB106" s="2" t="str">
        <x:v>For Wastewater treatment plant, the hardware energy balance comprises electricity, process heat or auxiliary fuel; recovered biogas, syngas, heat or electricity may offset external energy; metering must separate useful output, conversion losses and auxiliaries for the selected design.</x:v>
      </x:c>
      <x:c r="AC106" s="2" t="str">
        <x:v>Construction and operation use steel, concrete, polymers, filters, catalysts or sorbents, biological inoculum and treatment chemicals according to the process. For Wastewater treatment plant, specifications must include durability, compatibility, recycled content and recoverability.</x:v>
      </x:c>
      <x:c r="AD106" s="2" t="str">
        <x:v>Maintenance of Wastewater treatment plant depends on pumps, screens, blowers, mixers, seals, burners, analysers, filter media, reagents and personal protective equipment; critical spares are selected from failure-mode, lead-time and safety analysis for its installed configuration.</x:v>
      </x:c>
      <x:c r="AE106" s="2" t="str">
        <x:v>The software stack for Wastewater treatment plant requires databases, secure communications, version-controlled models, computing, backup and interfaces with field or operational systems.</x:v>
      </x:c>
      <x:c r="AF106" s="2" t="str">
        <x:v>For Wastewater treatment plant, software-related energy is electricity for sensing, computing, storage, communication and cooling; it is normally secondary but must be included for data-intensive or continuous services.</x:v>
      </x:c>
      <x:c r="AG106" s="2" t="str">
        <x:v>The non-physical inputs are calibrated data, metadata, algorithms, boundary conditions, emission or hazard factors, manuals and validation records specific to Wastewater treatment plant.</x:v>
      </x:c>
      <x:c r="AH106" s="2" t="str">
        <x:v>Software continuity for Wastewater treatment plant requires licences where applicable, updates, cybersecurity patches, backups, calibration files, model validation and technical support.</x:v>
      </x:c>
      <x:c r="AI106" s="2" t="str">
        <x:v>Orgware depends on the institutions, laboratories, training providers, regulators, operators and community interfaces needed to govern Wastewater treatment plant.</x:v>
      </x:c>
      <x:c r="AJ106" s="2" t="str">
        <x:v>The orgware supporting Wastewater treatment plant has mainly indirect energy use from offices, meetings, training and information systems; travel and field supervision may be material at dispersed sites.</x:v>
      </x:c>
      <x:c r="AK106" s="2" t="str">
        <x:v>Its organisational inputs are permits, budgets, trained staff, competence records, contracts, procedures, safeguards, monitoring evidence and stakeholder agreements tailored to Wastewater treatment plant.</x:v>
      </x:c>
      <x:c r="AL106" s="2" t="str">
        <x:v>Sustained implementation of Wastewater treatment plant requires procurement and service contracts, audit protocols, training material, reporting templates, insurance or guarantees and periodic independent review.</x:v>
      </x:c>
      <x:c r="AM106" s="2" t="str">
        <x:v>Iron ore / steel inputs; Nickel; Chromium</x:v>
      </x:c>
      <x:c r="AN106" s="2" t="str">
        <x:v>Australia; Brazil; China; Indonesia; Philippines; Russia; South Africa; Kazakhstan; Turkey</x:v>
      </x:c>
      <x:c r="AO106" s="2" t="str">
        <x:v>China; India; Japan; Indonesia; South Africa; Kazakhstan</x:v>
      </x:c>
      <x:c r="AP106" s="2" t="str">
        <x:v>Wastewater treatment plant: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6" s="2" t="str">
        <x:v>2024–2025</x:v>
      </x:c>
      <x:c r="AR106" s="2" t="str">
        <x:v>https://pubs.usgs.gov/periodicals/mcs2026/mcs2026.pdf; https://www.iea.org/reports/global-critical-minerals-outlook-2025</x:v>
      </x:c>
    </x:row>
    <x:row r="107" ht="240" customHeight="1">
      <x:c r="A107" s="2" t="str">
        <x:v>ADP-0100</x:v>
      </x:c>
      <x:c r="B107" s="2" t="str">
        <x:v>Adaptation</x:v>
      </x:c>
      <x:c r="C107" s="2" t="str">
        <x:v>Water</x:v>
      </x:c>
      <x:c r="D107" s="2" t="str">
        <x:v>Water pollution</x:v>
      </x:c>
      <x:c r="E107" s="2" t="str">
        <x:v>Flood-proof sanitary latrines</x:v>
      </x:c>
      <x:c r="F107" s="2" t="str">
        <x:v>Flood-proof sanitary latrines is a adaptation technology in the Water sector and the Water pollution technology group. It is defined as a combined hardware–software–orgware system that manages water quantity, quality, timing or exposure through demand reduction, capture, storage, treatment, allocation, hydraulic protection and ecosystem functions. Flood-proof sanitary latrines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07" s="2" t="str">
        <x:v>Mixed: adaptable design, site-specific implementation</x:v>
      </x:c>
      <x:c r="H107" s="2" t="str">
        <x:v>Flood-proof sanitary latrines is adaptable in capacity and configuration but site-specific in final engineering. Its principle remains the same, but resource quality, climate, scale, interfaces and safety constraints must be recalculated for each deployment.</x:v>
      </x:c>
      <x:c r="I107" s="2" t="str">
        <x:v>Primarily hard, with a soft component</x:v>
      </x:c>
      <x:c r="J107" s="2" t="str">
        <x:v>Flood-proof sanitary latrines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07" s="2" t="str">
        <x:v>Equipment and operation</x:v>
      </x:c>
      <x:c r="L107" s="2" t="str">
        <x:v>Flood-proof sanitary latrines is embodied mainly as an equipment-and-operation system. The deliverable is accepted only when measurable service, quality, safety and climate-performance criteria are met under real conditions.</x:v>
      </x:c>
      <x:c r="M107" s="2" t="str">
        <x:v>Yes, subject to life-cycle safeguards</x:v>
      </x:c>
      <x:c r="N107" s="2" t="str">
        <x:v>Flood-proof sanitary latrines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07" s="2" t="str">
        <x:v>Flood-proof sanitary latrines: intakes, pipes, pumps, meters, valves, tanks, treatment units, drainage or flood structures, monitoring stations and nature-based elements as applicable.</x:v>
      </x:c>
      <x:c r="P107" s="2" t="str">
        <x:v>Flood-proof sanitary latrines: water balance, hydraulic and hydrological modelling, demand forecasting, water-quality analysis, asset management, drought or flood rules and decision support.</x:v>
      </x:c>
      <x:c r="Q107" s="2" t="str">
        <x:v>Flood-proof sanitary latrines: water rights and permits, utility responsibilities, basin governance, service standards, emergency protocols, tariffs, maintenance funding and stakeholder agreements.</x:v>
      </x:c>
      <x:c r="R107" s="2" t="str">
        <x:v>Flood-proof sanitary latrines: catchment or coast, treatment and storage sites, conveyance and drainage network, power supply, laboratory, control room and safe access.</x:v>
      </x:c>
      <x:c r="S107" s="2" t="str">
        <x:v>Flood-proof sanitary latrines: electricity or fuel for pumping, aeration, desalination, treatment and controls; gravity and ecosystem processes can reduce auxiliary demand.</x:v>
      </x:c>
      <x:c r="T107" s="2" t="str">
        <x:v>Flood-proof sanitary latrines: concrete, steel, ductile iron or polymers, filter media, membranes, treatment chemicals, geotextiles, soil, rock and vegetation according to the measure.</x:v>
      </x:c>
      <x:c r="U107" s="2" t="str">
        <x:v>Flood-proof sanitary latrines: pump and valve parts, seals, meters, sensors, membranes, lamps, filter media, dosing equipment, reagents and erosion-control materials.</x:v>
      </x:c>
      <x:c r="V107" s="2" t="str">
        <x:v>https://www.ctc-n.org/sites/default/files/resources/ctcn_taxonomy_0.pdf</x:v>
      </x:c>
      <x:c r="W107" s="2" t="str">
        <x:v>https://institutoagricoladepueblobello.edu.co/colegiapp/archivostemas/GUIA%209.%5B25%5D.pdf</x:v>
      </x:c>
      <x:c r="X107" s="2" t="str">
        <x:v>https://iiasa.ac.at/what-is-technology</x:v>
      </x:c>
      <x:c r="Y107" s="2" t="str">
        <x:v>https://www.unwater.org/water-facts/climate-change</x:v>
      </x:c>
      <x:c r="Z107" s="2" t="str">
        <x:v>Technology-specific analytical synthesis. The CTCN hierarchy is retained; classifications and component dependencies require validation against the selected design, site and supplier documentation before investment or policy use.</x:v>
      </x:c>
      <x:c r="AA107" s="2" t="str">
        <x:v>Physical deployment of Flood-proof sanitary latrines requires catchment or coast, treatment and storage sites, conveyance and drainage network, power supply, laboratory, control room and safe access; interfaces, foundations, access and environmental protection are sized to the specific resource and design load.</x:v>
      </x:c>
      <x:c r="AB107" s="2" t="str">
        <x:v>For Flood-proof sanitary latrines,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07" s="2" t="str">
        <x:v>Construction and operation use concrete, steel, ductile iron or polymers, filter media, membranes, treatment chemicals, geotextiles, soil, rock and vegetation according to the measure. For Flood-proof sanitary latrines, specifications must include durability, compatibility, recycled content and recoverability.</x:v>
      </x:c>
      <x:c r="AD107" s="2" t="str">
        <x:v>Maintenance of Flood-proof sanitary latrines depends on pump and valve parts, seals, meters, sensors, membranes, lamps, filter media, dosing equipment, reagents and erosion-control materials; critical spares are selected from failure-mode, lead-time and safety analysis for its installed configuration.</x:v>
      </x:c>
      <x:c r="AE107" s="2" t="str">
        <x:v>The software stack for Flood-proof sanitary latrines requires databases, secure communications, version-controlled models, computing, backup and interfaces with field or operational systems.</x:v>
      </x:c>
      <x:c r="AF107" s="2" t="str">
        <x:v>For Flood-proof sanitary latrines, software-related energy is electricity for sensing, computing, storage, communication and cooling; it is normally secondary but must be included for data-intensive or continuous services.</x:v>
      </x:c>
      <x:c r="AG107" s="2" t="str">
        <x:v>The non-physical inputs are calibrated data, metadata, algorithms, boundary conditions, emission or hazard factors, manuals and validation records specific to Flood-proof sanitary latrines.</x:v>
      </x:c>
      <x:c r="AH107" s="2" t="str">
        <x:v>Software continuity for Flood-proof sanitary latrines requires licences where applicable, updates, cybersecurity patches, backups, calibration files, model validation and technical support.</x:v>
      </x:c>
      <x:c r="AI107" s="2" t="str">
        <x:v>Orgware depends on the institutions, laboratories, training providers, regulators, operators and community interfaces needed to govern Flood-proof sanitary latrines.</x:v>
      </x:c>
      <x:c r="AJ107" s="2" t="str">
        <x:v>The orgware supporting Flood-proof sanitary latrines has mainly indirect energy use from offices, meetings, training and information systems; travel and field supervision may be material at dispersed sites.</x:v>
      </x:c>
      <x:c r="AK107" s="2" t="str">
        <x:v>Its organisational inputs are permits, budgets, trained staff, competence records, contracts, procedures, safeguards, monitoring evidence and stakeholder agreements tailored to Flood-proof sanitary latrines.</x:v>
      </x:c>
      <x:c r="AL107" s="2" t="str">
        <x:v>Sustained implementation of Flood-proof sanitary latrines requires procurement and service contracts, audit protocols, training material, reporting templates, insurance or guarantees and periodic independent review.</x:v>
      </x:c>
      <x:c r="AM107" s="2" t="str">
        <x:v>Iron ore / steel inputs</x:v>
      </x:c>
      <x:c r="AN107" s="2" t="str">
        <x:v>Australia; Brazil; China</x:v>
      </x:c>
      <x:c r="AO107" s="2" t="str">
        <x:v>China; India; Japan</x:v>
      </x:c>
      <x:c r="AP107" s="2" t="str">
        <x:v>Flood-proof sanitary latrines: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7" s="2" t="str">
        <x:v>2024–2025</x:v>
      </x:c>
      <x:c r="AR107" s="2" t="str">
        <x:v>https://pubs.usgs.gov/periodicals/mcs2026/mcs2026.pdf</x:v>
      </x:c>
    </x:row>
    <x:row r="108" ht="240" customHeight="1">
      <x:c r="A108" s="2" t="str">
        <x:v>ADP-0101</x:v>
      </x:c>
      <x:c r="B108" s="2" t="str">
        <x:v>Adaptation</x:v>
      </x:c>
      <x:c r="C108" s="2" t="str">
        <x:v>Water</x:v>
      </x:c>
      <x:c r="D108" s="2" t="str">
        <x:v>Water pollution</x:v>
      </x:c>
      <x:c r="E108" s="2" t="str">
        <x:v>Water Safety Plans</x:v>
      </x:c>
      <x:c r="F108" s="2" t="str">
        <x:v>Water Safety Plans is a adaptation technology in the Water sector and the Water pollution technology group. It is defined as a combined hardware–software–orgware system that manages water quantity, quality, timing or exposure through demand reduction, capture, storage, treatment, allocation, hydraulic protection and ecosystem functions. Water Safety Plans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08" s="2" t="str">
        <x:v>Mixed: adaptable design, site-specific implementation</x:v>
      </x:c>
      <x:c r="H108" s="2" t="str">
        <x:v>Water Safety Plans is adaptable in capacity and configuration but site-specific in final engineering. Its principle remains the same, but resource quality, climate, scale, interfaces and safety constraints must be recalculated for each deployment.</x:v>
      </x:c>
      <x:c r="I108" s="2" t="str">
        <x:v>Primarily hard, with a soft component</x:v>
      </x:c>
      <x:c r="J108" s="2" t="str">
        <x:v>Water Safety Plans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08" s="2" t="str">
        <x:v>Equipment and operation</x:v>
      </x:c>
      <x:c r="L108" s="2" t="str">
        <x:v>Water Safety Plans is embodied mainly as an equipment-and-operation system. The deliverable is accepted only when measurable service, quality, safety and climate-performance criteria are met under real conditions.</x:v>
      </x:c>
      <x:c r="M108" s="2" t="str">
        <x:v>Yes, subject to life-cycle safeguards</x:v>
      </x:c>
      <x:c r="N108" s="2" t="str">
        <x:v>Water Safety Plans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08" s="2" t="str">
        <x:v>Water Safety Plans: intakes, pipes, pumps, meters, valves, tanks, treatment units, drainage or flood structures, monitoring stations and nature-based elements as applicable.</x:v>
      </x:c>
      <x:c r="P108" s="2" t="str">
        <x:v>Water Safety Plans: water balance, hydraulic and hydrological modelling, demand forecasting, water-quality analysis, asset management, drought or flood rules and decision support.</x:v>
      </x:c>
      <x:c r="Q108" s="2" t="str">
        <x:v>Water Safety Plans: water rights and permits, utility responsibilities, basin governance, service standards, emergency protocols, tariffs, maintenance funding and stakeholder agreements.</x:v>
      </x:c>
      <x:c r="R108" s="2" t="str">
        <x:v>Water Safety Plans: catchment or coast, treatment and storage sites, conveyance and drainage network, power supply, laboratory, control room and safe access.</x:v>
      </x:c>
      <x:c r="S108" s="2" t="str">
        <x:v>Water Safety Plans: electricity or fuel for pumping, aeration, desalination, treatment and controls; gravity and ecosystem processes can reduce auxiliary demand.</x:v>
      </x:c>
      <x:c r="T108" s="2" t="str">
        <x:v>Water Safety Plans: concrete, steel, ductile iron or polymers, filter media, membranes, treatment chemicals, geotextiles, soil, rock and vegetation according to the measure.</x:v>
      </x:c>
      <x:c r="U108" s="2" t="str">
        <x:v>Water Safety Plans: pump and valve parts, seals, meters, sensors, membranes, lamps, filter media, dosing equipment, reagents and erosion-control materials.</x:v>
      </x:c>
      <x:c r="V108" s="2" t="str">
        <x:v>https://www.ctc-n.org/sites/default/files/resources/ctcn_taxonomy_0.pdf</x:v>
      </x:c>
      <x:c r="W108" s="2" t="str">
        <x:v>https://institutoagricoladepueblobello.edu.co/colegiapp/archivostemas/GUIA%209.%5B25%5D.pdf</x:v>
      </x:c>
      <x:c r="X108" s="2" t="str">
        <x:v>https://iiasa.ac.at/what-is-technology</x:v>
      </x:c>
      <x:c r="Y108" s="2" t="str">
        <x:v>https://www.unwater.org/water-facts/climate-change</x:v>
      </x:c>
      <x:c r="Z108" s="2" t="str">
        <x:v>Technology-specific analytical synthesis. The CTCN hierarchy is retained; classifications and component dependencies require validation against the selected design, site and supplier documentation before investment or policy use.</x:v>
      </x:c>
      <x:c r="AA108" s="2" t="str">
        <x:v>Physical deployment of Water Safety Plans requires catchment or coast, treatment and storage sites, conveyance and drainage network, power supply, laboratory, control room and safe access; interfaces, foundations, access and environmental protection are sized to the specific resource and design load.</x:v>
      </x:c>
      <x:c r="AB108" s="2" t="str">
        <x:v>For Water Safety Plans,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08" s="2" t="str">
        <x:v>Construction and operation use concrete, steel, ductile iron or polymers, filter media, membranes, treatment chemicals, geotextiles, soil, rock and vegetation according to the measure. For Water Safety Plans, specifications must include durability, compatibility, recycled content and recoverability.</x:v>
      </x:c>
      <x:c r="AD108" s="2" t="str">
        <x:v>Maintenance of Water Safety Plans depends on pump and valve parts, seals, meters, sensors, membranes, lamps, filter media, dosing equipment, reagents and erosion-control materials; critical spares are selected from failure-mode, lead-time and safety analysis for its installed configuration.</x:v>
      </x:c>
      <x:c r="AE108" s="2" t="str">
        <x:v>The software stack for Water Safety Plans requires databases, secure communications, version-controlled models, computing, backup and interfaces with field or operational systems.</x:v>
      </x:c>
      <x:c r="AF108" s="2" t="str">
        <x:v>For Water Safety Plans, software-related energy is electricity for sensing, computing, storage, communication and cooling; it is normally secondary but must be included for data-intensive or continuous services.</x:v>
      </x:c>
      <x:c r="AG108" s="2" t="str">
        <x:v>The non-physical inputs are calibrated data, metadata, algorithms, boundary conditions, emission or hazard factors, manuals and validation records specific to Water Safety Plans.</x:v>
      </x:c>
      <x:c r="AH108" s="2" t="str">
        <x:v>Software continuity for Water Safety Plans requires licences where applicable, updates, cybersecurity patches, backups, calibration files, model validation and technical support.</x:v>
      </x:c>
      <x:c r="AI108" s="2" t="str">
        <x:v>Orgware depends on the institutions, laboratories, training providers, regulators, operators and community interfaces needed to govern Water Safety Plans.</x:v>
      </x:c>
      <x:c r="AJ108" s="2" t="str">
        <x:v>The orgware supporting Water Safety Plans has mainly indirect energy use from offices, meetings, training and information systems; travel and field supervision may be material at dispersed sites.</x:v>
      </x:c>
      <x:c r="AK108" s="2" t="str">
        <x:v>Its organisational inputs are permits, budgets, trained staff, competence records, contracts, procedures, safeguards, monitoring evidence and stakeholder agreements tailored to Water Safety Plans.</x:v>
      </x:c>
      <x:c r="AL108" s="2" t="str">
        <x:v>Sustained implementation of Water Safety Plans requires procurement and service contracts, audit protocols, training material, reporting templates, insurance or guarantees and periodic independent review.</x:v>
      </x:c>
      <x:c r="AM108" s="2" t="str">
        <x:v>Iron ore / steel inputs</x:v>
      </x:c>
      <x:c r="AN108" s="2" t="str">
        <x:v>Australia; Brazil; China</x:v>
      </x:c>
      <x:c r="AO108" s="2" t="str">
        <x:v>China; India; Japan</x:v>
      </x:c>
      <x:c r="AP108" s="2" t="str">
        <x:v>Water Safety Plans: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8" s="2" t="str">
        <x:v>2024–2025</x:v>
      </x:c>
      <x:c r="AR108" s="2" t="str">
        <x:v>https://pubs.usgs.gov/periodicals/mcs2026/mcs2026.pdf</x:v>
      </x:c>
    </x:row>
    <x:row r="109" ht="240" customHeight="1">
      <x:c r="A109" s="2" t="str">
        <x:v>ADP-0102</x:v>
      </x:c>
      <x:c r="B109" s="2" t="str">
        <x:v>Adaptation</x:v>
      </x:c>
      <x:c r="C109" s="2" t="str">
        <x:v>Water</x:v>
      </x:c>
      <x:c r="D109" s="2" t="str">
        <x:v>Riverine flood protection</x:v>
      </x:c>
      <x:c r="E109" s="2" t="str">
        <x:v>River restoration</x:v>
      </x:c>
      <x:c r="F109" s="2" t="str">
        <x:v>River restoration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River restoration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09" s="2" t="str">
        <x:v>Mixed: adaptable design, site-specific implementation</x:v>
      </x:c>
      <x:c r="H109" s="2" t="str">
        <x:v>River restoration is adaptable in capacity and configuration but site-specific in final engineering. Its principle remains the same, but resource quality, climate, scale, interfaces and safety constraints must be recalculated for each deployment.</x:v>
      </x:c>
      <x:c r="I109" s="2" t="str">
        <x:v>Primarily hard, with a soft component</x:v>
      </x:c>
      <x:c r="J109" s="2" t="str">
        <x:v>River restoration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09" s="2" t="str">
        <x:v>Equipment and operation</x:v>
      </x:c>
      <x:c r="L109" s="2" t="str">
        <x:v>River restoration is embodied mainly as an equipment-and-operation system. The deliverable is accepted only when measurable service, quality, safety and climate-performance criteria are met under real conditions.</x:v>
      </x:c>
      <x:c r="M109" s="2" t="str">
        <x:v>Yes, subject to life-cycle safeguards</x:v>
      </x:c>
      <x:c r="N109" s="2" t="str">
        <x:v>River restoration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09" s="2" t="str">
        <x:v>River restoration: intakes, pipes, pumps, meters, valves, tanks, treatment units, drainage or flood structures, monitoring stations and nature-based elements as applicable.</x:v>
      </x:c>
      <x:c r="P109" s="2" t="str">
        <x:v>River restoration: water balance, hydraulic and hydrological modelling, demand forecasting, water-quality analysis, asset management, drought or flood rules and decision support.</x:v>
      </x:c>
      <x:c r="Q109" s="2" t="str">
        <x:v>River restoration: water rights and permits, utility responsibilities, basin governance, service standards, emergency protocols, tariffs, maintenance funding and stakeholder agreements.</x:v>
      </x:c>
      <x:c r="R109" s="2" t="str">
        <x:v>River restoration: catchment or coast, treatment and storage sites, conveyance and drainage network, power supply, laboratory, control room and safe access.</x:v>
      </x:c>
      <x:c r="S109" s="2" t="str">
        <x:v>River restoration: electricity or fuel for pumping, aeration, desalination, treatment and controls; gravity and ecosystem processes can reduce auxiliary demand.</x:v>
      </x:c>
      <x:c r="T109" s="2" t="str">
        <x:v>River restoration: concrete, steel, ductile iron or polymers, filter media, membranes, treatment chemicals, geotextiles, soil, rock and vegetation according to the measure.</x:v>
      </x:c>
      <x:c r="U109" s="2" t="str">
        <x:v>River restoration: pump and valve parts, seals, meters, sensors, membranes, lamps, filter media, dosing equipment, reagents and erosion-control materials.</x:v>
      </x:c>
      <x:c r="V109" s="2" t="str">
        <x:v>https://www.ctc-n.org/sites/default/files/resources/ctcn_taxonomy_0.pdf</x:v>
      </x:c>
      <x:c r="W109" s="2" t="str">
        <x:v>https://institutoagricoladepueblobello.edu.co/colegiapp/archivostemas/GUIA%209.%5B25%5D.pdf</x:v>
      </x:c>
      <x:c r="X109" s="2" t="str">
        <x:v>https://iiasa.ac.at/what-is-technology</x:v>
      </x:c>
      <x:c r="Y109" s="2" t="str">
        <x:v>https://www.unwater.org/water-facts/climate-change</x:v>
      </x:c>
      <x:c r="Z109" s="2" t="str">
        <x:v>Technology-specific analytical synthesis. The CTCN hierarchy is retained; classifications and component dependencies require validation against the selected design, site and supplier documentation before investment or policy use.</x:v>
      </x:c>
      <x:c r="AA109" s="2" t="str">
        <x:v>Physical deployment of River restoration requires catchment or coast, treatment and storage sites, conveyance and drainage network, power supply, laboratory, control room and safe access; interfaces, foundations, access and environmental protection are sized to the specific resource and design load.</x:v>
      </x:c>
      <x:c r="AB109" s="2" t="str">
        <x:v>For River restoration,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09" s="2" t="str">
        <x:v>Construction and operation use concrete, steel, ductile iron or polymers, filter media, membranes, treatment chemicals, geotextiles, soil, rock and vegetation according to the measure. For River restoration, specifications must include durability, compatibility, recycled content and recoverability.</x:v>
      </x:c>
      <x:c r="AD109" s="2" t="str">
        <x:v>Maintenance of River restoration depends on pump and valve parts, seals, meters, sensors, membranes, lamps, filter media, dosing equipment, reagents and erosion-control materials; critical spares are selected from failure-mode, lead-time and safety analysis for its installed configuration.</x:v>
      </x:c>
      <x:c r="AE109" s="2" t="str">
        <x:v>The software stack for River restoration requires databases, secure communications, version-controlled models, computing, backup and interfaces with field or operational systems.</x:v>
      </x:c>
      <x:c r="AF109" s="2" t="str">
        <x:v>For River restoration, software-related energy is electricity for sensing, computing, storage, communication and cooling; it is normally secondary but must be included for data-intensive or continuous services.</x:v>
      </x:c>
      <x:c r="AG109" s="2" t="str">
        <x:v>The non-physical inputs are calibrated data, metadata, algorithms, boundary conditions, emission or hazard factors, manuals and validation records specific to River restoration.</x:v>
      </x:c>
      <x:c r="AH109" s="2" t="str">
        <x:v>Software continuity for River restoration requires licences where applicable, updates, cybersecurity patches, backups, calibration files, model validation and technical support.</x:v>
      </x:c>
      <x:c r="AI109" s="2" t="str">
        <x:v>Orgware depends on the institutions, laboratories, training providers, regulators, operators and community interfaces needed to govern River restoration.</x:v>
      </x:c>
      <x:c r="AJ109" s="2" t="str">
        <x:v>The orgware supporting River restoration has mainly indirect energy use from offices, meetings, training and information systems; travel and field supervision may be material at dispersed sites.</x:v>
      </x:c>
      <x:c r="AK109" s="2" t="str">
        <x:v>Its organisational inputs are permits, budgets, trained staff, competence records, contracts, procedures, safeguards, monitoring evidence and stakeholder agreements tailored to River restoration.</x:v>
      </x:c>
      <x:c r="AL109" s="2" t="str">
        <x:v>Sustained implementation of River restoration requires procurement and service contracts, audit protocols, training material, reporting templates, insurance or guarantees and periodic independent review.</x:v>
      </x:c>
      <x:c r="AM109" s="2" t="str">
        <x:v>Iron ore / steel inputs</x:v>
      </x:c>
      <x:c r="AN109" s="2" t="str">
        <x:v>Australia; Brazil; China</x:v>
      </x:c>
      <x:c r="AO109" s="2" t="str">
        <x:v>China; India; Japan</x:v>
      </x:c>
      <x:c r="AP109" s="2" t="str">
        <x:v>River restoration: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09" s="2" t="str">
        <x:v>2024–2025</x:v>
      </x:c>
      <x:c r="AR109" s="2" t="str">
        <x:v>https://pubs.usgs.gov/periodicals/mcs2026/mcs2026.pdf</x:v>
      </x:c>
    </x:row>
    <x:row r="110" ht="240" customHeight="1">
      <x:c r="A110" s="2" t="str">
        <x:v>ADP-0103</x:v>
      </x:c>
      <x:c r="B110" s="2" t="str">
        <x:v>Adaptation</x:v>
      </x:c>
      <x:c r="C110" s="2" t="str">
        <x:v>Water</x:v>
      </x:c>
      <x:c r="D110" s="2" t="str">
        <x:v>Riverine flood protection</x:v>
      </x:c>
      <x:c r="E110" s="2" t="str">
        <x:v>Flow-through dam for flood control</x:v>
      </x:c>
      <x:c r="F110" s="2" t="str">
        <x:v>Flow-through dam for flood control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Flow-through dam for flood control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0" s="2" t="str">
        <x:v>Primarily fixed</x:v>
      </x:c>
      <x:c r="H110" s="2" t="str">
        <x:v>Flow-through dam for flood control is tied to long-lived, site-specific assets and design loads. Its principle remains the same, but resource quality, climate, scale, interfaces and safety constraints must be recalculated for each deployment.</x:v>
      </x:c>
      <x:c r="I110" s="2" t="str">
        <x:v>Primarily hard, with a soft component</x:v>
      </x:c>
      <x:c r="J110" s="2" t="str">
        <x:v>Flow-through dam for flood control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0" s="2" t="str">
        <x:v>Equipment and operation</x:v>
      </x:c>
      <x:c r="L110" s="2" t="str">
        <x:v>Flow-through dam for flood control is embodied mainly as an equipment-and-operation system. The deliverable is accepted only when measurable service, quality, safety and climate-performance criteria are met under real conditions.</x:v>
      </x:c>
      <x:c r="M110" s="2" t="str">
        <x:v>Yes, subject to life-cycle safeguards</x:v>
      </x:c>
      <x:c r="N110" s="2" t="str">
        <x:v>Flow-through dam for flood control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0" s="2" t="str">
        <x:v>Flow-through dam for flood control: intakes, pipes, pumps, meters, valves, tanks, treatment units, drainage or flood structures, monitoring stations and nature-based elements as applicable.</x:v>
      </x:c>
      <x:c r="P110" s="2" t="str">
        <x:v>Flow-through dam for flood control: water balance, hydraulic and hydrological modelling, demand forecasting, water-quality analysis, asset management, drought or flood rules and decision support.</x:v>
      </x:c>
      <x:c r="Q110" s="2" t="str">
        <x:v>Flow-through dam for flood control: water rights and permits, utility responsibilities, basin governance, service standards, emergency protocols, tariffs, maintenance funding and stakeholder agreements.</x:v>
      </x:c>
      <x:c r="R110" s="2" t="str">
        <x:v>Flow-through dam for flood control: catchment or coast, treatment and storage sites, conveyance and drainage network, power supply, laboratory, control room and safe access.</x:v>
      </x:c>
      <x:c r="S110" s="2" t="str">
        <x:v>Flow-through dam for flood control: electricity or fuel for pumping, aeration, desalination, treatment and controls; gravity and ecosystem processes can reduce auxiliary demand.</x:v>
      </x:c>
      <x:c r="T110" s="2" t="str">
        <x:v>Flow-through dam for flood control: concrete, steel, ductile iron or polymers, filter media, membranes, treatment chemicals, geotextiles, soil, rock and vegetation according to the measure.</x:v>
      </x:c>
      <x:c r="U110" s="2" t="str">
        <x:v>Flow-through dam for flood control: pump and valve parts, seals, meters, sensors, membranes, lamps, filter media, dosing equipment, reagents and erosion-control materials.</x:v>
      </x:c>
      <x:c r="V110" s="2" t="str">
        <x:v>https://www.ctc-n.org/sites/default/files/resources/ctcn_taxonomy_0.pdf</x:v>
      </x:c>
      <x:c r="W110" s="2" t="str">
        <x:v>https://institutoagricoladepueblobello.edu.co/colegiapp/archivostemas/GUIA%209.%5B25%5D.pdf</x:v>
      </x:c>
      <x:c r="X110" s="2" t="str">
        <x:v>https://iiasa.ac.at/what-is-technology</x:v>
      </x:c>
      <x:c r="Y110" s="2" t="str">
        <x:v>https://www.unwater.org/water-facts/climate-change</x:v>
      </x:c>
      <x:c r="Z110" s="2" t="str">
        <x:v>Technology-specific analytical synthesis. The CTCN hierarchy is retained; classifications and component dependencies require validation against the selected design, site and supplier documentation before investment or policy use.</x:v>
      </x:c>
      <x:c r="AA110" s="2" t="str">
        <x:v>Physical deployment of Flow-through dam for flood control requires catchment or coast, treatment and storage sites, conveyance and drainage network, power supply, laboratory, control room and safe access; interfaces, foundations, access and environmental protection are sized to the specific resource and design load.</x:v>
      </x:c>
      <x:c r="AB110" s="2" t="str">
        <x:v>For Flow-through dam for flood control,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0" s="2" t="str">
        <x:v>Construction and operation use concrete, steel, ductile iron or polymers, filter media, membranes, treatment chemicals, geotextiles, soil, rock and vegetation according to the measure. For Flow-through dam for flood control, specifications must include durability, compatibility, recycled content and recoverability.</x:v>
      </x:c>
      <x:c r="AD110" s="2" t="str">
        <x:v>Maintenance of Flow-through dam for flood control depends on pump and valve parts, seals, meters, sensors, membranes, lamps, filter media, dosing equipment, reagents and erosion-control materials; critical spares are selected from failure-mode, lead-time and safety analysis for its installed configuration.</x:v>
      </x:c>
      <x:c r="AE110" s="2" t="str">
        <x:v>The software stack for Flow-through dam for flood control requires databases, secure communications, version-controlled models, computing, backup and interfaces with field or operational systems.</x:v>
      </x:c>
      <x:c r="AF110" s="2" t="str">
        <x:v>For Flow-through dam for flood control, software-related energy is electricity for sensing, computing, storage, communication and cooling; it is normally secondary but must be included for data-intensive or continuous services.</x:v>
      </x:c>
      <x:c r="AG110" s="2" t="str">
        <x:v>The non-physical inputs are calibrated data, metadata, algorithms, boundary conditions, emission or hazard factors, manuals and validation records specific to Flow-through dam for flood control.</x:v>
      </x:c>
      <x:c r="AH110" s="2" t="str">
        <x:v>Software continuity for Flow-through dam for flood control requires licences where applicable, updates, cybersecurity patches, backups, calibration files, model validation and technical support.</x:v>
      </x:c>
      <x:c r="AI110" s="2" t="str">
        <x:v>Orgware depends on the institutions, laboratories, training providers, regulators, operators and community interfaces needed to govern Flow-through dam for flood control.</x:v>
      </x:c>
      <x:c r="AJ110" s="2" t="str">
        <x:v>The orgware supporting Flow-through dam for flood control has mainly indirect energy use from offices, meetings, training and information systems; travel and field supervision may be material at dispersed sites.</x:v>
      </x:c>
      <x:c r="AK110" s="2" t="str">
        <x:v>Its organisational inputs are permits, budgets, trained staff, competence records, contracts, procedures, safeguards, monitoring evidence and stakeholder agreements tailored to Flow-through dam for flood control.</x:v>
      </x:c>
      <x:c r="AL110" s="2" t="str">
        <x:v>Sustained implementation of Flow-through dam for flood control requires procurement and service contracts, audit protocols, training material, reporting templates, insurance or guarantees and periodic independent review.</x:v>
      </x:c>
      <x:c r="AM110" s="2" t="str">
        <x:v>Iron ore / steel inputs; Copper; Tin; Limestone / cement raw materials</x:v>
      </x:c>
      <x:c r="AN110" s="2" t="str">
        <x:v>Australia; Brazil; China; Chile; Democratic Republic of the Congo; Peru; Indonesia; Myanmar; India; Vietnam</x:v>
      </x:c>
      <x:c r="AO110" s="2" t="str">
        <x:v>China; India; Japan; Chile; Democratic Republic of the Congo; Indonesia; Malaysia; Vietnam</x:v>
      </x:c>
      <x:c r="AP110" s="2" t="str">
        <x:v>Flow-through dam for flood control: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0" s="2" t="str">
        <x:v>2024–2025</x:v>
      </x:c>
      <x:c r="AR110" s="2" t="str">
        <x:v>https://pubs.usgs.gov/periodicals/mcs2026/mcs2026.pdf</x:v>
      </x:c>
    </x:row>
    <x:row r="111" ht="240" customHeight="1">
      <x:c r="A111" s="2" t="str">
        <x:v>ADP-0104</x:v>
      </x:c>
      <x:c r="B111" s="2" t="str">
        <x:v>Adaptation</x:v>
      </x:c>
      <x:c r="C111" s="2" t="str">
        <x:v>Water</x:v>
      </x:c>
      <x:c r="D111" s="2" t="str">
        <x:v>Riverine flood protection</x:v>
      </x:c>
      <x:c r="E111" s="2" t="str">
        <x:v>Artificial lowering of glacial lakes</x:v>
      </x:c>
      <x:c r="F111" s="2" t="str">
        <x:v>Artificial lowering of glacial lakes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Artificial lowering of glacial lakes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1" s="2" t="str">
        <x:v>Mixed: adaptable design, site-specific implementation</x:v>
      </x:c>
      <x:c r="H111" s="2" t="str">
        <x:v>Artificial lowering of glacial lakes is adaptable in capacity and configuration but site-specific in final engineering. Its principle remains the same, but resource quality, climate, scale, interfaces and safety constraints must be recalculated for each deployment.</x:v>
      </x:c>
      <x:c r="I111" s="2" t="str">
        <x:v>Primarily hard, with a soft component</x:v>
      </x:c>
      <x:c r="J111" s="2" t="str">
        <x:v>Artificial lowering of glacial lakes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1" s="2" t="str">
        <x:v>Equipment and operation</x:v>
      </x:c>
      <x:c r="L111" s="2" t="str">
        <x:v>Artificial lowering of glacial lakes is embodied mainly as an equipment-and-operation system. The deliverable is accepted only when measurable service, quality, safety and climate-performance criteria are met under real conditions.</x:v>
      </x:c>
      <x:c r="M111" s="2" t="str">
        <x:v>Yes, subject to life-cycle safeguards</x:v>
      </x:c>
      <x:c r="N111" s="2" t="str">
        <x:v>Artificial lowering of glacial lakes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1" s="2" t="str">
        <x:v>Artificial lowering of glacial lakes: intakes, pipes, pumps, meters, valves, tanks, treatment units, drainage or flood structures, monitoring stations and nature-based elements as applicable.</x:v>
      </x:c>
      <x:c r="P111" s="2" t="str">
        <x:v>Artificial lowering of glacial lakes: water balance, hydraulic and hydrological modelling, demand forecasting, water-quality analysis, asset management, drought or flood rules and decision support.</x:v>
      </x:c>
      <x:c r="Q111" s="2" t="str">
        <x:v>Artificial lowering of glacial lakes: water rights and permits, utility responsibilities, basin governance, service standards, emergency protocols, tariffs, maintenance funding and stakeholder agreements.</x:v>
      </x:c>
      <x:c r="R111" s="2" t="str">
        <x:v>Artificial lowering of glacial lakes: catchment or coast, treatment and storage sites, conveyance and drainage network, power supply, laboratory, control room and safe access.</x:v>
      </x:c>
      <x:c r="S111" s="2" t="str">
        <x:v>Artificial lowering of glacial lakes: electricity or fuel for pumping, aeration, desalination, treatment and controls; gravity and ecosystem processes can reduce auxiliary demand.</x:v>
      </x:c>
      <x:c r="T111" s="2" t="str">
        <x:v>Artificial lowering of glacial lakes: concrete, steel, ductile iron or polymers, filter media, membranes, treatment chemicals, geotextiles, soil, rock and vegetation according to the measure.</x:v>
      </x:c>
      <x:c r="U111" s="2" t="str">
        <x:v>Artificial lowering of glacial lakes: pump and valve parts, seals, meters, sensors, membranes, lamps, filter media, dosing equipment, reagents and erosion-control materials.</x:v>
      </x:c>
      <x:c r="V111" s="2" t="str">
        <x:v>https://www.ctc-n.org/sites/default/files/resources/ctcn_taxonomy_0.pdf</x:v>
      </x:c>
      <x:c r="W111" s="2" t="str">
        <x:v>https://institutoagricoladepueblobello.edu.co/colegiapp/archivostemas/GUIA%209.%5B25%5D.pdf</x:v>
      </x:c>
      <x:c r="X111" s="2" t="str">
        <x:v>https://iiasa.ac.at/what-is-technology</x:v>
      </x:c>
      <x:c r="Y111" s="2" t="str">
        <x:v>https://www.unwater.org/water-facts/climate-change</x:v>
      </x:c>
      <x:c r="Z111" s="2" t="str">
        <x:v>Technology-specific analytical synthesis. The CTCN hierarchy is retained; classifications and component dependencies require validation against the selected design, site and supplier documentation before investment or policy use.</x:v>
      </x:c>
      <x:c r="AA111" s="2" t="str">
        <x:v>Physical deployment of Artificial lowering of glacial lakes requires catchment or coast, treatment and storage sites, conveyance and drainage network, power supply, laboratory, control room and safe access; interfaces, foundations, access and environmental protection are sized to the specific resource and design load.</x:v>
      </x:c>
      <x:c r="AB111" s="2" t="str">
        <x:v>For Artificial lowering of glacial lakes,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1" s="2" t="str">
        <x:v>Construction and operation use concrete, steel, ductile iron or polymers, filter media, membranes, treatment chemicals, geotextiles, soil, rock and vegetation according to the measure. For Artificial lowering of glacial lakes, specifications must include durability, compatibility, recycled content and recoverability.</x:v>
      </x:c>
      <x:c r="AD111" s="2" t="str">
        <x:v>Maintenance of Artificial lowering of glacial lakes depends on pump and valve parts, seals, meters, sensors, membranes, lamps, filter media, dosing equipment, reagents and erosion-control materials; critical spares are selected from failure-mode, lead-time and safety analysis for its installed configuration.</x:v>
      </x:c>
      <x:c r="AE111" s="2" t="str">
        <x:v>The software stack for Artificial lowering of glacial lakes requires databases, secure communications, version-controlled models, computing, backup and interfaces with field or operational systems.</x:v>
      </x:c>
      <x:c r="AF111" s="2" t="str">
        <x:v>For Artificial lowering of glacial lakes, software-related energy is electricity for sensing, computing, storage, communication and cooling; it is normally secondary but must be included for data-intensive or continuous services.</x:v>
      </x:c>
      <x:c r="AG111" s="2" t="str">
        <x:v>The non-physical inputs are calibrated data, metadata, algorithms, boundary conditions, emission or hazard factors, manuals and validation records specific to Artificial lowering of glacial lakes.</x:v>
      </x:c>
      <x:c r="AH111" s="2" t="str">
        <x:v>Software continuity for Artificial lowering of glacial lakes requires licences where applicable, updates, cybersecurity patches, backups, calibration files, model validation and technical support.</x:v>
      </x:c>
      <x:c r="AI111" s="2" t="str">
        <x:v>Orgware depends on the institutions, laboratories, training providers, regulators, operators and community interfaces needed to govern Artificial lowering of glacial lakes.</x:v>
      </x:c>
      <x:c r="AJ111" s="2" t="str">
        <x:v>The orgware supporting Artificial lowering of glacial lakes has mainly indirect energy use from offices, meetings, training and information systems; travel and field supervision may be material at dispersed sites.</x:v>
      </x:c>
      <x:c r="AK111" s="2" t="str">
        <x:v>Its organisational inputs are permits, budgets, trained staff, competence records, contracts, procedures, safeguards, monitoring evidence and stakeholder agreements tailored to Artificial lowering of glacial lakes.</x:v>
      </x:c>
      <x:c r="AL111" s="2" t="str">
        <x:v>Sustained implementation of Artificial lowering of glacial lakes requires procurement and service contracts, audit protocols, training material, reporting templates, insurance or guarantees and periodic independent review.</x:v>
      </x:c>
      <x:c r="AM111" s="2" t="str">
        <x:v>Iron ore / steel inputs</x:v>
      </x:c>
      <x:c r="AN111" s="2" t="str">
        <x:v>Australia; Brazil; China</x:v>
      </x:c>
      <x:c r="AO111" s="2" t="str">
        <x:v>China; India; Japan</x:v>
      </x:c>
      <x:c r="AP111" s="2" t="str">
        <x:v>Artificial lowering of glacial lakes: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1" s="2" t="str">
        <x:v>2024–2025</x:v>
      </x:c>
      <x:c r="AR111" s="2" t="str">
        <x:v>https://pubs.usgs.gov/periodicals/mcs2026/mcs2026.pdf</x:v>
      </x:c>
    </x:row>
    <x:row r="112" ht="240" customHeight="1">
      <x:c r="A112" s="2" t="str">
        <x:v>ADP-0105</x:v>
      </x:c>
      <x:c r="B112" s="2" t="str">
        <x:v>Adaptation</x:v>
      </x:c>
      <x:c r="C112" s="2" t="str">
        <x:v>Water</x:v>
      </x:c>
      <x:c r="D112" s="2" t="str">
        <x:v>Riverine flood protection</x:v>
      </x:c>
      <x:c r="E112" s="2" t="str">
        <x:v>Re-connecting rivers with floodplains</x:v>
      </x:c>
      <x:c r="F112" s="2" t="str">
        <x:v>Re-connecting rivers with floodplains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Re-connecting rivers with floodplains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2" s="2" t="str">
        <x:v>Mixed: adaptable design, site-specific implementation</x:v>
      </x:c>
      <x:c r="H112" s="2" t="str">
        <x:v>Re-connecting rivers with floodplains is adaptable in capacity and configuration but site-specific in final engineering. Its principle remains the same, but resource quality, climate, scale, interfaces and safety constraints must be recalculated for each deployment.</x:v>
      </x:c>
      <x:c r="I112" s="2" t="str">
        <x:v>Primarily hard, with a soft component</x:v>
      </x:c>
      <x:c r="J112" s="2" t="str">
        <x:v>Re-connecting rivers with floodplains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2" s="2" t="str">
        <x:v>Equipment and operation</x:v>
      </x:c>
      <x:c r="L112" s="2" t="str">
        <x:v>Re-connecting rivers with floodplains is embodied mainly as an equipment-and-operation system. The deliverable is accepted only when measurable service, quality, safety and climate-performance criteria are met under real conditions.</x:v>
      </x:c>
      <x:c r="M112" s="2" t="str">
        <x:v>Yes, subject to life-cycle safeguards</x:v>
      </x:c>
      <x:c r="N112" s="2" t="str">
        <x:v>Re-connecting rivers with floodplains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2" s="2" t="str">
        <x:v>Re-connecting rivers with floodplains: intakes, pipes, pumps, meters, valves, tanks, treatment units, drainage or flood structures, monitoring stations and nature-based elements as applicable.</x:v>
      </x:c>
      <x:c r="P112" s="2" t="str">
        <x:v>Re-connecting rivers with floodplains: water balance, hydraulic and hydrological modelling, demand forecasting, water-quality analysis, asset management, drought or flood rules and decision support.</x:v>
      </x:c>
      <x:c r="Q112" s="2" t="str">
        <x:v>Re-connecting rivers with floodplains: water rights and permits, utility responsibilities, basin governance, service standards, emergency protocols, tariffs, maintenance funding and stakeholder agreements.</x:v>
      </x:c>
      <x:c r="R112" s="2" t="str">
        <x:v>Re-connecting rivers with floodplains: catchment or coast, treatment and storage sites, conveyance and drainage network, power supply, laboratory, control room and safe access.</x:v>
      </x:c>
      <x:c r="S112" s="2" t="str">
        <x:v>Re-connecting rivers with floodplains: electricity or fuel for pumping, aeration, desalination, treatment and controls; gravity and ecosystem processes can reduce auxiliary demand.</x:v>
      </x:c>
      <x:c r="T112" s="2" t="str">
        <x:v>Re-connecting rivers with floodplains: concrete, steel, ductile iron or polymers, filter media, membranes, treatment chemicals, geotextiles, soil, rock and vegetation according to the measure.</x:v>
      </x:c>
      <x:c r="U112" s="2" t="str">
        <x:v>Re-connecting rivers with floodplains: pump and valve parts, seals, meters, sensors, membranes, lamps, filter media, dosing equipment, reagents and erosion-control materials.</x:v>
      </x:c>
      <x:c r="V112" s="2" t="str">
        <x:v>https://www.ctc-n.org/sites/default/files/resources/ctcn_taxonomy_0.pdf</x:v>
      </x:c>
      <x:c r="W112" s="2" t="str">
        <x:v>https://institutoagricoladepueblobello.edu.co/colegiapp/archivostemas/GUIA%209.%5B25%5D.pdf</x:v>
      </x:c>
      <x:c r="X112" s="2" t="str">
        <x:v>https://iiasa.ac.at/what-is-technology</x:v>
      </x:c>
      <x:c r="Y112" s="2" t="str">
        <x:v>https://www.unwater.org/water-facts/climate-change</x:v>
      </x:c>
      <x:c r="Z112" s="2" t="str">
        <x:v>Technology-specific analytical synthesis. The CTCN hierarchy is retained; classifications and component dependencies require validation against the selected design, site and supplier documentation before investment or policy use.</x:v>
      </x:c>
      <x:c r="AA112" s="2" t="str">
        <x:v>Physical deployment of Re-connecting rivers with floodplains requires catchment or coast, treatment and storage sites, conveyance and drainage network, power supply, laboratory, control room and safe access; interfaces, foundations, access and environmental protection are sized to the specific resource and design load.</x:v>
      </x:c>
      <x:c r="AB112" s="2" t="str">
        <x:v>For Re-connecting rivers with floodplains,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2" s="2" t="str">
        <x:v>Construction and operation use concrete, steel, ductile iron or polymers, filter media, membranes, treatment chemicals, geotextiles, soil, rock and vegetation according to the measure. For Re-connecting rivers with floodplains, specifications must include durability, compatibility, recycled content and recoverability.</x:v>
      </x:c>
      <x:c r="AD112" s="2" t="str">
        <x:v>Maintenance of Re-connecting rivers with floodplains depends on pump and valve parts, seals, meters, sensors, membranes, lamps, filter media, dosing equipment, reagents and erosion-control materials; critical spares are selected from failure-mode, lead-time and safety analysis for its installed configuration.</x:v>
      </x:c>
      <x:c r="AE112" s="2" t="str">
        <x:v>The software stack for Re-connecting rivers with floodplains requires databases, secure communications, version-controlled models, computing, backup and interfaces with field or operational systems.</x:v>
      </x:c>
      <x:c r="AF112" s="2" t="str">
        <x:v>For Re-connecting rivers with floodplains, software-related energy is electricity for sensing, computing, storage, communication and cooling; it is normally secondary but must be included for data-intensive or continuous services.</x:v>
      </x:c>
      <x:c r="AG112" s="2" t="str">
        <x:v>The non-physical inputs are calibrated data, metadata, algorithms, boundary conditions, emission or hazard factors, manuals and validation records specific to Re-connecting rivers with floodplains.</x:v>
      </x:c>
      <x:c r="AH112" s="2" t="str">
        <x:v>Software continuity for Re-connecting rivers with floodplains requires licences where applicable, updates, cybersecurity patches, backups, calibration files, model validation and technical support.</x:v>
      </x:c>
      <x:c r="AI112" s="2" t="str">
        <x:v>Orgware depends on the institutions, laboratories, training providers, regulators, operators and community interfaces needed to govern Re-connecting rivers with floodplains.</x:v>
      </x:c>
      <x:c r="AJ112" s="2" t="str">
        <x:v>The orgware supporting Re-connecting rivers with floodplains has mainly indirect energy use from offices, meetings, training and information systems; travel and field supervision may be material at dispersed sites.</x:v>
      </x:c>
      <x:c r="AK112" s="2" t="str">
        <x:v>Its organisational inputs are permits, budgets, trained staff, competence records, contracts, procedures, safeguards, monitoring evidence and stakeholder agreements tailored to Re-connecting rivers with floodplains.</x:v>
      </x:c>
      <x:c r="AL112" s="2" t="str">
        <x:v>Sustained implementation of Re-connecting rivers with floodplains requires procurement and service contracts, audit protocols, training material, reporting templates, insurance or guarantees and periodic independent review.</x:v>
      </x:c>
      <x:c r="AM112" s="2" t="str">
        <x:v>Iron ore / steel inputs</x:v>
      </x:c>
      <x:c r="AN112" s="2" t="str">
        <x:v>Australia; Brazil; China</x:v>
      </x:c>
      <x:c r="AO112" s="2" t="str">
        <x:v>China; India; Japan</x:v>
      </x:c>
      <x:c r="AP112" s="2" t="str">
        <x:v>Re-connecting rivers with floodplains: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2" s="2" t="str">
        <x:v>2024–2025</x:v>
      </x:c>
      <x:c r="AR112" s="2" t="str">
        <x:v>https://pubs.usgs.gov/periodicals/mcs2026/mcs2026.pdf</x:v>
      </x:c>
    </x:row>
    <x:row r="113" ht="240" customHeight="1">
      <x:c r="A113" s="2" t="str">
        <x:v>ADP-0106</x:v>
      </x:c>
      <x:c r="B113" s="2" t="str">
        <x:v>Adaptation</x:v>
      </x:c>
      <x:c r="C113" s="2" t="str">
        <x:v>Water</x:v>
      </x:c>
      <x:c r="D113" s="2" t="str">
        <x:v>Riverine flood protection</x:v>
      </x:c>
      <x:c r="E113" s="2" t="str">
        <x:v>Disaster preparedness plans</x:v>
      </x:c>
      <x:c r="F113" s="2" t="str">
        <x:v>Disaster preparedness plans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Disaster preparedness plans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3" s="2" t="str">
        <x:v>Mixed: adaptable design, site-specific implementation</x:v>
      </x:c>
      <x:c r="H113" s="2" t="str">
        <x:v>Disaster preparedness plans is adaptable in capacity and configuration but site-specific in final engineering. Its principle remains the same, but resource quality, climate, scale, interfaces and safety constraints must be recalculated for each deployment.</x:v>
      </x:c>
      <x:c r="I113" s="2" t="str">
        <x:v>Primarily hard, with a soft component</x:v>
      </x:c>
      <x:c r="J113" s="2" t="str">
        <x:v>Disaster preparedness plans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3" s="2" t="str">
        <x:v>Equipment and operation</x:v>
      </x:c>
      <x:c r="L113" s="2" t="str">
        <x:v>Disaster preparedness plans is embodied mainly as an equipment-and-operation system. The deliverable is accepted only when measurable service, quality, safety and climate-performance criteria are met under real conditions.</x:v>
      </x:c>
      <x:c r="M113" s="2" t="str">
        <x:v>Yes, subject to life-cycle safeguards</x:v>
      </x:c>
      <x:c r="N113" s="2" t="str">
        <x:v>Disaster preparedness plans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3" s="2" t="str">
        <x:v>Disaster preparedness plans: intakes, pipes, pumps, meters, valves, tanks, treatment units, drainage or flood structures, monitoring stations and nature-based elements as applicable.</x:v>
      </x:c>
      <x:c r="P113" s="2" t="str">
        <x:v>Disaster preparedness plans: water balance, hydraulic and hydrological modelling, demand forecasting, water-quality analysis, asset management, drought or flood rules and decision support.</x:v>
      </x:c>
      <x:c r="Q113" s="2" t="str">
        <x:v>Disaster preparedness plans: water rights and permits, utility responsibilities, basin governance, service standards, emergency protocols, tariffs, maintenance funding and stakeholder agreements.</x:v>
      </x:c>
      <x:c r="R113" s="2" t="str">
        <x:v>Disaster preparedness plans: catchment or coast, treatment and storage sites, conveyance and drainage network, power supply, laboratory, control room and safe access.</x:v>
      </x:c>
      <x:c r="S113" s="2" t="str">
        <x:v>Disaster preparedness plans: electricity or fuel for pumping, aeration, desalination, treatment and controls; gravity and ecosystem processes can reduce auxiliary demand.</x:v>
      </x:c>
      <x:c r="T113" s="2" t="str">
        <x:v>Disaster preparedness plans: concrete, steel, ductile iron or polymers, filter media, membranes, treatment chemicals, geotextiles, soil, rock and vegetation according to the measure.</x:v>
      </x:c>
      <x:c r="U113" s="2" t="str">
        <x:v>Disaster preparedness plans: pump and valve parts, seals, meters, sensors, membranes, lamps, filter media, dosing equipment, reagents and erosion-control materials.</x:v>
      </x:c>
      <x:c r="V113" s="2" t="str">
        <x:v>https://www.ctc-n.org/sites/default/files/resources/ctcn_taxonomy_0.pdf</x:v>
      </x:c>
      <x:c r="W113" s="2" t="str">
        <x:v>https://institutoagricoladepueblobello.edu.co/colegiapp/archivostemas/GUIA%209.%5B25%5D.pdf</x:v>
      </x:c>
      <x:c r="X113" s="2" t="str">
        <x:v>https://iiasa.ac.at/what-is-technology</x:v>
      </x:c>
      <x:c r="Y113" s="2" t="str">
        <x:v>https://www.unwater.org/water-facts/climate-change</x:v>
      </x:c>
      <x:c r="Z113" s="2" t="str">
        <x:v>Technology-specific analytical synthesis. The CTCN hierarchy is retained; classifications and component dependencies require validation against the selected design, site and supplier documentation before investment or policy use.</x:v>
      </x:c>
      <x:c r="AA113" s="2" t="str">
        <x:v>Physical deployment of Disaster preparedness plans requires catchment or coast, treatment and storage sites, conveyance and drainage network, power supply, laboratory, control room and safe access; interfaces, foundations, access and environmental protection are sized to the specific resource and design load.</x:v>
      </x:c>
      <x:c r="AB113" s="2" t="str">
        <x:v>For Disaster preparedness plans,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3" s="2" t="str">
        <x:v>Construction and operation use concrete, steel, ductile iron or polymers, filter media, membranes, treatment chemicals, geotextiles, soil, rock and vegetation according to the measure. For Disaster preparedness plans, specifications must include durability, compatibility, recycled content and recoverability.</x:v>
      </x:c>
      <x:c r="AD113" s="2" t="str">
        <x:v>Maintenance of Disaster preparedness plans depends on pump and valve parts, seals, meters, sensors, membranes, lamps, filter media, dosing equipment, reagents and erosion-control materials; critical spares are selected from failure-mode, lead-time and safety analysis for its installed configuration.</x:v>
      </x:c>
      <x:c r="AE113" s="2" t="str">
        <x:v>The software stack for Disaster preparedness plans requires databases, secure communications, version-controlled models, computing, backup and interfaces with field or operational systems.</x:v>
      </x:c>
      <x:c r="AF113" s="2" t="str">
        <x:v>For Disaster preparedness plans, software-related energy is electricity for sensing, computing, storage, communication and cooling; it is normally secondary but must be included for data-intensive or continuous services.</x:v>
      </x:c>
      <x:c r="AG113" s="2" t="str">
        <x:v>The non-physical inputs are calibrated data, metadata, algorithms, boundary conditions, emission or hazard factors, manuals and validation records specific to Disaster preparedness plans.</x:v>
      </x:c>
      <x:c r="AH113" s="2" t="str">
        <x:v>Software continuity for Disaster preparedness plans requires licences where applicable, updates, cybersecurity patches, backups, calibration files, model validation and technical support.</x:v>
      </x:c>
      <x:c r="AI113" s="2" t="str">
        <x:v>Orgware depends on the institutions, laboratories, training providers, regulators, operators and community interfaces needed to govern Disaster preparedness plans.</x:v>
      </x:c>
      <x:c r="AJ113" s="2" t="str">
        <x:v>The orgware supporting Disaster preparedness plans has mainly indirect energy use from offices, meetings, training and information systems; travel and field supervision may be material at dispersed sites.</x:v>
      </x:c>
      <x:c r="AK113" s="2" t="str">
        <x:v>Its organisational inputs are permits, budgets, trained staff, competence records, contracts, procedures, safeguards, monitoring evidence and stakeholder agreements tailored to Disaster preparedness plans.</x:v>
      </x:c>
      <x:c r="AL113" s="2" t="str">
        <x:v>Sustained implementation of Disaster preparedness plans requires procurement and service contracts, audit protocols, training material, reporting templates, insurance or guarantees and periodic independent review.</x:v>
      </x:c>
      <x:c r="AM113" s="2" t="str">
        <x:v>Iron ore / steel inputs</x:v>
      </x:c>
      <x:c r="AN113" s="2" t="str">
        <x:v>Australia; Brazil; China</x:v>
      </x:c>
      <x:c r="AO113" s="2" t="str">
        <x:v>China; India; Japan</x:v>
      </x:c>
      <x:c r="AP113" s="2" t="str">
        <x:v>Disaster preparedness plans: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3" s="2" t="str">
        <x:v>2024–2025</x:v>
      </x:c>
      <x:c r="AR113" s="2" t="str">
        <x:v>https://pubs.usgs.gov/periodicals/mcs2026/mcs2026.pdf</x:v>
      </x:c>
    </x:row>
    <x:row r="114" ht="240" customHeight="1">
      <x:c r="A114" s="2" t="str">
        <x:v>ADP-0107</x:v>
      </x:c>
      <x:c r="B114" s="2" t="str">
        <x:v>Adaptation</x:v>
      </x:c>
      <x:c r="C114" s="2" t="str">
        <x:v>Water</x:v>
      </x:c>
      <x:c r="D114" s="2" t="str">
        <x:v>Riverine flood protection</x:v>
      </x:c>
      <x:c r="E114" s="2" t="str">
        <x:v>Accommodation for flooding</x:v>
      </x:c>
      <x:c r="F114" s="2" t="str">
        <x:v>Accommodation for flooding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Accommodation for flooding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4" s="2" t="str">
        <x:v>Mixed: adaptable design, site-specific implementation</x:v>
      </x:c>
      <x:c r="H114" s="2" t="str">
        <x:v>Accommodation for flooding is adaptable in capacity and configuration but site-specific in final engineering. Its principle remains the same, but resource quality, climate, scale, interfaces and safety constraints must be recalculated for each deployment.</x:v>
      </x:c>
      <x:c r="I114" s="2" t="str">
        <x:v>Primarily hard, with a soft component</x:v>
      </x:c>
      <x:c r="J114" s="2" t="str">
        <x:v>Accommodation for flooding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4" s="2" t="str">
        <x:v>Equipment and operation</x:v>
      </x:c>
      <x:c r="L114" s="2" t="str">
        <x:v>Accommodation for flooding is embodied mainly as an equipment-and-operation system. The deliverable is accepted only when measurable service, quality, safety and climate-performance criteria are met under real conditions.</x:v>
      </x:c>
      <x:c r="M114" s="2" t="str">
        <x:v>Yes, subject to life-cycle safeguards</x:v>
      </x:c>
      <x:c r="N114" s="2" t="str">
        <x:v>Accommodation for flooding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4" s="2" t="str">
        <x:v>Accommodation for flooding: intakes, pipes, pumps, meters, valves, tanks, treatment units, drainage or flood structures, monitoring stations and nature-based elements as applicable.</x:v>
      </x:c>
      <x:c r="P114" s="2" t="str">
        <x:v>Accommodation for flooding: water balance, hydraulic and hydrological modelling, demand forecasting, water-quality analysis, asset management, drought or flood rules and decision support.</x:v>
      </x:c>
      <x:c r="Q114" s="2" t="str">
        <x:v>Accommodation for flooding: water rights and permits, utility responsibilities, basin governance, service standards, emergency protocols, tariffs, maintenance funding and stakeholder agreements.</x:v>
      </x:c>
      <x:c r="R114" s="2" t="str">
        <x:v>Accommodation for flooding: catchment or coast, treatment and storage sites, conveyance and drainage network, power supply, laboratory, control room and safe access.</x:v>
      </x:c>
      <x:c r="S114" s="2" t="str">
        <x:v>Accommodation for flooding: electricity or fuel for pumping, aeration, desalination, treatment and controls; gravity and ecosystem processes can reduce auxiliary demand.</x:v>
      </x:c>
      <x:c r="T114" s="2" t="str">
        <x:v>Accommodation for flooding: concrete, steel, ductile iron or polymers, filter media, membranes, treatment chemicals, geotextiles, soil, rock and vegetation according to the measure.</x:v>
      </x:c>
      <x:c r="U114" s="2" t="str">
        <x:v>Accommodation for flooding: pump and valve parts, seals, meters, sensors, membranes, lamps, filter media, dosing equipment, reagents and erosion-control materials.</x:v>
      </x:c>
      <x:c r="V114" s="2" t="str">
        <x:v>https://www.ctc-n.org/sites/default/files/resources/ctcn_taxonomy_0.pdf</x:v>
      </x:c>
      <x:c r="W114" s="2" t="str">
        <x:v>https://institutoagricoladepueblobello.edu.co/colegiapp/archivostemas/GUIA%209.%5B25%5D.pdf</x:v>
      </x:c>
      <x:c r="X114" s="2" t="str">
        <x:v>https://iiasa.ac.at/what-is-technology</x:v>
      </x:c>
      <x:c r="Y114" s="2" t="str">
        <x:v>https://www.unwater.org/water-facts/climate-change</x:v>
      </x:c>
      <x:c r="Z114" s="2" t="str">
        <x:v>Technology-specific analytical synthesis. The CTCN hierarchy is retained; classifications and component dependencies require validation against the selected design, site and supplier documentation before investment or policy use.</x:v>
      </x:c>
      <x:c r="AA114" s="2" t="str">
        <x:v>Physical deployment of Accommodation for flooding requires catchment or coast, treatment and storage sites, conveyance and drainage network, power supply, laboratory, control room and safe access; interfaces, foundations, access and environmental protection are sized to the specific resource and design load.</x:v>
      </x:c>
      <x:c r="AB114" s="2" t="str">
        <x:v>For Accommodation for flooding,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4" s="2" t="str">
        <x:v>Construction and operation use concrete, steel, ductile iron or polymers, filter media, membranes, treatment chemicals, geotextiles, soil, rock and vegetation according to the measure. For Accommodation for flooding, specifications must include durability, compatibility, recycled content and recoverability.</x:v>
      </x:c>
      <x:c r="AD114" s="2" t="str">
        <x:v>Maintenance of Accommodation for flooding depends on pump and valve parts, seals, meters, sensors, membranes, lamps, filter media, dosing equipment, reagents and erosion-control materials; critical spares are selected from failure-mode, lead-time and safety analysis for its installed configuration.</x:v>
      </x:c>
      <x:c r="AE114" s="2" t="str">
        <x:v>The software stack for Accommodation for flooding requires databases, secure communications, version-controlled models, computing, backup and interfaces with field or operational systems.</x:v>
      </x:c>
      <x:c r="AF114" s="2" t="str">
        <x:v>For Accommodation for flooding, software-related energy is electricity for sensing, computing, storage, communication and cooling; it is normally secondary but must be included for data-intensive or continuous services.</x:v>
      </x:c>
      <x:c r="AG114" s="2" t="str">
        <x:v>The non-physical inputs are calibrated data, metadata, algorithms, boundary conditions, emission or hazard factors, manuals and validation records specific to Accommodation for flooding.</x:v>
      </x:c>
      <x:c r="AH114" s="2" t="str">
        <x:v>Software continuity for Accommodation for flooding requires licences where applicable, updates, cybersecurity patches, backups, calibration files, model validation and technical support.</x:v>
      </x:c>
      <x:c r="AI114" s="2" t="str">
        <x:v>Orgware depends on the institutions, laboratories, training providers, regulators, operators and community interfaces needed to govern Accommodation for flooding.</x:v>
      </x:c>
      <x:c r="AJ114" s="2" t="str">
        <x:v>The orgware supporting Accommodation for flooding has mainly indirect energy use from offices, meetings, training and information systems; travel and field supervision may be material at dispersed sites.</x:v>
      </x:c>
      <x:c r="AK114" s="2" t="str">
        <x:v>Its organisational inputs are permits, budgets, trained staff, competence records, contracts, procedures, safeguards, monitoring evidence and stakeholder agreements tailored to Accommodation for flooding.</x:v>
      </x:c>
      <x:c r="AL114" s="2" t="str">
        <x:v>Sustained implementation of Accommodation for flooding requires procurement and service contracts, audit protocols, training material, reporting templates, insurance or guarantees and periodic independent review.</x:v>
      </x:c>
      <x:c r="AM114" s="2" t="str">
        <x:v>Iron ore / steel inputs</x:v>
      </x:c>
      <x:c r="AN114" s="2" t="str">
        <x:v>Australia; Brazil; China</x:v>
      </x:c>
      <x:c r="AO114" s="2" t="str">
        <x:v>China; India; Japan</x:v>
      </x:c>
      <x:c r="AP114" s="2" t="str">
        <x:v>Accommodation for flooding: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4" s="2" t="str">
        <x:v>2024–2025</x:v>
      </x:c>
      <x:c r="AR114" s="2" t="str">
        <x:v>https://pubs.usgs.gov/periodicals/mcs2026/mcs2026.pdf</x:v>
      </x:c>
    </x:row>
    <x:row r="115" ht="240" customHeight="1">
      <x:c r="A115" s="2" t="str">
        <x:v>ADP-0108</x:v>
      </x:c>
      <x:c r="B115" s="2" t="str">
        <x:v>Adaptation</x:v>
      </x:c>
      <x:c r="C115" s="2" t="str">
        <x:v>Water</x:v>
      </x:c>
      <x:c r="D115" s="2" t="str">
        <x:v>Riverine flood protection</x:v>
      </x:c>
      <x:c r="E115" s="2" t="str">
        <x:v>Sandbags against flooding</x:v>
      </x:c>
      <x:c r="F115" s="2" t="str">
        <x:v>Sandbags against flooding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Sandbags against flooding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5" s="2" t="str">
        <x:v>Mixed: adaptable design, site-specific implementation</x:v>
      </x:c>
      <x:c r="H115" s="2" t="str">
        <x:v>Sandbags against flooding is adaptable in capacity and configuration but site-specific in final engineering. Its principle remains the same, but resource quality, climate, scale, interfaces and safety constraints must be recalculated for each deployment.</x:v>
      </x:c>
      <x:c r="I115" s="2" t="str">
        <x:v>Primarily hard, with a soft component</x:v>
      </x:c>
      <x:c r="J115" s="2" t="str">
        <x:v>Sandbags against flooding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5" s="2" t="str">
        <x:v>Equipment and operation</x:v>
      </x:c>
      <x:c r="L115" s="2" t="str">
        <x:v>Sandbags against flooding is embodied mainly as an equipment-and-operation system. The deliverable is accepted only when measurable service, quality, safety and climate-performance criteria are met under real conditions.</x:v>
      </x:c>
      <x:c r="M115" s="2" t="str">
        <x:v>Yes, subject to life-cycle safeguards</x:v>
      </x:c>
      <x:c r="N115" s="2" t="str">
        <x:v>Sandbags against flooding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5" s="2" t="str">
        <x:v>Sandbags against flooding: intakes, pipes, pumps, meters, valves, tanks, treatment units, drainage or flood structures, monitoring stations and nature-based elements as applicable.</x:v>
      </x:c>
      <x:c r="P115" s="2" t="str">
        <x:v>Sandbags against flooding: water balance, hydraulic and hydrological modelling, demand forecasting, water-quality analysis, asset management, drought or flood rules and decision support.</x:v>
      </x:c>
      <x:c r="Q115" s="2" t="str">
        <x:v>Sandbags against flooding: water rights and permits, utility responsibilities, basin governance, service standards, emergency protocols, tariffs, maintenance funding and stakeholder agreements.</x:v>
      </x:c>
      <x:c r="R115" s="2" t="str">
        <x:v>Sandbags against flooding: catchment or coast, treatment and storage sites, conveyance and drainage network, power supply, laboratory, control room and safe access.</x:v>
      </x:c>
      <x:c r="S115" s="2" t="str">
        <x:v>Sandbags against flooding: electricity or fuel for pumping, aeration, desalination, treatment and controls; gravity and ecosystem processes can reduce auxiliary demand.</x:v>
      </x:c>
      <x:c r="T115" s="2" t="str">
        <x:v>Sandbags against flooding: concrete, steel, ductile iron or polymers, filter media, membranes, treatment chemicals, geotextiles, soil, rock and vegetation according to the measure.</x:v>
      </x:c>
      <x:c r="U115" s="2" t="str">
        <x:v>Sandbags against flooding: pump and valve parts, seals, meters, sensors, membranes, lamps, filter media, dosing equipment, reagents and erosion-control materials.</x:v>
      </x:c>
      <x:c r="V115" s="2" t="str">
        <x:v>https://www.ctc-n.org/sites/default/files/resources/ctcn_taxonomy_0.pdf</x:v>
      </x:c>
      <x:c r="W115" s="2" t="str">
        <x:v>https://institutoagricoladepueblobello.edu.co/colegiapp/archivostemas/GUIA%209.%5B25%5D.pdf</x:v>
      </x:c>
      <x:c r="X115" s="2" t="str">
        <x:v>https://iiasa.ac.at/what-is-technology</x:v>
      </x:c>
      <x:c r="Y115" s="2" t="str">
        <x:v>https://www.unwater.org/water-facts/climate-change</x:v>
      </x:c>
      <x:c r="Z115" s="2" t="str">
        <x:v>Technology-specific analytical synthesis. The CTCN hierarchy is retained; classifications and component dependencies require validation against the selected design, site and supplier documentation before investment or policy use.</x:v>
      </x:c>
      <x:c r="AA115" s="2" t="str">
        <x:v>Physical deployment of Sandbags against flooding requires catchment or coast, treatment and storage sites, conveyance and drainage network, power supply, laboratory, control room and safe access; interfaces, foundations, access and environmental protection are sized to the specific resource and design load.</x:v>
      </x:c>
      <x:c r="AB115" s="2" t="str">
        <x:v>For Sandbags against flooding,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5" s="2" t="str">
        <x:v>Construction and operation use concrete, steel, ductile iron or polymers, filter media, membranes, treatment chemicals, geotextiles, soil, rock and vegetation according to the measure. For Sandbags against flooding, specifications must include durability, compatibility, recycled content and recoverability.</x:v>
      </x:c>
      <x:c r="AD115" s="2" t="str">
        <x:v>Maintenance of Sandbags against flooding depends on pump and valve parts, seals, meters, sensors, membranes, lamps, filter media, dosing equipment, reagents and erosion-control materials; critical spares are selected from failure-mode, lead-time and safety analysis for its installed configuration.</x:v>
      </x:c>
      <x:c r="AE115" s="2" t="str">
        <x:v>The software stack for Sandbags against flooding requires databases, secure communications, version-controlled models, computing, backup and interfaces with field or operational systems.</x:v>
      </x:c>
      <x:c r="AF115" s="2" t="str">
        <x:v>For Sandbags against flooding, software-related energy is electricity for sensing, computing, storage, communication and cooling; it is normally secondary but must be included for data-intensive or continuous services.</x:v>
      </x:c>
      <x:c r="AG115" s="2" t="str">
        <x:v>The non-physical inputs are calibrated data, metadata, algorithms, boundary conditions, emission or hazard factors, manuals and validation records specific to Sandbags against flooding.</x:v>
      </x:c>
      <x:c r="AH115" s="2" t="str">
        <x:v>Software continuity for Sandbags against flooding requires licences where applicable, updates, cybersecurity patches, backups, calibration files, model validation and technical support.</x:v>
      </x:c>
      <x:c r="AI115" s="2" t="str">
        <x:v>Orgware depends on the institutions, laboratories, training providers, regulators, operators and community interfaces needed to govern Sandbags against flooding.</x:v>
      </x:c>
      <x:c r="AJ115" s="2" t="str">
        <x:v>The orgware supporting Sandbags against flooding has mainly indirect energy use from offices, meetings, training and information systems; travel and field supervision may be material at dispersed sites.</x:v>
      </x:c>
      <x:c r="AK115" s="2" t="str">
        <x:v>Its organisational inputs are permits, budgets, trained staff, competence records, contracts, procedures, safeguards, monitoring evidence and stakeholder agreements tailored to Sandbags against flooding.</x:v>
      </x:c>
      <x:c r="AL115" s="2" t="str">
        <x:v>Sustained implementation of Sandbags against flooding requires procurement and service contracts, audit protocols, training material, reporting templates, insurance or guarantees and periodic independent review.</x:v>
      </x:c>
      <x:c r="AM115" s="2" t="str">
        <x:v>Iron ore / steel inputs</x:v>
      </x:c>
      <x:c r="AN115" s="2" t="str">
        <x:v>Australia; Brazil; China</x:v>
      </x:c>
      <x:c r="AO115" s="2" t="str">
        <x:v>China; India; Japan</x:v>
      </x:c>
      <x:c r="AP115" s="2" t="str">
        <x:v>Sandbags against flooding: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5" s="2" t="str">
        <x:v>2024–2025</x:v>
      </x:c>
      <x:c r="AR115" s="2" t="str">
        <x:v>https://pubs.usgs.gov/periodicals/mcs2026/mcs2026.pdf</x:v>
      </x:c>
    </x:row>
    <x:row r="116" ht="240" customHeight="1">
      <x:c r="A116" s="2" t="str">
        <x:v>ADP-0109</x:v>
      </x:c>
      <x:c r="B116" s="2" t="str">
        <x:v>Adaptation</x:v>
      </x:c>
      <x:c r="C116" s="2" t="str">
        <x:v>Water</x:v>
      </x:c>
      <x:c r="D116" s="2" t="str">
        <x:v>Riverine flood protection</x:v>
      </x:c>
      <x:c r="E116" s="2" t="str">
        <x:v>Flood proof wells</x:v>
      </x:c>
      <x:c r="F116" s="2" t="str">
        <x:v>Flood proof wells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Flood proof wells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6" s="2" t="str">
        <x:v>Mixed: adaptable design, site-specific implementation</x:v>
      </x:c>
      <x:c r="H116" s="2" t="str">
        <x:v>Flood proof wells is adaptable in capacity and configuration but site-specific in final engineering. Its principle remains the same, but resource quality, climate, scale, interfaces and safety constraints must be recalculated for each deployment.</x:v>
      </x:c>
      <x:c r="I116" s="2" t="str">
        <x:v>Primarily hard, with a soft component</x:v>
      </x:c>
      <x:c r="J116" s="2" t="str">
        <x:v>Flood proof wells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6" s="2" t="str">
        <x:v>Equipment and operation</x:v>
      </x:c>
      <x:c r="L116" s="2" t="str">
        <x:v>Flood proof wells is embodied mainly as an equipment-and-operation system. The deliverable is accepted only when measurable service, quality, safety and climate-performance criteria are met under real conditions.</x:v>
      </x:c>
      <x:c r="M116" s="2" t="str">
        <x:v>Yes, subject to life-cycle safeguards</x:v>
      </x:c>
      <x:c r="N116" s="2" t="str">
        <x:v>Flood proof wells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6" s="2" t="str">
        <x:v>Flood proof wells: intakes, pipes, pumps, meters, valves, tanks, treatment units, drainage or flood structures, monitoring stations and nature-based elements as applicable.</x:v>
      </x:c>
      <x:c r="P116" s="2" t="str">
        <x:v>Flood proof wells: water balance, hydraulic and hydrological modelling, demand forecasting, water-quality analysis, asset management, drought or flood rules and decision support.</x:v>
      </x:c>
      <x:c r="Q116" s="2" t="str">
        <x:v>Flood proof wells: water rights and permits, utility responsibilities, basin governance, service standards, emergency protocols, tariffs, maintenance funding and stakeholder agreements.</x:v>
      </x:c>
      <x:c r="R116" s="2" t="str">
        <x:v>Flood proof wells: catchment or coast, treatment and storage sites, conveyance and drainage network, power supply, laboratory, control room and safe access.</x:v>
      </x:c>
      <x:c r="S116" s="2" t="str">
        <x:v>Flood proof wells: electricity or fuel for pumping, aeration, desalination, treatment and controls; gravity and ecosystem processes can reduce auxiliary demand.</x:v>
      </x:c>
      <x:c r="T116" s="2" t="str">
        <x:v>Flood proof wells: concrete, steel, ductile iron or polymers, filter media, membranes, treatment chemicals, geotextiles, soil, rock and vegetation according to the measure.</x:v>
      </x:c>
      <x:c r="U116" s="2" t="str">
        <x:v>Flood proof wells: pump and valve parts, seals, meters, sensors, membranes, lamps, filter media, dosing equipment, reagents and erosion-control materials.</x:v>
      </x:c>
      <x:c r="V116" s="2" t="str">
        <x:v>https://www.ctc-n.org/sites/default/files/resources/ctcn_taxonomy_0.pdf</x:v>
      </x:c>
      <x:c r="W116" s="2" t="str">
        <x:v>https://institutoagricoladepueblobello.edu.co/colegiapp/archivostemas/GUIA%209.%5B25%5D.pdf</x:v>
      </x:c>
      <x:c r="X116" s="2" t="str">
        <x:v>https://iiasa.ac.at/what-is-technology</x:v>
      </x:c>
      <x:c r="Y116" s="2" t="str">
        <x:v>https://www.unwater.org/water-facts/climate-change</x:v>
      </x:c>
      <x:c r="Z116" s="2" t="str">
        <x:v>Technology-specific analytical synthesis. The CTCN hierarchy is retained; classifications and component dependencies require validation against the selected design, site and supplier documentation before investment or policy use.</x:v>
      </x:c>
      <x:c r="AA116" s="2" t="str">
        <x:v>Physical deployment of Flood proof wells requires catchment or coast, treatment and storage sites, conveyance and drainage network, power supply, laboratory, control room and safe access; interfaces, foundations, access and environmental protection are sized to the specific resource and design load.</x:v>
      </x:c>
      <x:c r="AB116" s="2" t="str">
        <x:v>For Flood proof wells,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6" s="2" t="str">
        <x:v>Construction and operation use concrete, steel, ductile iron or polymers, filter media, membranes, treatment chemicals, geotextiles, soil, rock and vegetation according to the measure. For Flood proof wells, specifications must include durability, compatibility, recycled content and recoverability.</x:v>
      </x:c>
      <x:c r="AD116" s="2" t="str">
        <x:v>Maintenance of Flood proof wells depends on pump and valve parts, seals, meters, sensors, membranes, lamps, filter media, dosing equipment, reagents and erosion-control materials; critical spares are selected from failure-mode, lead-time and safety analysis for its installed configuration.</x:v>
      </x:c>
      <x:c r="AE116" s="2" t="str">
        <x:v>The software stack for Flood proof wells requires databases, secure communications, version-controlled models, computing, backup and interfaces with field or operational systems.</x:v>
      </x:c>
      <x:c r="AF116" s="2" t="str">
        <x:v>For Flood proof wells, software-related energy is electricity for sensing, computing, storage, communication and cooling; it is normally secondary but must be included for data-intensive or continuous services.</x:v>
      </x:c>
      <x:c r="AG116" s="2" t="str">
        <x:v>The non-physical inputs are calibrated data, metadata, algorithms, boundary conditions, emission or hazard factors, manuals and validation records specific to Flood proof wells.</x:v>
      </x:c>
      <x:c r="AH116" s="2" t="str">
        <x:v>Software continuity for Flood proof wells requires licences where applicable, updates, cybersecurity patches, backups, calibration files, model validation and technical support.</x:v>
      </x:c>
      <x:c r="AI116" s="2" t="str">
        <x:v>Orgware depends on the institutions, laboratories, training providers, regulators, operators and community interfaces needed to govern Flood proof wells.</x:v>
      </x:c>
      <x:c r="AJ116" s="2" t="str">
        <x:v>The orgware supporting Flood proof wells has mainly indirect energy use from offices, meetings, training and information systems; travel and field supervision may be material at dispersed sites.</x:v>
      </x:c>
      <x:c r="AK116" s="2" t="str">
        <x:v>Its organisational inputs are permits, budgets, trained staff, competence records, contracts, procedures, safeguards, monitoring evidence and stakeholder agreements tailored to Flood proof wells.</x:v>
      </x:c>
      <x:c r="AL116" s="2" t="str">
        <x:v>Sustained implementation of Flood proof wells requires procurement and service contracts, audit protocols, training material, reporting templates, insurance or guarantees and periodic independent review.</x:v>
      </x:c>
      <x:c r="AM116" s="2" t="str">
        <x:v>Iron ore / steel inputs</x:v>
      </x:c>
      <x:c r="AN116" s="2" t="str">
        <x:v>Australia; Brazil; China</x:v>
      </x:c>
      <x:c r="AO116" s="2" t="str">
        <x:v>China; India; Japan</x:v>
      </x:c>
      <x:c r="AP116" s="2" t="str">
        <x:v>Flood proof wells: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6" s="2" t="str">
        <x:v>2024–2025</x:v>
      </x:c>
      <x:c r="AR116" s="2" t="str">
        <x:v>https://pubs.usgs.gov/periodicals/mcs2026/mcs2026.pdf</x:v>
      </x:c>
    </x:row>
    <x:row r="117" ht="240" customHeight="1">
      <x:c r="A117" s="2" t="str">
        <x:v>ADP-0110</x:v>
      </x:c>
      <x:c r="B117" s="2" t="str">
        <x:v>Adaptation</x:v>
      </x:c>
      <x:c r="C117" s="2" t="str">
        <x:v>Water</x:v>
      </x:c>
      <x:c r="D117" s="2" t="str">
        <x:v>Riverine flood protection</x:v>
      </x:c>
      <x:c r="E117" s="2" t="str">
        <x:v>Floodplain zoning</x:v>
      </x:c>
      <x:c r="F117" s="2" t="str">
        <x:v>Floodplain zoning is a adaptation technology in the Water sector and the Riverine flood protection technology group. It is defined as a combined hardware–software–orgware system that manages water quantity, quality, timing or exposure through demand reduction, capture, storage, treatment, allocation, hydraulic protection and ecosystem functions. Floodplain zoning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7" s="2" t="str">
        <x:v>Flexible</x:v>
      </x:c>
      <x:c r="H117" s="2" t="str">
        <x:v>Floodplain zoning is transferable through configurable methods, rules and operating parameters. Its principle remains the same, but resource quality, climate, scale, interfaces and safety constraints must be recalculated for each deployment.</x:v>
      </x:c>
      <x:c r="I117" s="2" t="str">
        <x:v>Primarily soft, with physical support</x:v>
      </x:c>
      <x:c r="J117" s="2" t="str">
        <x:v>Floodplain zoning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7" s="2" t="str">
        <x:v>Operation</x:v>
      </x:c>
      <x:c r="L117" s="2" t="str">
        <x:v>Floodplain zoning is embodied mainly as an operating practice. The deliverable is accepted only when measurable service, quality, safety and climate-performance criteria are met under real conditions.</x:v>
      </x:c>
      <x:c r="M117" s="2" t="str">
        <x:v>Yes, subject to life-cycle safeguards</x:v>
      </x:c>
      <x:c r="N117" s="2" t="str">
        <x:v>Floodplain zoning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7" s="2" t="str">
        <x:v>Floodplain zoning: intakes, pipes, pumps, meters, valves, tanks, treatment units, drainage or flood structures, monitoring stations and nature-based elements as applicable.</x:v>
      </x:c>
      <x:c r="P117" s="2" t="str">
        <x:v>Floodplain zoning: water balance, hydraulic and hydrological modelling, demand forecasting, water-quality analysis, asset management, drought or flood rules and decision support.</x:v>
      </x:c>
      <x:c r="Q117" s="2" t="str">
        <x:v>Floodplain zoning: water rights and permits, utility responsibilities, basin governance, service standards, emergency protocols, tariffs, maintenance funding and stakeholder agreements.</x:v>
      </x:c>
      <x:c r="R117" s="2" t="str">
        <x:v>Floodplain zoning: catchment or coast, treatment and storage sites, conveyance and drainage network, power supply, laboratory, control room and safe access.</x:v>
      </x:c>
      <x:c r="S117" s="2" t="str">
        <x:v>Floodplain zoning: electricity or fuel for pumping, aeration, desalination, treatment and controls; gravity and ecosystem processes can reduce auxiliary demand.</x:v>
      </x:c>
      <x:c r="T117" s="2" t="str">
        <x:v>Floodplain zoning: concrete, steel, ductile iron or polymers, filter media, membranes, treatment chemicals, geotextiles, soil, rock and vegetation according to the measure.</x:v>
      </x:c>
      <x:c r="U117" s="2" t="str">
        <x:v>Floodplain zoning: pump and valve parts, seals, meters, sensors, membranes, lamps, filter media, dosing equipment, reagents and erosion-control materials.</x:v>
      </x:c>
      <x:c r="V117" s="2" t="str">
        <x:v>https://www.ctc-n.org/sites/default/files/resources/ctcn_taxonomy_0.pdf</x:v>
      </x:c>
      <x:c r="W117" s="2" t="str">
        <x:v>https://institutoagricoladepueblobello.edu.co/colegiapp/archivostemas/GUIA%209.%5B25%5D.pdf</x:v>
      </x:c>
      <x:c r="X117" s="2" t="str">
        <x:v>https://iiasa.ac.at/what-is-technology</x:v>
      </x:c>
      <x:c r="Y117" s="2" t="str">
        <x:v>https://www.unwater.org/water-facts/climate-change</x:v>
      </x:c>
      <x:c r="Z117" s="2" t="str">
        <x:v>Technology-specific analytical synthesis. The CTCN hierarchy is retained; classifications and component dependencies require validation against the selected design, site and supplier documentation before investment or policy use.</x:v>
      </x:c>
      <x:c r="AA117" s="2" t="str">
        <x:v>Physical deployment of Floodplain zoning requires catchment or coast, treatment and storage sites, conveyance and drainage network, power supply, laboratory, control room and safe access; interfaces, foundations, access and environmental protection are sized to the specific resource and design load.</x:v>
      </x:c>
      <x:c r="AB117" s="2" t="str">
        <x:v>For Floodplain zoning,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7" s="2" t="str">
        <x:v>Construction and operation use concrete, steel, ductile iron or polymers, filter media, membranes, treatment chemicals, geotextiles, soil, rock and vegetation according to the measure. For Floodplain zoning, specifications must include durability, compatibility, recycled content and recoverability.</x:v>
      </x:c>
      <x:c r="AD117" s="2" t="str">
        <x:v>Maintenance of Floodplain zoning depends on pump and valve parts, seals, meters, sensors, membranes, lamps, filter media, dosing equipment, reagents and erosion-control materials; critical spares are selected from failure-mode, lead-time and safety analysis for its installed configuration.</x:v>
      </x:c>
      <x:c r="AE117" s="2" t="str">
        <x:v>The software stack for Floodplain zoning requires databases, secure communications, version-controlled models, computing, backup and interfaces with field or operational systems.</x:v>
      </x:c>
      <x:c r="AF117" s="2" t="str">
        <x:v>For Floodplain zoning, software-related energy is electricity for sensing, computing, storage, communication and cooling; it is normally secondary but must be included for data-intensive or continuous services.</x:v>
      </x:c>
      <x:c r="AG117" s="2" t="str">
        <x:v>The non-physical inputs are calibrated data, metadata, algorithms, boundary conditions, emission or hazard factors, manuals and validation records specific to Floodplain zoning.</x:v>
      </x:c>
      <x:c r="AH117" s="2" t="str">
        <x:v>Software continuity for Floodplain zoning requires licences where applicable, updates, cybersecurity patches, backups, calibration files, model validation and technical support.</x:v>
      </x:c>
      <x:c r="AI117" s="2" t="str">
        <x:v>Orgware depends on the institutions, laboratories, training providers, regulators, operators and community interfaces needed to govern Floodplain zoning.</x:v>
      </x:c>
      <x:c r="AJ117" s="2" t="str">
        <x:v>The orgware supporting Floodplain zoning has mainly indirect energy use from offices, meetings, training and information systems; travel and field supervision may be material at dispersed sites.</x:v>
      </x:c>
      <x:c r="AK117" s="2" t="str">
        <x:v>Its organisational inputs are permits, budgets, trained staff, competence records, contracts, procedures, safeguards, monitoring evidence and stakeholder agreements tailored to Floodplain zoning.</x:v>
      </x:c>
      <x:c r="AL117" s="2" t="str">
        <x:v>Sustained implementation of Floodplain zoning requires procurement and service contracts, audit protocols, training material, reporting templates, insurance or guarantees and periodic independent review.</x:v>
      </x:c>
      <x:c r="AM117" s="2" t="str">
        <x:v>Iron ore / steel inputs</x:v>
      </x:c>
      <x:c r="AN117" s="2" t="str">
        <x:v>Australia; Brazil; China</x:v>
      </x:c>
      <x:c r="AO117" s="2" t="str">
        <x:v>China; India; Japan</x:v>
      </x:c>
      <x:c r="AP117" s="2" t="str">
        <x:v>Floodplain zoning: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7" s="2" t="str">
        <x:v>2024–2025</x:v>
      </x:c>
      <x:c r="AR117" s="2" t="str">
        <x:v>https://pubs.usgs.gov/periodicals/mcs2026/mcs2026.pdf</x:v>
      </x:c>
    </x:row>
    <x:row r="118" ht="240" customHeight="1">
      <x:c r="A118" s="2" t="str">
        <x:v>ADP-0111</x:v>
      </x:c>
      <x:c r="B118" s="2" t="str">
        <x:v>Adaptation</x:v>
      </x:c>
      <x:c r="C118" s="2" t="str">
        <x:v>Water</x:v>
      </x:c>
      <x:c r="D118" s="2" t="str">
        <x:v>Urban storm water management</x:v>
      </x:c>
      <x:c r="E118" s="2" t="str">
        <x:v>Canals and drainage systems</x:v>
      </x:c>
      <x:c r="F118" s="2" t="str">
        <x:v>Canals and drainage systems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Canals and drainage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8" s="2" t="str">
        <x:v>Flexible</x:v>
      </x:c>
      <x:c r="H118" s="2" t="str">
        <x:v>Canals and drainage systems is transferable through configurable methods, rules and operating parameters. Its principle remains the same, but resource quality, climate, scale, interfaces and safety constraints must be recalculated for each deployment.</x:v>
      </x:c>
      <x:c r="I118" s="2" t="str">
        <x:v>Primarily soft, with physical support</x:v>
      </x:c>
      <x:c r="J118" s="2" t="str">
        <x:v>Canals and drainage systems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8" s="2" t="str">
        <x:v>Operation</x:v>
      </x:c>
      <x:c r="L118" s="2" t="str">
        <x:v>Canals and drainage systems is embodied mainly as an operating practice. The deliverable is accepted only when measurable service, quality, safety and climate-performance criteria are met under real conditions.</x:v>
      </x:c>
      <x:c r="M118" s="2" t="str">
        <x:v>Yes, subject to life-cycle safeguards</x:v>
      </x:c>
      <x:c r="N118" s="2" t="str">
        <x:v>Canals and drainage systems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8" s="2" t="str">
        <x:v>Canals and drainage systems: intakes, pipes, pumps, meters, valves, tanks, treatment units, drainage or flood structures, monitoring stations and nature-based elements as applicable.</x:v>
      </x:c>
      <x:c r="P118" s="2" t="str">
        <x:v>Canals and drainage systems: water balance, hydraulic and hydrological modelling, demand forecasting, water-quality analysis, asset management, drought or flood rules and decision support.</x:v>
      </x:c>
      <x:c r="Q118" s="2" t="str">
        <x:v>Canals and drainage systems: water rights and permits, utility responsibilities, basin governance, service standards, emergency protocols, tariffs, maintenance funding and stakeholder agreements.</x:v>
      </x:c>
      <x:c r="R118" s="2" t="str">
        <x:v>Canals and drainage systems: catchment or coast, treatment and storage sites, conveyance and drainage network, power supply, laboratory, control room and safe access.</x:v>
      </x:c>
      <x:c r="S118" s="2" t="str">
        <x:v>Canals and drainage systems: electricity or fuel for pumping, aeration, desalination, treatment and controls; gravity and ecosystem processes can reduce auxiliary demand.</x:v>
      </x:c>
      <x:c r="T118" s="2" t="str">
        <x:v>Canals and drainage systems: concrete, steel, ductile iron or polymers, filter media, membranes, treatment chemicals, geotextiles, soil, rock and vegetation according to the measure.</x:v>
      </x:c>
      <x:c r="U118" s="2" t="str">
        <x:v>Canals and drainage systems: pump and valve parts, seals, meters, sensors, membranes, lamps, filter media, dosing equipment, reagents and erosion-control materials.</x:v>
      </x:c>
      <x:c r="V118" s="2" t="str">
        <x:v>https://www.ctc-n.org/sites/default/files/resources/ctcn_taxonomy_0.pdf</x:v>
      </x:c>
      <x:c r="W118" s="2" t="str">
        <x:v>https://institutoagricoladepueblobello.edu.co/colegiapp/archivostemas/GUIA%209.%5B25%5D.pdf</x:v>
      </x:c>
      <x:c r="X118" s="2" t="str">
        <x:v>https://iiasa.ac.at/what-is-technology</x:v>
      </x:c>
      <x:c r="Y118" s="2" t="str">
        <x:v>https://www.unwater.org/water-facts/climate-change</x:v>
      </x:c>
      <x:c r="Z118" s="2" t="str">
        <x:v>Technology-specific analytical synthesis. The CTCN hierarchy is retained; classifications and component dependencies require validation against the selected design, site and supplier documentation before investment or policy use.</x:v>
      </x:c>
      <x:c r="AA118" s="2" t="str">
        <x:v>Physical deployment of Canals and drainage systems requires catchment or coast, treatment and storage sites, conveyance and drainage network, power supply, laboratory, control room and safe access; interfaces, foundations, access and environmental protection are sized to the specific resource and design load.</x:v>
      </x:c>
      <x:c r="AB118" s="2" t="str">
        <x:v>For Canals and drainage systems,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8" s="2" t="str">
        <x:v>Construction and operation use concrete, steel, ductile iron or polymers, filter media, membranes, treatment chemicals, geotextiles, soil, rock and vegetation according to the measure. For Canals and drainage systems, specifications must include durability, compatibility, recycled content and recoverability.</x:v>
      </x:c>
      <x:c r="AD118" s="2" t="str">
        <x:v>Maintenance of Canals and drainage systems depends on pump and valve parts, seals, meters, sensors, membranes, lamps, filter media, dosing equipment, reagents and erosion-control materials; critical spares are selected from failure-mode, lead-time and safety analysis for its installed configuration.</x:v>
      </x:c>
      <x:c r="AE118" s="2" t="str">
        <x:v>The software stack for Canals and drainage systems requires databases, secure communications, version-controlled models, computing, backup and interfaces with field or operational systems.</x:v>
      </x:c>
      <x:c r="AF118" s="2" t="str">
        <x:v>For Canals and drainage systems, software-related energy is electricity for sensing, computing, storage, communication and cooling; it is normally secondary but must be included for data-intensive or continuous services.</x:v>
      </x:c>
      <x:c r="AG118" s="2" t="str">
        <x:v>The non-physical inputs are calibrated data, metadata, algorithms, boundary conditions, emission or hazard factors, manuals and validation records specific to Canals and drainage systems.</x:v>
      </x:c>
      <x:c r="AH118" s="2" t="str">
        <x:v>Software continuity for Canals and drainage systems requires licences where applicable, updates, cybersecurity patches, backups, calibration files, model validation and technical support.</x:v>
      </x:c>
      <x:c r="AI118" s="2" t="str">
        <x:v>Orgware depends on the institutions, laboratories, training providers, regulators, operators and community interfaces needed to govern Canals and drainage systems.</x:v>
      </x:c>
      <x:c r="AJ118" s="2" t="str">
        <x:v>The orgware supporting Canals and drainage systems has mainly indirect energy use from offices, meetings, training and information systems; travel and field supervision may be material at dispersed sites.</x:v>
      </x:c>
      <x:c r="AK118" s="2" t="str">
        <x:v>Its organisational inputs are permits, budgets, trained staff, competence records, contracts, procedures, safeguards, monitoring evidence and stakeholder agreements tailored to Canals and drainage systems.</x:v>
      </x:c>
      <x:c r="AL118" s="2" t="str">
        <x:v>Sustained implementation of Canals and drainage systems requires procurement and service contracts, audit protocols, training material, reporting templates, insurance or guarantees and periodic independent review.</x:v>
      </x:c>
      <x:c r="AM118" s="2" t="str">
        <x:v>Iron ore / steel inputs; Limestone / cement raw materials</x:v>
      </x:c>
      <x:c r="AN118" s="2" t="str">
        <x:v>Australia; Brazil; China; India; Vietnam</x:v>
      </x:c>
      <x:c r="AO118" s="2" t="str">
        <x:v>China; India; Japan; Vietnam</x:v>
      </x:c>
      <x:c r="AP118" s="2" t="str">
        <x:v>Canals and drainage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8" s="2" t="str">
        <x:v>2024–2025</x:v>
      </x:c>
      <x:c r="AR118" s="2" t="str">
        <x:v>https://pubs.usgs.gov/periodicals/mcs2026/mcs2026.pdf</x:v>
      </x:c>
    </x:row>
    <x:row r="119" ht="240" customHeight="1">
      <x:c r="A119" s="2" t="str">
        <x:v>ADP-0112</x:v>
      </x:c>
      <x:c r="B119" s="2" t="str">
        <x:v>Adaptation</x:v>
      </x:c>
      <x:c r="C119" s="2" t="str">
        <x:v>Water</x:v>
      </x:c>
      <x:c r="D119" s="2" t="str">
        <x:v>Urban storm water management</x:v>
      </x:c>
      <x:c r="E119" s="2" t="str">
        <x:v>Runoff control structures to temporarily store rainfall</x:v>
      </x:c>
      <x:c r="F119" s="2" t="str">
        <x:v>Runoff control structures to temporarily store rainfall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Runoff control structures to temporarily store rainfall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19" s="2" t="str">
        <x:v>Flexible</x:v>
      </x:c>
      <x:c r="H119" s="2" t="str">
        <x:v>Runoff control structures to temporarily store rainfall is transferable through configurable methods, rules and operating parameters. Its principle remains the same, but resource quality, climate, scale, interfaces and safety constraints must be recalculated for each deployment.</x:v>
      </x:c>
      <x:c r="I119" s="2" t="str">
        <x:v>Primarily soft, with physical support</x:v>
      </x:c>
      <x:c r="J119" s="2" t="str">
        <x:v>Runoff control structures to temporarily store rainfall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19" s="2" t="str">
        <x:v>Operation</x:v>
      </x:c>
      <x:c r="L119" s="2" t="str">
        <x:v>Runoff control structures to temporarily store rainfall is embodied mainly as an operating practice. The deliverable is accepted only when measurable service, quality, safety and climate-performance criteria are met under real conditions.</x:v>
      </x:c>
      <x:c r="M119" s="2" t="str">
        <x:v>Yes, subject to life-cycle safeguards</x:v>
      </x:c>
      <x:c r="N119" s="2" t="str">
        <x:v>Runoff control structures to temporarily store rainfall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19" s="2" t="str">
        <x:v>Runoff control structures to temporarily store rainfall: intakes, pipes, pumps, meters, valves, tanks, treatment units, drainage or flood structures, monitoring stations and nature-based elements as applicable.</x:v>
      </x:c>
      <x:c r="P119" s="2" t="str">
        <x:v>Runoff control structures to temporarily store rainfall: water balance, hydraulic and hydrological modelling, demand forecasting, water-quality analysis, asset management, drought or flood rules and decision support.</x:v>
      </x:c>
      <x:c r="Q119" s="2" t="str">
        <x:v>Runoff control structures to temporarily store rainfall: water rights and permits, utility responsibilities, basin governance, service standards, emergency protocols, tariffs, maintenance funding and stakeholder agreements.</x:v>
      </x:c>
      <x:c r="R119" s="2" t="str">
        <x:v>Runoff control structures to temporarily store rainfall: catchment or coast, treatment and storage sites, conveyance and drainage network, power supply, laboratory, control room and safe access.</x:v>
      </x:c>
      <x:c r="S119" s="2" t="str">
        <x:v>Runoff control structures to temporarily store rainfall: electricity or fuel for pumping, aeration, desalination, treatment and controls; gravity and ecosystem processes can reduce auxiliary demand.</x:v>
      </x:c>
      <x:c r="T119" s="2" t="str">
        <x:v>Runoff control structures to temporarily store rainfall: concrete, steel, ductile iron or polymers, filter media, membranes, treatment chemicals, geotextiles, soil, rock and vegetation according to the measure.</x:v>
      </x:c>
      <x:c r="U119" s="2" t="str">
        <x:v>Runoff control structures to temporarily store rainfall: pump and valve parts, seals, meters, sensors, membranes, lamps, filter media, dosing equipment, reagents and erosion-control materials.</x:v>
      </x:c>
      <x:c r="V119" s="2" t="str">
        <x:v>https://www.ctc-n.org/sites/default/files/resources/ctcn_taxonomy_0.pdf</x:v>
      </x:c>
      <x:c r="W119" s="2" t="str">
        <x:v>https://institutoagricoladepueblobello.edu.co/colegiapp/archivostemas/GUIA%209.%5B25%5D.pdf</x:v>
      </x:c>
      <x:c r="X119" s="2" t="str">
        <x:v>https://iiasa.ac.at/what-is-technology</x:v>
      </x:c>
      <x:c r="Y119" s="2" t="str">
        <x:v>https://www.unwater.org/water-facts/climate-change</x:v>
      </x:c>
      <x:c r="Z119" s="2" t="str">
        <x:v>Technology-specific analytical synthesis. The CTCN hierarchy is retained; classifications and component dependencies require validation against the selected design, site and supplier documentation before investment or policy use.</x:v>
      </x:c>
      <x:c r="AA119" s="2" t="str">
        <x:v>Physical deployment of Runoff control structures to temporarily store rainfall requires catchment or coast, treatment and storage sites, conveyance and drainage network, power supply, laboratory, control room and safe access; interfaces, foundations, access and environmental protection are sized to the specific resource and design load.</x:v>
      </x:c>
      <x:c r="AB119" s="2" t="str">
        <x:v>For Runoff control structures to temporarily store rainfall,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19" s="2" t="str">
        <x:v>Construction and operation use concrete, steel, ductile iron or polymers, filter media, membranes, treatment chemicals, geotextiles, soil, rock and vegetation according to the measure. For Runoff control structures to temporarily store rainfall, specifications must include durability, compatibility, recycled content and recoverability.</x:v>
      </x:c>
      <x:c r="AD119" s="2" t="str">
        <x:v>Maintenance of Runoff control structures to temporarily store rainfall depends on pump and valve parts, seals, meters, sensors, membranes, lamps, filter media, dosing equipment, reagents and erosion-control materials; critical spares are selected from failure-mode, lead-time and safety analysis for its installed configuration.</x:v>
      </x:c>
      <x:c r="AE119" s="2" t="str">
        <x:v>The software stack for Runoff control structures to temporarily store rainfall requires databases, secure communications, version-controlled models, computing, backup and interfaces with field or operational systems.</x:v>
      </x:c>
      <x:c r="AF119" s="2" t="str">
        <x:v>For Runoff control structures to temporarily store rainfall, software-related energy is electricity for sensing, computing, storage, communication and cooling; it is normally secondary but must be included for data-intensive or continuous services.</x:v>
      </x:c>
      <x:c r="AG119" s="2" t="str">
        <x:v>The non-physical inputs are calibrated data, metadata, algorithms, boundary conditions, emission or hazard factors, manuals and validation records specific to Runoff control structures to temporarily store rainfall.</x:v>
      </x:c>
      <x:c r="AH119" s="2" t="str">
        <x:v>Software continuity for Runoff control structures to temporarily store rainfall requires licences where applicable, updates, cybersecurity patches, backups, calibration files, model validation and technical support.</x:v>
      </x:c>
      <x:c r="AI119" s="2" t="str">
        <x:v>Orgware depends on the institutions, laboratories, training providers, regulators, operators and community interfaces needed to govern Runoff control structures to temporarily store rainfall.</x:v>
      </x:c>
      <x:c r="AJ119" s="2" t="str">
        <x:v>The orgware supporting Runoff control structures to temporarily store rainfall has mainly indirect energy use from offices, meetings, training and information systems; travel and field supervision may be material at dispersed sites.</x:v>
      </x:c>
      <x:c r="AK119" s="2" t="str">
        <x:v>Its organisational inputs are permits, budgets, trained staff, competence records, contracts, procedures, safeguards, monitoring evidence and stakeholder agreements tailored to Runoff control structures to temporarily store rainfall.</x:v>
      </x:c>
      <x:c r="AL119" s="2" t="str">
        <x:v>Sustained implementation of Runoff control structures to temporarily store rainfall requires procurement and service contracts, audit protocols, training material, reporting templates, insurance or guarantees and periodic independent review.</x:v>
      </x:c>
      <x:c r="AM119" s="2" t="str">
        <x:v>Iron ore / steel inputs; Copper; Tin</x:v>
      </x:c>
      <x:c r="AN119" s="2" t="str">
        <x:v>Australia; Brazil; China; Chile; Democratic Republic of the Congo; Peru; Indonesia; Myanmar</x:v>
      </x:c>
      <x:c r="AO119" s="2" t="str">
        <x:v>China; India; Japan; Chile; Democratic Republic of the Congo; Indonesia; Malaysia</x:v>
      </x:c>
      <x:c r="AP119" s="2" t="str">
        <x:v>Runoff control structures to temporarily store rainfall: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19" s="2" t="str">
        <x:v>2024–2025</x:v>
      </x:c>
      <x:c r="AR119" s="2" t="str">
        <x:v>https://pubs.usgs.gov/periodicals/mcs2026/mcs2026.pdf</x:v>
      </x:c>
    </x:row>
    <x:row r="120" ht="240" customHeight="1">
      <x:c r="A120" s="2" t="str">
        <x:v>ADP-0113</x:v>
      </x:c>
      <x:c r="B120" s="2" t="str">
        <x:v>Adaptation</x:v>
      </x:c>
      <x:c r="C120" s="2" t="str">
        <x:v>Water</x:v>
      </x:c>
      <x:c r="D120" s="2" t="str">
        <x:v>Urban storm water management</x:v>
      </x:c>
      <x:c r="E120" s="2" t="str">
        <x:v>Permeable parking lots</x:v>
      </x:c>
      <x:c r="F120" s="2" t="str">
        <x:v>Permeable parking lots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It slows, stores and infiltrates runoff through porous media, vegetation and soil–microbe processes, reducing peak flow while filtering sediments and selected pollutants.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20" s="2" t="str">
        <x:v>Flexible</x:v>
      </x:c>
      <x:c r="H120" s="2" t="str">
        <x:v>Permeable parking lots is transferable through configurable methods, rules and operating parameters. Its principle remains the same, but resource quality, climate, scale, interfaces and safety constraints must be recalculated for each deployment.</x:v>
      </x:c>
      <x:c r="I120" s="2" t="str">
        <x:v>Primarily soft, with physical support</x:v>
      </x:c>
      <x:c r="J120" s="2" t="str">
        <x:v>Permeable parking lots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20" s="2" t="str">
        <x:v>Operation</x:v>
      </x:c>
      <x:c r="L120" s="2" t="str">
        <x:v>Permeable parking lots is embodied mainly as an operating practice. The deliverable is accepted only when measurable service, quality, safety and climate-performance criteria are met under real conditions.</x:v>
      </x:c>
      <x:c r="M120" s="2" t="str">
        <x:v>Yes, subject to life-cycle safeguards</x:v>
      </x:c>
      <x:c r="N120" s="2" t="str">
        <x:v>Permeable parking lots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20" s="2" t="str">
        <x:v>Permeable parking lots: intakes, pipes, pumps, meters, valves, tanks, treatment units, drainage or flood structures, monitoring stations and nature-based elements as applicable.</x:v>
      </x:c>
      <x:c r="P120" s="2" t="str">
        <x:v>Permeable parking lots: water balance, hydraulic and hydrological modelling, demand forecasting, water-quality analysis, asset management, drought or flood rules and decision support.</x:v>
      </x:c>
      <x:c r="Q120" s="2" t="str">
        <x:v>Permeable parking lots: water rights and permits, utility responsibilities, basin governance, service standards, emergency protocols, tariffs, maintenance funding and stakeholder agreements.</x:v>
      </x:c>
      <x:c r="R120" s="2" t="str">
        <x:v>Permeable parking lots: catchment or coast, treatment and storage sites, conveyance and drainage network, power supply, laboratory, control room and safe access.</x:v>
      </x:c>
      <x:c r="S120" s="2" t="str">
        <x:v>Permeable parking lots: electricity or fuel for pumping, aeration, desalination, treatment and controls; gravity and ecosystem processes can reduce auxiliary demand.</x:v>
      </x:c>
      <x:c r="T120" s="2" t="str">
        <x:v>Permeable parking lots: concrete, steel, ductile iron or polymers, filter media, membranes, treatment chemicals, geotextiles, soil, rock and vegetation according to the measure.</x:v>
      </x:c>
      <x:c r="U120" s="2" t="str">
        <x:v>Permeable parking lots: pump and valve parts, seals, meters, sensors, membranes, lamps, filter media, dosing equipment, reagents and erosion-control materials.</x:v>
      </x:c>
      <x:c r="V120" s="2" t="str">
        <x:v>https://www.ctc-n.org/sites/default/files/resources/ctcn_taxonomy_0.pdf</x:v>
      </x:c>
      <x:c r="W120" s="2" t="str">
        <x:v>https://institutoagricoladepueblobello.edu.co/colegiapp/archivostemas/GUIA%209.%5B25%5D.pdf</x:v>
      </x:c>
      <x:c r="X120" s="2" t="str">
        <x:v>https://iiasa.ac.at/what-is-technology</x:v>
      </x:c>
      <x:c r="Y120" s="2" t="str">
        <x:v>https://www.unwater.org/water-facts/climate-change</x:v>
      </x:c>
      <x:c r="Z120" s="2" t="str">
        <x:v>Technology-specific analytical synthesis. The CTCN hierarchy is retained; classifications and component dependencies require validation against the selected design, site and supplier documentation before investment or policy use.</x:v>
      </x:c>
      <x:c r="AA120" s="2" t="str">
        <x:v>Physical deployment of Permeable parking lots requires catchment or coast, treatment and storage sites, conveyance and drainage network, power supply, laboratory, control room and safe access; interfaces, foundations, access and environmental protection are sized to the specific resource and design load.</x:v>
      </x:c>
      <x:c r="AB120" s="2" t="str">
        <x:v>For Permeable parking lots,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20" s="2" t="str">
        <x:v>Construction and operation use concrete, steel, ductile iron or polymers, filter media, membranes, treatment chemicals, geotextiles, soil, rock and vegetation according to the measure. For Permeable parking lots, specifications must include durability, compatibility, recycled content and recoverability.</x:v>
      </x:c>
      <x:c r="AD120" s="2" t="str">
        <x:v>Maintenance of Permeable parking lots depends on pump and valve parts, seals, meters, sensors, membranes, lamps, filter media, dosing equipment, reagents and erosion-control materials; critical spares are selected from failure-mode, lead-time and safety analysis for its installed configuration.</x:v>
      </x:c>
      <x:c r="AE120" s="2" t="str">
        <x:v>The software stack for Permeable parking lots requires databases, secure communications, version-controlled models, computing, backup and interfaces with field or operational systems.</x:v>
      </x:c>
      <x:c r="AF120" s="2" t="str">
        <x:v>For Permeable parking lots, software-related energy is electricity for sensing, computing, storage, communication and cooling; it is normally secondary but must be included for data-intensive or continuous services.</x:v>
      </x:c>
      <x:c r="AG120" s="2" t="str">
        <x:v>The non-physical inputs are calibrated data, metadata, algorithms, boundary conditions, emission or hazard factors, manuals and validation records specific to Permeable parking lots.</x:v>
      </x:c>
      <x:c r="AH120" s="2" t="str">
        <x:v>Software continuity for Permeable parking lots requires licences where applicable, updates, cybersecurity patches, backups, calibration files, model validation and technical support.</x:v>
      </x:c>
      <x:c r="AI120" s="2" t="str">
        <x:v>Orgware depends on the institutions, laboratories, training providers, regulators, operators and community interfaces needed to govern Permeable parking lots.</x:v>
      </x:c>
      <x:c r="AJ120" s="2" t="str">
        <x:v>The orgware supporting Permeable parking lots has mainly indirect energy use from offices, meetings, training and information systems; travel and field supervision may be material at dispersed sites.</x:v>
      </x:c>
      <x:c r="AK120" s="2" t="str">
        <x:v>Its organisational inputs are permits, budgets, trained staff, competence records, contracts, procedures, safeguards, monitoring evidence and stakeholder agreements tailored to Permeable parking lots.</x:v>
      </x:c>
      <x:c r="AL120" s="2" t="str">
        <x:v>Sustained implementation of Permeable parking lots requires procurement and service contracts, audit protocols, training material, reporting templates, insurance or guarantees and periodic independent review.</x:v>
      </x:c>
      <x:c r="AM120" s="2" t="str">
        <x:v>Iron ore / steel inputs</x:v>
      </x:c>
      <x:c r="AN120" s="2" t="str">
        <x:v>Australia; Brazil; China</x:v>
      </x:c>
      <x:c r="AO120" s="2" t="str">
        <x:v>China; India; Japan</x:v>
      </x:c>
      <x:c r="AP120" s="2" t="str">
        <x:v>Permeable parking lots: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0" s="2" t="str">
        <x:v>2024–2025</x:v>
      </x:c>
      <x:c r="AR120" s="2" t="str">
        <x:v>https://pubs.usgs.gov/periodicals/mcs2026/mcs2026.pdf</x:v>
      </x:c>
    </x:row>
    <x:row r="121" ht="240" customHeight="1">
      <x:c r="A121" s="2" t="str">
        <x:v>ADP-0114</x:v>
      </x:c>
      <x:c r="B121" s="2" t="str">
        <x:v>Adaptation</x:v>
      </x:c>
      <x:c r="C121" s="2" t="str">
        <x:v>Water</x:v>
      </x:c>
      <x:c r="D121" s="2" t="str">
        <x:v>Urban storm water management</x:v>
      </x:c>
      <x:c r="E121" s="2" t="str">
        <x:v>Drainage gradient</x:v>
      </x:c>
      <x:c r="F121" s="2" t="str">
        <x:v>Drainage gradient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Drainage gradient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21" s="2" t="str">
        <x:v>Flexible</x:v>
      </x:c>
      <x:c r="H121" s="2" t="str">
        <x:v>Drainage gradient is transferable through configurable methods, rules and operating parameters. Its principle remains the same, but resource quality, climate, scale, interfaces and safety constraints must be recalculated for each deployment.</x:v>
      </x:c>
      <x:c r="I121" s="2" t="str">
        <x:v>Primarily soft, with physical support</x:v>
      </x:c>
      <x:c r="J121" s="2" t="str">
        <x:v>Drainage gradient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21" s="2" t="str">
        <x:v>Operation</x:v>
      </x:c>
      <x:c r="L121" s="2" t="str">
        <x:v>Drainage gradient is embodied mainly as an operating practice. The deliverable is accepted only when measurable service, quality, safety and climate-performance criteria are met under real conditions.</x:v>
      </x:c>
      <x:c r="M121" s="2" t="str">
        <x:v>Yes, subject to life-cycle safeguards</x:v>
      </x:c>
      <x:c r="N121" s="2" t="str">
        <x:v>Drainage gradient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21" s="2" t="str">
        <x:v>Drainage gradient: intakes, pipes, pumps, meters, valves, tanks, treatment units, drainage or flood structures, monitoring stations and nature-based elements as applicable.</x:v>
      </x:c>
      <x:c r="P121" s="2" t="str">
        <x:v>Drainage gradient: water balance, hydraulic and hydrological modelling, demand forecasting, water-quality analysis, asset management, drought or flood rules and decision support.</x:v>
      </x:c>
      <x:c r="Q121" s="2" t="str">
        <x:v>Drainage gradient: water rights and permits, utility responsibilities, basin governance, service standards, emergency protocols, tariffs, maintenance funding and stakeholder agreements.</x:v>
      </x:c>
      <x:c r="R121" s="2" t="str">
        <x:v>Drainage gradient: catchment or coast, treatment and storage sites, conveyance and drainage network, power supply, laboratory, control room and safe access.</x:v>
      </x:c>
      <x:c r="S121" s="2" t="str">
        <x:v>Drainage gradient: electricity or fuel for pumping, aeration, desalination, treatment and controls; gravity and ecosystem processes can reduce auxiliary demand.</x:v>
      </x:c>
      <x:c r="T121" s="2" t="str">
        <x:v>Drainage gradient: concrete, steel, ductile iron or polymers, filter media, membranes, treatment chemicals, geotextiles, soil, rock and vegetation according to the measure.</x:v>
      </x:c>
      <x:c r="U121" s="2" t="str">
        <x:v>Drainage gradient: pump and valve parts, seals, meters, sensors, membranes, lamps, filter media, dosing equipment, reagents and erosion-control materials.</x:v>
      </x:c>
      <x:c r="V121" s="2" t="str">
        <x:v>https://www.ctc-n.org/sites/default/files/resources/ctcn_taxonomy_0.pdf</x:v>
      </x:c>
      <x:c r="W121" s="2" t="str">
        <x:v>https://institutoagricoladepueblobello.edu.co/colegiapp/archivostemas/GUIA%209.%5B25%5D.pdf</x:v>
      </x:c>
      <x:c r="X121" s="2" t="str">
        <x:v>https://iiasa.ac.at/what-is-technology</x:v>
      </x:c>
      <x:c r="Y121" s="2" t="str">
        <x:v>https://www.unwater.org/water-facts/climate-change</x:v>
      </x:c>
      <x:c r="Z121" s="2" t="str">
        <x:v>Technology-specific analytical synthesis. The CTCN hierarchy is retained; classifications and component dependencies require validation against the selected design, site and supplier documentation before investment or policy use.</x:v>
      </x:c>
      <x:c r="AA121" s="2" t="str">
        <x:v>Physical deployment of Drainage gradient requires catchment or coast, treatment and storage sites, conveyance and drainage network, power supply, laboratory, control room and safe access; interfaces, foundations, access and environmental protection are sized to the specific resource and design load.</x:v>
      </x:c>
      <x:c r="AB121" s="2" t="str">
        <x:v>For Drainage gradient,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21" s="2" t="str">
        <x:v>Construction and operation use concrete, steel, ductile iron or polymers, filter media, membranes, treatment chemicals, geotextiles, soil, rock and vegetation according to the measure. For Drainage gradient, specifications must include durability, compatibility, recycled content and recoverability.</x:v>
      </x:c>
      <x:c r="AD121" s="2" t="str">
        <x:v>Maintenance of Drainage gradient depends on pump and valve parts, seals, meters, sensors, membranes, lamps, filter media, dosing equipment, reagents and erosion-control materials; critical spares are selected from failure-mode, lead-time and safety analysis for its installed configuration.</x:v>
      </x:c>
      <x:c r="AE121" s="2" t="str">
        <x:v>The software stack for Drainage gradient requires databases, secure communications, version-controlled models, computing, backup and interfaces with field or operational systems.</x:v>
      </x:c>
      <x:c r="AF121" s="2" t="str">
        <x:v>For Drainage gradient, software-related energy is electricity for sensing, computing, storage, communication and cooling; it is normally secondary but must be included for data-intensive or continuous services.</x:v>
      </x:c>
      <x:c r="AG121" s="2" t="str">
        <x:v>The non-physical inputs are calibrated data, metadata, algorithms, boundary conditions, emission or hazard factors, manuals and validation records specific to Drainage gradient.</x:v>
      </x:c>
      <x:c r="AH121" s="2" t="str">
        <x:v>Software continuity for Drainage gradient requires licences where applicable, updates, cybersecurity patches, backups, calibration files, model validation and technical support.</x:v>
      </x:c>
      <x:c r="AI121" s="2" t="str">
        <x:v>Orgware depends on the institutions, laboratories, training providers, regulators, operators and community interfaces needed to govern Drainage gradient.</x:v>
      </x:c>
      <x:c r="AJ121" s="2" t="str">
        <x:v>The orgware supporting Drainage gradient has mainly indirect energy use from offices, meetings, training and information systems; travel and field supervision may be material at dispersed sites.</x:v>
      </x:c>
      <x:c r="AK121" s="2" t="str">
        <x:v>Its organisational inputs are permits, budgets, trained staff, competence records, contracts, procedures, safeguards, monitoring evidence and stakeholder agreements tailored to Drainage gradient.</x:v>
      </x:c>
      <x:c r="AL121" s="2" t="str">
        <x:v>Sustained implementation of Drainage gradient requires procurement and service contracts, audit protocols, training material, reporting templates, insurance or guarantees and periodic independent review.</x:v>
      </x:c>
      <x:c r="AM121" s="2" t="str">
        <x:v>Iron ore / steel inputs; Limestone / cement raw materials</x:v>
      </x:c>
      <x:c r="AN121" s="2" t="str">
        <x:v>Australia; Brazil; China; India; Vietnam</x:v>
      </x:c>
      <x:c r="AO121" s="2" t="str">
        <x:v>China; India; Japan; Vietnam</x:v>
      </x:c>
      <x:c r="AP121" s="2" t="str">
        <x:v>Drainage gradient: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1" s="2" t="str">
        <x:v>2024–2025</x:v>
      </x:c>
      <x:c r="AR121" s="2" t="str">
        <x:v>https://pubs.usgs.gov/periodicals/mcs2026/mcs2026.pdf</x:v>
      </x:c>
    </x:row>
    <x:row r="122" ht="240" customHeight="1">
      <x:c r="A122" s="2" t="str">
        <x:v>ADP-0115</x:v>
      </x:c>
      <x:c r="B122" s="2" t="str">
        <x:v>Adaptation</x:v>
      </x:c>
      <x:c r="C122" s="2" t="str">
        <x:v>Water</x:v>
      </x:c>
      <x:c r="D122" s="2" t="str">
        <x:v>Urban storm water management</x:v>
      </x:c>
      <x:c r="E122" s="2" t="str">
        <x:v>Bioswales</x:v>
      </x:c>
      <x:c r="F122" s="2" t="str">
        <x:v>Bioswales is a adaptation technology in the Water sector and the Urban storm water management technology group. It is defined as a combined hardware–software–orgware system that manages water quantity, quality, timing or exposure through demand reduction, capture, storage, treatment, allocation, hydraulic protection and ecosystem functions. It slows, stores and infiltrates runoff through porous media, vegetation and soil–microbe processes, reducing peak flow while filtering sediments and selected pollutants.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22" s="2" t="str">
        <x:v>Flexible</x:v>
      </x:c>
      <x:c r="H122" s="2" t="str">
        <x:v>Bioswales is transferable through configurable methods, rules and operating parameters. Its principle remains the same, but resource quality, climate, scale, interfaces and safety constraints must be recalculated for each deployment.</x:v>
      </x:c>
      <x:c r="I122" s="2" t="str">
        <x:v>Primarily soft, with physical support</x:v>
      </x:c>
      <x:c r="J122" s="2" t="str">
        <x:v>Bioswales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22" s="2" t="str">
        <x:v>Operation</x:v>
      </x:c>
      <x:c r="L122" s="2" t="str">
        <x:v>Bioswales is embodied mainly as an operating practice. The deliverable is accepted only when measurable service, quality, safety and climate-performance criteria are met under real conditions.</x:v>
      </x:c>
      <x:c r="M122" s="2" t="str">
        <x:v>Yes, subject to life-cycle safeguards</x:v>
      </x:c>
      <x:c r="N122" s="2" t="str">
        <x:v>Bioswales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22" s="2" t="str">
        <x:v>Bioswales: intakes, pipes, pumps, meters, valves, tanks, treatment units, drainage or flood structures, monitoring stations and nature-based elements as applicable.</x:v>
      </x:c>
      <x:c r="P122" s="2" t="str">
        <x:v>Bioswales: water balance, hydraulic and hydrological modelling, demand forecasting, water-quality analysis, asset management, drought or flood rules and decision support.</x:v>
      </x:c>
      <x:c r="Q122" s="2" t="str">
        <x:v>Bioswales: water rights and permits, utility responsibilities, basin governance, service standards, emergency protocols, tariffs, maintenance funding and stakeholder agreements.</x:v>
      </x:c>
      <x:c r="R122" s="2" t="str">
        <x:v>Bioswales: catchment or coast, treatment and storage sites, conveyance and drainage network, power supply, laboratory, control room and safe access.</x:v>
      </x:c>
      <x:c r="S122" s="2" t="str">
        <x:v>Bioswales: electricity or fuel for pumping, aeration, desalination, treatment and controls; gravity and ecosystem processes can reduce auxiliary demand.</x:v>
      </x:c>
      <x:c r="T122" s="2" t="str">
        <x:v>Bioswales: concrete, steel, ductile iron or polymers, filter media, membranes, treatment chemicals, geotextiles, soil, rock and vegetation according to the measure.</x:v>
      </x:c>
      <x:c r="U122" s="2" t="str">
        <x:v>Bioswales: pump and valve parts, seals, meters, sensors, membranes, lamps, filter media, dosing equipment, reagents and erosion-control materials.</x:v>
      </x:c>
      <x:c r="V122" s="2" t="str">
        <x:v>https://www.ctc-n.org/sites/default/files/resources/ctcn_taxonomy_0.pdf</x:v>
      </x:c>
      <x:c r="W122" s="2" t="str">
        <x:v>https://institutoagricoladepueblobello.edu.co/colegiapp/archivostemas/GUIA%209.%5B25%5D.pdf</x:v>
      </x:c>
      <x:c r="X122" s="2" t="str">
        <x:v>https://iiasa.ac.at/what-is-technology</x:v>
      </x:c>
      <x:c r="Y122" s="2" t="str">
        <x:v>https://www.unwater.org/water-facts/climate-change</x:v>
      </x:c>
      <x:c r="Z122" s="2" t="str">
        <x:v>Technology-specific analytical synthesis. The CTCN hierarchy is retained; classifications and component dependencies require validation against the selected design, site and supplier documentation before investment or policy use.</x:v>
      </x:c>
      <x:c r="AA122" s="2" t="str">
        <x:v>Physical deployment of Bioswales requires catchment or coast, treatment and storage sites, conveyance and drainage network, power supply, laboratory, control room and safe access; interfaces, foundations, access and environmental protection are sized to the specific resource and design load.</x:v>
      </x:c>
      <x:c r="AB122" s="2" t="str">
        <x:v>For Bioswales,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22" s="2" t="str">
        <x:v>Construction and operation use concrete, steel, ductile iron or polymers, filter media, membranes, treatment chemicals, geotextiles, soil, rock and vegetation according to the measure. For Bioswales, specifications must include durability, compatibility, recycled content and recoverability.</x:v>
      </x:c>
      <x:c r="AD122" s="2" t="str">
        <x:v>Maintenance of Bioswales depends on pump and valve parts, seals, meters, sensors, membranes, lamps, filter media, dosing equipment, reagents and erosion-control materials; critical spares are selected from failure-mode, lead-time and safety analysis for its installed configuration.</x:v>
      </x:c>
      <x:c r="AE122" s="2" t="str">
        <x:v>The software stack for Bioswales requires databases, secure communications, version-controlled models, computing, backup and interfaces with field or operational systems.</x:v>
      </x:c>
      <x:c r="AF122" s="2" t="str">
        <x:v>For Bioswales, software-related energy is electricity for sensing, computing, storage, communication and cooling; it is normally secondary but must be included for data-intensive or continuous services.</x:v>
      </x:c>
      <x:c r="AG122" s="2" t="str">
        <x:v>The non-physical inputs are calibrated data, metadata, algorithms, boundary conditions, emission or hazard factors, manuals and validation records specific to Bioswales.</x:v>
      </x:c>
      <x:c r="AH122" s="2" t="str">
        <x:v>Software continuity for Bioswales requires licences where applicable, updates, cybersecurity patches, backups, calibration files, model validation and technical support.</x:v>
      </x:c>
      <x:c r="AI122" s="2" t="str">
        <x:v>Orgware depends on the institutions, laboratories, training providers, regulators, operators and community interfaces needed to govern Bioswales.</x:v>
      </x:c>
      <x:c r="AJ122" s="2" t="str">
        <x:v>The orgware supporting Bioswales has mainly indirect energy use from offices, meetings, training and information systems; travel and field supervision may be material at dispersed sites.</x:v>
      </x:c>
      <x:c r="AK122" s="2" t="str">
        <x:v>Its organisational inputs are permits, budgets, trained staff, competence records, contracts, procedures, safeguards, monitoring evidence and stakeholder agreements tailored to Bioswales.</x:v>
      </x:c>
      <x:c r="AL122" s="2" t="str">
        <x:v>Sustained implementation of Bioswales requires procurement and service contracts, audit protocols, training material, reporting templates, insurance or guarantees and periodic independent review.</x:v>
      </x:c>
      <x:c r="AM122" s="2" t="str">
        <x:v>Iron ore / steel inputs</x:v>
      </x:c>
      <x:c r="AN122" s="2" t="str">
        <x:v>Australia; Brazil; China</x:v>
      </x:c>
      <x:c r="AO122" s="2" t="str">
        <x:v>China; India; Japan</x:v>
      </x:c>
      <x:c r="AP122" s="2" t="str">
        <x:v>Bioswales: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2" s="2" t="str">
        <x:v>2024–2025</x:v>
      </x:c>
      <x:c r="AR122" s="2" t="str">
        <x:v>https://pubs.usgs.gov/periodicals/mcs2026/mcs2026.pdf</x:v>
      </x:c>
    </x:row>
    <x:row r="123" ht="240" customHeight="1">
      <x:c r="A123" s="2" t="str">
        <x:v>ADP-0116</x:v>
      </x:c>
      <x:c r="B123" s="2" t="str">
        <x:v>Adaptation</x:v>
      </x:c>
      <x:c r="C123" s="2" t="str">
        <x:v>Water</x:v>
      </x:c>
      <x:c r="D123" s="2" t="str">
        <x:v>Water storage</x:v>
      </x:c>
      <x:c r="E123" s="2" t="str">
        <x:v>Ponds and tanks</x:v>
      </x:c>
      <x:c r="F123" s="2" t="str">
        <x:v>Ponds and tanks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Ponds and tanks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23" s="2" t="str">
        <x:v>Mixed: adaptable design, site-specific implementation</x:v>
      </x:c>
      <x:c r="H123" s="2" t="str">
        <x:v>Ponds and tanks is adaptable in capacity and configuration but site-specific in final engineering. Its principle remains the same, but resource quality, climate, scale, interfaces and safety constraints must be recalculated for each deployment.</x:v>
      </x:c>
      <x:c r="I123" s="2" t="str">
        <x:v>Primarily hard, with a soft component</x:v>
      </x:c>
      <x:c r="J123" s="2" t="str">
        <x:v>Ponds and tanks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23" s="2" t="str">
        <x:v>Equipment and operation</x:v>
      </x:c>
      <x:c r="L123" s="2" t="str">
        <x:v>Ponds and tanks is embodied mainly as an equipment-and-operation system. The deliverable is accepted only when measurable service, quality, safety and climate-performance criteria are met under real conditions.</x:v>
      </x:c>
      <x:c r="M123" s="2" t="str">
        <x:v>Yes, subject to life-cycle safeguards</x:v>
      </x:c>
      <x:c r="N123" s="2" t="str">
        <x:v>Ponds and tanks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23" s="2" t="str">
        <x:v>Ponds and tanks: intakes, pipes, pumps, meters, valves, tanks, treatment units, drainage or flood structures, monitoring stations and nature-based elements as applicable.</x:v>
      </x:c>
      <x:c r="P123" s="2" t="str">
        <x:v>Ponds and tanks: water balance, hydraulic and hydrological modelling, demand forecasting, water-quality analysis, asset management, drought or flood rules and decision support.</x:v>
      </x:c>
      <x:c r="Q123" s="2" t="str">
        <x:v>Ponds and tanks: water rights and permits, utility responsibilities, basin governance, service standards, emergency protocols, tariffs, maintenance funding and stakeholder agreements.</x:v>
      </x:c>
      <x:c r="R123" s="2" t="str">
        <x:v>Ponds and tanks: catchment or coast, treatment and storage sites, conveyance and drainage network, power supply, laboratory, control room and safe access.</x:v>
      </x:c>
      <x:c r="S123" s="2" t="str">
        <x:v>Ponds and tanks: electricity or fuel for pumping, aeration, desalination, treatment and controls; gravity and ecosystem processes can reduce auxiliary demand.</x:v>
      </x:c>
      <x:c r="T123" s="2" t="str">
        <x:v>Ponds and tanks: concrete, steel, ductile iron or polymers, filter media, membranes, treatment chemicals, geotextiles, soil, rock and vegetation according to the measure.</x:v>
      </x:c>
      <x:c r="U123" s="2" t="str">
        <x:v>Ponds and tanks: pump and valve parts, seals, meters, sensors, membranes, lamps, filter media, dosing equipment, reagents and erosion-control materials.</x:v>
      </x:c>
      <x:c r="V123" s="2" t="str">
        <x:v>https://www.ctc-n.org/sites/default/files/resources/ctcn_taxonomy_0.pdf</x:v>
      </x:c>
      <x:c r="W123" s="2" t="str">
        <x:v>https://institutoagricoladepueblobello.edu.co/colegiapp/archivostemas/GUIA%209.%5B25%5D.pdf</x:v>
      </x:c>
      <x:c r="X123" s="2" t="str">
        <x:v>https://iiasa.ac.at/what-is-technology</x:v>
      </x:c>
      <x:c r="Y123" s="2" t="str">
        <x:v>https://www.unwater.org/water-facts/climate-change</x:v>
      </x:c>
      <x:c r="Z123" s="2" t="str">
        <x:v>Technology-specific analytical synthesis. The CTCN hierarchy is retained; classifications and component dependencies require validation against the selected design, site and supplier documentation before investment or policy use.</x:v>
      </x:c>
      <x:c r="AA123" s="2" t="str">
        <x:v>Physical deployment of Ponds and tanks requires catchment or coast, treatment and storage sites, conveyance and drainage network, power supply, laboratory, control room and safe access; interfaces, foundations, access and environmental protection are sized to the specific resource and design load.</x:v>
      </x:c>
      <x:c r="AB123" s="2" t="str">
        <x:v>For Ponds and tanks,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23" s="2" t="str">
        <x:v>Construction and operation use concrete, steel, ductile iron or polymers, filter media, membranes, treatment chemicals, geotextiles, soil, rock and vegetation according to the measure. For Ponds and tanks, specifications must include durability, compatibility, recycled content and recoverability.</x:v>
      </x:c>
      <x:c r="AD123" s="2" t="str">
        <x:v>Maintenance of Ponds and tanks depends on pump and valve parts, seals, meters, sensors, membranes, lamps, filter media, dosing equipment, reagents and erosion-control materials; critical spares are selected from failure-mode, lead-time and safety analysis for its installed configuration.</x:v>
      </x:c>
      <x:c r="AE123" s="2" t="str">
        <x:v>The software stack for Ponds and tanks requires databases, secure communications, version-controlled models, computing, backup and interfaces with field or operational systems.</x:v>
      </x:c>
      <x:c r="AF123" s="2" t="str">
        <x:v>For Ponds and tanks, software-related energy is electricity for sensing, computing, storage, communication and cooling; it is normally secondary but must be included for data-intensive or continuous services.</x:v>
      </x:c>
      <x:c r="AG123" s="2" t="str">
        <x:v>The non-physical inputs are calibrated data, metadata, algorithms, boundary conditions, emission or hazard factors, manuals and validation records specific to Ponds and tanks.</x:v>
      </x:c>
      <x:c r="AH123" s="2" t="str">
        <x:v>Software continuity for Ponds and tanks requires licences where applicable, updates, cybersecurity patches, backups, calibration files, model validation and technical support.</x:v>
      </x:c>
      <x:c r="AI123" s="2" t="str">
        <x:v>Orgware depends on the institutions, laboratories, training providers, regulators, operators and community interfaces needed to govern Ponds and tanks.</x:v>
      </x:c>
      <x:c r="AJ123" s="2" t="str">
        <x:v>The orgware supporting Ponds and tanks has mainly indirect energy use from offices, meetings, training and information systems; travel and field supervision may be material at dispersed sites.</x:v>
      </x:c>
      <x:c r="AK123" s="2" t="str">
        <x:v>Its organisational inputs are permits, budgets, trained staff, competence records, contracts, procedures, safeguards, monitoring evidence and stakeholder agreements tailored to Ponds and tanks.</x:v>
      </x:c>
      <x:c r="AL123" s="2" t="str">
        <x:v>Sustained implementation of Ponds and tanks requires procurement and service contracts, audit protocols, training material, reporting templates, insurance or guarantees and periodic independent review.</x:v>
      </x:c>
      <x:c r="AM123" s="2" t="str">
        <x:v>Iron ore / steel inputs</x:v>
      </x:c>
      <x:c r="AN123" s="2" t="str">
        <x:v>Australia; Brazil; China</x:v>
      </x:c>
      <x:c r="AO123" s="2" t="str">
        <x:v>China; India; Japan</x:v>
      </x:c>
      <x:c r="AP123" s="2" t="str">
        <x:v>Ponds and tanks: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3" s="2" t="str">
        <x:v>2024–2025</x:v>
      </x:c>
      <x:c r="AR123" s="2" t="str">
        <x:v>https://pubs.usgs.gov/periodicals/mcs2026/mcs2026.pdf</x:v>
      </x:c>
    </x:row>
    <x:row r="124" ht="240" customHeight="1">
      <x:c r="A124" s="2" t="str">
        <x:v>ADP-0117</x:v>
      </x:c>
      <x:c r="B124" s="2" t="str">
        <x:v>Adaptation</x:v>
      </x:c>
      <x:c r="C124" s="2" t="str">
        <x:v>Water</x:v>
      </x:c>
      <x:c r="D124" s="2" t="str">
        <x:v>Water storage</x:v>
      </x:c>
      <x:c r="E124" s="2" t="str">
        <x:v>Natural wetlands and green infrastructure</x:v>
      </x:c>
      <x:c r="F124" s="2" t="str">
        <x:v>Natural wetlands and green infrastructure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It slows, stores and infiltrates runoff through porous media, vegetation and soil–microbe processes, reducing peak flow while filtering sediments and selected pollutants.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24" s="2" t="str">
        <x:v>Mixed: adaptable design, site-specific implementation</x:v>
      </x:c>
      <x:c r="H124" s="2" t="str">
        <x:v>Natural wetlands and green infrastructure is adaptable in capacity and configuration but site-specific in final engineering. Its principle remains the same, but resource quality, climate, scale, interfaces and safety constraints must be recalculated for each deployment.</x:v>
      </x:c>
      <x:c r="I124" s="2" t="str">
        <x:v>Primarily hard, with a soft component</x:v>
      </x:c>
      <x:c r="J124" s="2" t="str">
        <x:v>Natural wetlands and green infrastructure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24" s="2" t="str">
        <x:v>Equipment and operation</x:v>
      </x:c>
      <x:c r="L124" s="2" t="str">
        <x:v>Natural wetlands and green infrastructure is embodied mainly as an equipment-and-operation system. The deliverable is accepted only when measurable service, quality, safety and climate-performance criteria are met under real conditions.</x:v>
      </x:c>
      <x:c r="M124" s="2" t="str">
        <x:v>Yes, subject to life-cycle safeguards</x:v>
      </x:c>
      <x:c r="N124" s="2" t="str">
        <x:v>Natural wetlands and green infrastructure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24" s="2" t="str">
        <x:v>Natural wetlands and green infrastructure: intakes, pipes, pumps, meters, valves, tanks, treatment units, drainage or flood structures, monitoring stations and nature-based elements as applicable.</x:v>
      </x:c>
      <x:c r="P124" s="2" t="str">
        <x:v>Natural wetlands and green infrastructure: water balance, hydraulic and hydrological modelling, demand forecasting, water-quality analysis, asset management, drought or flood rules and decision support.</x:v>
      </x:c>
      <x:c r="Q124" s="2" t="str">
        <x:v>Natural wetlands and green infrastructure: water rights and permits, utility responsibilities, basin governance, service standards, emergency protocols, tariffs, maintenance funding and stakeholder agreements.</x:v>
      </x:c>
      <x:c r="R124" s="2" t="str">
        <x:v>Natural wetlands and green infrastructure: catchment or coast, treatment and storage sites, conveyance and drainage network, power supply, laboratory, control room and safe access.</x:v>
      </x:c>
      <x:c r="S124" s="2" t="str">
        <x:v>Natural wetlands and green infrastructure: electricity or fuel for pumping, aeration, desalination, treatment and controls; gravity and ecosystem processes can reduce auxiliary demand.</x:v>
      </x:c>
      <x:c r="T124" s="2" t="str">
        <x:v>Natural wetlands and green infrastructure: concrete, steel, ductile iron or polymers, filter media, membranes, treatment chemicals, geotextiles, soil, rock and vegetation according to the measure.</x:v>
      </x:c>
      <x:c r="U124" s="2" t="str">
        <x:v>Natural wetlands and green infrastructure: pump and valve parts, seals, meters, sensors, membranes, lamps, filter media, dosing equipment, reagents and erosion-control materials.</x:v>
      </x:c>
      <x:c r="V124" s="2" t="str">
        <x:v>https://www.ctc-n.org/sites/default/files/resources/ctcn_taxonomy_0.pdf</x:v>
      </x:c>
      <x:c r="W124" s="2" t="str">
        <x:v>https://institutoagricoladepueblobello.edu.co/colegiapp/archivostemas/GUIA%209.%5B25%5D.pdf</x:v>
      </x:c>
      <x:c r="X124" s="2" t="str">
        <x:v>https://iiasa.ac.at/what-is-technology</x:v>
      </x:c>
      <x:c r="Y124" s="2" t="str">
        <x:v>https://www.unwater.org/water-facts/climate-change</x:v>
      </x:c>
      <x:c r="Z124" s="2" t="str">
        <x:v>Technology-specific analytical synthesis. The CTCN hierarchy is retained; classifications and component dependencies require validation against the selected design, site and supplier documentation before investment or policy use.</x:v>
      </x:c>
      <x:c r="AA124" s="2" t="str">
        <x:v>Physical deployment of Natural wetlands and green infrastructure requires catchment or coast, treatment and storage sites, conveyance and drainage network, power supply, laboratory, control room and safe access; interfaces, foundations, access and environmental protection are sized to the specific resource and design load.</x:v>
      </x:c>
      <x:c r="AB124" s="2" t="str">
        <x:v>For Natural wetlands and green infrastructure,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24" s="2" t="str">
        <x:v>Construction and operation use concrete, steel, ductile iron or polymers, filter media, membranes, treatment chemicals, geotextiles, soil, rock and vegetation according to the measure. For Natural wetlands and green infrastructure, specifications must include durability, compatibility, recycled content and recoverability.</x:v>
      </x:c>
      <x:c r="AD124" s="2" t="str">
        <x:v>Maintenance of Natural wetlands and green infrastructure depends on pump and valve parts, seals, meters, sensors, membranes, lamps, filter media, dosing equipment, reagents and erosion-control materials; critical spares are selected from failure-mode, lead-time and safety analysis for its installed configuration.</x:v>
      </x:c>
      <x:c r="AE124" s="2" t="str">
        <x:v>The software stack for Natural wetlands and green infrastructure requires databases, secure communications, version-controlled models, computing, backup and interfaces with field or operational systems.</x:v>
      </x:c>
      <x:c r="AF124" s="2" t="str">
        <x:v>For Natural wetlands and green infrastructure, software-related energy is electricity for sensing, computing, storage, communication and cooling; it is normally secondary but must be included for data-intensive or continuous services.</x:v>
      </x:c>
      <x:c r="AG124" s="2" t="str">
        <x:v>The non-physical inputs are calibrated data, metadata, algorithms, boundary conditions, emission or hazard factors, manuals and validation records specific to Natural wetlands and green infrastructure.</x:v>
      </x:c>
      <x:c r="AH124" s="2" t="str">
        <x:v>Software continuity for Natural wetlands and green infrastructure requires licences where applicable, updates, cybersecurity patches, backups, calibration files, model validation and technical support.</x:v>
      </x:c>
      <x:c r="AI124" s="2" t="str">
        <x:v>Orgware depends on the institutions, laboratories, training providers, regulators, operators and community interfaces needed to govern Natural wetlands and green infrastructure.</x:v>
      </x:c>
      <x:c r="AJ124" s="2" t="str">
        <x:v>The orgware supporting Natural wetlands and green infrastructure has mainly indirect energy use from offices, meetings, training and information systems; travel and field supervision may be material at dispersed sites.</x:v>
      </x:c>
      <x:c r="AK124" s="2" t="str">
        <x:v>Its organisational inputs are permits, budgets, trained staff, competence records, contracts, procedures, safeguards, monitoring evidence and stakeholder agreements tailored to Natural wetlands and green infrastructure.</x:v>
      </x:c>
      <x:c r="AL124" s="2" t="str">
        <x:v>Sustained implementation of Natural wetlands and green infrastructure requires procurement and service contracts, audit protocols, training material, reporting templates, insurance or guarantees and periodic independent review.</x:v>
      </x:c>
      <x:c r="AM124" s="2" t="str">
        <x:v>Iron ore / steel inputs; Limestone / cement raw materials</x:v>
      </x:c>
      <x:c r="AN124" s="2" t="str">
        <x:v>Australia; Brazil; China; India; Vietnam</x:v>
      </x:c>
      <x:c r="AO124" s="2" t="str">
        <x:v>China; India; Japan; Vietnam</x:v>
      </x:c>
      <x:c r="AP124" s="2" t="str">
        <x:v>Natural wetlands and green infrastructure: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4" s="2" t="str">
        <x:v>2024–2025</x:v>
      </x:c>
      <x:c r="AR124" s="2" t="str">
        <x:v>https://pubs.usgs.gov/periodicals/mcs2026/mcs2026.pdf</x:v>
      </x:c>
    </x:row>
    <x:row r="125" ht="240" customHeight="1">
      <x:c r="A125" s="2" t="str">
        <x:v>ADP-0118</x:v>
      </x:c>
      <x:c r="B125" s="2" t="str">
        <x:v>Adaptation</x:v>
      </x:c>
      <x:c r="C125" s="2" t="str">
        <x:v>Water</x:v>
      </x:c>
      <x:c r="D125" s="2" t="str">
        <x:v>Water storage</x:v>
      </x:c>
      <x:c r="E125" s="2" t="str">
        <x:v>Water reservoirs</x:v>
      </x:c>
      <x:c r="F125" s="2" t="str">
        <x:v>Water reservoirs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Water reservoirs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25" s="2" t="str">
        <x:v>Primarily fixed</x:v>
      </x:c>
      <x:c r="H125" s="2" t="str">
        <x:v>Water reservoirs is tied to long-lived, site-specific assets and design loads. Its principle remains the same, but resource quality, climate, scale, interfaces and safety constraints must be recalculated for each deployment.</x:v>
      </x:c>
      <x:c r="I125" s="2" t="str">
        <x:v>Primarily hard, with a soft component</x:v>
      </x:c>
      <x:c r="J125" s="2" t="str">
        <x:v>Water reservoirs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25" s="2" t="str">
        <x:v>Equipment and operation</x:v>
      </x:c>
      <x:c r="L125" s="2" t="str">
        <x:v>Water reservoirs is embodied mainly as an equipment-and-operation system. The deliverable is accepted only when measurable service, quality, safety and climate-performance criteria are met under real conditions.</x:v>
      </x:c>
      <x:c r="M125" s="2" t="str">
        <x:v>Yes, subject to life-cycle safeguards</x:v>
      </x:c>
      <x:c r="N125" s="2" t="str">
        <x:v>Water reservoirs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25" s="2" t="str">
        <x:v>Water reservoirs: intakes, pipes, pumps, meters, valves, tanks, treatment units, drainage or flood structures, monitoring stations and nature-based elements as applicable.</x:v>
      </x:c>
      <x:c r="P125" s="2" t="str">
        <x:v>Water reservoirs: water balance, hydraulic and hydrological modelling, demand forecasting, water-quality analysis, asset management, drought or flood rules and decision support.</x:v>
      </x:c>
      <x:c r="Q125" s="2" t="str">
        <x:v>Water reservoirs: water rights and permits, utility responsibilities, basin governance, service standards, emergency protocols, tariffs, maintenance funding and stakeholder agreements.</x:v>
      </x:c>
      <x:c r="R125" s="2" t="str">
        <x:v>Water reservoirs: catchment or coast, treatment and storage sites, conveyance and drainage network, power supply, laboratory, control room and safe access.</x:v>
      </x:c>
      <x:c r="S125" s="2" t="str">
        <x:v>Water reservoirs: electricity or fuel for pumping, aeration, desalination, treatment and controls; gravity and ecosystem processes can reduce auxiliary demand.</x:v>
      </x:c>
      <x:c r="T125" s="2" t="str">
        <x:v>Water reservoirs: concrete, steel, ductile iron or polymers, filter media, membranes, treatment chemicals, geotextiles, soil, rock and vegetation according to the measure.</x:v>
      </x:c>
      <x:c r="U125" s="2" t="str">
        <x:v>Water reservoirs: pump and valve parts, seals, meters, sensors, membranes, lamps, filter media, dosing equipment, reagents and erosion-control materials.</x:v>
      </x:c>
      <x:c r="V125" s="2" t="str">
        <x:v>https://www.ctc-n.org/sites/default/files/resources/ctcn_taxonomy_0.pdf</x:v>
      </x:c>
      <x:c r="W125" s="2" t="str">
        <x:v>https://institutoagricoladepueblobello.edu.co/colegiapp/archivostemas/GUIA%209.%5B25%5D.pdf</x:v>
      </x:c>
      <x:c r="X125" s="2" t="str">
        <x:v>https://iiasa.ac.at/what-is-technology</x:v>
      </x:c>
      <x:c r="Y125" s="2" t="str">
        <x:v>https://www.unwater.org/water-facts/climate-change</x:v>
      </x:c>
      <x:c r="Z125" s="2" t="str">
        <x:v>Technology-specific analytical synthesis. The CTCN hierarchy is retained; classifications and component dependencies require validation against the selected design, site and supplier documentation before investment or policy use.</x:v>
      </x:c>
      <x:c r="AA125" s="2" t="str">
        <x:v>Physical deployment of Water reservoirs requires catchment or coast, treatment and storage sites, conveyance and drainage network, power supply, laboratory, control room and safe access; interfaces, foundations, access and environmental protection are sized to the specific resource and design load.</x:v>
      </x:c>
      <x:c r="AB125" s="2" t="str">
        <x:v>For Water reservoirs,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25" s="2" t="str">
        <x:v>Construction and operation use concrete, steel, ductile iron or polymers, filter media, membranes, treatment chemicals, geotextiles, soil, rock and vegetation according to the measure. For Water reservoirs, specifications must include durability, compatibility, recycled content and recoverability.</x:v>
      </x:c>
      <x:c r="AD125" s="2" t="str">
        <x:v>Maintenance of Water reservoirs depends on pump and valve parts, seals, meters, sensors, membranes, lamps, filter media, dosing equipment, reagents and erosion-control materials; critical spares are selected from failure-mode, lead-time and safety analysis for its installed configuration.</x:v>
      </x:c>
      <x:c r="AE125" s="2" t="str">
        <x:v>The software stack for Water reservoirs requires databases, secure communications, version-controlled models, computing, backup and interfaces with field or operational systems.</x:v>
      </x:c>
      <x:c r="AF125" s="2" t="str">
        <x:v>For Water reservoirs, software-related energy is electricity for sensing, computing, storage, communication and cooling; it is normally secondary but must be included for data-intensive or continuous services.</x:v>
      </x:c>
      <x:c r="AG125" s="2" t="str">
        <x:v>The non-physical inputs are calibrated data, metadata, algorithms, boundary conditions, emission or hazard factors, manuals and validation records specific to Water reservoirs.</x:v>
      </x:c>
      <x:c r="AH125" s="2" t="str">
        <x:v>Software continuity for Water reservoirs requires licences where applicable, updates, cybersecurity patches, backups, calibration files, model validation and technical support.</x:v>
      </x:c>
      <x:c r="AI125" s="2" t="str">
        <x:v>Orgware depends on the institutions, laboratories, training providers, regulators, operators and community interfaces needed to govern Water reservoirs.</x:v>
      </x:c>
      <x:c r="AJ125" s="2" t="str">
        <x:v>The orgware supporting Water reservoirs has mainly indirect energy use from offices, meetings, training and information systems; travel and field supervision may be material at dispersed sites.</x:v>
      </x:c>
      <x:c r="AK125" s="2" t="str">
        <x:v>Its organisational inputs are permits, budgets, trained staff, competence records, contracts, procedures, safeguards, monitoring evidence and stakeholder agreements tailored to Water reservoirs.</x:v>
      </x:c>
      <x:c r="AL125" s="2" t="str">
        <x:v>Sustained implementation of Water reservoirs requires procurement and service contracts, audit protocols, training material, reporting templates, insurance or guarantees and periodic independent review.</x:v>
      </x:c>
      <x:c r="AM125" s="2" t="str">
        <x:v>Iron ore / steel inputs; Limestone / cement raw materials</x:v>
      </x:c>
      <x:c r="AN125" s="2" t="str">
        <x:v>Australia; Brazil; China; India; Vietnam</x:v>
      </x:c>
      <x:c r="AO125" s="2" t="str">
        <x:v>China; India; Japan; Vietnam</x:v>
      </x:c>
      <x:c r="AP125" s="2" t="str">
        <x:v>Water reservoirs: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5" s="2" t="str">
        <x:v>2024–2025</x:v>
      </x:c>
      <x:c r="AR125" s="2" t="str">
        <x:v>https://pubs.usgs.gov/periodicals/mcs2026/mcs2026.pdf</x:v>
      </x:c>
    </x:row>
    <x:row r="126" ht="240" customHeight="1">
      <x:c r="A126" s="2" t="str">
        <x:v>ADP-0119</x:v>
      </x:c>
      <x:c r="B126" s="2" t="str">
        <x:v>Adaptation</x:v>
      </x:c>
      <x:c r="C126" s="2" t="str">
        <x:v>Water</x:v>
      </x:c>
      <x:c r="D126" s="2" t="str">
        <x:v>Water storage</x:v>
      </x:c>
      <x:c r="E126" s="2" t="str">
        <x:v>Limiting land conversion &amp; deforestation</x:v>
      </x:c>
      <x:c r="F126" s="2" t="str">
        <x:v>Limiting land conversion &amp; deforestation is a adaptation technology in the Water sector and the Water storage technology group. It is defined as a combined hardware–software–orgware system that changes vegetation, soil, nutrient, water, crop or livestock management to protect carbon stocks, increase resilience and productivity, and reduce CO₂, CH₄ or N₂O emissions. Limiting land conversion &amp; deforestation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26" s="2" t="str">
        <x:v>Mixed: adaptable design, site-specific implementation</x:v>
      </x:c>
      <x:c r="H126" s="2" t="str">
        <x:v>Limiting land conversion &amp; deforestation is adaptable in capacity and configuration but site-specific in final engineering. Its principle remains the same, but resource quality, climate, scale, interfaces and safety constraints must be recalculated for each deployment.</x:v>
      </x:c>
      <x:c r="I126" s="2" t="str">
        <x:v>Primarily hard, with a soft component</x:v>
      </x:c>
      <x:c r="J126" s="2" t="str">
        <x:v>Limiting land conversion &amp; deforestation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26" s="2" t="str">
        <x:v>Operation</x:v>
      </x:c>
      <x:c r="L126" s="2" t="str">
        <x:v>Limiting land conversion &amp; deforestation is embodied mainly as an operating practice. The deliverable is accepted only when measurable service, quality, safety and climate-performance criteria are met under real conditions.</x:v>
      </x:c>
      <x:c r="M126" s="2" t="str">
        <x:v>Yes, subject to life-cycle safeguards</x:v>
      </x:c>
      <x:c r="N126" s="2" t="str">
        <x:v>Limiting land conversion &amp; deforestation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26" s="2" t="str">
        <x:v>Limiting land conversion &amp; deforestation: field or forest implements, planting and irrigation equipment, storage or livestock facilities, sampling tools, sensors and protective structures as required.</x:v>
      </x:c>
      <x:c r="P126" s="2" t="str">
        <x:v>Limiting land conversion &amp; deforestation: soil–crop–livestock knowledge, nutrient and water budgets, emission factors, carbon accounting, climate services, monitoring protocols and adaptive management.</x:v>
      </x:c>
      <x:c r="Q126" s="2" t="str">
        <x:v>Limiting land conversion &amp; deforestation: land tenure, extension, producer organisations, veterinary or phytosanitary services, incentives, safeguards, certification and monitoring arrangements.</x:v>
      </x:c>
      <x:c r="R126" s="2" t="str">
        <x:v>Limiting land conversion &amp; deforestation: nurseries or seed banks, field access, water and storage systems, laboratories, extension centres, monitoring plots and processing or market facilities.</x:v>
      </x:c>
      <x:c r="S126" s="2" t="str">
        <x:v>Limiting land conversion &amp; deforestation: human and mechanical work, electricity or fuel for machinery, pumping, cooling and processing; biological energy and solar radiation dominate field processes.</x:v>
      </x:c>
      <x:c r="T126" s="2" t="str">
        <x:v>Limiting land conversion &amp; deforestation: seed or planting stock, organic matter, fertilisers, soil amendments, water, fencing or structural materials, veterinary inputs and monitoring consumables.</x:v>
      </x:c>
      <x:c r="U126" s="2" t="str">
        <x:v>Limiting land conversion &amp; deforestation: seed, inoculants, filters, drip lines, nozzles, tool parts, sampling containers, sensor batteries, veterinary supplies and protective equipment.</x:v>
      </x:c>
      <x:c r="V126" s="2" t="str">
        <x:v>https://www.ctc-n.org/sites/default/files/resources/ctcn_taxonomy_0.pdf</x:v>
      </x:c>
      <x:c r="W126" s="2" t="str">
        <x:v>https://institutoagricoladepueblobello.edu.co/colegiapp/archivostemas/GUIA%209.%5B25%5D.pdf</x:v>
      </x:c>
      <x:c r="X126" s="2" t="str">
        <x:v>https://iiasa.ac.at/what-is-technology</x:v>
      </x:c>
      <x:c r="Y126" s="2" t="str">
        <x:v>https://www.unwater.org/water-facts/climate-change; https://www.ipcc.ch/report/ar6/wg3/chapter/chapter-7/; https://openknowledge.fao.org/server/api/core/bitstreams/b21f2087-f398-4718-8461-b92afc82e617/content</x:v>
      </x:c>
      <x:c r="Z126" s="2" t="str">
        <x:v>Technology-specific analytical synthesis. The CTCN hierarchy is retained; classifications and component dependencies require validation against the selected design, site and supplier documentation before investment or policy use.</x:v>
      </x:c>
      <x:c r="AA126" s="2" t="str">
        <x:v>Physical deployment of Limiting land conversion &amp; deforestation requires nurseries or seed banks, field access, water and storage systems, laboratories, extension centres, monitoring plots and processing or market facilities; interfaces, foundations, access and environmental protection are sized to the specific resource and design load.</x:v>
      </x:c>
      <x:c r="AB126" s="2" t="str">
        <x:v>For Limiting land conversion &amp; deforestation,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26" s="2" t="str">
        <x:v>Construction and operation use seed or planting stock, organic matter, fertilisers, soil amendments, water, fencing or structural materials, veterinary inputs and monitoring consumables. For Limiting land conversion &amp; deforestation, specifications must include durability, compatibility, recycled content and recoverability.</x:v>
      </x:c>
      <x:c r="AD126" s="2" t="str">
        <x:v>Maintenance of Limiting land conversion &amp; deforestation depends on seed, inoculants, filters, drip lines, nozzles, tool parts, sampling containers, sensor batteries, veterinary supplies and protective equipment; critical spares are selected from failure-mode, lead-time and safety analysis for its installed configuration.</x:v>
      </x:c>
      <x:c r="AE126" s="2" t="str">
        <x:v>The software stack for Limiting land conversion &amp; deforestation requires databases, secure communications, version-controlled models, computing, backup and interfaces with field or operational systems.</x:v>
      </x:c>
      <x:c r="AF126" s="2" t="str">
        <x:v>For Limiting land conversion &amp; deforestation, software-related energy is electricity for sensing, computing, storage, communication and cooling; it is normally secondary but must be included for data-intensive or continuous services.</x:v>
      </x:c>
      <x:c r="AG126" s="2" t="str">
        <x:v>The non-physical inputs are calibrated data, metadata, algorithms, boundary conditions, emission or hazard factors, manuals and validation records specific to Limiting land conversion &amp; deforestation.</x:v>
      </x:c>
      <x:c r="AH126" s="2" t="str">
        <x:v>Software continuity for Limiting land conversion &amp; deforestation requires licences where applicable, updates, cybersecurity patches, backups, calibration files, model validation and technical support.</x:v>
      </x:c>
      <x:c r="AI126" s="2" t="str">
        <x:v>Orgware depends on the institutions, laboratories, training providers, regulators, operators and community interfaces needed to govern Limiting land conversion &amp; deforestation.</x:v>
      </x:c>
      <x:c r="AJ126" s="2" t="str">
        <x:v>The orgware supporting Limiting land conversion &amp; deforestation has mainly indirect energy use from offices, meetings, training and information systems; travel and field supervision may be material at dispersed sites.</x:v>
      </x:c>
      <x:c r="AK126" s="2" t="str">
        <x:v>Its organisational inputs are permits, budgets, trained staff, competence records, contracts, procedures, safeguards, monitoring evidence and stakeholder agreements tailored to Limiting land conversion &amp; deforestation.</x:v>
      </x:c>
      <x:c r="AL126" s="2" t="str">
        <x:v>Sustained implementation of Limiting land conversion &amp; deforestation requires procurement and service contracts, audit protocols, training material, reporting templates, insurance or guarantees and periodic independent review.</x:v>
      </x:c>
      <x:c r="AM126" s="2" t="str">
        <x:v>No critical or strategic raw material is identifiable at taxonomy level; site-specific bulk materials may still be required.</x:v>
      </x:c>
      <x:c r="AN126" s="2" t="str"/>
      <x:c r="AO126" s="2" t="str"/>
      <x:c r="AP126" s="2" t="str">
        <x:v>Limiting land conversion &amp; deforestation: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6" s="2" t="str">
        <x:v>2024–2025</x:v>
      </x:c>
      <x:c r="AR126" s="2" t="str">
        <x:v>https://pubs.usgs.gov/periodicals/mcs2026/mcs2026.pdf; https://www.iea.org/reports/global-critical-minerals-outlook-2025</x:v>
      </x:c>
    </x:row>
    <x:row r="127" ht="240" customHeight="1">
      <x:c r="A127" s="2" t="str">
        <x:v>ADP-0120</x:v>
      </x:c>
      <x:c r="B127" s="2" t="str">
        <x:v>Adaptation</x:v>
      </x:c>
      <x:c r="C127" s="2" t="str">
        <x:v>Water</x:v>
      </x:c>
      <x:c r="D127" s="2" t="str">
        <x:v>Water storage</x:v>
      </x:c>
      <x:c r="E127" s="2" t="str">
        <x:v>Designing protected areas</x:v>
      </x:c>
      <x:c r="F127" s="2" t="str">
        <x:v>Designing protected areas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Designing protected areas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27" s="2" t="str">
        <x:v>Flexible</x:v>
      </x:c>
      <x:c r="H127" s="2" t="str">
        <x:v>Designing protected areas is transferable through configurable methods, rules and operating parameters. Its principle remains the same, but resource quality, climate, scale, interfaces and safety constraints must be recalculated for each deployment.</x:v>
      </x:c>
      <x:c r="I127" s="2" t="str">
        <x:v>Primarily soft, with physical support</x:v>
      </x:c>
      <x:c r="J127" s="2" t="str">
        <x:v>Designing protected areas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27" s="2" t="str">
        <x:v>Operation</x:v>
      </x:c>
      <x:c r="L127" s="2" t="str">
        <x:v>Designing protected areas is embodied mainly as an operating practice. The deliverable is accepted only when measurable service, quality, safety and climate-performance criteria are met under real conditions.</x:v>
      </x:c>
      <x:c r="M127" s="2" t="str">
        <x:v>Yes, subject to life-cycle safeguards</x:v>
      </x:c>
      <x:c r="N127" s="2" t="str">
        <x:v>Designing protected areas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27" s="2" t="str">
        <x:v>Designing protected areas: intakes, pipes, pumps, meters, valves, tanks, treatment units, drainage or flood structures, monitoring stations and nature-based elements as applicable.</x:v>
      </x:c>
      <x:c r="P127" s="2" t="str">
        <x:v>Designing protected areas: water balance, hydraulic and hydrological modelling, demand forecasting, water-quality analysis, asset management, drought or flood rules and decision support.</x:v>
      </x:c>
      <x:c r="Q127" s="2" t="str">
        <x:v>Designing protected areas: water rights and permits, utility responsibilities, basin governance, service standards, emergency protocols, tariffs, maintenance funding and stakeholder agreements.</x:v>
      </x:c>
      <x:c r="R127" s="2" t="str">
        <x:v>Designing protected areas: catchment or coast, treatment and storage sites, conveyance and drainage network, power supply, laboratory, control room and safe access.</x:v>
      </x:c>
      <x:c r="S127" s="2" t="str">
        <x:v>Designing protected areas: electricity or fuel for pumping, aeration, desalination, treatment and controls; gravity and ecosystem processes can reduce auxiliary demand.</x:v>
      </x:c>
      <x:c r="T127" s="2" t="str">
        <x:v>Designing protected areas: concrete, steel, ductile iron or polymers, filter media, membranes, treatment chemicals, geotextiles, soil, rock and vegetation according to the measure.</x:v>
      </x:c>
      <x:c r="U127" s="2" t="str">
        <x:v>Designing protected areas: pump and valve parts, seals, meters, sensors, membranes, lamps, filter media, dosing equipment, reagents and erosion-control materials.</x:v>
      </x:c>
      <x:c r="V127" s="2" t="str">
        <x:v>https://www.ctc-n.org/sites/default/files/resources/ctcn_taxonomy_0.pdf</x:v>
      </x:c>
      <x:c r="W127" s="2" t="str">
        <x:v>https://institutoagricoladepueblobello.edu.co/colegiapp/archivostemas/GUIA%209.%5B25%5D.pdf</x:v>
      </x:c>
      <x:c r="X127" s="2" t="str">
        <x:v>https://iiasa.ac.at/what-is-technology</x:v>
      </x:c>
      <x:c r="Y127" s="2" t="str">
        <x:v>https://www.unwater.org/water-facts/climate-change</x:v>
      </x:c>
      <x:c r="Z127" s="2" t="str">
        <x:v>Technology-specific analytical synthesis. The CTCN hierarchy is retained; classifications and component dependencies require validation against the selected design, site and supplier documentation before investment or policy use.</x:v>
      </x:c>
      <x:c r="AA127" s="2" t="str">
        <x:v>Physical deployment of Designing protected areas requires catchment or coast, treatment and storage sites, conveyance and drainage network, power supply, laboratory, control room and safe access; interfaces, foundations, access and environmental protection are sized to the specific resource and design load.</x:v>
      </x:c>
      <x:c r="AB127" s="2" t="str">
        <x:v>For Designing protected areas,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27" s="2" t="str">
        <x:v>Construction and operation use concrete, steel, ductile iron or polymers, filter media, membranes, treatment chemicals, geotextiles, soil, rock and vegetation according to the measure. For Designing protected areas, specifications must include durability, compatibility, recycled content and recoverability.</x:v>
      </x:c>
      <x:c r="AD127" s="2" t="str">
        <x:v>Maintenance of Designing protected areas depends on pump and valve parts, seals, meters, sensors, membranes, lamps, filter media, dosing equipment, reagents and erosion-control materials; critical spares are selected from failure-mode, lead-time and safety analysis for its installed configuration.</x:v>
      </x:c>
      <x:c r="AE127" s="2" t="str">
        <x:v>The software stack for Designing protected areas requires databases, secure communications, version-controlled models, computing, backup and interfaces with field or operational systems.</x:v>
      </x:c>
      <x:c r="AF127" s="2" t="str">
        <x:v>For Designing protected areas, software-related energy is electricity for sensing, computing, storage, communication and cooling; it is normally secondary but must be included for data-intensive or continuous services.</x:v>
      </x:c>
      <x:c r="AG127" s="2" t="str">
        <x:v>The non-physical inputs are calibrated data, metadata, algorithms, boundary conditions, emission or hazard factors, manuals and validation records specific to Designing protected areas.</x:v>
      </x:c>
      <x:c r="AH127" s="2" t="str">
        <x:v>Software continuity for Designing protected areas requires licences where applicable, updates, cybersecurity patches, backups, calibration files, model validation and technical support.</x:v>
      </x:c>
      <x:c r="AI127" s="2" t="str">
        <x:v>Orgware depends on the institutions, laboratories, training providers, regulators, operators and community interfaces needed to govern Designing protected areas.</x:v>
      </x:c>
      <x:c r="AJ127" s="2" t="str">
        <x:v>The orgware supporting Designing protected areas has mainly indirect energy use from offices, meetings, training and information systems; travel and field supervision may be material at dispersed sites.</x:v>
      </x:c>
      <x:c r="AK127" s="2" t="str">
        <x:v>Its organisational inputs are permits, budgets, trained staff, competence records, contracts, procedures, safeguards, monitoring evidence and stakeholder agreements tailored to Designing protected areas.</x:v>
      </x:c>
      <x:c r="AL127" s="2" t="str">
        <x:v>Sustained implementation of Designing protected areas requires procurement and service contracts, audit protocols, training material, reporting templates, insurance or guarantees and periodic independent review.</x:v>
      </x:c>
      <x:c r="AM127" s="2" t="str">
        <x:v>Iron ore / steel inputs</x:v>
      </x:c>
      <x:c r="AN127" s="2" t="str">
        <x:v>Australia; Brazil; China</x:v>
      </x:c>
      <x:c r="AO127" s="2" t="str">
        <x:v>China; India; Japan</x:v>
      </x:c>
      <x:c r="AP127" s="2" t="str">
        <x:v>Designing protected areas: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7" s="2" t="str">
        <x:v>2024–2025</x:v>
      </x:c>
      <x:c r="AR127" s="2" t="str">
        <x:v>https://pubs.usgs.gov/periodicals/mcs2026/mcs2026.pdf</x:v>
      </x:c>
    </x:row>
    <x:row r="128" ht="240" customHeight="1">
      <x:c r="A128" s="2" t="str">
        <x:v>ADP-0121</x:v>
      </x:c>
      <x:c r="B128" s="2" t="str">
        <x:v>Adaptation</x:v>
      </x:c>
      <x:c r="C128" s="2" t="str">
        <x:v>Water</x:v>
      </x:c>
      <x:c r="D128" s="2" t="str">
        <x:v>Water storage</x:v>
      </x:c>
      <x:c r="E128" s="2" t="str">
        <x:v>Soil moisture conservation techniques</x:v>
      </x:c>
      <x:c r="F128" s="2" t="str">
        <x:v>Soil moisture conservation techniques is a adaptation technology in the Water sector and the Water storage technology group. It is defined as a combined hardware–software–orgware system that changes vegetation, soil, nutrient, water, crop or livestock management to protect carbon stocks, increase resilience and productivity, and reduce CO₂, CH₄ or N₂O emissions. Soil moisture conservation techniques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Results vary with baseline practice, permanence, leakage or land-use displacement, soil and biodiversity effects, input manufacture, machinery energy, yield response and long-term farmer adoption. FAO climate-smart agriculture case studies document combinations of efficient irrigation, agroforestry, seed banks, food storage, biogas and advisory services rather than isolated equipment alone.</x:v>
      </x:c>
      <x:c r="G128" s="2" t="str">
        <x:v>Mixed: adaptable design, site-specific implementation</x:v>
      </x:c>
      <x:c r="H128" s="2" t="str">
        <x:v>Soil moisture conservation techniques is adaptable in capacity and configuration but site-specific in final engineering. Its principle remains the same, but resource quality, climate, scale, interfaces and safety constraints must be recalculated for each deployment.</x:v>
      </x:c>
      <x:c r="I128" s="2" t="str">
        <x:v>Primarily hard, with a soft component</x:v>
      </x:c>
      <x:c r="J128" s="2" t="str">
        <x:v>Soil moisture conservation techniques combines field or forest implements, planting and irrigation equipment, storage or livestock facilities, sampling tools, sensors and protective structures as required with the codified knowledge in soil–crop–livestock knowledge, nutrient and water budgets, emission factors, carbon accounting, climate services, monitoring protocols and adaptive management. Its performance cannot be assigned to artefacts alone: operation, competence, data quality and institutional arrangements are causal parts of the technology.</x:v>
      </x:c>
      <x:c r="K128" s="2" t="str">
        <x:v>Operation</x:v>
      </x:c>
      <x:c r="L128" s="2" t="str">
        <x:v>Soil moisture conservation techniques is embodied mainly as an operating practice. The deliverable is accepted only when measurable service, quality, safety and climate-performance criteria are met under real conditions.</x:v>
      </x:c>
      <x:c r="M128" s="2" t="str">
        <x:v>Yes, subject to life-cycle safeguards</x:v>
      </x:c>
      <x:c r="N128" s="2" t="str">
        <x:v>Soil moisture conservation techniques is classified as climate-beneficial subject to safeguards. Results vary with baseline practice, permanence, leakage or land-use displacement, soil and biodiversity effects, input manufacture, machinery energy, yield response and long-term farmer adoption. Avoided emissions or reduced vulnerability must be demonstrated against a defined baseline, without shifting material, pollution or social burdens outside the system boundary.</x:v>
      </x:c>
      <x:c r="O128" s="2" t="str">
        <x:v>Soil moisture conservation techniques: field or forest implements, planting and irrigation equipment, storage or livestock facilities, sampling tools, sensors and protective structures as required.</x:v>
      </x:c>
      <x:c r="P128" s="2" t="str">
        <x:v>Soil moisture conservation techniques: soil–crop–livestock knowledge, nutrient and water budgets, emission factors, carbon accounting, climate services, monitoring protocols and adaptive management.</x:v>
      </x:c>
      <x:c r="Q128" s="2" t="str">
        <x:v>Soil moisture conservation techniques: land tenure, extension, producer organisations, veterinary or phytosanitary services, incentives, safeguards, certification and monitoring arrangements.</x:v>
      </x:c>
      <x:c r="R128" s="2" t="str">
        <x:v>Soil moisture conservation techniques: nurseries or seed banks, field access, water and storage systems, laboratories, extension centres, monitoring plots and processing or market facilities.</x:v>
      </x:c>
      <x:c r="S128" s="2" t="str">
        <x:v>Soil moisture conservation techniques: human and mechanical work, electricity or fuel for machinery, pumping, cooling and processing; biological energy and solar radiation dominate field processes.</x:v>
      </x:c>
      <x:c r="T128" s="2" t="str">
        <x:v>Soil moisture conservation techniques: seed or planting stock, organic matter, fertilisers, soil amendments, water, fencing or structural materials, veterinary inputs and monitoring consumables.</x:v>
      </x:c>
      <x:c r="U128" s="2" t="str">
        <x:v>Soil moisture conservation techniques: seed, inoculants, filters, drip lines, nozzles, tool parts, sampling containers, sensor batteries, veterinary supplies and protective equipment.</x:v>
      </x:c>
      <x:c r="V128" s="2" t="str">
        <x:v>https://www.ctc-n.org/sites/default/files/resources/ctcn_taxonomy_0.pdf</x:v>
      </x:c>
      <x:c r="W128" s="2" t="str">
        <x:v>https://institutoagricoladepueblobello.edu.co/colegiapp/archivostemas/GUIA%209.%5B25%5D.pdf</x:v>
      </x:c>
      <x:c r="X128" s="2" t="str">
        <x:v>https://iiasa.ac.at/what-is-technology</x:v>
      </x:c>
      <x:c r="Y128" s="2" t="str">
        <x:v>https://www.unwater.org/water-facts/climate-change; https://www.ipcc.ch/report/ar6/wg3/chapter/chapter-7/; https://openknowledge.fao.org/server/api/core/bitstreams/b21f2087-f398-4718-8461-b92afc82e617/content</x:v>
      </x:c>
      <x:c r="Z128" s="2" t="str">
        <x:v>Technology-specific analytical synthesis. The CTCN hierarchy is retained; classifications and component dependencies require validation against the selected design, site and supplier documentation before investment or policy use.</x:v>
      </x:c>
      <x:c r="AA128" s="2" t="str">
        <x:v>Physical deployment of Soil moisture conservation techniques requires nurseries or seed banks, field access, water and storage systems, laboratories, extension centres, monitoring plots and processing or market facilities; interfaces, foundations, access and environmental protection are sized to the specific resource and design load.</x:v>
      </x:c>
      <x:c r="AB128" s="2" t="str">
        <x:v>For Soil moisture conservation techniques, the hardware energy balance comprises human and mechanical work, electricity or fuel for machinery, pumping, cooling and processing; biological energy and solar radiation dominate field processes; metering must separate useful output, conversion losses and auxiliaries for the selected design.</x:v>
      </x:c>
      <x:c r="AC128" s="2" t="str">
        <x:v>Construction and operation use seed or planting stock, organic matter, fertilisers, soil amendments, water, fencing or structural materials, veterinary inputs and monitoring consumables. For Soil moisture conservation techniques, specifications must include durability, compatibility, recycled content and recoverability.</x:v>
      </x:c>
      <x:c r="AD128" s="2" t="str">
        <x:v>Maintenance of Soil moisture conservation techniques depends on seed, inoculants, filters, drip lines, nozzles, tool parts, sampling containers, sensor batteries, veterinary supplies and protective equipment; critical spares are selected from failure-mode, lead-time and safety analysis for its installed configuration.</x:v>
      </x:c>
      <x:c r="AE128" s="2" t="str">
        <x:v>The software stack for Soil moisture conservation techniques requires databases, secure communications, version-controlled models, computing, backup and interfaces with field or operational systems.</x:v>
      </x:c>
      <x:c r="AF128" s="2" t="str">
        <x:v>For Soil moisture conservation techniques, software-related energy is electricity for sensing, computing, storage, communication and cooling; it is normally secondary but must be included for data-intensive or continuous services.</x:v>
      </x:c>
      <x:c r="AG128" s="2" t="str">
        <x:v>The non-physical inputs are calibrated data, metadata, algorithms, boundary conditions, emission or hazard factors, manuals and validation records specific to Soil moisture conservation techniques.</x:v>
      </x:c>
      <x:c r="AH128" s="2" t="str">
        <x:v>Software continuity for Soil moisture conservation techniques requires licences where applicable, updates, cybersecurity patches, backups, calibration files, model validation and technical support.</x:v>
      </x:c>
      <x:c r="AI128" s="2" t="str">
        <x:v>Orgware depends on the institutions, laboratories, training providers, regulators, operators and community interfaces needed to govern Soil moisture conservation techniques.</x:v>
      </x:c>
      <x:c r="AJ128" s="2" t="str">
        <x:v>The orgware supporting Soil moisture conservation techniques has mainly indirect energy use from offices, meetings, training and information systems; travel and field supervision may be material at dispersed sites.</x:v>
      </x:c>
      <x:c r="AK128" s="2" t="str">
        <x:v>Its organisational inputs are permits, budgets, trained staff, competence records, contracts, procedures, safeguards, monitoring evidence and stakeholder agreements tailored to Soil moisture conservation techniques.</x:v>
      </x:c>
      <x:c r="AL128" s="2" t="str">
        <x:v>Sustained implementation of Soil moisture conservation techniques requires procurement and service contracts, audit protocols, training material, reporting templates, insurance or guarantees and periodic independent review.</x:v>
      </x:c>
      <x:c r="AM128" s="2" t="str">
        <x:v>Phosphate rock; Potash</x:v>
      </x:c>
      <x:c r="AN128" s="2" t="str">
        <x:v>China; Morocco; United States; Canada; Russia; Belarus</x:v>
      </x:c>
      <x:c r="AO128" s="2" t="str">
        <x:v>China; Morocco; United States; Canada; Russia; Belarus</x:v>
      </x:c>
      <x:c r="AP128" s="2" t="str">
        <x:v>Soil moisture conservation techniques: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8" s="2" t="str">
        <x:v>2024–2025</x:v>
      </x:c>
      <x:c r="AR128" s="2" t="str">
        <x:v>https://pubs.usgs.gov/periodicals/mcs2026/mcs2026.pdf</x:v>
      </x:c>
    </x:row>
    <x:row r="129" ht="240" customHeight="1">
      <x:c r="A129" s="2" t="str">
        <x:v>ADP-0122</x:v>
      </x:c>
      <x:c r="B129" s="2" t="str">
        <x:v>Adaptation</x:v>
      </x:c>
      <x:c r="C129" s="2" t="str">
        <x:v>Water</x:v>
      </x:c>
      <x:c r="D129" s="2" t="str">
        <x:v>Water storage</x:v>
      </x:c>
      <x:c r="E129" s="2" t="str">
        <x:v>Indigenous water storage structures</x:v>
      </x:c>
      <x:c r="F129" s="2" t="str">
        <x:v>Indigenous water storage structures is a adaptation technology in the Water sector and the Water storage technology group. It is defined as a combined hardware–software–orgware system that manages water quantity, quality, timing or exposure through demand reduction, capture, storage, treatment, allocation, hydraulic protection and ecosystem functions. Indigenous water storage structures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29" s="2" t="str">
        <x:v>Mixed: adaptable design, site-specific implementation</x:v>
      </x:c>
      <x:c r="H129" s="2" t="str">
        <x:v>Indigenous water storage structures is adaptable in capacity and configuration but site-specific in final engineering. Its principle remains the same, but resource quality, climate, scale, interfaces and safety constraints must be recalculated for each deployment.</x:v>
      </x:c>
      <x:c r="I129" s="2" t="str">
        <x:v>Primarily hard, with a soft component</x:v>
      </x:c>
      <x:c r="J129" s="2" t="str">
        <x:v>Indigenous water storage structures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29" s="2" t="str">
        <x:v>Equipment and operation</x:v>
      </x:c>
      <x:c r="L129" s="2" t="str">
        <x:v>Indigenous water storage structures is embodied mainly as an equipment-and-operation system. The deliverable is accepted only when measurable service, quality, safety and climate-performance criteria are met under real conditions.</x:v>
      </x:c>
      <x:c r="M129" s="2" t="str">
        <x:v>Yes, subject to life-cycle safeguards</x:v>
      </x:c>
      <x:c r="N129" s="2" t="str">
        <x:v>Indigenous water storage structures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29" s="2" t="str">
        <x:v>Indigenous water storage structures: intakes, pipes, pumps, meters, valves, tanks, treatment units, drainage or flood structures, monitoring stations and nature-based elements as applicable.</x:v>
      </x:c>
      <x:c r="P129" s="2" t="str">
        <x:v>Indigenous water storage structures: water balance, hydraulic and hydrological modelling, demand forecasting, water-quality analysis, asset management, drought or flood rules and decision support.</x:v>
      </x:c>
      <x:c r="Q129" s="2" t="str">
        <x:v>Indigenous water storage structures: water rights and permits, utility responsibilities, basin governance, service standards, emergency protocols, tariffs, maintenance funding and stakeholder agreements.</x:v>
      </x:c>
      <x:c r="R129" s="2" t="str">
        <x:v>Indigenous water storage structures: catchment or coast, treatment and storage sites, conveyance and drainage network, power supply, laboratory, control room and safe access.</x:v>
      </x:c>
      <x:c r="S129" s="2" t="str">
        <x:v>Indigenous water storage structures: electricity or fuel for pumping, aeration, desalination, treatment and controls; gravity and ecosystem processes can reduce auxiliary demand.</x:v>
      </x:c>
      <x:c r="T129" s="2" t="str">
        <x:v>Indigenous water storage structures: concrete, steel, ductile iron or polymers, filter media, membranes, treatment chemicals, geotextiles, soil, rock and vegetation according to the measure.</x:v>
      </x:c>
      <x:c r="U129" s="2" t="str">
        <x:v>Indigenous water storage structures: pump and valve parts, seals, meters, sensors, membranes, lamps, filter media, dosing equipment, reagents and erosion-control materials.</x:v>
      </x:c>
      <x:c r="V129" s="2" t="str">
        <x:v>https://www.ctc-n.org/sites/default/files/resources/ctcn_taxonomy_0.pdf</x:v>
      </x:c>
      <x:c r="W129" s="2" t="str">
        <x:v>https://institutoagricoladepueblobello.edu.co/colegiapp/archivostemas/GUIA%209.%5B25%5D.pdf</x:v>
      </x:c>
      <x:c r="X129" s="2" t="str">
        <x:v>https://iiasa.ac.at/what-is-technology</x:v>
      </x:c>
      <x:c r="Y129" s="2" t="str">
        <x:v>https://www.unwater.org/water-facts/climate-change</x:v>
      </x:c>
      <x:c r="Z129" s="2" t="str">
        <x:v>Technology-specific analytical synthesis. The CTCN hierarchy is retained; classifications and component dependencies require validation against the selected design, site and supplier documentation before investment or policy use.</x:v>
      </x:c>
      <x:c r="AA129" s="2" t="str">
        <x:v>Physical deployment of Indigenous water storage structures requires catchment or coast, treatment and storage sites, conveyance and drainage network, power supply, laboratory, control room and safe access; interfaces, foundations, access and environmental protection are sized to the specific resource and design load.</x:v>
      </x:c>
      <x:c r="AB129" s="2" t="str">
        <x:v>For Indigenous water storage structures,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29" s="2" t="str">
        <x:v>Construction and operation use concrete, steel, ductile iron or polymers, filter media, membranes, treatment chemicals, geotextiles, soil, rock and vegetation according to the measure. For Indigenous water storage structures, specifications must include durability, compatibility, recycled content and recoverability.</x:v>
      </x:c>
      <x:c r="AD129" s="2" t="str">
        <x:v>Maintenance of Indigenous water storage structures depends on pump and valve parts, seals, meters, sensors, membranes, lamps, filter media, dosing equipment, reagents and erosion-control materials; critical spares are selected from failure-mode, lead-time and safety analysis for its installed configuration.</x:v>
      </x:c>
      <x:c r="AE129" s="2" t="str">
        <x:v>The software stack for Indigenous water storage structures requires databases, secure communications, version-controlled models, computing, backup and interfaces with field or operational systems.</x:v>
      </x:c>
      <x:c r="AF129" s="2" t="str">
        <x:v>For Indigenous water storage structures, software-related energy is electricity for sensing, computing, storage, communication and cooling; it is normally secondary but must be included for data-intensive or continuous services.</x:v>
      </x:c>
      <x:c r="AG129" s="2" t="str">
        <x:v>The non-physical inputs are calibrated data, metadata, algorithms, boundary conditions, emission or hazard factors, manuals and validation records specific to Indigenous water storage structures.</x:v>
      </x:c>
      <x:c r="AH129" s="2" t="str">
        <x:v>Software continuity for Indigenous water storage structures requires licences where applicable, updates, cybersecurity patches, backups, calibration files, model validation and technical support.</x:v>
      </x:c>
      <x:c r="AI129" s="2" t="str">
        <x:v>Orgware depends on the institutions, laboratories, training providers, regulators, operators and community interfaces needed to govern Indigenous water storage structures.</x:v>
      </x:c>
      <x:c r="AJ129" s="2" t="str">
        <x:v>The orgware supporting Indigenous water storage structures has mainly indirect energy use from offices, meetings, training and information systems; travel and field supervision may be material at dispersed sites.</x:v>
      </x:c>
      <x:c r="AK129" s="2" t="str">
        <x:v>Its organisational inputs are permits, budgets, trained staff, competence records, contracts, procedures, safeguards, monitoring evidence and stakeholder agreements tailored to Indigenous water storage structures.</x:v>
      </x:c>
      <x:c r="AL129" s="2" t="str">
        <x:v>Sustained implementation of Indigenous water storage structures requires procurement and service contracts, audit protocols, training material, reporting templates, insurance or guarantees and periodic independent review.</x:v>
      </x:c>
      <x:c r="AM129" s="2" t="str">
        <x:v>Iron ore / steel inputs</x:v>
      </x:c>
      <x:c r="AN129" s="2" t="str">
        <x:v>Australia; Brazil; China</x:v>
      </x:c>
      <x:c r="AO129" s="2" t="str">
        <x:v>China; India; Japan</x:v>
      </x:c>
      <x:c r="AP129" s="2" t="str">
        <x:v>Indigenous water storage structures: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29" s="2" t="str">
        <x:v>2024–2025</x:v>
      </x:c>
      <x:c r="AR129" s="2" t="str">
        <x:v>https://pubs.usgs.gov/periodicals/mcs2026/mcs2026.pdf</x:v>
      </x:c>
    </x:row>
    <x:row r="130" ht="240" customHeight="1">
      <x:c r="A130" s="2" t="str">
        <x:v>ADP-0123</x:v>
      </x:c>
      <x:c r="B130" s="2" t="str">
        <x:v>Adaptation</x:v>
      </x:c>
      <x:c r="C130" s="2" t="str">
        <x:v>Water</x:v>
      </x:c>
      <x:c r="D130" s="2" t="str">
        <x:v>Use of alternative water sources</x:v>
      </x:c>
      <x:c r="E130" s="2" t="str">
        <x:v>Seawater desalination</x:v>
      </x:c>
      <x:c r="F130" s="2" t="str">
        <x:v>Seawater desalination is a adaptation technology in the Water sector and the Use of alternative water sources technology group. It is defined as a combined hardware–software–orgware system that manages water quantity, quality, timing or exposure through demand reduction, capture, storage, treatment, allocation, hydraulic protection and ecosystem functions. It separates dissolved salts by membrane pressure or phase change and produces a freshwater stream plus a concentrated residual stream requiring energy-efficient operation and controlled disposal.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30" s="2" t="str">
        <x:v>Mixed: adaptable design, site-specific implementation</x:v>
      </x:c>
      <x:c r="H130" s="2" t="str">
        <x:v>Seawater desalination is adaptable in capacity and configuration but site-specific in final engineering. Its principle remains the same, but resource quality, climate, scale, interfaces and safety constraints must be recalculated for each deployment.</x:v>
      </x:c>
      <x:c r="I130" s="2" t="str">
        <x:v>Primarily hard, with a soft component</x:v>
      </x:c>
      <x:c r="J130" s="2" t="str">
        <x:v>Seawater desalination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30" s="2" t="str">
        <x:v>Equipment and operation</x:v>
      </x:c>
      <x:c r="L130" s="2" t="str">
        <x:v>Seawater desalination is embodied mainly as an equipment-and-operation system. The deliverable is accepted only when measurable service, quality, safety and climate-performance criteria are met under real conditions.</x:v>
      </x:c>
      <x:c r="M130" s="2" t="str">
        <x:v>Yes, subject to life-cycle safeguards</x:v>
      </x:c>
      <x:c r="N130" s="2" t="str">
        <x:v>Seawater desalination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30" s="2" t="str">
        <x:v>Seawater desalination: intakes, pipes, pumps, meters, valves, tanks, treatment units, drainage or flood structures, monitoring stations and nature-based elements as applicable.</x:v>
      </x:c>
      <x:c r="P130" s="2" t="str">
        <x:v>Seawater desalination: water balance, hydraulic and hydrological modelling, demand forecasting, water-quality analysis, asset management, drought or flood rules and decision support.</x:v>
      </x:c>
      <x:c r="Q130" s="2" t="str">
        <x:v>Seawater desalination: water rights and permits, utility responsibilities, basin governance, service standards, emergency protocols, tariffs, maintenance funding and stakeholder agreements.</x:v>
      </x:c>
      <x:c r="R130" s="2" t="str">
        <x:v>Seawater desalination: catchment or coast, treatment and storage sites, conveyance and drainage network, power supply, laboratory, control room and safe access.</x:v>
      </x:c>
      <x:c r="S130" s="2" t="str">
        <x:v>Seawater desalination: electricity or fuel for pumping, aeration, desalination, treatment and controls; gravity and ecosystem processes can reduce auxiliary demand.</x:v>
      </x:c>
      <x:c r="T130" s="2" t="str">
        <x:v>Seawater desalination: concrete, steel, ductile iron or polymers, filter media, membranes, treatment chemicals, geotextiles, soil, rock and vegetation according to the measure.</x:v>
      </x:c>
      <x:c r="U130" s="2" t="str">
        <x:v>Seawater desalination: pump and valve parts, seals, meters, sensors, membranes, lamps, filter media, dosing equipment, reagents and erosion-control materials.</x:v>
      </x:c>
      <x:c r="V130" s="2" t="str">
        <x:v>https://www.ctc-n.org/sites/default/files/resources/ctcn_taxonomy_0.pdf</x:v>
      </x:c>
      <x:c r="W130" s="2" t="str">
        <x:v>https://institutoagricoladepueblobello.edu.co/colegiapp/archivostemas/GUIA%209.%5B25%5D.pdf</x:v>
      </x:c>
      <x:c r="X130" s="2" t="str">
        <x:v>https://iiasa.ac.at/what-is-technology</x:v>
      </x:c>
      <x:c r="Y130" s="2" t="str">
        <x:v>https://www.unwater.org/water-facts/climate-change</x:v>
      </x:c>
      <x:c r="Z130" s="2" t="str">
        <x:v>Technology-specific analytical synthesis. The CTCN hierarchy is retained; classifications and component dependencies require validation against the selected design, site and supplier documentation before investment or policy use.</x:v>
      </x:c>
      <x:c r="AA130" s="2" t="str">
        <x:v>Physical deployment of Seawater desalination requires catchment or coast, treatment and storage sites, conveyance and drainage network, power supply, laboratory, control room and safe access; interfaces, foundations, access and environmental protection are sized to the specific resource and design load.</x:v>
      </x:c>
      <x:c r="AB130" s="2" t="str">
        <x:v>For Seawater desalination,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30" s="2" t="str">
        <x:v>Construction and operation use concrete, steel, ductile iron or polymers, filter media, membranes, treatment chemicals, geotextiles, soil, rock and vegetation according to the measure. For Seawater desalination, specifications must include durability, compatibility, recycled content and recoverability.</x:v>
      </x:c>
      <x:c r="AD130" s="2" t="str">
        <x:v>Maintenance of Seawater desalination depends on pump and valve parts, seals, meters, sensors, membranes, lamps, filter media, dosing equipment, reagents and erosion-control materials; critical spares are selected from failure-mode, lead-time and safety analysis for its installed configuration.</x:v>
      </x:c>
      <x:c r="AE130" s="2" t="str">
        <x:v>The software stack for Seawater desalination requires databases, secure communications, version-controlled models, computing, backup and interfaces with field or operational systems.</x:v>
      </x:c>
      <x:c r="AF130" s="2" t="str">
        <x:v>For Seawater desalination, software-related energy is electricity for sensing, computing, storage, communication and cooling; it is normally secondary but must be included for data-intensive or continuous services.</x:v>
      </x:c>
      <x:c r="AG130" s="2" t="str">
        <x:v>The non-physical inputs are calibrated data, metadata, algorithms, boundary conditions, emission or hazard factors, manuals and validation records specific to Seawater desalination.</x:v>
      </x:c>
      <x:c r="AH130" s="2" t="str">
        <x:v>Software continuity for Seawater desalination requires licences where applicable, updates, cybersecurity patches, backups, calibration files, model validation and technical support.</x:v>
      </x:c>
      <x:c r="AI130" s="2" t="str">
        <x:v>Orgware depends on the institutions, laboratories, training providers, regulators, operators and community interfaces needed to govern Seawater desalination.</x:v>
      </x:c>
      <x:c r="AJ130" s="2" t="str">
        <x:v>The orgware supporting Seawater desalination has mainly indirect energy use from offices, meetings, training and information systems; travel and field supervision may be material at dispersed sites.</x:v>
      </x:c>
      <x:c r="AK130" s="2" t="str">
        <x:v>Its organisational inputs are permits, budgets, trained staff, competence records, contracts, procedures, safeguards, monitoring evidence and stakeholder agreements tailored to Seawater desalination.</x:v>
      </x:c>
      <x:c r="AL130" s="2" t="str">
        <x:v>Sustained implementation of Seawater desalination requires procurement and service contracts, audit protocols, training material, reporting templates, insurance or guarantees and periodic independent review.</x:v>
      </x:c>
      <x:c r="AM130" s="2" t="str">
        <x:v>Iron ore / steel inputs; Nickel; Chromium</x:v>
      </x:c>
      <x:c r="AN130" s="2" t="str">
        <x:v>Australia; Brazil; China; Indonesia; Philippines; Russia; South Africa; Kazakhstan; Turkey</x:v>
      </x:c>
      <x:c r="AO130" s="2" t="str">
        <x:v>China; India; Japan; Indonesia; South Africa; Kazakhstan</x:v>
      </x:c>
      <x:c r="AP130" s="2" t="str">
        <x:v>Seawater desalination: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0" s="2" t="str">
        <x:v>2024–2025</x:v>
      </x:c>
      <x:c r="AR130" s="2" t="str">
        <x:v>https://pubs.usgs.gov/periodicals/mcs2026/mcs2026.pdf; https://www.iea.org/reports/global-critical-minerals-outlook-2025</x:v>
      </x:c>
    </x:row>
    <x:row r="131" ht="240" customHeight="1">
      <x:c r="A131" s="2" t="str">
        <x:v>ADP-0124</x:v>
      </x:c>
      <x:c r="B131" s="2" t="str">
        <x:v>Adaptation</x:v>
      </x:c>
      <x:c r="C131" s="2" t="str">
        <x:v>Water</x:v>
      </x:c>
      <x:c r="D131" s="2" t="str">
        <x:v>Use of alternative water sources</x:v>
      </x:c>
      <x:c r="E131" s="2" t="str">
        <x:v>Interbasin transfers</x:v>
      </x:c>
      <x:c r="F131" s="2" t="str">
        <x:v>Interbasin transfers is a adaptation technology in the Water sector and the Use of alternative water sources technology group. It is defined as a combined hardware–software–orgware system that manages water quantity, quality, timing or exposure through demand reduction, capture, storage, treatment, allocation, hydraulic protection and ecosystem functions. Interbasin transfers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31" s="2" t="str">
        <x:v>Mixed: adaptable design, site-specific implementation</x:v>
      </x:c>
      <x:c r="H131" s="2" t="str">
        <x:v>Interbasin transfers is adaptable in capacity and configuration but site-specific in final engineering. Its principle remains the same, but resource quality, climate, scale, interfaces and safety constraints must be recalculated for each deployment.</x:v>
      </x:c>
      <x:c r="I131" s="2" t="str">
        <x:v>Primarily hard, with a soft component</x:v>
      </x:c>
      <x:c r="J131" s="2" t="str">
        <x:v>Interbasin transfers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31" s="2" t="str">
        <x:v>Equipment and operation</x:v>
      </x:c>
      <x:c r="L131" s="2" t="str">
        <x:v>Interbasin transfers is embodied mainly as an equipment-and-operation system. The deliverable is accepted only when measurable service, quality, safety and climate-performance criteria are met under real conditions.</x:v>
      </x:c>
      <x:c r="M131" s="2" t="str">
        <x:v>Conditional on performance and life cycle</x:v>
      </x:c>
      <x:c r="N131" s="2" t="str">
        <x:v>Interbasin transfers is classified as conditional.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31" s="2" t="str">
        <x:v>Interbasin transfers: intakes, pipes, pumps, meters, valves, tanks, treatment units, drainage or flood structures, monitoring stations and nature-based elements as applicable.</x:v>
      </x:c>
      <x:c r="P131" s="2" t="str">
        <x:v>Interbasin transfers: water balance, hydraulic and hydrological modelling, demand forecasting, water-quality analysis, asset management, drought or flood rules and decision support.</x:v>
      </x:c>
      <x:c r="Q131" s="2" t="str">
        <x:v>Interbasin transfers: water rights and permits, utility responsibilities, basin governance, service standards, emergency protocols, tariffs, maintenance funding and stakeholder agreements.</x:v>
      </x:c>
      <x:c r="R131" s="2" t="str">
        <x:v>Interbasin transfers: catchment or coast, treatment and storage sites, conveyance and drainage network, power supply, laboratory, control room and safe access.</x:v>
      </x:c>
      <x:c r="S131" s="2" t="str">
        <x:v>Interbasin transfers: electricity or fuel for pumping, aeration, desalination, treatment and controls; gravity and ecosystem processes can reduce auxiliary demand.</x:v>
      </x:c>
      <x:c r="T131" s="2" t="str">
        <x:v>Interbasin transfers: concrete, steel, ductile iron or polymers, filter media, membranes, treatment chemicals, geotextiles, soil, rock and vegetation according to the measure.</x:v>
      </x:c>
      <x:c r="U131" s="2" t="str">
        <x:v>Interbasin transfers: pump and valve parts, seals, meters, sensors, membranes, lamps, filter media, dosing equipment, reagents and erosion-control materials.</x:v>
      </x:c>
      <x:c r="V131" s="2" t="str">
        <x:v>https://www.ctc-n.org/sites/default/files/resources/ctcn_taxonomy_0.pdf</x:v>
      </x:c>
      <x:c r="W131" s="2" t="str">
        <x:v>https://institutoagricoladepueblobello.edu.co/colegiapp/archivostemas/GUIA%209.%5B25%5D.pdf</x:v>
      </x:c>
      <x:c r="X131" s="2" t="str">
        <x:v>https://iiasa.ac.at/what-is-technology</x:v>
      </x:c>
      <x:c r="Y131" s="2" t="str">
        <x:v>https://www.unwater.org/water-facts/climate-change</x:v>
      </x:c>
      <x:c r="Z131" s="2" t="str">
        <x:v>Technology-specific analytical synthesis. The CTCN hierarchy is retained; classifications and component dependencies require validation against the selected design, site and supplier documentation before investment or policy use.</x:v>
      </x:c>
      <x:c r="AA131" s="2" t="str">
        <x:v>Physical deployment of Interbasin transfers requires catchment or coast, treatment and storage sites, conveyance and drainage network, power supply, laboratory, control room and safe access; interfaces, foundations, access and environmental protection are sized to the specific resource and design load.</x:v>
      </x:c>
      <x:c r="AB131" s="2" t="str">
        <x:v>For Interbasin transfers,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31" s="2" t="str">
        <x:v>Construction and operation use concrete, steel, ductile iron or polymers, filter media, membranes, treatment chemicals, geotextiles, soil, rock and vegetation according to the measure. For Interbasin transfers, specifications must include durability, compatibility, recycled content and recoverability.</x:v>
      </x:c>
      <x:c r="AD131" s="2" t="str">
        <x:v>Maintenance of Interbasin transfers depends on pump and valve parts, seals, meters, sensors, membranes, lamps, filter media, dosing equipment, reagents and erosion-control materials; critical spares are selected from failure-mode, lead-time and safety analysis for its installed configuration.</x:v>
      </x:c>
      <x:c r="AE131" s="2" t="str">
        <x:v>The software stack for Interbasin transfers requires databases, secure communications, version-controlled models, computing, backup and interfaces with field or operational systems.</x:v>
      </x:c>
      <x:c r="AF131" s="2" t="str">
        <x:v>For Interbasin transfers, software-related energy is electricity for sensing, computing, storage, communication and cooling; it is normally secondary but must be included for data-intensive or continuous services.</x:v>
      </x:c>
      <x:c r="AG131" s="2" t="str">
        <x:v>The non-physical inputs are calibrated data, metadata, algorithms, boundary conditions, emission or hazard factors, manuals and validation records specific to Interbasin transfers.</x:v>
      </x:c>
      <x:c r="AH131" s="2" t="str">
        <x:v>Software continuity for Interbasin transfers requires licences where applicable, updates, cybersecurity patches, backups, calibration files, model validation and technical support.</x:v>
      </x:c>
      <x:c r="AI131" s="2" t="str">
        <x:v>Orgware depends on the institutions, laboratories, training providers, regulators, operators and community interfaces needed to govern Interbasin transfers.</x:v>
      </x:c>
      <x:c r="AJ131" s="2" t="str">
        <x:v>The orgware supporting Interbasin transfers has mainly indirect energy use from offices, meetings, training and information systems; travel and field supervision may be material at dispersed sites.</x:v>
      </x:c>
      <x:c r="AK131" s="2" t="str">
        <x:v>Its organisational inputs are permits, budgets, trained staff, competence records, contracts, procedures, safeguards, monitoring evidence and stakeholder agreements tailored to Interbasin transfers.</x:v>
      </x:c>
      <x:c r="AL131" s="2" t="str">
        <x:v>Sustained implementation of Interbasin transfers requires procurement and service contracts, audit protocols, training material, reporting templates, insurance or guarantees and periodic independent review.</x:v>
      </x:c>
      <x:c r="AM131" s="2" t="str">
        <x:v>Iron ore / steel inputs</x:v>
      </x:c>
      <x:c r="AN131" s="2" t="str">
        <x:v>Australia; Brazil; China</x:v>
      </x:c>
      <x:c r="AO131" s="2" t="str">
        <x:v>China; India; Japan</x:v>
      </x:c>
      <x:c r="AP131" s="2" t="str">
        <x:v>Interbasin transfers: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1" s="2" t="str">
        <x:v>2024–2025</x:v>
      </x:c>
      <x:c r="AR131" s="2" t="str">
        <x:v>https://pubs.usgs.gov/periodicals/mcs2026/mcs2026.pdf</x:v>
      </x:c>
    </x:row>
    <x:row r="132" ht="240" customHeight="1">
      <x:c r="A132" s="2" t="str">
        <x:v>ADP-0125</x:v>
      </x:c>
      <x:c r="B132" s="2" t="str">
        <x:v>Adaptation</x:v>
      </x:c>
      <x:c r="C132" s="2" t="str">
        <x:v>Water</x:v>
      </x:c>
      <x:c r="D132" s="2" t="str">
        <x:v>Use of alternative water sources</x:v>
      </x:c>
      <x:c r="E132" s="2" t="str">
        <x:v>Solar water distillation</x:v>
      </x:c>
      <x:c r="F132" s="2" t="str">
        <x:v>Solar water distillation is a adaptation technology in the Water sector and the Use of alternative water sources technology group. It is defined as a combined hardware–software–orgware system that converts a renewable solar, wind, water, ocean, geothermal or chemical resource into electricity, heat or mechanical work while controlling variability and conversion losses. It separates dissolved salts by membrane pressure or phase change and produces a freshwater stream plus a concentrated residual stream requiring energy-efficient operation and controlled disposal.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2" s="2" t="str">
        <x:v>Mixed: adaptable design, site-specific implementation</x:v>
      </x:c>
      <x:c r="H132" s="2" t="str">
        <x:v>Solar water distillation is adaptable in capacity and configuration but site-specific in final engineering. Its principle remains the same, but resource quality, climate, scale, interfaces and safety constraints must be recalculated for each deployment.</x:v>
      </x:c>
      <x:c r="I132" s="2" t="str">
        <x:v>Primarily hard, with a soft component</x:v>
      </x:c>
      <x:c r="J132" s="2" t="str">
        <x:v>Solar water distillation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2" s="2" t="str">
        <x:v>Equipment and operation</x:v>
      </x:c>
      <x:c r="L132" s="2" t="str">
        <x:v>Solar water distillation is embodied mainly as an equipment-and-operation system. The deliverable is accepted only when measurable service, quality, safety and climate-performance criteria are met under real conditions.</x:v>
      </x:c>
      <x:c r="M132" s="2" t="str">
        <x:v>Yes, subject to life-cycle safeguards</x:v>
      </x:c>
      <x:c r="N132" s="2" t="str">
        <x:v>Solar water distillation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2" s="2" t="str">
        <x:v>Solar water distillation: resource collector or prime mover, generator or heat exchanger, support structure, power conversion, protection, metering and connection equipment.</x:v>
      </x:c>
      <x:c r="P132" s="2" t="str">
        <x:v>Solar water distillation: resource assessment, energy-yield modelling, forecasting, maximum-power or process control, dispatch, condition monitoring and maintenance planning.</x:v>
      </x:c>
      <x:c r="Q132" s="2" t="str">
        <x:v>Solar water distillation: resource and land or sea rights, environmental licensing, grid code, safety, community participation, revenue contract and decommissioning plan.</x:v>
      </x:c>
      <x:c r="R132" s="2" t="str">
        <x:v>Solar water distillation: foundations, access, electrical or thermal network, substation, control and communications, drainage and construction or marine logistics.</x:v>
      </x:c>
      <x:c r="S132" s="2" t="str">
        <x:v>Solar water distillation: the renewable resource is the primary input; auxiliary electricity, start-up fuel, pumping or thermal energy may be required depending on the design.</x:v>
      </x:c>
      <x:c r="T132" s="2" t="str">
        <x:v>Solar water distillation: steel, concrete, copper, aluminium, polymers, glass and technology-specific materials such as silicon, magnets, coatings, catalysts or working fluids.</x:v>
      </x:c>
      <x:c r="U132" s="2" t="str">
        <x:v>Solar water distillation: bearings, seals, filters, lubricants, sensors, converter parts, cables, fasteners, coatings and replaceable collector or heat-exchanger components.</x:v>
      </x:c>
      <x:c r="V132" s="2" t="str">
        <x:v>https://www.ctc-n.org/sites/default/files/resources/ctcn_taxonomy_0.pdf</x:v>
      </x:c>
      <x:c r="W132" s="2" t="str">
        <x:v>https://institutoagricoladepueblobello.edu.co/colegiapp/archivostemas/GUIA%209.%5B25%5D.pdf</x:v>
      </x:c>
      <x:c r="X132" s="2" t="str">
        <x:v>https://iiasa.ac.at/what-is-technology</x:v>
      </x:c>
      <x:c r="Y132" s="2" t="str">
        <x:v>https://www.unwater.org/water-facts/climate-change; https://www.iea.org/data-and-statistics/data-tools/etp-clean-energy-technology-guide</x:v>
      </x:c>
      <x:c r="Z132" s="2" t="str">
        <x:v>Technology-specific analytical synthesis. The CTCN hierarchy is retained; classifications and component dependencies require validation against the selected design, site and supplier documentation before investment or policy use.</x:v>
      </x:c>
      <x:c r="AA132" s="2" t="str">
        <x:v>Physical deployment of Solar water distillation requires foundations, access, electrical or thermal network, substation, control and communications, drainage and construction or marine logistics; interfaces, foundations, access and environmental protection are sized to the specific resource and design load.</x:v>
      </x:c>
      <x:c r="AB132" s="2" t="str">
        <x:v>For Solar water distillation,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2" s="2" t="str">
        <x:v>Construction and operation use steel, concrete, copper, aluminium, polymers, glass and technology-specific materials such as silicon, magnets, coatings, catalysts or working fluids. For Solar water distillation, specifications must include durability, compatibility, recycled content and recoverability.</x:v>
      </x:c>
      <x:c r="AD132" s="2" t="str">
        <x:v>Maintenance of Solar water distillation depends on bearings, seals, filters, lubricants, sensors, converter parts, cables, fasteners, coatings and replaceable collector or heat-exchanger components; critical spares are selected from failure-mode, lead-time and safety analysis for its installed configuration.</x:v>
      </x:c>
      <x:c r="AE132" s="2" t="str">
        <x:v>The software stack for Solar water distillation requires databases, secure communications, version-controlled models, computing, backup and interfaces with field or operational systems.</x:v>
      </x:c>
      <x:c r="AF132" s="2" t="str">
        <x:v>For Solar water distillation, software-related energy is electricity for sensing, computing, storage, communication and cooling; it is normally secondary but must be included for data-intensive or continuous services.</x:v>
      </x:c>
      <x:c r="AG132" s="2" t="str">
        <x:v>The non-physical inputs are calibrated data, metadata, algorithms, boundary conditions, emission or hazard factors, manuals and validation records specific to Solar water distillation.</x:v>
      </x:c>
      <x:c r="AH132" s="2" t="str">
        <x:v>Software continuity for Solar water distillation requires licences where applicable, updates, cybersecurity patches, backups, calibration files, model validation and technical support.</x:v>
      </x:c>
      <x:c r="AI132" s="2" t="str">
        <x:v>Orgware depends on the institutions, laboratories, training providers, regulators, operators and community interfaces needed to govern Solar water distillation.</x:v>
      </x:c>
      <x:c r="AJ132" s="2" t="str">
        <x:v>The orgware supporting Solar water distillation has mainly indirect energy use from offices, meetings, training and information systems; travel and field supervision may be material at dispersed sites.</x:v>
      </x:c>
      <x:c r="AK132" s="2" t="str">
        <x:v>Its organisational inputs are permits, budgets, trained staff, competence records, contracts, procedures, safeguards, monitoring evidence and stakeholder agreements tailored to Solar water distillation.</x:v>
      </x:c>
      <x:c r="AL132" s="2" t="str">
        <x:v>Sustained implementation of Solar water distillation requires procurement and service contracts, audit protocols, training material, reporting templates, insurance or guarantees and periodic independent review.</x:v>
      </x:c>
      <x:c r="AM132" s="2" t="str">
        <x:v>Iron ore / steel inputs; Copper; Tin; Bauxite / aluminium</x:v>
      </x:c>
      <x:c r="AN132" s="2" t="str">
        <x:v>Australia; Brazil; China; Chile; Democratic Republic of the Congo; Peru; Indonesia; Myanmar; Guinea</x:v>
      </x:c>
      <x:c r="AO132" s="2" t="str">
        <x:v>China; India; Japan; Chile; Democratic Republic of the Congo; Indonesia; Malaysia; Russia</x:v>
      </x:c>
      <x:c r="AP132" s="2" t="str">
        <x:v>Solar water distillation: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2" s="2" t="str">
        <x:v>2024–2025</x:v>
      </x:c>
      <x:c r="AR132" s="2" t="str">
        <x:v>https://pubs.usgs.gov/periodicals/mcs2026/mcs2026.pdf</x:v>
      </x:c>
    </x:row>
    <x:row r="133" ht="240" customHeight="1">
      <x:c r="A133" s="2" t="str">
        <x:v>ADP-0126</x:v>
      </x:c>
      <x:c r="B133" s="2" t="str">
        <x:v>Adaptation</x:v>
      </x:c>
      <x:c r="C133" s="2" t="str">
        <x:v>Water</x:v>
      </x:c>
      <x:c r="D133" s="2" t="str">
        <x:v>Use of alternative water sources</x:v>
      </x:c>
      <x:c r="E133" s="2" t="str">
        <x:v>Water recycling and reclamation</x:v>
      </x:c>
      <x:c r="F133" s="2" t="str">
        <x:v>Water recycling and reclamation is a adaptation technology in the Water sector and the Use of alternative water sources technology group. It is defined as a combined hardware–software–orgware system that changes vehicle kilometres, modal share, occupancy, speed profiles, routing or logistics so that the same mobility service is delivered with less final energy and fewer tailpipe emissions. It applies treatment and risk barriers matched to the intended reuse, then distributes reclaimed water through controlled storage and, where necessary, a separate network.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33" s="2" t="str">
        <x:v>Mixed: adaptable design, site-specific implementation</x:v>
      </x:c>
      <x:c r="H133" s="2" t="str">
        <x:v>Water recycling and reclamation is adaptable in capacity and configuration but site-specific in final engineering. Its principle remains the same, but resource quality, climate, scale, interfaces and safety constraints must be recalculated for each deployment.</x:v>
      </x:c>
      <x:c r="I133" s="2" t="str">
        <x:v>Primarily hard, with a soft component</x:v>
      </x:c>
      <x:c r="J133" s="2" t="str">
        <x:v>Water recycling and reclamation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33" s="2" t="str">
        <x:v>Equipment and operation</x:v>
      </x:c>
      <x:c r="L133" s="2" t="str">
        <x:v>Water recycling and reclamation is embodied mainly as an equipment-and-operation system. The deliverable is accepted only when measurable service, quality, safety and climate-performance criteria are met under real conditions.</x:v>
      </x:c>
      <x:c r="M133" s="2" t="str">
        <x:v>Yes, subject to life-cycle safeguards</x:v>
      </x:c>
      <x:c r="N133" s="2" t="str">
        <x:v>Water recycling and reclamation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33" s="2" t="str">
        <x:v>Water recycling and reclamation: corridor and station infrastructure, signalling, ticketing, communications, fleet equipment, traffic sensors and user interfaces as applicable.</x:v>
      </x:c>
      <x:c r="P133" s="2" t="str">
        <x:v>Water recycling and reclamation: network and timetable design, demand models, traffic control, fleet dispatch, logistics optimisation, safety analysis and service-performance analytics.</x:v>
      </x:c>
      <x:c r="Q133" s="2" t="str">
        <x:v>Water recycling and reclamation: transport authority mandates, operating contracts, tariffs, enforcement, street-space allocation, accessibility rules and coordination with land-use planning.</x:v>
      </x:c>
      <x:c r="R133" s="2" t="str">
        <x:v>Water recycling and reclamation: rights-of-way, stops or terminals, depots, interchanges, control centres, communications and safe pedestrian or cycling access.</x:v>
      </x:c>
      <x:c r="S133" s="2" t="str">
        <x:v>Water recycling and reclamation: electricity for control and stations plus the energy used by the affected vehicle fleet; the net result is governed by modal shift and occupancy.</x:v>
      </x:c>
      <x:c r="T133" s="2" t="str">
        <x:v>Water recycling and reclamation: concrete, steel, asphalt, copper, signalling electronics, pavement materials and vehicle-related materials where new infrastructure is built.</x:v>
      </x:c>
      <x:c r="U133" s="2" t="str">
        <x:v>Water recycling and reclamation: signal modules, communications equipment, validators, sensors, pavement components, station equipment and fleet consumables.</x:v>
      </x:c>
      <x:c r="V133" s="2" t="str">
        <x:v>https://www.ctc-n.org/sites/default/files/resources/ctcn_taxonomy_0.pdf</x:v>
      </x:c>
      <x:c r="W133" s="2" t="str">
        <x:v>https://institutoagricoladepueblobello.edu.co/colegiapp/archivostemas/GUIA%209.%5B25%5D.pdf</x:v>
      </x:c>
      <x:c r="X133" s="2" t="str">
        <x:v>https://iiasa.ac.at/what-is-technology</x:v>
      </x:c>
      <x:c r="Y133" s="2" t="str">
        <x:v>https://www.unwater.org/water-facts/climate-change; https://www.ipcc.ch/report/ar6/wg3/chapter/chapter-10/; https://ppp.worldbank.org/print/pdf/node/7300</x:v>
      </x:c>
      <x:c r="Z133" s="2" t="str">
        <x:v>Technology-specific analytical synthesis. The CTCN hierarchy is retained; classifications and component dependencies require validation against the selected design, site and supplier documentation before investment or policy use.</x:v>
      </x:c>
      <x:c r="AA133" s="2" t="str">
        <x:v>Physical deployment of Water recycling and reclamation requires rights-of-way, stops or terminals, depots, interchanges, control centres, communications and safe pedestrian or cycling access; interfaces, foundations, access and environmental protection are sized to the specific resource and design load.</x:v>
      </x:c>
      <x:c r="AB133" s="2" t="str">
        <x:v>For Water recycling and reclamation,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33" s="2" t="str">
        <x:v>Construction and operation use concrete, steel, asphalt, copper, signalling electronics, pavement materials and vehicle-related materials where new infrastructure is built. For Water recycling and reclamation, specifications must include durability, compatibility, recycled content and recoverability.</x:v>
      </x:c>
      <x:c r="AD133" s="2" t="str">
        <x:v>Maintenance of Water recycling and reclamation depends on signal modules, communications equipment, validators, sensors, pavement components, station equipment and fleet consumables; critical spares are selected from failure-mode, lead-time and safety analysis for its installed configuration.</x:v>
      </x:c>
      <x:c r="AE133" s="2" t="str">
        <x:v>The software stack for Water recycling and reclamation requires databases, secure communications, version-controlled models, computing, backup and interfaces with field or operational systems.</x:v>
      </x:c>
      <x:c r="AF133" s="2" t="str">
        <x:v>For Water recycling and reclamation, software-related energy is electricity for sensing, computing, storage, communication and cooling; it is normally secondary but must be included for data-intensive or continuous services.</x:v>
      </x:c>
      <x:c r="AG133" s="2" t="str">
        <x:v>The non-physical inputs are calibrated data, metadata, algorithms, boundary conditions, emission or hazard factors, manuals and validation records specific to Water recycling and reclamation.</x:v>
      </x:c>
      <x:c r="AH133" s="2" t="str">
        <x:v>Software continuity for Water recycling and reclamation requires licences where applicable, updates, cybersecurity patches, backups, calibration files, model validation and technical support.</x:v>
      </x:c>
      <x:c r="AI133" s="2" t="str">
        <x:v>Orgware depends on the institutions, laboratories, training providers, regulators, operators and community interfaces needed to govern Water recycling and reclamation.</x:v>
      </x:c>
      <x:c r="AJ133" s="2" t="str">
        <x:v>The orgware supporting Water recycling and reclamation has mainly indirect energy use from offices, meetings, training and information systems; travel and field supervision may be material at dispersed sites.</x:v>
      </x:c>
      <x:c r="AK133" s="2" t="str">
        <x:v>Its organisational inputs are permits, budgets, trained staff, competence records, contracts, procedures, safeguards, monitoring evidence and stakeholder agreements tailored to Water recycling and reclamation.</x:v>
      </x:c>
      <x:c r="AL133" s="2" t="str">
        <x:v>Sustained implementation of Water recycling and reclamation requires procurement and service contracts, audit protocols, training material, reporting templates, insurance or guarantees and periodic independent review.</x:v>
      </x:c>
      <x:c r="AM133" s="2" t="str">
        <x:v>Iron ore / steel inputs</x:v>
      </x:c>
      <x:c r="AN133" s="2" t="str">
        <x:v>Australia; Brazil; China</x:v>
      </x:c>
      <x:c r="AO133" s="2" t="str">
        <x:v>China; India; Japan</x:v>
      </x:c>
      <x:c r="AP133" s="2" t="str">
        <x:v>Water recycling and reclamation: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3" s="2" t="str">
        <x:v>2024–2025</x:v>
      </x:c>
      <x:c r="AR133" s="2" t="str">
        <x:v>https://pubs.usgs.gov/periodicals/mcs2026/mcs2026.pdf</x:v>
      </x:c>
    </x:row>
    <x:row r="134" ht="240" customHeight="1">
      <x:c r="A134" s="2" t="str">
        <x:v>ADP-0127</x:v>
      </x:c>
      <x:c r="B134" s="2" t="str">
        <x:v>Adaptation</x:v>
      </x:c>
      <x:c r="C134" s="2" t="str">
        <x:v>Water</x:v>
      </x:c>
      <x:c r="D134" s="2" t="str">
        <x:v>Use of alternative water sources</x:v>
      </x:c>
      <x:c r="E134" s="2" t="str">
        <x:v>Fog harvesting</x:v>
      </x:c>
      <x:c r="F134" s="2" t="str">
        <x:v>Fog harvesting is a adaptation technology in the Water sector and the Use of alternative water sources technology group. It is defined as a combined hardware–software–orgware system that manages water quantity, quality, timing or exposure through demand reduction, capture, storage, treatment, allocation, hydraulic protection and ecosystem functions. Fog harvesting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34" s="2" t="str">
        <x:v>Mixed: adaptable design, site-specific implementation</x:v>
      </x:c>
      <x:c r="H134" s="2" t="str">
        <x:v>Fog harvesting is adaptable in capacity and configuration but site-specific in final engineering. Its principle remains the same, but resource quality, climate, scale, interfaces and safety constraints must be recalculated for each deployment.</x:v>
      </x:c>
      <x:c r="I134" s="2" t="str">
        <x:v>Primarily hard, with a soft component</x:v>
      </x:c>
      <x:c r="J134" s="2" t="str">
        <x:v>Fog harvesting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34" s="2" t="str">
        <x:v>Equipment and operation</x:v>
      </x:c>
      <x:c r="L134" s="2" t="str">
        <x:v>Fog harvesting is embodied mainly as an equipment-and-operation system. The deliverable is accepted only when measurable service, quality, safety and climate-performance criteria are met under real conditions.</x:v>
      </x:c>
      <x:c r="M134" s="2" t="str">
        <x:v>Yes, subject to life-cycle safeguards</x:v>
      </x:c>
      <x:c r="N134" s="2" t="str">
        <x:v>Fog harvesting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34" s="2" t="str">
        <x:v>Fog harvesting: intakes, pipes, pumps, meters, valves, tanks, treatment units, drainage or flood structures, monitoring stations and nature-based elements as applicable.</x:v>
      </x:c>
      <x:c r="P134" s="2" t="str">
        <x:v>Fog harvesting: water balance, hydraulic and hydrological modelling, demand forecasting, water-quality analysis, asset management, drought or flood rules and decision support.</x:v>
      </x:c>
      <x:c r="Q134" s="2" t="str">
        <x:v>Fog harvesting: water rights and permits, utility responsibilities, basin governance, service standards, emergency protocols, tariffs, maintenance funding and stakeholder agreements.</x:v>
      </x:c>
      <x:c r="R134" s="2" t="str">
        <x:v>Fog harvesting: catchment or coast, treatment and storage sites, conveyance and drainage network, power supply, laboratory, control room and safe access.</x:v>
      </x:c>
      <x:c r="S134" s="2" t="str">
        <x:v>Fog harvesting: electricity or fuel for pumping, aeration, desalination, treatment and controls; gravity and ecosystem processes can reduce auxiliary demand.</x:v>
      </x:c>
      <x:c r="T134" s="2" t="str">
        <x:v>Fog harvesting: concrete, steel, ductile iron or polymers, filter media, membranes, treatment chemicals, geotextiles, soil, rock and vegetation according to the measure.</x:v>
      </x:c>
      <x:c r="U134" s="2" t="str">
        <x:v>Fog harvesting: pump and valve parts, seals, meters, sensors, membranes, lamps, filter media, dosing equipment, reagents and erosion-control materials.</x:v>
      </x:c>
      <x:c r="V134" s="2" t="str">
        <x:v>https://www.ctc-n.org/sites/default/files/resources/ctcn_taxonomy_0.pdf</x:v>
      </x:c>
      <x:c r="W134" s="2" t="str">
        <x:v>https://institutoagricoladepueblobello.edu.co/colegiapp/archivostemas/GUIA%209.%5B25%5D.pdf</x:v>
      </x:c>
      <x:c r="X134" s="2" t="str">
        <x:v>https://iiasa.ac.at/what-is-technology</x:v>
      </x:c>
      <x:c r="Y134" s="2" t="str">
        <x:v>https://www.unwater.org/water-facts/climate-change</x:v>
      </x:c>
      <x:c r="Z134" s="2" t="str">
        <x:v>Technology-specific analytical synthesis. The CTCN hierarchy is retained; classifications and component dependencies require validation against the selected design, site and supplier documentation before investment or policy use.</x:v>
      </x:c>
      <x:c r="AA134" s="2" t="str">
        <x:v>Physical deployment of Fog harvesting requires catchment or coast, treatment and storage sites, conveyance and drainage network, power supply, laboratory, control room and safe access; interfaces, foundations, access and environmental protection are sized to the specific resource and design load.</x:v>
      </x:c>
      <x:c r="AB134" s="2" t="str">
        <x:v>For Fog harvesting,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34" s="2" t="str">
        <x:v>Construction and operation use concrete, steel, ductile iron or polymers, filter media, membranes, treatment chemicals, geotextiles, soil, rock and vegetation according to the measure. For Fog harvesting, specifications must include durability, compatibility, recycled content and recoverability.</x:v>
      </x:c>
      <x:c r="AD134" s="2" t="str">
        <x:v>Maintenance of Fog harvesting depends on pump and valve parts, seals, meters, sensors, membranes, lamps, filter media, dosing equipment, reagents and erosion-control materials; critical spares are selected from failure-mode, lead-time and safety analysis for its installed configuration.</x:v>
      </x:c>
      <x:c r="AE134" s="2" t="str">
        <x:v>The software stack for Fog harvesting requires databases, secure communications, version-controlled models, computing, backup and interfaces with field or operational systems.</x:v>
      </x:c>
      <x:c r="AF134" s="2" t="str">
        <x:v>For Fog harvesting, software-related energy is electricity for sensing, computing, storage, communication and cooling; it is normally secondary but must be included for data-intensive or continuous services.</x:v>
      </x:c>
      <x:c r="AG134" s="2" t="str">
        <x:v>The non-physical inputs are calibrated data, metadata, algorithms, boundary conditions, emission or hazard factors, manuals and validation records specific to Fog harvesting.</x:v>
      </x:c>
      <x:c r="AH134" s="2" t="str">
        <x:v>Software continuity for Fog harvesting requires licences where applicable, updates, cybersecurity patches, backups, calibration files, model validation and technical support.</x:v>
      </x:c>
      <x:c r="AI134" s="2" t="str">
        <x:v>Orgware depends on the institutions, laboratories, training providers, regulators, operators and community interfaces needed to govern Fog harvesting.</x:v>
      </x:c>
      <x:c r="AJ134" s="2" t="str">
        <x:v>The orgware supporting Fog harvesting has mainly indirect energy use from offices, meetings, training and information systems; travel and field supervision may be material at dispersed sites.</x:v>
      </x:c>
      <x:c r="AK134" s="2" t="str">
        <x:v>Its organisational inputs are permits, budgets, trained staff, competence records, contracts, procedures, safeguards, monitoring evidence and stakeholder agreements tailored to Fog harvesting.</x:v>
      </x:c>
      <x:c r="AL134" s="2" t="str">
        <x:v>Sustained implementation of Fog harvesting requires procurement and service contracts, audit protocols, training material, reporting templates, insurance or guarantees and periodic independent review.</x:v>
      </x:c>
      <x:c r="AM134" s="2" t="str">
        <x:v>Iron ore / steel inputs</x:v>
      </x:c>
      <x:c r="AN134" s="2" t="str">
        <x:v>Australia; Brazil; China</x:v>
      </x:c>
      <x:c r="AO134" s="2" t="str">
        <x:v>China; India; Japan</x:v>
      </x:c>
      <x:c r="AP134" s="2" t="str">
        <x:v>Fog harvesting: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4" s="2" t="str">
        <x:v>2024–2025</x:v>
      </x:c>
      <x:c r="AR134" s="2" t="str">
        <x:v>https://pubs.usgs.gov/periodicals/mcs2026/mcs2026.pdf</x:v>
      </x:c>
    </x:row>
    <x:row r="135" ht="240" customHeight="1">
      <x:c r="A135" s="2" t="str">
        <x:v>ADP-0128</x:v>
      </x:c>
      <x:c r="B135" s="2" t="str">
        <x:v>Adaptation</x:v>
      </x:c>
      <x:c r="C135" s="2" t="str">
        <x:v>Water</x:v>
      </x:c>
      <x:c r="D135" s="2" t="str">
        <x:v>Integrated planning</x:v>
      </x:c>
      <x:c r="E135" s="2" t="str">
        <x:v>Basin level planning</x:v>
      </x:c>
      <x:c r="F135" s="2" t="str">
        <x:v>Basin level planning is a adaptation technology in the Water sector and the Integrated planning technology group. It is defined as a combined hardware–software–orgware system that manages water quantity, quality, timing or exposure through demand reduction, capture, storage, treatment, allocation, hydraulic protection and ecosystem functions. Basin level planning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35" s="2" t="str">
        <x:v>Flexible</x:v>
      </x:c>
      <x:c r="H135" s="2" t="str">
        <x:v>Basin level planning is transferable through configurable methods, rules and operating parameters. Its principle remains the same, but resource quality, climate, scale, interfaces and safety constraints must be recalculated for each deployment.</x:v>
      </x:c>
      <x:c r="I135" s="2" t="str">
        <x:v>Hard and soft</x:v>
      </x:c>
      <x:c r="J135" s="2" t="str">
        <x:v>Basin level planning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35" s="2" t="str">
        <x:v>Operation and information service</x:v>
      </x:c>
      <x:c r="L135" s="2" t="str">
        <x:v>Basin level planning is embodied mainly as an information and decision service. The deliverable is accepted only when measurable service, quality, safety and climate-performance criteria are met under real conditions.</x:v>
      </x:c>
      <x:c r="M135" s="2" t="str">
        <x:v>Yes, subject to life-cycle safeguards</x:v>
      </x:c>
      <x:c r="N135" s="2" t="str">
        <x:v>Basin level planning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35" s="2" t="str">
        <x:v>Basin level planning: intakes, pipes, pumps, meters, valves, tanks, treatment units, drainage or flood structures, monitoring stations and nature-based elements as applicable.</x:v>
      </x:c>
      <x:c r="P135" s="2" t="str">
        <x:v>Basin level planning: water balance, hydraulic and hydrological modelling, demand forecasting, water-quality analysis, asset management, drought or flood rules and decision support.</x:v>
      </x:c>
      <x:c r="Q135" s="2" t="str">
        <x:v>Basin level planning: water rights and permits, utility responsibilities, basin governance, service standards, emergency protocols, tariffs, maintenance funding and stakeholder agreements.</x:v>
      </x:c>
      <x:c r="R135" s="2" t="str">
        <x:v>Basin level planning: catchment or coast, treatment and storage sites, conveyance and drainage network, power supply, laboratory, control room and safe access.</x:v>
      </x:c>
      <x:c r="S135" s="2" t="str">
        <x:v>Basin level planning: electricity or fuel for pumping, aeration, desalination, treatment and controls; gravity and ecosystem processes can reduce auxiliary demand.</x:v>
      </x:c>
      <x:c r="T135" s="2" t="str">
        <x:v>Basin level planning: concrete, steel, ductile iron or polymers, filter media, membranes, treatment chemicals, geotextiles, soil, rock and vegetation according to the measure.</x:v>
      </x:c>
      <x:c r="U135" s="2" t="str">
        <x:v>Basin level planning: pump and valve parts, seals, meters, sensors, membranes, lamps, filter media, dosing equipment, reagents and erosion-control materials.</x:v>
      </x:c>
      <x:c r="V135" s="2" t="str">
        <x:v>https://www.ctc-n.org/sites/default/files/resources/ctcn_taxonomy_0.pdf</x:v>
      </x:c>
      <x:c r="W135" s="2" t="str">
        <x:v>https://institutoagricoladepueblobello.edu.co/colegiapp/archivostemas/GUIA%209.%5B25%5D.pdf</x:v>
      </x:c>
      <x:c r="X135" s="2" t="str">
        <x:v>https://iiasa.ac.at/what-is-technology</x:v>
      </x:c>
      <x:c r="Y135" s="2" t="str">
        <x:v>https://www.unwater.org/water-facts/climate-change</x:v>
      </x:c>
      <x:c r="Z135" s="2" t="str">
        <x:v>Technology-specific analytical synthesis. The CTCN hierarchy is retained; classifications and component dependencies require validation against the selected design, site and supplier documentation before investment or policy use.</x:v>
      </x:c>
      <x:c r="AA135" s="2" t="str">
        <x:v>Physical deployment of Basin level planning requires catchment or coast, treatment and storage sites, conveyance and drainage network, power supply, laboratory, control room and safe access; interfaces, foundations, access and environmental protection are sized to the specific resource and design load.</x:v>
      </x:c>
      <x:c r="AB135" s="2" t="str">
        <x:v>For Basin level planning,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35" s="2" t="str">
        <x:v>Construction and operation use concrete, steel, ductile iron or polymers, filter media, membranes, treatment chemicals, geotextiles, soil, rock and vegetation according to the measure. For Basin level planning, specifications must include durability, compatibility, recycled content and recoverability.</x:v>
      </x:c>
      <x:c r="AD135" s="2" t="str">
        <x:v>Maintenance of Basin level planning depends on pump and valve parts, seals, meters, sensors, membranes, lamps, filter media, dosing equipment, reagents and erosion-control materials; critical spares are selected from failure-mode, lead-time and safety analysis for its installed configuration.</x:v>
      </x:c>
      <x:c r="AE135" s="2" t="str">
        <x:v>The software stack for Basin level planning requires databases, secure communications, version-controlled models, computing, backup and interfaces with field or operational systems.</x:v>
      </x:c>
      <x:c r="AF135" s="2" t="str">
        <x:v>For Basin level planning, software-related energy is electricity for sensing, computing, storage, communication and cooling; it is normally secondary but must be included for data-intensive or continuous services.</x:v>
      </x:c>
      <x:c r="AG135" s="2" t="str">
        <x:v>The non-physical inputs are calibrated data, metadata, algorithms, boundary conditions, emission or hazard factors, manuals and validation records specific to Basin level planning.</x:v>
      </x:c>
      <x:c r="AH135" s="2" t="str">
        <x:v>Software continuity for Basin level planning requires licences where applicable, updates, cybersecurity patches, backups, calibration files, model validation and technical support.</x:v>
      </x:c>
      <x:c r="AI135" s="2" t="str">
        <x:v>Orgware depends on the institutions, laboratories, training providers, regulators, operators and community interfaces needed to govern Basin level planning.</x:v>
      </x:c>
      <x:c r="AJ135" s="2" t="str">
        <x:v>The orgware supporting Basin level planning has mainly indirect energy use from offices, meetings, training and information systems; travel and field supervision may be material at dispersed sites.</x:v>
      </x:c>
      <x:c r="AK135" s="2" t="str">
        <x:v>Its organisational inputs are permits, budgets, trained staff, competence records, contracts, procedures, safeguards, monitoring evidence and stakeholder agreements tailored to Basin level planning.</x:v>
      </x:c>
      <x:c r="AL135" s="2" t="str">
        <x:v>Sustained implementation of Basin level planning requires procurement and service contracts, audit protocols, training material, reporting templates, insurance or guarantees and periodic independent review.</x:v>
      </x:c>
      <x:c r="AM135" s="2" t="str">
        <x:v>No critical or strategic raw material is identifiable at taxonomy level; site-specific bulk materials may still be required.</x:v>
      </x:c>
      <x:c r="AN135" s="2" t="str"/>
      <x:c r="AO135" s="2" t="str"/>
      <x:c r="AP135" s="2" t="str">
        <x:v>Basin level planning: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5" s="2" t="str">
        <x:v>2024–2025</x:v>
      </x:c>
      <x:c r="AR135" s="2" t="str">
        <x:v>https://pubs.usgs.gov/periodicals/mcs2026/mcs2026.pdf</x:v>
      </x:c>
    </x:row>
    <x:row r="136" ht="240" customHeight="1">
      <x:c r="A136" s="2" t="str">
        <x:v>ADP-0129</x:v>
      </x:c>
      <x:c r="B136" s="2" t="str">
        <x:v>Adaptation</x:v>
      </x:c>
      <x:c r="C136" s="2" t="str">
        <x:v>Water</x:v>
      </x:c>
      <x:c r="D136" s="2" t="str">
        <x:v>Integrated planning</x:v>
      </x:c>
      <x:c r="E136" s="2" t="str">
        <x:v>Integrated Water Resources Management</x:v>
      </x:c>
      <x:c r="F136" s="2" t="str">
        <x:v>Integrated Water Resources Management is a adaptation technology in the Water sector and the Integrated planning technology group. It is defined as a combined hardware–software–orgware system that manages water quantity, quality, timing or exposure through demand reduction, capture, storage, treatment, allocation, hydraulic protection and ecosystem functions. Integrated Water Resources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36" s="2" t="str">
        <x:v>Flexible</x:v>
      </x:c>
      <x:c r="H136" s="2" t="str">
        <x:v>Integrated Water Resources Management is transferable through configurable methods, rules and operating parameters. Its principle remains the same, but resource quality, climate, scale, interfaces and safety constraints must be recalculated for each deployment.</x:v>
      </x:c>
      <x:c r="I136" s="2" t="str">
        <x:v>Hard and soft</x:v>
      </x:c>
      <x:c r="J136" s="2" t="str">
        <x:v>Integrated Water Resources Management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36" s="2" t="str">
        <x:v>Operation and information service</x:v>
      </x:c>
      <x:c r="L136" s="2" t="str">
        <x:v>Integrated Water Resources Management is embodied mainly as an information and decision service. The deliverable is accepted only when measurable service, quality, safety and climate-performance criteria are met under real conditions.</x:v>
      </x:c>
      <x:c r="M136" s="2" t="str">
        <x:v>Yes, subject to life-cycle safeguards</x:v>
      </x:c>
      <x:c r="N136" s="2" t="str">
        <x:v>Integrated Water Resources Management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36" s="2" t="str">
        <x:v>Integrated Water Resources Management: intakes, pipes, pumps, meters, valves, tanks, treatment units, drainage or flood structures, monitoring stations and nature-based elements as applicable.</x:v>
      </x:c>
      <x:c r="P136" s="2" t="str">
        <x:v>Integrated Water Resources Management: water balance, hydraulic and hydrological modelling, demand forecasting, water-quality analysis, asset management, drought or flood rules and decision support.</x:v>
      </x:c>
      <x:c r="Q136" s="2" t="str">
        <x:v>Integrated Water Resources Management: water rights and permits, utility responsibilities, basin governance, service standards, emergency protocols, tariffs, maintenance funding and stakeholder agreements.</x:v>
      </x:c>
      <x:c r="R136" s="2" t="str">
        <x:v>Integrated Water Resources Management: catchment or coast, treatment and storage sites, conveyance and drainage network, power supply, laboratory, control room and safe access.</x:v>
      </x:c>
      <x:c r="S136" s="2" t="str">
        <x:v>Integrated Water Resources Management: electricity or fuel for pumping, aeration, desalination, treatment and controls; gravity and ecosystem processes can reduce auxiliary demand.</x:v>
      </x:c>
      <x:c r="T136" s="2" t="str">
        <x:v>Integrated Water Resources Management: concrete, steel, ductile iron or polymers, filter media, membranes, treatment chemicals, geotextiles, soil, rock and vegetation according to the measure.</x:v>
      </x:c>
      <x:c r="U136" s="2" t="str">
        <x:v>Integrated Water Resources Management: pump and valve parts, seals, meters, sensors, membranes, lamps, filter media, dosing equipment, reagents and erosion-control materials.</x:v>
      </x:c>
      <x:c r="V136" s="2" t="str">
        <x:v>https://www.ctc-n.org/sites/default/files/resources/ctcn_taxonomy_0.pdf</x:v>
      </x:c>
      <x:c r="W136" s="2" t="str">
        <x:v>https://institutoagricoladepueblobello.edu.co/colegiapp/archivostemas/GUIA%209.%5B25%5D.pdf</x:v>
      </x:c>
      <x:c r="X136" s="2" t="str">
        <x:v>https://iiasa.ac.at/what-is-technology</x:v>
      </x:c>
      <x:c r="Y136" s="2" t="str">
        <x:v>https://www.unwater.org/water-facts/climate-change</x:v>
      </x:c>
      <x:c r="Z136" s="2" t="str">
        <x:v>Technology-specific analytical synthesis. The CTCN hierarchy is retained; classifications and component dependencies require validation against the selected design, site and supplier documentation before investment or policy use.</x:v>
      </x:c>
      <x:c r="AA136" s="2" t="str">
        <x:v>Physical deployment of Integrated Water Resources Management requires catchment or coast, treatment and storage sites, conveyance and drainage network, power supply, laboratory, control room and safe access; interfaces, foundations, access and environmental protection are sized to the specific resource and design load.</x:v>
      </x:c>
      <x:c r="AB136" s="2" t="str">
        <x:v>For Integrated Water Resources Management,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36" s="2" t="str">
        <x:v>Construction and operation use concrete, steel, ductile iron or polymers, filter media, membranes, treatment chemicals, geotextiles, soil, rock and vegetation according to the measure. For Integrated Water Resources Management, specifications must include durability, compatibility, recycled content and recoverability.</x:v>
      </x:c>
      <x:c r="AD136" s="2" t="str">
        <x:v>Maintenance of Integrated Water Resources Management depends on pump and valve parts, seals, meters, sensors, membranes, lamps, filter media, dosing equipment, reagents and erosion-control materials; critical spares are selected from failure-mode, lead-time and safety analysis for its installed configuration.</x:v>
      </x:c>
      <x:c r="AE136" s="2" t="str">
        <x:v>The software stack for Integrated Water Resources Management requires databases, secure communications, version-controlled models, computing, backup and interfaces with field or operational systems.</x:v>
      </x:c>
      <x:c r="AF136" s="2" t="str">
        <x:v>For Integrated Water Resources Management, software-related energy is electricity for sensing, computing, storage, communication and cooling; it is normally secondary but must be included for data-intensive or continuous services.</x:v>
      </x:c>
      <x:c r="AG136" s="2" t="str">
        <x:v>The non-physical inputs are calibrated data, metadata, algorithms, boundary conditions, emission or hazard factors, manuals and validation records specific to Integrated Water Resources Management.</x:v>
      </x:c>
      <x:c r="AH136" s="2" t="str">
        <x:v>Software continuity for Integrated Water Resources Management requires licences where applicable, updates, cybersecurity patches, backups, calibration files, model validation and technical support.</x:v>
      </x:c>
      <x:c r="AI136" s="2" t="str">
        <x:v>Orgware depends on the institutions, laboratories, training providers, regulators, operators and community interfaces needed to govern Integrated Water Resources Management.</x:v>
      </x:c>
      <x:c r="AJ136" s="2" t="str">
        <x:v>The orgware supporting Integrated Water Resources Management has mainly indirect energy use from offices, meetings, training and information systems; travel and field supervision may be material at dispersed sites.</x:v>
      </x:c>
      <x:c r="AK136" s="2" t="str">
        <x:v>Its organisational inputs are permits, budgets, trained staff, competence records, contracts, procedures, safeguards, monitoring evidence and stakeholder agreements tailored to Integrated Water Resources Management.</x:v>
      </x:c>
      <x:c r="AL136" s="2" t="str">
        <x:v>Sustained implementation of Integrated Water Resources Management requires procurement and service contracts, audit protocols, training material, reporting templates, insurance or guarantees and periodic independent review.</x:v>
      </x:c>
      <x:c r="AM136" s="2" t="str">
        <x:v>No critical or strategic raw material is identifiable at taxonomy level; site-specific bulk materials may still be required.</x:v>
      </x:c>
      <x:c r="AN136" s="2" t="str"/>
      <x:c r="AO136" s="2" t="str"/>
      <x:c r="AP136" s="2" t="str">
        <x:v>Integrated Water Resources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6" s="2" t="str">
        <x:v>2024–2025</x:v>
      </x:c>
      <x:c r="AR136" s="2" t="str">
        <x:v>https://pubs.usgs.gov/periodicals/mcs2026/mcs2026.pdf</x:v>
      </x:c>
    </x:row>
    <x:row r="137" ht="240" customHeight="1">
      <x:c r="A137" s="2" t="str">
        <x:v>ADP-0130</x:v>
      </x:c>
      <x:c r="B137" s="2" t="str">
        <x:v>Adaptation</x:v>
      </x:c>
      <x:c r="C137" s="2" t="str">
        <x:v>Water</x:v>
      </x:c>
      <x:c r="D137" s="2" t="str">
        <x:v>Integrated planning</x:v>
      </x:c>
      <x:c r="E137" s="2" t="str">
        <x:v>Hydrological modelling</x:v>
      </x:c>
      <x:c r="F137" s="2" t="str">
        <x:v>Hydrological modelling is a adaptation technology in the Water sector and the Integrated planning technology group. It is defined as a combined hardware–software–orgware system that converts a renewable solar, wind, water, ocean, geothermal or chemical resource into electricity, heat or mechanical work while controlling variability and conversion losses. Hydrological modelling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The life cycle includes resource and site assessment, material production, construction, operational yield, land or ecosystem interaction, maintenance, repowering and decommissioning or recycling. The IEA Clean Energy Technology Guide documents commercial and emerging designs across solar PV, wind, hydropower, geothermal, hydrogen and other renewable-energy chains.</x:v>
      </x:c>
      <x:c r="G137" s="2" t="str">
        <x:v>Flexible</x:v>
      </x:c>
      <x:c r="H137" s="2" t="str">
        <x:v>Hydrological modelling is transferable through configurable methods, rules and operating parameters. Its principle remains the same, but resource quality, climate, scale, interfaces and safety constraints must be recalculated for each deployment.</x:v>
      </x:c>
      <x:c r="I137" s="2" t="str">
        <x:v>Hard and soft</x:v>
      </x:c>
      <x:c r="J137" s="2" t="str">
        <x:v>Hydrological modelling combines resource collector or prime mover, generator or heat exchanger, support structure, power conversion, protection, metering and connection equipment with the codified knowledge in resource assessment, energy-yield modelling, forecasting, maximum-power or process control, dispatch, condition monitoring and maintenance planning. Its performance cannot be assigned to artefacts alone: operation, competence, data quality and institutional arrangements are causal parts of the technology.</x:v>
      </x:c>
      <x:c r="K137" s="2" t="str">
        <x:v>Operation and information service</x:v>
      </x:c>
      <x:c r="L137" s="2" t="str">
        <x:v>Hydrological modelling is embodied mainly as an information and decision service. The deliverable is accepted only when measurable service, quality, safety and climate-performance criteria are met under real conditions.</x:v>
      </x:c>
      <x:c r="M137" s="2" t="str">
        <x:v>Yes, subject to life-cycle safeguards</x:v>
      </x:c>
      <x:c r="N137" s="2" t="str">
        <x:v>Hydrological modelling is classified as climate-beneficial subject to safeguards. The life cycle includes resource and site assessment, material production, construction, operational yield, land or ecosystem interaction, maintenance, repowering and decommissioning or recycling. Avoided emissions or reduced vulnerability must be demonstrated against a defined baseline, without shifting material, pollution or social burdens outside the system boundary.</x:v>
      </x:c>
      <x:c r="O137" s="2" t="str">
        <x:v>Hydrological modelling: resource collector or prime mover, generator or heat exchanger, support structure, power conversion, protection, metering and connection equipment.</x:v>
      </x:c>
      <x:c r="P137" s="2" t="str">
        <x:v>Hydrological modelling: resource assessment, energy-yield modelling, forecasting, maximum-power or process control, dispatch, condition monitoring and maintenance planning.</x:v>
      </x:c>
      <x:c r="Q137" s="2" t="str">
        <x:v>Hydrological modelling: resource and land or sea rights, environmental licensing, grid code, safety, community participation, revenue contract and decommissioning plan.</x:v>
      </x:c>
      <x:c r="R137" s="2" t="str">
        <x:v>Hydrological modelling: foundations, access, electrical or thermal network, substation, control and communications, drainage and construction or marine logistics.</x:v>
      </x:c>
      <x:c r="S137" s="2" t="str">
        <x:v>Hydrological modelling: the renewable resource is the primary input; auxiliary electricity, start-up fuel, pumping or thermal energy may be required depending on the design.</x:v>
      </x:c>
      <x:c r="T137" s="2" t="str">
        <x:v>Hydrological modelling: steel, concrete, copper, aluminium, polymers, glass and technology-specific materials such as silicon, magnets, coatings, catalysts or working fluids.</x:v>
      </x:c>
      <x:c r="U137" s="2" t="str">
        <x:v>Hydrological modelling: bearings, seals, filters, lubricants, sensors, converter parts, cables, fasteners, coatings and replaceable collector or heat-exchanger components.</x:v>
      </x:c>
      <x:c r="V137" s="2" t="str">
        <x:v>https://www.ctc-n.org/sites/default/files/resources/ctcn_taxonomy_0.pdf</x:v>
      </x:c>
      <x:c r="W137" s="2" t="str">
        <x:v>https://institutoagricoladepueblobello.edu.co/colegiapp/archivostemas/GUIA%209.%5B25%5D.pdf</x:v>
      </x:c>
      <x:c r="X137" s="2" t="str">
        <x:v>https://iiasa.ac.at/what-is-technology</x:v>
      </x:c>
      <x:c r="Y137" s="2" t="str">
        <x:v>https://www.unwater.org/water-facts/climate-change; https://www.iea.org/data-and-statistics/data-tools/etp-clean-energy-technology-guide</x:v>
      </x:c>
      <x:c r="Z137" s="2" t="str">
        <x:v>Technology-specific analytical synthesis. The CTCN hierarchy is retained; classifications and component dependencies require validation against the selected design, site and supplier documentation before investment or policy use.</x:v>
      </x:c>
      <x:c r="AA137" s="2" t="str">
        <x:v>Physical deployment of Hydrological modelling requires foundations, access, electrical or thermal network, substation, control and communications, drainage and construction or marine logistics; interfaces, foundations, access and environmental protection are sized to the specific resource and design load.</x:v>
      </x:c>
      <x:c r="AB137" s="2" t="str">
        <x:v>For Hydrological modelling, the hardware energy balance comprises the renewable resource is the primary input; auxiliary electricity, start-up fuel, pumping or thermal energy may be required depending on the design; metering must separate useful output, conversion losses and auxiliaries for the selected design.</x:v>
      </x:c>
      <x:c r="AC137" s="2" t="str">
        <x:v>Construction and operation use steel, concrete, copper, aluminium, polymers, glass and technology-specific materials such as silicon, magnets, coatings, catalysts or working fluids. For Hydrological modelling, specifications must include durability, compatibility, recycled content and recoverability.</x:v>
      </x:c>
      <x:c r="AD137" s="2" t="str">
        <x:v>Maintenance of Hydrological modelling depends on bearings, seals, filters, lubricants, sensors, converter parts, cables, fasteners, coatings and replaceable collector or heat-exchanger components; critical spares are selected from failure-mode, lead-time and safety analysis for its installed configuration.</x:v>
      </x:c>
      <x:c r="AE137" s="2" t="str">
        <x:v>The software stack for Hydrological modelling requires databases, secure communications, version-controlled models, computing, backup and interfaces with field or operational systems.</x:v>
      </x:c>
      <x:c r="AF137" s="2" t="str">
        <x:v>For Hydrological modelling, software-related energy is electricity for sensing, computing, storage, communication and cooling; it is normally secondary but must be included for data-intensive or continuous services.</x:v>
      </x:c>
      <x:c r="AG137" s="2" t="str">
        <x:v>The non-physical inputs are calibrated data, metadata, algorithms, boundary conditions, emission or hazard factors, manuals and validation records specific to Hydrological modelling.</x:v>
      </x:c>
      <x:c r="AH137" s="2" t="str">
        <x:v>Software continuity for Hydrological modelling requires licences where applicable, updates, cybersecurity patches, backups, calibration files, model validation and technical support.</x:v>
      </x:c>
      <x:c r="AI137" s="2" t="str">
        <x:v>Orgware depends on the institutions, laboratories, training providers, regulators, operators and community interfaces needed to govern Hydrological modelling.</x:v>
      </x:c>
      <x:c r="AJ137" s="2" t="str">
        <x:v>The orgware supporting Hydrological modelling has mainly indirect energy use from offices, meetings, training and information systems; travel and field supervision may be material at dispersed sites.</x:v>
      </x:c>
      <x:c r="AK137" s="2" t="str">
        <x:v>Its organisational inputs are permits, budgets, trained staff, competence records, contracts, procedures, safeguards, monitoring evidence and stakeholder agreements tailored to Hydrological modelling.</x:v>
      </x:c>
      <x:c r="AL137" s="2" t="str">
        <x:v>Sustained implementation of Hydrological modelling requires procurement and service contracts, audit protocols, training material, reporting templates, insurance or guarantees and periodic independent review.</x:v>
      </x:c>
      <x:c r="AM137" s="2" t="str">
        <x:v>No critical or strategic raw material is identifiable at taxonomy level; site-specific bulk materials may still be required.</x:v>
      </x:c>
      <x:c r="AN137" s="2" t="str"/>
      <x:c r="AO137" s="2" t="str"/>
      <x:c r="AP137" s="2" t="str">
        <x:v>Hydrological modelling: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7" s="2" t="str">
        <x:v>2024–2025</x:v>
      </x:c>
      <x:c r="AR137" s="2" t="str">
        <x:v>https://pubs.usgs.gov/periodicals/mcs2026/mcs2026.pdf; https://www.iea.org/reports/global-critical-minerals-outlook-2025</x:v>
      </x:c>
    </x:row>
    <x:row r="138" ht="240" customHeight="1">
      <x:c r="A138" s="2" t="str">
        <x:v>ADP-0131</x:v>
      </x:c>
      <x:c r="B138" s="2" t="str">
        <x:v>Adaptation</x:v>
      </x:c>
      <x:c r="C138" s="2" t="str">
        <x:v>Water</x:v>
      </x:c>
      <x:c r="D138" s="2" t="str">
        <x:v>Integrated planning</x:v>
      </x:c>
      <x:c r="E138" s="2" t="str">
        <x:v>Groundwater extraction and monitoring</x:v>
      </x:c>
      <x:c r="F138" s="2" t="str">
        <x:v>Groundwater extraction and monitoring is a adaptation technology in the Water sector and the Integrated planning technology group. It is defined as a combined hardware–software–orgware system that manages water quantity, quality, timing or exposure through demand reduction, capture, storage, treatment, allocation, hydraulic protection and ecosystem functions. Groundwater extraction and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38" s="2" t="str">
        <x:v>Flexible</x:v>
      </x:c>
      <x:c r="H138" s="2" t="str">
        <x:v>Groundwater extraction and monitoring is transferable through configurable methods, rules and operating parameters. Its principle remains the same, but resource quality, climate, scale, interfaces and safety constraints must be recalculated for each deployment.</x:v>
      </x:c>
      <x:c r="I138" s="2" t="str">
        <x:v>Hard and soft</x:v>
      </x:c>
      <x:c r="J138" s="2" t="str">
        <x:v>Groundwater extraction and monitoring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38" s="2" t="str">
        <x:v>Operation and information service</x:v>
      </x:c>
      <x:c r="L138" s="2" t="str">
        <x:v>Groundwater extraction and monitoring is embodied mainly as an information and decision service. The deliverable is accepted only when measurable service, quality, safety and climate-performance criteria are met under real conditions.</x:v>
      </x:c>
      <x:c r="M138" s="2" t="str">
        <x:v>Yes, subject to life-cycle safeguards</x:v>
      </x:c>
      <x:c r="N138" s="2" t="str">
        <x:v>Groundwater extraction and monitoring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38" s="2" t="str">
        <x:v>Groundwater extraction and monitoring: intakes, pipes, pumps, meters, valves, tanks, treatment units, drainage or flood structures, monitoring stations and nature-based elements as applicable.</x:v>
      </x:c>
      <x:c r="P138" s="2" t="str">
        <x:v>Groundwater extraction and monitoring: water balance, hydraulic and hydrological modelling, demand forecasting, water-quality analysis, asset management, drought or flood rules and decision support.</x:v>
      </x:c>
      <x:c r="Q138" s="2" t="str">
        <x:v>Groundwater extraction and monitoring: water rights and permits, utility responsibilities, basin governance, service standards, emergency protocols, tariffs, maintenance funding and stakeholder agreements.</x:v>
      </x:c>
      <x:c r="R138" s="2" t="str">
        <x:v>Groundwater extraction and monitoring: catchment or coast, treatment and storage sites, conveyance and drainage network, power supply, laboratory, control room and safe access.</x:v>
      </x:c>
      <x:c r="S138" s="2" t="str">
        <x:v>Groundwater extraction and monitoring: electricity or fuel for pumping, aeration, desalination, treatment and controls; gravity and ecosystem processes can reduce auxiliary demand.</x:v>
      </x:c>
      <x:c r="T138" s="2" t="str">
        <x:v>Groundwater extraction and monitoring: concrete, steel, ductile iron or polymers, filter media, membranes, treatment chemicals, geotextiles, soil, rock and vegetation according to the measure.</x:v>
      </x:c>
      <x:c r="U138" s="2" t="str">
        <x:v>Groundwater extraction and monitoring: pump and valve parts, seals, meters, sensors, membranes, lamps, filter media, dosing equipment, reagents and erosion-control materials.</x:v>
      </x:c>
      <x:c r="V138" s="2" t="str">
        <x:v>https://www.ctc-n.org/sites/default/files/resources/ctcn_taxonomy_0.pdf</x:v>
      </x:c>
      <x:c r="W138" s="2" t="str">
        <x:v>https://institutoagricoladepueblobello.edu.co/colegiapp/archivostemas/GUIA%209.%5B25%5D.pdf</x:v>
      </x:c>
      <x:c r="X138" s="2" t="str">
        <x:v>https://iiasa.ac.at/what-is-technology</x:v>
      </x:c>
      <x:c r="Y138" s="2" t="str">
        <x:v>https://www.unwater.org/water-facts/climate-change</x:v>
      </x:c>
      <x:c r="Z138" s="2" t="str">
        <x:v>Technology-specific analytical synthesis. The CTCN hierarchy is retained; classifications and component dependencies require validation against the selected design, site and supplier documentation before investment or policy use.</x:v>
      </x:c>
      <x:c r="AA138" s="2" t="str">
        <x:v>Physical deployment of Groundwater extraction and monitoring requires catchment or coast, treatment and storage sites, conveyance and drainage network, power supply, laboratory, control room and safe access; interfaces, foundations, access and environmental protection are sized to the specific resource and design load.</x:v>
      </x:c>
      <x:c r="AB138" s="2" t="str">
        <x:v>For Groundwater extraction and monitoring,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38" s="2" t="str">
        <x:v>Construction and operation use concrete, steel, ductile iron or polymers, filter media, membranes, treatment chemicals, geotextiles, soil, rock and vegetation according to the measure. For Groundwater extraction and monitoring, specifications must include durability, compatibility, recycled content and recoverability.</x:v>
      </x:c>
      <x:c r="AD138" s="2" t="str">
        <x:v>Maintenance of Groundwater extraction and monitoring depends on pump and valve parts, seals, meters, sensors, membranes, lamps, filter media, dosing equipment, reagents and erosion-control materials; critical spares are selected from failure-mode, lead-time and safety analysis for its installed configuration.</x:v>
      </x:c>
      <x:c r="AE138" s="2" t="str">
        <x:v>The software stack for Groundwater extraction and monitoring requires databases, secure communications, version-controlled models, computing, backup and interfaces with field or operational systems.</x:v>
      </x:c>
      <x:c r="AF138" s="2" t="str">
        <x:v>For Groundwater extraction and monitoring, software-related energy is electricity for sensing, computing, storage, communication and cooling; it is normally secondary but must be included for data-intensive or continuous services.</x:v>
      </x:c>
      <x:c r="AG138" s="2" t="str">
        <x:v>The non-physical inputs are calibrated data, metadata, algorithms, boundary conditions, emission or hazard factors, manuals and validation records specific to Groundwater extraction and monitoring.</x:v>
      </x:c>
      <x:c r="AH138" s="2" t="str">
        <x:v>Software continuity for Groundwater extraction and monitoring requires licences where applicable, updates, cybersecurity patches, backups, calibration files, model validation and technical support.</x:v>
      </x:c>
      <x:c r="AI138" s="2" t="str">
        <x:v>Orgware depends on the institutions, laboratories, training providers, regulators, operators and community interfaces needed to govern Groundwater extraction and monitoring.</x:v>
      </x:c>
      <x:c r="AJ138" s="2" t="str">
        <x:v>The orgware supporting Groundwater extraction and monitoring has mainly indirect energy use from offices, meetings, training and information systems; travel and field supervision may be material at dispersed sites.</x:v>
      </x:c>
      <x:c r="AK138" s="2" t="str">
        <x:v>Its organisational inputs are permits, budgets, trained staff, competence records, contracts, procedures, safeguards, monitoring evidence and stakeholder agreements tailored to Groundwater extraction and monitoring.</x:v>
      </x:c>
      <x:c r="AL138" s="2" t="str">
        <x:v>Sustained implementation of Groundwater extraction and monitoring requires procurement and service contracts, audit protocols, training material, reporting templates, insurance or guarantees and periodic independent review.</x:v>
      </x:c>
      <x:c r="AM138" s="2" t="str">
        <x:v>Copper; Tin</x:v>
      </x:c>
      <x:c r="AN138" s="2" t="str">
        <x:v>Chile; Democratic Republic of the Congo; Peru; China; Indonesia; Myanmar</x:v>
      </x:c>
      <x:c r="AO138" s="2" t="str">
        <x:v>China; Chile; Democratic Republic of the Congo; Indonesia; Malaysia</x:v>
      </x:c>
      <x:c r="AP138" s="2" t="str">
        <x:v>Groundwater extraction and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8" s="2" t="str">
        <x:v>2024–2025</x:v>
      </x:c>
      <x:c r="AR138" s="2" t="str">
        <x:v>https://pubs.usgs.gov/periodicals/mcs2026/mcs2026.pdf</x:v>
      </x:c>
    </x:row>
    <x:row r="139" ht="240" customHeight="1">
      <x:c r="A139" s="2" t="str">
        <x:v>ADP-0132</x:v>
      </x:c>
      <x:c r="B139" s="2" t="str">
        <x:v>Adaptation</x:v>
      </x:c>
      <x:c r="C139" s="2" t="str">
        <x:v>Water</x:v>
      </x:c>
      <x:c r="D139" s="2" t="str">
        <x:v>Limiting nutrient leakage</x:v>
      </x:c>
      <x:c r="E139" s="2" t="str">
        <x:v>Riparian buffers</x:v>
      </x:c>
      <x:c r="F139" s="2" t="str">
        <x:v>Riparian buffers is a adaptation technology in the Water sector and the Limiting nutrient leakage technology group. It is defined as a combined hardware–software–orgware system that manages water quantity, quality, timing or exposure through demand reduction, capture, storage, treatment, allocation, hydraulic protection and ecosystem functions. Riparian buffers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39" s="2" t="str">
        <x:v>Mixed: adaptable design, site-specific implementation</x:v>
      </x:c>
      <x:c r="H139" s="2" t="str">
        <x:v>Riparian buffers is adaptable in capacity and configuration but site-specific in final engineering. Its principle remains the same, but resource quality, climate, scale, interfaces and safety constraints must be recalculated for each deployment.</x:v>
      </x:c>
      <x:c r="I139" s="2" t="str">
        <x:v>Primarily hard, with a soft component</x:v>
      </x:c>
      <x:c r="J139" s="2" t="str">
        <x:v>Riparian buffers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39" s="2" t="str">
        <x:v>Equipment and operation</x:v>
      </x:c>
      <x:c r="L139" s="2" t="str">
        <x:v>Riparian buffers is embodied mainly as an equipment-and-operation system. The deliverable is accepted only when measurable service, quality, safety and climate-performance criteria are met under real conditions.</x:v>
      </x:c>
      <x:c r="M139" s="2" t="str">
        <x:v>Yes, subject to life-cycle safeguards</x:v>
      </x:c>
      <x:c r="N139" s="2" t="str">
        <x:v>Riparian buffers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39" s="2" t="str">
        <x:v>Riparian buffers: intakes, pipes, pumps, meters, valves, tanks, treatment units, drainage or flood structures, monitoring stations and nature-based elements as applicable.</x:v>
      </x:c>
      <x:c r="P139" s="2" t="str">
        <x:v>Riparian buffers: water balance, hydraulic and hydrological modelling, demand forecasting, water-quality analysis, asset management, drought or flood rules and decision support.</x:v>
      </x:c>
      <x:c r="Q139" s="2" t="str">
        <x:v>Riparian buffers: water rights and permits, utility responsibilities, basin governance, service standards, emergency protocols, tariffs, maintenance funding and stakeholder agreements.</x:v>
      </x:c>
      <x:c r="R139" s="2" t="str">
        <x:v>Riparian buffers: catchment or coast, treatment and storage sites, conveyance and drainage network, power supply, laboratory, control room and safe access.</x:v>
      </x:c>
      <x:c r="S139" s="2" t="str">
        <x:v>Riparian buffers: electricity or fuel for pumping, aeration, desalination, treatment and controls; gravity and ecosystem processes can reduce auxiliary demand.</x:v>
      </x:c>
      <x:c r="T139" s="2" t="str">
        <x:v>Riparian buffers: concrete, steel, ductile iron or polymers, filter media, membranes, treatment chemicals, geotextiles, soil, rock and vegetation according to the measure.</x:v>
      </x:c>
      <x:c r="U139" s="2" t="str">
        <x:v>Riparian buffers: pump and valve parts, seals, meters, sensors, membranes, lamps, filter media, dosing equipment, reagents and erosion-control materials.</x:v>
      </x:c>
      <x:c r="V139" s="2" t="str">
        <x:v>https://www.ctc-n.org/sites/default/files/resources/ctcn_taxonomy_0.pdf</x:v>
      </x:c>
      <x:c r="W139" s="2" t="str">
        <x:v>https://institutoagricoladepueblobello.edu.co/colegiapp/archivostemas/GUIA%209.%5B25%5D.pdf</x:v>
      </x:c>
      <x:c r="X139" s="2" t="str">
        <x:v>https://iiasa.ac.at/what-is-technology</x:v>
      </x:c>
      <x:c r="Y139" s="2" t="str">
        <x:v>https://www.unwater.org/water-facts/climate-change</x:v>
      </x:c>
      <x:c r="Z139" s="2" t="str">
        <x:v>Technology-specific analytical synthesis. The CTCN hierarchy is retained; classifications and component dependencies require validation against the selected design, site and supplier documentation before investment or policy use.</x:v>
      </x:c>
      <x:c r="AA139" s="2" t="str">
        <x:v>Physical deployment of Riparian buffers requires catchment or coast, treatment and storage sites, conveyance and drainage network, power supply, laboratory, control room and safe access; interfaces, foundations, access and environmental protection are sized to the specific resource and design load.</x:v>
      </x:c>
      <x:c r="AB139" s="2" t="str">
        <x:v>For Riparian buffers,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39" s="2" t="str">
        <x:v>Construction and operation use concrete, steel, ductile iron or polymers, filter media, membranes, treatment chemicals, geotextiles, soil, rock and vegetation according to the measure. For Riparian buffers, specifications must include durability, compatibility, recycled content and recoverability.</x:v>
      </x:c>
      <x:c r="AD139" s="2" t="str">
        <x:v>Maintenance of Riparian buffers depends on pump and valve parts, seals, meters, sensors, membranes, lamps, filter media, dosing equipment, reagents and erosion-control materials; critical spares are selected from failure-mode, lead-time and safety analysis for its installed configuration.</x:v>
      </x:c>
      <x:c r="AE139" s="2" t="str">
        <x:v>The software stack for Riparian buffers requires databases, secure communications, version-controlled models, computing, backup and interfaces with field or operational systems.</x:v>
      </x:c>
      <x:c r="AF139" s="2" t="str">
        <x:v>For Riparian buffers, software-related energy is electricity for sensing, computing, storage, communication and cooling; it is normally secondary but must be included for data-intensive or continuous services.</x:v>
      </x:c>
      <x:c r="AG139" s="2" t="str">
        <x:v>The non-physical inputs are calibrated data, metadata, algorithms, boundary conditions, emission or hazard factors, manuals and validation records specific to Riparian buffers.</x:v>
      </x:c>
      <x:c r="AH139" s="2" t="str">
        <x:v>Software continuity for Riparian buffers requires licences where applicable, updates, cybersecurity patches, backups, calibration files, model validation and technical support.</x:v>
      </x:c>
      <x:c r="AI139" s="2" t="str">
        <x:v>Orgware depends on the institutions, laboratories, training providers, regulators, operators and community interfaces needed to govern Riparian buffers.</x:v>
      </x:c>
      <x:c r="AJ139" s="2" t="str">
        <x:v>The orgware supporting Riparian buffers has mainly indirect energy use from offices, meetings, training and information systems; travel and field supervision may be material at dispersed sites.</x:v>
      </x:c>
      <x:c r="AK139" s="2" t="str">
        <x:v>Its organisational inputs are permits, budgets, trained staff, competence records, contracts, procedures, safeguards, monitoring evidence and stakeholder agreements tailored to Riparian buffers.</x:v>
      </x:c>
      <x:c r="AL139" s="2" t="str">
        <x:v>Sustained implementation of Riparian buffers requires procurement and service contracts, audit protocols, training material, reporting templates, insurance or guarantees and periodic independent review.</x:v>
      </x:c>
      <x:c r="AM139" s="2" t="str">
        <x:v>Iron ore / steel inputs; Phosphate rock; Potash</x:v>
      </x:c>
      <x:c r="AN139" s="2" t="str">
        <x:v>Australia; Brazil; China; Morocco; United States; Canada; Russia; Belarus</x:v>
      </x:c>
      <x:c r="AO139" s="2" t="str">
        <x:v>China; India; Japan; Morocco; United States; Canada; Russia; Belarus</x:v>
      </x:c>
      <x:c r="AP139" s="2" t="str">
        <x:v>Riparian buffers: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39" s="2" t="str">
        <x:v>2024–2025</x:v>
      </x:c>
      <x:c r="AR139" s="2" t="str">
        <x:v>https://pubs.usgs.gov/periodicals/mcs2026/mcs2026.pdf</x:v>
      </x:c>
    </x:row>
    <x:row r="140" ht="240" customHeight="1">
      <x:c r="A140" s="2" t="str">
        <x:v>ADP-0133</x:v>
      </x:c>
      <x:c r="B140" s="2" t="str">
        <x:v>Adaptation</x:v>
      </x:c>
      <x:c r="C140" s="2" t="str">
        <x:v>Water</x:v>
      </x:c>
      <x:c r="D140" s="2" t="str">
        <x:v>Limiting nutrient leakage</x:v>
      </x:c>
      <x:c r="E140" s="2" t="str">
        <x:v>Land use limitations</x:v>
      </x:c>
      <x:c r="F140" s="2" t="str">
        <x:v>Land use limitations is a adaptation technology in the Water sector and the Limiting nutrient leakage technology group. It is defined as a combined hardware–software–orgware system that manages water quantity, quality, timing or exposure through demand reduction, capture, storage, treatment, allocation, hydraulic protection and ecosystem functions. Land use limitations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40" s="2" t="str">
        <x:v>Mixed: adaptable design, site-specific implementation</x:v>
      </x:c>
      <x:c r="H140" s="2" t="str">
        <x:v>Land use limitations is adaptable in capacity and configuration but site-specific in final engineering. Its principle remains the same, but resource quality, climate, scale, interfaces and safety constraints must be recalculated for each deployment.</x:v>
      </x:c>
      <x:c r="I140" s="2" t="str">
        <x:v>Primarily hard, with a soft component</x:v>
      </x:c>
      <x:c r="J140" s="2" t="str">
        <x:v>Land use limitations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40" s="2" t="str">
        <x:v>Equipment and operation</x:v>
      </x:c>
      <x:c r="L140" s="2" t="str">
        <x:v>Land use limitations is embodied mainly as an equipment-and-operation system. The deliverable is accepted only when measurable service, quality, safety and climate-performance criteria are met under real conditions.</x:v>
      </x:c>
      <x:c r="M140" s="2" t="str">
        <x:v>Yes, subject to life-cycle safeguards</x:v>
      </x:c>
      <x:c r="N140" s="2" t="str">
        <x:v>Land use limitations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40" s="2" t="str">
        <x:v>Land use limitations: intakes, pipes, pumps, meters, valves, tanks, treatment units, drainage or flood structures, monitoring stations and nature-based elements as applicable.</x:v>
      </x:c>
      <x:c r="P140" s="2" t="str">
        <x:v>Land use limitations: water balance, hydraulic and hydrological modelling, demand forecasting, water-quality analysis, asset management, drought or flood rules and decision support.</x:v>
      </x:c>
      <x:c r="Q140" s="2" t="str">
        <x:v>Land use limitations: water rights and permits, utility responsibilities, basin governance, service standards, emergency protocols, tariffs, maintenance funding and stakeholder agreements.</x:v>
      </x:c>
      <x:c r="R140" s="2" t="str">
        <x:v>Land use limitations: catchment or coast, treatment and storage sites, conveyance and drainage network, power supply, laboratory, control room and safe access.</x:v>
      </x:c>
      <x:c r="S140" s="2" t="str">
        <x:v>Land use limitations: electricity or fuel for pumping, aeration, desalination, treatment and controls; gravity and ecosystem processes can reduce auxiliary demand.</x:v>
      </x:c>
      <x:c r="T140" s="2" t="str">
        <x:v>Land use limitations: concrete, steel, ductile iron or polymers, filter media, membranes, treatment chemicals, geotextiles, soil, rock and vegetation according to the measure.</x:v>
      </x:c>
      <x:c r="U140" s="2" t="str">
        <x:v>Land use limitations: pump and valve parts, seals, meters, sensors, membranes, lamps, filter media, dosing equipment, reagents and erosion-control materials.</x:v>
      </x:c>
      <x:c r="V140" s="2" t="str">
        <x:v>https://www.ctc-n.org/sites/default/files/resources/ctcn_taxonomy_0.pdf</x:v>
      </x:c>
      <x:c r="W140" s="2" t="str">
        <x:v>https://institutoagricoladepueblobello.edu.co/colegiapp/archivostemas/GUIA%209.%5B25%5D.pdf</x:v>
      </x:c>
      <x:c r="X140" s="2" t="str">
        <x:v>https://iiasa.ac.at/what-is-technology</x:v>
      </x:c>
      <x:c r="Y140" s="2" t="str">
        <x:v>https://www.unwater.org/water-facts/climate-change</x:v>
      </x:c>
      <x:c r="Z140" s="2" t="str">
        <x:v>Technology-specific analytical synthesis. The CTCN hierarchy is retained; classifications and component dependencies require validation against the selected design, site and supplier documentation before investment or policy use.</x:v>
      </x:c>
      <x:c r="AA140" s="2" t="str">
        <x:v>Physical deployment of Land use limitations requires catchment or coast, treatment and storage sites, conveyance and drainage network, power supply, laboratory, control room and safe access; interfaces, foundations, access and environmental protection are sized to the specific resource and design load.</x:v>
      </x:c>
      <x:c r="AB140" s="2" t="str">
        <x:v>For Land use limitations,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40" s="2" t="str">
        <x:v>Construction and operation use concrete, steel, ductile iron or polymers, filter media, membranes, treatment chemicals, geotextiles, soil, rock and vegetation according to the measure. For Land use limitations, specifications must include durability, compatibility, recycled content and recoverability.</x:v>
      </x:c>
      <x:c r="AD140" s="2" t="str">
        <x:v>Maintenance of Land use limitations depends on pump and valve parts, seals, meters, sensors, membranes, lamps, filter media, dosing equipment, reagents and erosion-control materials; critical spares are selected from failure-mode, lead-time and safety analysis for its installed configuration.</x:v>
      </x:c>
      <x:c r="AE140" s="2" t="str">
        <x:v>The software stack for Land use limitations requires databases, secure communications, version-controlled models, computing, backup and interfaces with field or operational systems.</x:v>
      </x:c>
      <x:c r="AF140" s="2" t="str">
        <x:v>For Land use limitations, software-related energy is electricity for sensing, computing, storage, communication and cooling; it is normally secondary but must be included for data-intensive or continuous services.</x:v>
      </x:c>
      <x:c r="AG140" s="2" t="str">
        <x:v>The non-physical inputs are calibrated data, metadata, algorithms, boundary conditions, emission or hazard factors, manuals and validation records specific to Land use limitations.</x:v>
      </x:c>
      <x:c r="AH140" s="2" t="str">
        <x:v>Software continuity for Land use limitations requires licences where applicable, updates, cybersecurity patches, backups, calibration files, model validation and technical support.</x:v>
      </x:c>
      <x:c r="AI140" s="2" t="str">
        <x:v>Orgware depends on the institutions, laboratories, training providers, regulators, operators and community interfaces needed to govern Land use limitations.</x:v>
      </x:c>
      <x:c r="AJ140" s="2" t="str">
        <x:v>The orgware supporting Land use limitations has mainly indirect energy use from offices, meetings, training and information systems; travel and field supervision may be material at dispersed sites.</x:v>
      </x:c>
      <x:c r="AK140" s="2" t="str">
        <x:v>Its organisational inputs are permits, budgets, trained staff, competence records, contracts, procedures, safeguards, monitoring evidence and stakeholder agreements tailored to Land use limitations.</x:v>
      </x:c>
      <x:c r="AL140" s="2" t="str">
        <x:v>Sustained implementation of Land use limitations requires procurement and service contracts, audit protocols, training material, reporting templates, insurance or guarantees and periodic independent review.</x:v>
      </x:c>
      <x:c r="AM140" s="2" t="str">
        <x:v>Iron ore / steel inputs; Phosphate rock; Potash</x:v>
      </x:c>
      <x:c r="AN140" s="2" t="str">
        <x:v>Australia; Brazil; China; Morocco; United States; Canada; Russia; Belarus</x:v>
      </x:c>
      <x:c r="AO140" s="2" t="str">
        <x:v>China; India; Japan; Morocco; United States; Canada; Russia; Belarus</x:v>
      </x:c>
      <x:c r="AP140" s="2" t="str">
        <x:v>Land use limitations: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0" s="2" t="str">
        <x:v>2024–2025</x:v>
      </x:c>
      <x:c r="AR140" s="2" t="str">
        <x:v>https://pubs.usgs.gov/periodicals/mcs2026/mcs2026.pdf</x:v>
      </x:c>
    </x:row>
    <x:row r="141" ht="240" customHeight="1">
      <x:c r="A141" s="2" t="str">
        <x:v>ADP-0134</x:v>
      </x:c>
      <x:c r="B141" s="2" t="str">
        <x:v>Adaptation</x:v>
      </x:c>
      <x:c r="C141" s="2" t="str">
        <x:v>Water</x:v>
      </x:c>
      <x:c r="D141" s="2" t="str">
        <x:v>Limiting nutrient leakage</x:v>
      </x:c>
      <x:c r="E141" s="2" t="str">
        <x:v>Designing protected areas</x:v>
      </x:c>
      <x:c r="F141" s="2" t="str">
        <x:v>Designing protected areas is a adaptation technology in the Water sector and the Limiting nutrient leakage technology group. It is defined as a combined hardware–software–orgware system that manages water quantity, quality, timing or exposure through demand reduction, capture, storage, treatment, allocation, hydraulic protection and ecosystem functions. Designing protected areas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41" s="2" t="str">
        <x:v>Flexible</x:v>
      </x:c>
      <x:c r="H141" s="2" t="str">
        <x:v>Designing protected areas is transferable through configurable methods, rules and operating parameters. Its principle remains the same, but resource quality, climate, scale, interfaces and safety constraints must be recalculated for each deployment.</x:v>
      </x:c>
      <x:c r="I141" s="2" t="str">
        <x:v>Primarily soft, with physical support</x:v>
      </x:c>
      <x:c r="J141" s="2" t="str">
        <x:v>Designing protected areas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41" s="2" t="str">
        <x:v>Operation</x:v>
      </x:c>
      <x:c r="L141" s="2" t="str">
        <x:v>Designing protected areas is embodied mainly as an operating practice. The deliverable is accepted only when measurable service, quality, safety and climate-performance criteria are met under real conditions.</x:v>
      </x:c>
      <x:c r="M141" s="2" t="str">
        <x:v>Yes, subject to life-cycle safeguards</x:v>
      </x:c>
      <x:c r="N141" s="2" t="str">
        <x:v>Designing protected areas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41" s="2" t="str">
        <x:v>Designing protected areas: intakes, pipes, pumps, meters, valves, tanks, treatment units, drainage or flood structures, monitoring stations and nature-based elements as applicable.</x:v>
      </x:c>
      <x:c r="P141" s="2" t="str">
        <x:v>Designing protected areas: water balance, hydraulic and hydrological modelling, demand forecasting, water-quality analysis, asset management, drought or flood rules and decision support.</x:v>
      </x:c>
      <x:c r="Q141" s="2" t="str">
        <x:v>Designing protected areas: water rights and permits, utility responsibilities, basin governance, service standards, emergency protocols, tariffs, maintenance funding and stakeholder agreements.</x:v>
      </x:c>
      <x:c r="R141" s="2" t="str">
        <x:v>Designing protected areas: catchment or coast, treatment and storage sites, conveyance and drainage network, power supply, laboratory, control room and safe access.</x:v>
      </x:c>
      <x:c r="S141" s="2" t="str">
        <x:v>Designing protected areas: electricity or fuel for pumping, aeration, desalination, treatment and controls; gravity and ecosystem processes can reduce auxiliary demand.</x:v>
      </x:c>
      <x:c r="T141" s="2" t="str">
        <x:v>Designing protected areas: concrete, steel, ductile iron or polymers, filter media, membranes, treatment chemicals, geotextiles, soil, rock and vegetation according to the measure.</x:v>
      </x:c>
      <x:c r="U141" s="2" t="str">
        <x:v>Designing protected areas: pump and valve parts, seals, meters, sensors, membranes, lamps, filter media, dosing equipment, reagents and erosion-control materials.</x:v>
      </x:c>
      <x:c r="V141" s="2" t="str">
        <x:v>https://www.ctc-n.org/sites/default/files/resources/ctcn_taxonomy_0.pdf</x:v>
      </x:c>
      <x:c r="W141" s="2" t="str">
        <x:v>https://institutoagricoladepueblobello.edu.co/colegiapp/archivostemas/GUIA%209.%5B25%5D.pdf</x:v>
      </x:c>
      <x:c r="X141" s="2" t="str">
        <x:v>https://iiasa.ac.at/what-is-technology</x:v>
      </x:c>
      <x:c r="Y141" s="2" t="str">
        <x:v>https://www.unwater.org/water-facts/climate-change</x:v>
      </x:c>
      <x:c r="Z141" s="2" t="str">
        <x:v>Technology-specific analytical synthesis. The CTCN hierarchy is retained; classifications and component dependencies require validation against the selected design, site and supplier documentation before investment or policy use.</x:v>
      </x:c>
      <x:c r="AA141" s="2" t="str">
        <x:v>Physical deployment of Designing protected areas requires catchment or coast, treatment and storage sites, conveyance and drainage network, power supply, laboratory, control room and safe access; interfaces, foundations, access and environmental protection are sized to the specific resource and design load.</x:v>
      </x:c>
      <x:c r="AB141" s="2" t="str">
        <x:v>For Designing protected areas,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41" s="2" t="str">
        <x:v>Construction and operation use concrete, steel, ductile iron or polymers, filter media, membranes, treatment chemicals, geotextiles, soil, rock and vegetation according to the measure. For Designing protected areas, specifications must include durability, compatibility, recycled content and recoverability.</x:v>
      </x:c>
      <x:c r="AD141" s="2" t="str">
        <x:v>Maintenance of Designing protected areas depends on pump and valve parts, seals, meters, sensors, membranes, lamps, filter media, dosing equipment, reagents and erosion-control materials; critical spares are selected from failure-mode, lead-time and safety analysis for its installed configuration.</x:v>
      </x:c>
      <x:c r="AE141" s="2" t="str">
        <x:v>The software stack for Designing protected areas requires databases, secure communications, version-controlled models, computing, backup and interfaces with field or operational systems.</x:v>
      </x:c>
      <x:c r="AF141" s="2" t="str">
        <x:v>For Designing protected areas, software-related energy is electricity for sensing, computing, storage, communication and cooling; it is normally secondary but must be included for data-intensive or continuous services.</x:v>
      </x:c>
      <x:c r="AG141" s="2" t="str">
        <x:v>The non-physical inputs are calibrated data, metadata, algorithms, boundary conditions, emission or hazard factors, manuals and validation records specific to Designing protected areas.</x:v>
      </x:c>
      <x:c r="AH141" s="2" t="str">
        <x:v>Software continuity for Designing protected areas requires licences where applicable, updates, cybersecurity patches, backups, calibration files, model validation and technical support.</x:v>
      </x:c>
      <x:c r="AI141" s="2" t="str">
        <x:v>Orgware depends on the institutions, laboratories, training providers, regulators, operators and community interfaces needed to govern Designing protected areas.</x:v>
      </x:c>
      <x:c r="AJ141" s="2" t="str">
        <x:v>The orgware supporting Designing protected areas has mainly indirect energy use from offices, meetings, training and information systems; travel and field supervision may be material at dispersed sites.</x:v>
      </x:c>
      <x:c r="AK141" s="2" t="str">
        <x:v>Its organisational inputs are permits, budgets, trained staff, competence records, contracts, procedures, safeguards, monitoring evidence and stakeholder agreements tailored to Designing protected areas.</x:v>
      </x:c>
      <x:c r="AL141" s="2" t="str">
        <x:v>Sustained implementation of Designing protected areas requires procurement and service contracts, audit protocols, training material, reporting templates, insurance or guarantees and periodic independent review.</x:v>
      </x:c>
      <x:c r="AM141" s="2" t="str">
        <x:v>Iron ore / steel inputs; Phosphate rock; Potash</x:v>
      </x:c>
      <x:c r="AN141" s="2" t="str">
        <x:v>Australia; Brazil; China; Morocco; United States; Canada; Russia; Belarus</x:v>
      </x:c>
      <x:c r="AO141" s="2" t="str">
        <x:v>China; India; Japan; Morocco; United States; Canada; Russia; Belarus</x:v>
      </x:c>
      <x:c r="AP141" s="2" t="str">
        <x:v>Designing protected areas: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1" s="2" t="str">
        <x:v>2024–2025</x:v>
      </x:c>
      <x:c r="AR141" s="2" t="str">
        <x:v>https://pubs.usgs.gov/periodicals/mcs2026/mcs2026.pdf</x:v>
      </x:c>
    </x:row>
    <x:row r="142" ht="240" customHeight="1">
      <x:c r="A142" s="2" t="str">
        <x:v>ADP-0135</x:v>
      </x:c>
      <x:c r="B142" s="2" t="str">
        <x:v>Adaptation</x:v>
      </x:c>
      <x:c r="C142" s="2" t="str">
        <x:v>Water</x:v>
      </x:c>
      <x:c r="D142" s="2" t="str">
        <x:v>Limiting nutrient leakage</x:v>
      </x:c>
      <x:c r="E142" s="2" t="str">
        <x:v>Change in land use practices</x:v>
      </x:c>
      <x:c r="F142" s="2" t="str">
        <x:v>Change in land use practices is a adaptation technology in the Water sector and the Limiting nutrient leakage technology group. It is defined as a combined hardware–software–orgware system that manages water quantity, quality, timing or exposure through demand reduction, capture, storage, treatment, allocation, hydraulic protection and ecosystem functions. Change in land use practices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42" s="2" t="str">
        <x:v>Mixed: adaptable design, site-specific implementation</x:v>
      </x:c>
      <x:c r="H142" s="2" t="str">
        <x:v>Change in land use practices is adaptable in capacity and configuration but site-specific in final engineering. Its principle remains the same, but resource quality, climate, scale, interfaces and safety constraints must be recalculated for each deployment.</x:v>
      </x:c>
      <x:c r="I142" s="2" t="str">
        <x:v>Primarily hard, with a soft component</x:v>
      </x:c>
      <x:c r="J142" s="2" t="str">
        <x:v>Change in land use practices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42" s="2" t="str">
        <x:v>Equipment and operation</x:v>
      </x:c>
      <x:c r="L142" s="2" t="str">
        <x:v>Change in land use practices is embodied mainly as an equipment-and-operation system. The deliverable is accepted only when measurable service, quality, safety and climate-performance criteria are met under real conditions.</x:v>
      </x:c>
      <x:c r="M142" s="2" t="str">
        <x:v>Yes, subject to life-cycle safeguards</x:v>
      </x:c>
      <x:c r="N142" s="2" t="str">
        <x:v>Change in land use practices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42" s="2" t="str">
        <x:v>Change in land use practices: intakes, pipes, pumps, meters, valves, tanks, treatment units, drainage or flood structures, monitoring stations and nature-based elements as applicable.</x:v>
      </x:c>
      <x:c r="P142" s="2" t="str">
        <x:v>Change in land use practices: water balance, hydraulic and hydrological modelling, demand forecasting, water-quality analysis, asset management, drought or flood rules and decision support.</x:v>
      </x:c>
      <x:c r="Q142" s="2" t="str">
        <x:v>Change in land use practices: water rights and permits, utility responsibilities, basin governance, service standards, emergency protocols, tariffs, maintenance funding and stakeholder agreements.</x:v>
      </x:c>
      <x:c r="R142" s="2" t="str">
        <x:v>Change in land use practices: catchment or coast, treatment and storage sites, conveyance and drainage network, power supply, laboratory, control room and safe access.</x:v>
      </x:c>
      <x:c r="S142" s="2" t="str">
        <x:v>Change in land use practices: electricity or fuel for pumping, aeration, desalination, treatment and controls; gravity and ecosystem processes can reduce auxiliary demand.</x:v>
      </x:c>
      <x:c r="T142" s="2" t="str">
        <x:v>Change in land use practices: concrete, steel, ductile iron or polymers, filter media, membranes, treatment chemicals, geotextiles, soil, rock and vegetation according to the measure.</x:v>
      </x:c>
      <x:c r="U142" s="2" t="str">
        <x:v>Change in land use practices: pump and valve parts, seals, meters, sensors, membranes, lamps, filter media, dosing equipment, reagents and erosion-control materials.</x:v>
      </x:c>
      <x:c r="V142" s="2" t="str">
        <x:v>https://www.ctc-n.org/sites/default/files/resources/ctcn_taxonomy_0.pdf</x:v>
      </x:c>
      <x:c r="W142" s="2" t="str">
        <x:v>https://institutoagricoladepueblobello.edu.co/colegiapp/archivostemas/GUIA%209.%5B25%5D.pdf</x:v>
      </x:c>
      <x:c r="X142" s="2" t="str">
        <x:v>https://iiasa.ac.at/what-is-technology</x:v>
      </x:c>
      <x:c r="Y142" s="2" t="str">
        <x:v>https://www.unwater.org/water-facts/climate-change</x:v>
      </x:c>
      <x:c r="Z142" s="2" t="str">
        <x:v>Technology-specific analytical synthesis. The CTCN hierarchy is retained; classifications and component dependencies require validation against the selected design, site and supplier documentation before investment or policy use.</x:v>
      </x:c>
      <x:c r="AA142" s="2" t="str">
        <x:v>Physical deployment of Change in land use practices requires catchment or coast, treatment and storage sites, conveyance and drainage network, power supply, laboratory, control room and safe access; interfaces, foundations, access and environmental protection are sized to the specific resource and design load.</x:v>
      </x:c>
      <x:c r="AB142" s="2" t="str">
        <x:v>For Change in land use practices,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42" s="2" t="str">
        <x:v>Construction and operation use concrete, steel, ductile iron or polymers, filter media, membranes, treatment chemicals, geotextiles, soil, rock and vegetation according to the measure. For Change in land use practices, specifications must include durability, compatibility, recycled content and recoverability.</x:v>
      </x:c>
      <x:c r="AD142" s="2" t="str">
        <x:v>Maintenance of Change in land use practices depends on pump and valve parts, seals, meters, sensors, membranes, lamps, filter media, dosing equipment, reagents and erosion-control materials; critical spares are selected from failure-mode, lead-time and safety analysis for its installed configuration.</x:v>
      </x:c>
      <x:c r="AE142" s="2" t="str">
        <x:v>The software stack for Change in land use practices requires databases, secure communications, version-controlled models, computing, backup and interfaces with field or operational systems.</x:v>
      </x:c>
      <x:c r="AF142" s="2" t="str">
        <x:v>For Change in land use practices, software-related energy is electricity for sensing, computing, storage, communication and cooling; it is normally secondary but must be included for data-intensive or continuous services.</x:v>
      </x:c>
      <x:c r="AG142" s="2" t="str">
        <x:v>The non-physical inputs are calibrated data, metadata, algorithms, boundary conditions, emission or hazard factors, manuals and validation records specific to Change in land use practices.</x:v>
      </x:c>
      <x:c r="AH142" s="2" t="str">
        <x:v>Software continuity for Change in land use practices requires licences where applicable, updates, cybersecurity patches, backups, calibration files, model validation and technical support.</x:v>
      </x:c>
      <x:c r="AI142" s="2" t="str">
        <x:v>Orgware depends on the institutions, laboratories, training providers, regulators, operators and community interfaces needed to govern Change in land use practices.</x:v>
      </x:c>
      <x:c r="AJ142" s="2" t="str">
        <x:v>The orgware supporting Change in land use practices has mainly indirect energy use from offices, meetings, training and information systems; travel and field supervision may be material at dispersed sites.</x:v>
      </x:c>
      <x:c r="AK142" s="2" t="str">
        <x:v>Its organisational inputs are permits, budgets, trained staff, competence records, contracts, procedures, safeguards, monitoring evidence and stakeholder agreements tailored to Change in land use practices.</x:v>
      </x:c>
      <x:c r="AL142" s="2" t="str">
        <x:v>Sustained implementation of Change in land use practices requires procurement and service contracts, audit protocols, training material, reporting templates, insurance or guarantees and periodic independent review.</x:v>
      </x:c>
      <x:c r="AM142" s="2" t="str">
        <x:v>Iron ore / steel inputs; Phosphate rock; Potash</x:v>
      </x:c>
      <x:c r="AN142" s="2" t="str">
        <x:v>Australia; Brazil; China; Morocco; United States; Canada; Russia; Belarus</x:v>
      </x:c>
      <x:c r="AO142" s="2" t="str">
        <x:v>China; India; Japan; Morocco; United States; Canada; Russia; Belarus</x:v>
      </x:c>
      <x:c r="AP142" s="2" t="str">
        <x:v>Change in land use practices: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2" s="2" t="str">
        <x:v>2024–2025</x:v>
      </x:c>
      <x:c r="AR142" s="2" t="str">
        <x:v>https://pubs.usgs.gov/periodicals/mcs2026/mcs2026.pdf</x:v>
      </x:c>
    </x:row>
    <x:row r="143" ht="240" customHeight="1">
      <x:c r="A143" s="2" t="str">
        <x:v>ADP-0136</x:v>
      </x:c>
      <x:c r="B143" s="2" t="str">
        <x:v>Adaptation</x:v>
      </x:c>
      <x:c r="C143" s="2" t="str">
        <x:v>Water</x:v>
      </x:c>
      <x:c r="D143" s="2" t="str">
        <x:v>Water allocation</x:v>
      </x:c>
      <x:c r="E143" s="2" t="str">
        <x:v>Seasonal water restrictions</x:v>
      </x:c>
      <x:c r="F143" s="2" t="str">
        <x:v>Seasonal water restrictions is a adaptation technology in the Water sector and the Water allocation technology group. It is defined as a combined hardware–software–orgware system that manages water quantity, quality, timing or exposure through demand reduction, capture, storage, treatment, allocation, hydraulic protection and ecosystem functions. Seasonal water restrictions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43" s="2" t="str">
        <x:v>Mixed: adaptable design, site-specific implementation</x:v>
      </x:c>
      <x:c r="H143" s="2" t="str">
        <x:v>Seasonal water restrictions is adaptable in capacity and configuration but site-specific in final engineering. Its principle remains the same, but resource quality, climate, scale, interfaces and safety constraints must be recalculated for each deployment.</x:v>
      </x:c>
      <x:c r="I143" s="2" t="str">
        <x:v>Primarily hard, with a soft component</x:v>
      </x:c>
      <x:c r="J143" s="2" t="str">
        <x:v>Seasonal water restrictions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43" s="2" t="str">
        <x:v>Equipment and operation</x:v>
      </x:c>
      <x:c r="L143" s="2" t="str">
        <x:v>Seasonal water restrictions is embodied mainly as an equipment-and-operation system. The deliverable is accepted only when measurable service, quality, safety and climate-performance criteria are met under real conditions.</x:v>
      </x:c>
      <x:c r="M143" s="2" t="str">
        <x:v>Yes, subject to life-cycle safeguards</x:v>
      </x:c>
      <x:c r="N143" s="2" t="str">
        <x:v>Seasonal water restrictions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43" s="2" t="str">
        <x:v>Seasonal water restrictions: intakes, pipes, pumps, meters, valves, tanks, treatment units, drainage or flood structures, monitoring stations and nature-based elements as applicable.</x:v>
      </x:c>
      <x:c r="P143" s="2" t="str">
        <x:v>Seasonal water restrictions: water balance, hydraulic and hydrological modelling, demand forecasting, water-quality analysis, asset management, drought or flood rules and decision support.</x:v>
      </x:c>
      <x:c r="Q143" s="2" t="str">
        <x:v>Seasonal water restrictions: water rights and permits, utility responsibilities, basin governance, service standards, emergency protocols, tariffs, maintenance funding and stakeholder agreements.</x:v>
      </x:c>
      <x:c r="R143" s="2" t="str">
        <x:v>Seasonal water restrictions: catchment or coast, treatment and storage sites, conveyance and drainage network, power supply, laboratory, control room and safe access.</x:v>
      </x:c>
      <x:c r="S143" s="2" t="str">
        <x:v>Seasonal water restrictions: electricity or fuel for pumping, aeration, desalination, treatment and controls; gravity and ecosystem processes can reduce auxiliary demand.</x:v>
      </x:c>
      <x:c r="T143" s="2" t="str">
        <x:v>Seasonal water restrictions: concrete, steel, ductile iron or polymers, filter media, membranes, treatment chemicals, geotextiles, soil, rock and vegetation according to the measure.</x:v>
      </x:c>
      <x:c r="U143" s="2" t="str">
        <x:v>Seasonal water restrictions: pump and valve parts, seals, meters, sensors, membranes, lamps, filter media, dosing equipment, reagents and erosion-control materials.</x:v>
      </x:c>
      <x:c r="V143" s="2" t="str">
        <x:v>https://www.ctc-n.org/sites/default/files/resources/ctcn_taxonomy_0.pdf</x:v>
      </x:c>
      <x:c r="W143" s="2" t="str">
        <x:v>https://institutoagricoladepueblobello.edu.co/colegiapp/archivostemas/GUIA%209.%5B25%5D.pdf</x:v>
      </x:c>
      <x:c r="X143" s="2" t="str">
        <x:v>https://iiasa.ac.at/what-is-technology</x:v>
      </x:c>
      <x:c r="Y143" s="2" t="str">
        <x:v>https://www.unwater.org/water-facts/climate-change</x:v>
      </x:c>
      <x:c r="Z143" s="2" t="str">
        <x:v>Technology-specific analytical synthesis. The CTCN hierarchy is retained; classifications and component dependencies require validation against the selected design, site and supplier documentation before investment or policy use.</x:v>
      </x:c>
      <x:c r="AA143" s="2" t="str">
        <x:v>Physical deployment of Seasonal water restrictions requires catchment or coast, treatment and storage sites, conveyance and drainage network, power supply, laboratory, control room and safe access; interfaces, foundations, access and environmental protection are sized to the specific resource and design load.</x:v>
      </x:c>
      <x:c r="AB143" s="2" t="str">
        <x:v>For Seasonal water restrictions,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43" s="2" t="str">
        <x:v>Construction and operation use concrete, steel, ductile iron or polymers, filter media, membranes, treatment chemicals, geotextiles, soil, rock and vegetation according to the measure. For Seasonal water restrictions, specifications must include durability, compatibility, recycled content and recoverability.</x:v>
      </x:c>
      <x:c r="AD143" s="2" t="str">
        <x:v>Maintenance of Seasonal water restrictions depends on pump and valve parts, seals, meters, sensors, membranes, lamps, filter media, dosing equipment, reagents and erosion-control materials; critical spares are selected from failure-mode, lead-time and safety analysis for its installed configuration.</x:v>
      </x:c>
      <x:c r="AE143" s="2" t="str">
        <x:v>The software stack for Seasonal water restrictions requires databases, secure communications, version-controlled models, computing, backup and interfaces with field or operational systems.</x:v>
      </x:c>
      <x:c r="AF143" s="2" t="str">
        <x:v>For Seasonal water restrictions, software-related energy is electricity for sensing, computing, storage, communication and cooling; it is normally secondary but must be included for data-intensive or continuous services.</x:v>
      </x:c>
      <x:c r="AG143" s="2" t="str">
        <x:v>The non-physical inputs are calibrated data, metadata, algorithms, boundary conditions, emission or hazard factors, manuals and validation records specific to Seasonal water restrictions.</x:v>
      </x:c>
      <x:c r="AH143" s="2" t="str">
        <x:v>Software continuity for Seasonal water restrictions requires licences where applicable, updates, cybersecurity patches, backups, calibration files, model validation and technical support.</x:v>
      </x:c>
      <x:c r="AI143" s="2" t="str">
        <x:v>Orgware depends on the institutions, laboratories, training providers, regulators, operators and community interfaces needed to govern Seasonal water restrictions.</x:v>
      </x:c>
      <x:c r="AJ143" s="2" t="str">
        <x:v>The orgware supporting Seasonal water restrictions has mainly indirect energy use from offices, meetings, training and information systems; travel and field supervision may be material at dispersed sites.</x:v>
      </x:c>
      <x:c r="AK143" s="2" t="str">
        <x:v>Its organisational inputs are permits, budgets, trained staff, competence records, contracts, procedures, safeguards, monitoring evidence and stakeholder agreements tailored to Seasonal water restrictions.</x:v>
      </x:c>
      <x:c r="AL143" s="2" t="str">
        <x:v>Sustained implementation of Seasonal water restrictions requires procurement and service contracts, audit protocols, training material, reporting templates, insurance or guarantees and periodic independent review.</x:v>
      </x:c>
      <x:c r="AM143" s="2" t="str">
        <x:v>Iron ore / steel inputs</x:v>
      </x:c>
      <x:c r="AN143" s="2" t="str">
        <x:v>Australia; Brazil; China</x:v>
      </x:c>
      <x:c r="AO143" s="2" t="str">
        <x:v>China; India; Japan</x:v>
      </x:c>
      <x:c r="AP143" s="2" t="str">
        <x:v>Seasonal water restrictions: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3" s="2" t="str">
        <x:v>2024–2025</x:v>
      </x:c>
      <x:c r="AR143" s="2" t="str">
        <x:v>https://pubs.usgs.gov/periodicals/mcs2026/mcs2026.pdf</x:v>
      </x:c>
    </x:row>
    <x:row r="144" ht="240" customHeight="1">
      <x:c r="A144" s="2" t="str">
        <x:v>ADP-0137</x:v>
      </x:c>
      <x:c r="B144" s="2" t="str">
        <x:v>Adaptation</x:v>
      </x:c>
      <x:c r="C144" s="2" t="str">
        <x:v>Water</x:v>
      </x:c>
      <x:c r="D144" s="2" t="str">
        <x:v>Water allocation</x:v>
      </x:c>
      <x:c r="E144" s="2" t="str">
        <x:v>Basin level modelling for water allocation</x:v>
      </x:c>
      <x:c r="F144" s="2" t="str">
        <x:v>Basin level modelling for water allocation is a adaptation technology in the Water sector and the Water allocation technology group. It is defined as a combined hardware–software–orgware system that manages water quantity, quality, timing or exposure through demand reduction, capture, storage, treatment, allocation, hydraulic protection and ecosystem functions. Basin level modelling for water allocation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44" s="2" t="str">
        <x:v>Mixed: adaptable design, site-specific implementation</x:v>
      </x:c>
      <x:c r="H144" s="2" t="str">
        <x:v>Basin level modelling for water allocation is adaptable in capacity and configuration but site-specific in final engineering. Its principle remains the same, but resource quality, climate, scale, interfaces and safety constraints must be recalculated for each deployment.</x:v>
      </x:c>
      <x:c r="I144" s="2" t="str">
        <x:v>Primarily hard, with a soft component</x:v>
      </x:c>
      <x:c r="J144" s="2" t="str">
        <x:v>Basin level modelling for water allocation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44" s="2" t="str">
        <x:v>Equipment and operation</x:v>
      </x:c>
      <x:c r="L144" s="2" t="str">
        <x:v>Basin level modelling for water allocation is embodied mainly as an equipment-and-operation system. The deliverable is accepted only when measurable service, quality, safety and climate-performance criteria are met under real conditions.</x:v>
      </x:c>
      <x:c r="M144" s="2" t="str">
        <x:v>Yes, subject to life-cycle safeguards</x:v>
      </x:c>
      <x:c r="N144" s="2" t="str">
        <x:v>Basin level modelling for water allocation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44" s="2" t="str">
        <x:v>Basin level modelling for water allocation: intakes, pipes, pumps, meters, valves, tanks, treatment units, drainage or flood structures, monitoring stations and nature-based elements as applicable.</x:v>
      </x:c>
      <x:c r="P144" s="2" t="str">
        <x:v>Basin level modelling for water allocation: water balance, hydraulic and hydrological modelling, demand forecasting, water-quality analysis, asset management, drought or flood rules and decision support.</x:v>
      </x:c>
      <x:c r="Q144" s="2" t="str">
        <x:v>Basin level modelling for water allocation: water rights and permits, utility responsibilities, basin governance, service standards, emergency protocols, tariffs, maintenance funding and stakeholder agreements.</x:v>
      </x:c>
      <x:c r="R144" s="2" t="str">
        <x:v>Basin level modelling for water allocation: catchment or coast, treatment and storage sites, conveyance and drainage network, power supply, laboratory, control room and safe access.</x:v>
      </x:c>
      <x:c r="S144" s="2" t="str">
        <x:v>Basin level modelling for water allocation: electricity or fuel for pumping, aeration, desalination, treatment and controls; gravity and ecosystem processes can reduce auxiliary demand.</x:v>
      </x:c>
      <x:c r="T144" s="2" t="str">
        <x:v>Basin level modelling for water allocation: concrete, steel, ductile iron or polymers, filter media, membranes, treatment chemicals, geotextiles, soil, rock and vegetation according to the measure.</x:v>
      </x:c>
      <x:c r="U144" s="2" t="str">
        <x:v>Basin level modelling for water allocation: pump and valve parts, seals, meters, sensors, membranes, lamps, filter media, dosing equipment, reagents and erosion-control materials.</x:v>
      </x:c>
      <x:c r="V144" s="2" t="str">
        <x:v>https://www.ctc-n.org/sites/default/files/resources/ctcn_taxonomy_0.pdf</x:v>
      </x:c>
      <x:c r="W144" s="2" t="str">
        <x:v>https://institutoagricoladepueblobello.edu.co/colegiapp/archivostemas/GUIA%209.%5B25%5D.pdf</x:v>
      </x:c>
      <x:c r="X144" s="2" t="str">
        <x:v>https://iiasa.ac.at/what-is-technology</x:v>
      </x:c>
      <x:c r="Y144" s="2" t="str">
        <x:v>https://www.unwater.org/water-facts/climate-change</x:v>
      </x:c>
      <x:c r="Z144" s="2" t="str">
        <x:v>Technology-specific analytical synthesis. The CTCN hierarchy is retained; classifications and component dependencies require validation against the selected design, site and supplier documentation before investment or policy use.</x:v>
      </x:c>
      <x:c r="AA144" s="2" t="str">
        <x:v>Physical deployment of Basin level modelling for water allocation requires catchment or coast, treatment and storage sites, conveyance and drainage network, power supply, laboratory, control room and safe access; interfaces, foundations, access and environmental protection are sized to the specific resource and design load.</x:v>
      </x:c>
      <x:c r="AB144" s="2" t="str">
        <x:v>For Basin level modelling for water allocation,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44" s="2" t="str">
        <x:v>Construction and operation use concrete, steel, ductile iron or polymers, filter media, membranes, treatment chemicals, geotextiles, soil, rock and vegetation according to the measure. For Basin level modelling for water allocation, specifications must include durability, compatibility, recycled content and recoverability.</x:v>
      </x:c>
      <x:c r="AD144" s="2" t="str">
        <x:v>Maintenance of Basin level modelling for water allocation depends on pump and valve parts, seals, meters, sensors, membranes, lamps, filter media, dosing equipment, reagents and erosion-control materials; critical spares are selected from failure-mode, lead-time and safety analysis for its installed configuration.</x:v>
      </x:c>
      <x:c r="AE144" s="2" t="str">
        <x:v>The software stack for Basin level modelling for water allocation requires databases, secure communications, version-controlled models, computing, backup and interfaces with field or operational systems.</x:v>
      </x:c>
      <x:c r="AF144" s="2" t="str">
        <x:v>For Basin level modelling for water allocation, software-related energy is electricity for sensing, computing, storage, communication and cooling; it is normally secondary but must be included for data-intensive or continuous services.</x:v>
      </x:c>
      <x:c r="AG144" s="2" t="str">
        <x:v>The non-physical inputs are calibrated data, metadata, algorithms, boundary conditions, emission or hazard factors, manuals and validation records specific to Basin level modelling for water allocation.</x:v>
      </x:c>
      <x:c r="AH144" s="2" t="str">
        <x:v>Software continuity for Basin level modelling for water allocation requires licences where applicable, updates, cybersecurity patches, backups, calibration files, model validation and technical support.</x:v>
      </x:c>
      <x:c r="AI144" s="2" t="str">
        <x:v>Orgware depends on the institutions, laboratories, training providers, regulators, operators and community interfaces needed to govern Basin level modelling for water allocation.</x:v>
      </x:c>
      <x:c r="AJ144" s="2" t="str">
        <x:v>The orgware supporting Basin level modelling for water allocation has mainly indirect energy use from offices, meetings, training and information systems; travel and field supervision may be material at dispersed sites.</x:v>
      </x:c>
      <x:c r="AK144" s="2" t="str">
        <x:v>Its organisational inputs are permits, budgets, trained staff, competence records, contracts, procedures, safeguards, monitoring evidence and stakeholder agreements tailored to Basin level modelling for water allocation.</x:v>
      </x:c>
      <x:c r="AL144" s="2" t="str">
        <x:v>Sustained implementation of Basin level modelling for water allocation requires procurement and service contracts, audit protocols, training material, reporting templates, insurance or guarantees and periodic independent review.</x:v>
      </x:c>
      <x:c r="AM144" s="2" t="str">
        <x:v>Iron ore / steel inputs</x:v>
      </x:c>
      <x:c r="AN144" s="2" t="str">
        <x:v>Australia; Brazil; China</x:v>
      </x:c>
      <x:c r="AO144" s="2" t="str">
        <x:v>China; India; Japan</x:v>
      </x:c>
      <x:c r="AP144" s="2" t="str">
        <x:v>Basin level modelling for water allocation: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4" s="2" t="str">
        <x:v>2024–2025</x:v>
      </x:c>
      <x:c r="AR144" s="2" t="str">
        <x:v>https://pubs.usgs.gov/periodicals/mcs2026/mcs2026.pdf</x:v>
      </x:c>
    </x:row>
    <x:row r="145" ht="240" customHeight="1">
      <x:c r="A145" s="2" t="str">
        <x:v>ADP-0138</x:v>
      </x:c>
      <x:c r="B145" s="2" t="str">
        <x:v>Adaptation</x:v>
      </x:c>
      <x:c r="C145" s="2" t="str">
        <x:v>Water</x:v>
      </x:c>
      <x:c r="D145" s="2" t="str">
        <x:v>Water allocation</x:v>
      </x:c>
      <x:c r="E145" s="2" t="str">
        <x:v>Water reallocation</x:v>
      </x:c>
      <x:c r="F145" s="2" t="str">
        <x:v>Water reallocation is a adaptation technology in the Water sector and the Water allocation technology group. It is defined as a combined hardware–software–orgware system that manages water quantity, quality, timing or exposure through demand reduction, capture, storage, treatment, allocation, hydraulic protection and ecosystem functions. Water reallocation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Assessment considers water and energy balances, treatment residuals, ecosystem and sediment effects, leakage, salinity or brine, infrastructure lock-in, maintenance and performance under future climate extremes. Real applications combine leakage control, rainwater harvesting, wastewater reuse, permeable surfaces, wetlands, floodplain restoration and impact-based flood forecasting according to basin context.</x:v>
      </x:c>
      <x:c r="G145" s="2" t="str">
        <x:v>Mixed: adaptable design, site-specific implementation</x:v>
      </x:c>
      <x:c r="H145" s="2" t="str">
        <x:v>Water reallocation is adaptable in capacity and configuration but site-specific in final engineering. Its principle remains the same, but resource quality, climate, scale, interfaces and safety constraints must be recalculated for each deployment.</x:v>
      </x:c>
      <x:c r="I145" s="2" t="str">
        <x:v>Primarily hard, with a soft component</x:v>
      </x:c>
      <x:c r="J145" s="2" t="str">
        <x:v>Water reallocation combines intakes, pipes, pumps, meters, valves, tanks, treatment units, drainage or flood structures, monitoring stations and nature-based elements as applicable with the codified knowledge in water balance, hydraulic and hydrological modelling, demand forecasting, water-quality analysis, asset management, drought or flood rules and decision support. Its performance cannot be assigned to artefacts alone: operation, competence, data quality and institutional arrangements are causal parts of the technology.</x:v>
      </x:c>
      <x:c r="K145" s="2" t="str">
        <x:v>Equipment and operation</x:v>
      </x:c>
      <x:c r="L145" s="2" t="str">
        <x:v>Water reallocation is embodied mainly as an equipment-and-operation system. The deliverable is accepted only when measurable service, quality, safety and climate-performance criteria are met under real conditions.</x:v>
      </x:c>
      <x:c r="M145" s="2" t="str">
        <x:v>Yes, subject to life-cycle safeguards</x:v>
      </x:c>
      <x:c r="N145" s="2" t="str">
        <x:v>Water reallocation is classified as climate-beneficial subject to safeguards. Assessment considers water and energy balances, treatment residuals, ecosystem and sediment effects, leakage, salinity or brine, infrastructure lock-in, maintenance and performance under future climate extremes. Avoided emissions or reduced vulnerability must be demonstrated against a defined baseline, without shifting material, pollution or social burdens outside the system boundary.</x:v>
      </x:c>
      <x:c r="O145" s="2" t="str">
        <x:v>Water reallocation: intakes, pipes, pumps, meters, valves, tanks, treatment units, drainage or flood structures, monitoring stations and nature-based elements as applicable.</x:v>
      </x:c>
      <x:c r="P145" s="2" t="str">
        <x:v>Water reallocation: water balance, hydraulic and hydrological modelling, demand forecasting, water-quality analysis, asset management, drought or flood rules and decision support.</x:v>
      </x:c>
      <x:c r="Q145" s="2" t="str">
        <x:v>Water reallocation: water rights and permits, utility responsibilities, basin governance, service standards, emergency protocols, tariffs, maintenance funding and stakeholder agreements.</x:v>
      </x:c>
      <x:c r="R145" s="2" t="str">
        <x:v>Water reallocation: catchment or coast, treatment and storage sites, conveyance and drainage network, power supply, laboratory, control room and safe access.</x:v>
      </x:c>
      <x:c r="S145" s="2" t="str">
        <x:v>Water reallocation: electricity or fuel for pumping, aeration, desalination, treatment and controls; gravity and ecosystem processes can reduce auxiliary demand.</x:v>
      </x:c>
      <x:c r="T145" s="2" t="str">
        <x:v>Water reallocation: concrete, steel, ductile iron or polymers, filter media, membranes, treatment chemicals, geotextiles, soil, rock and vegetation according to the measure.</x:v>
      </x:c>
      <x:c r="U145" s="2" t="str">
        <x:v>Water reallocation: pump and valve parts, seals, meters, sensors, membranes, lamps, filter media, dosing equipment, reagents and erosion-control materials.</x:v>
      </x:c>
      <x:c r="V145" s="2" t="str">
        <x:v>https://www.ctc-n.org/sites/default/files/resources/ctcn_taxonomy_0.pdf</x:v>
      </x:c>
      <x:c r="W145" s="2" t="str">
        <x:v>https://institutoagricoladepueblobello.edu.co/colegiapp/archivostemas/GUIA%209.%5B25%5D.pdf</x:v>
      </x:c>
      <x:c r="X145" s="2" t="str">
        <x:v>https://iiasa.ac.at/what-is-technology</x:v>
      </x:c>
      <x:c r="Y145" s="2" t="str">
        <x:v>https://www.unwater.org/water-facts/climate-change</x:v>
      </x:c>
      <x:c r="Z145" s="2" t="str">
        <x:v>Technology-specific analytical synthesis. The CTCN hierarchy is retained; classifications and component dependencies require validation against the selected design, site and supplier documentation before investment or policy use.</x:v>
      </x:c>
      <x:c r="AA145" s="2" t="str">
        <x:v>Physical deployment of Water reallocation requires catchment or coast, treatment and storage sites, conveyance and drainage network, power supply, laboratory, control room and safe access; interfaces, foundations, access and environmental protection are sized to the specific resource and design load.</x:v>
      </x:c>
      <x:c r="AB145" s="2" t="str">
        <x:v>For Water reallocation, the hardware energy balance comprises electricity or fuel for pumping, aeration, desalination, treatment and controls; gravity and ecosystem processes can reduce auxiliary demand; metering must separate useful output, conversion losses and auxiliaries for the selected design.</x:v>
      </x:c>
      <x:c r="AC145" s="2" t="str">
        <x:v>Construction and operation use concrete, steel, ductile iron or polymers, filter media, membranes, treatment chemicals, geotextiles, soil, rock and vegetation according to the measure. For Water reallocation, specifications must include durability, compatibility, recycled content and recoverability.</x:v>
      </x:c>
      <x:c r="AD145" s="2" t="str">
        <x:v>Maintenance of Water reallocation depends on pump and valve parts, seals, meters, sensors, membranes, lamps, filter media, dosing equipment, reagents and erosion-control materials; critical spares are selected from failure-mode, lead-time and safety analysis for its installed configuration.</x:v>
      </x:c>
      <x:c r="AE145" s="2" t="str">
        <x:v>The software stack for Water reallocation requires databases, secure communications, version-controlled models, computing, backup and interfaces with field or operational systems.</x:v>
      </x:c>
      <x:c r="AF145" s="2" t="str">
        <x:v>For Water reallocation, software-related energy is electricity for sensing, computing, storage, communication and cooling; it is normally secondary but must be included for data-intensive or continuous services.</x:v>
      </x:c>
      <x:c r="AG145" s="2" t="str">
        <x:v>The non-physical inputs are calibrated data, metadata, algorithms, boundary conditions, emission or hazard factors, manuals and validation records specific to Water reallocation.</x:v>
      </x:c>
      <x:c r="AH145" s="2" t="str">
        <x:v>Software continuity for Water reallocation requires licences where applicable, updates, cybersecurity patches, backups, calibration files, model validation and technical support.</x:v>
      </x:c>
      <x:c r="AI145" s="2" t="str">
        <x:v>Orgware depends on the institutions, laboratories, training providers, regulators, operators and community interfaces needed to govern Water reallocation.</x:v>
      </x:c>
      <x:c r="AJ145" s="2" t="str">
        <x:v>The orgware supporting Water reallocation has mainly indirect energy use from offices, meetings, training and information systems; travel and field supervision may be material at dispersed sites.</x:v>
      </x:c>
      <x:c r="AK145" s="2" t="str">
        <x:v>Its organisational inputs are permits, budgets, trained staff, competence records, contracts, procedures, safeguards, monitoring evidence and stakeholder agreements tailored to Water reallocation.</x:v>
      </x:c>
      <x:c r="AL145" s="2" t="str">
        <x:v>Sustained implementation of Water reallocation requires procurement and service contracts, audit protocols, training material, reporting templates, insurance or guarantees and periodic independent review.</x:v>
      </x:c>
      <x:c r="AM145" s="2" t="str">
        <x:v>Iron ore / steel inputs</x:v>
      </x:c>
      <x:c r="AN145" s="2" t="str">
        <x:v>Australia; Brazil; China</x:v>
      </x:c>
      <x:c r="AO145" s="2" t="str">
        <x:v>China; India; Japan</x:v>
      </x:c>
      <x:c r="AP145" s="2" t="str">
        <x:v>Water reallocation: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5" s="2" t="str">
        <x:v>2024–2025</x:v>
      </x:c>
      <x:c r="AR145" s="2" t="str">
        <x:v>https://pubs.usgs.gov/periodicals/mcs2026/mcs2026.pdf</x:v>
      </x:c>
    </x:row>
    <x:row r="146" ht="240" customHeight="1">
      <x:c r="A146" s="2" t="str">
        <x:v>ADP-0139</x:v>
      </x:c>
      <x:c r="B146" s="2" t="str">
        <x:v>Adaptation</x:v>
      </x:c>
      <x:c r="C146" s="2" t="str">
        <x:v>Human Health</x:v>
      </x:c>
      <x:c r="D146" s="2" t="str">
        <x:v>Emergency medical services</x:v>
      </x:c>
      <x:c r="E146" s="2" t="str">
        <x:v>Emergency medical services</x:v>
      </x:c>
      <x:c r="F146" s="2" t="str">
        <x:v>Emergency medical services is a adaptation technology in the Human Health sector and the Emergency medical services technology group. It is defined as a combined hardware–software–orgware system that reduces climate-sensitive morbidity and mortality through surveillance, prevention, diagnosis, vaccination, heat-health action, emergency care and continuity of essential services. Emergency medical services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46" s="2" t="str">
        <x:v>Mixed: adaptable design, site-specific implementation</x:v>
      </x:c>
      <x:c r="H146" s="2" t="str">
        <x:v>Emergency medical services is adaptable in capacity and configuration but site-specific in final engineering. Its principle remains the same, but resource quality, climate, scale, interfaces and safety constraints must be recalculated for each deployment.</x:v>
      </x:c>
      <x:c r="I146" s="2" t="str">
        <x:v>Primarily hard, with a soft component</x:v>
      </x:c>
      <x:c r="J146" s="2" t="str">
        <x:v>Emergency medical services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46" s="2" t="str">
        <x:v>Operation</x:v>
      </x:c>
      <x:c r="L146" s="2" t="str">
        <x:v>Emergency medical services is embodied mainly as an operating practice. The deliverable is accepted only when measurable service, quality, safety and climate-performance criteria are met under real conditions.</x:v>
      </x:c>
      <x:c r="M146" s="2" t="str">
        <x:v>Yes, subject to life-cycle safeguards</x:v>
      </x:c>
      <x:c r="N146" s="2" t="str">
        <x:v>Emergency medical services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46" s="2" t="str">
        <x:v>Emergency medical services: clinical and laboratory equipment, diagnostics, cold chain, vector-control tools, ambulances, communications, backup power and climate-resilient health facilities.</x:v>
      </x:c>
      <x:c r="P146" s="2" t="str">
        <x:v>Emergency medical services: case definitions, epidemiological surveillance, climate–health analytics, risk stratification, logistics, clinical protocols and early-warning thresholds.</x:v>
      </x:c>
      <x:c r="Q146" s="2" t="str">
        <x:v>Emergency medical services: public-health authority, referral network, emergency command, community outreach, procurement, stock management, privacy and equitable access.</x:v>
      </x:c>
      <x:c r="R146" s="2" t="str">
        <x:v>Emergency medical services: health posts and hospitals, laboratories, cold-chain and warehouses, communications, safe water and sanitation, cooling and reliable electricity.</x:v>
      </x:c>
      <x:c r="S146" s="2" t="str">
        <x:v>Emergency medical services: electricity and fuel for facilities, cooling, cold chain, laboratories, digital systems and emergency transport.</x:v>
      </x:c>
      <x:c r="T146" s="2" t="str">
        <x:v>Emergency medical services: medicines, vaccines, diagnostics, disinfectants, protective equipment, insecticides or nets, medical gases and laboratory consumables.</x:v>
      </x:c>
      <x:c r="U146" s="2" t="str">
        <x:v>Emergency medical services: cold-chain parts, test cartridges, filters, batteries, communications equipment, vehicle parts, protective equipment and essential stocks.</x:v>
      </x:c>
      <x:c r="V146" s="2" t="str">
        <x:v>https://www.ctc-n.org/sites/default/files/resources/ctcn_taxonomy_0.pdf</x:v>
      </x:c>
      <x:c r="W146" s="2" t="str">
        <x:v>https://institutoagricoladepueblobello.edu.co/colegiapp/archivostemas/GUIA%209.%5B25%5D.pdf</x:v>
      </x:c>
      <x:c r="X146" s="2" t="str">
        <x:v>https://iiasa.ac.at/what-is-technology</x:v>
      </x:c>
      <x:c r="Y146" s="2" t="str">
        <x:v>https://www.who.int/news-room/fact-sheets/detail/climate-change-and-health</x:v>
      </x:c>
      <x:c r="Z146" s="2" t="str">
        <x:v>Technology-specific analytical synthesis. The CTCN hierarchy is retained; classifications and component dependencies require validation against the selected design, site and supplier documentation before investment or policy use.</x:v>
      </x:c>
      <x:c r="AA146" s="2" t="str">
        <x:v>Physical deployment of Emergency medical services requires health posts and hospitals, laboratories, cold-chain and warehouses, communications, safe water and sanitation, cooling and reliable electricity; interfaces, foundations, access and environmental protection are sized to the specific resource and design load.</x:v>
      </x:c>
      <x:c r="AB146" s="2" t="str">
        <x:v>For Emergency medical services, the hardware energy balance comprises electricity and fuel for facilities, cooling, cold chain, laboratories, digital systems and emergency transport; metering must separate useful output, conversion losses and auxiliaries for the selected design.</x:v>
      </x:c>
      <x:c r="AC146" s="2" t="str">
        <x:v>Construction and operation use medicines, vaccines, diagnostics, disinfectants, protective equipment, insecticides or nets, medical gases and laboratory consumables. For Emergency medical services, specifications must include durability, compatibility, recycled content and recoverability.</x:v>
      </x:c>
      <x:c r="AD146" s="2" t="str">
        <x:v>Maintenance of Emergency medical services depends on cold-chain parts, test cartridges, filters, batteries, communications equipment, vehicle parts, protective equipment and essential stocks; critical spares are selected from failure-mode, lead-time and safety analysis for its installed configuration.</x:v>
      </x:c>
      <x:c r="AE146" s="2" t="str">
        <x:v>The software stack for Emergency medical services requires databases, secure communications, version-controlled models, computing, backup and interfaces with field or operational systems.</x:v>
      </x:c>
      <x:c r="AF146" s="2" t="str">
        <x:v>For Emergency medical services, software-related energy is electricity for sensing, computing, storage, communication and cooling; it is normally secondary but must be included for data-intensive or continuous services.</x:v>
      </x:c>
      <x:c r="AG146" s="2" t="str">
        <x:v>The non-physical inputs are calibrated data, metadata, algorithms, boundary conditions, emission or hazard factors, manuals and validation records specific to Emergency medical services.</x:v>
      </x:c>
      <x:c r="AH146" s="2" t="str">
        <x:v>Software continuity for Emergency medical services requires licences where applicable, updates, cybersecurity patches, backups, calibration files, model validation and technical support.</x:v>
      </x:c>
      <x:c r="AI146" s="2" t="str">
        <x:v>Orgware depends on the institutions, laboratories, training providers, regulators, operators and community interfaces needed to govern Emergency medical services.</x:v>
      </x:c>
      <x:c r="AJ146" s="2" t="str">
        <x:v>The orgware supporting Emergency medical services has mainly indirect energy use from offices, meetings, training and information systems; travel and field supervision may be material at dispersed sites.</x:v>
      </x:c>
      <x:c r="AK146" s="2" t="str">
        <x:v>Its organisational inputs are permits, budgets, trained staff, competence records, contracts, procedures, safeguards, monitoring evidence and stakeholder agreements tailored to Emergency medical services.</x:v>
      </x:c>
      <x:c r="AL146" s="2" t="str">
        <x:v>Sustained implementation of Emergency medical services requires procurement and service contracts, audit protocols, training material, reporting templates, insurance or guarantees and periodic independent review.</x:v>
      </x:c>
      <x:c r="AM146" s="2" t="str">
        <x:v>Iron ore / steel inputs</x:v>
      </x:c>
      <x:c r="AN146" s="2" t="str">
        <x:v>Australia; Brazil; China</x:v>
      </x:c>
      <x:c r="AO146" s="2" t="str">
        <x:v>China; India; Japan</x:v>
      </x:c>
      <x:c r="AP146" s="2" t="str">
        <x:v>Emergency medical services: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6" s="2" t="str">
        <x:v>2024–2025</x:v>
      </x:c>
      <x:c r="AR146" s="2" t="str">
        <x:v>https://pubs.usgs.gov/periodicals/mcs2026/mcs2026.pdf</x:v>
      </x:c>
    </x:row>
    <x:row r="147" ht="240" customHeight="1">
      <x:c r="A147" s="2" t="str">
        <x:v>ADP-0140</x:v>
      </x:c>
      <x:c r="B147" s="2" t="str">
        <x:v>Adaptation</x:v>
      </x:c>
      <x:c r="C147" s="2" t="str">
        <x:v>Human Health</x:v>
      </x:c>
      <x:c r="D147" s="2" t="str">
        <x:v>Advanced IT systems in the health sector</x:v>
      </x:c>
      <x:c r="E147" s="2" t="str">
        <x:v>Disease surveillance systems</x:v>
      </x:c>
      <x:c r="F147" s="2" t="str">
        <x:v>Disease surveillance systems is a adaptation technology in the Human Health sector and the Advanced IT systems in the health sector technology group. It is defined as a combined hardware–software–orgware system that reduces climate-sensitive morbidity and mortality through surveillance, prevention, diagnosis, vaccination, heat-health action, emergency care and continuity of essential services. Disease surveillance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47" s="2" t="str">
        <x:v>Mixed: adaptable design, site-specific implementation</x:v>
      </x:c>
      <x:c r="H147" s="2" t="str">
        <x:v>Disease surveillance systems is adaptable in capacity and configuration but site-specific in final engineering. Its principle remains the same, but resource quality, climate, scale, interfaces and safety constraints must be recalculated for each deployment.</x:v>
      </x:c>
      <x:c r="I147" s="2" t="str">
        <x:v>Hard and soft</x:v>
      </x:c>
      <x:c r="J147" s="2" t="str">
        <x:v>Disease surveillance systems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47" s="2" t="str">
        <x:v>Operation and information service</x:v>
      </x:c>
      <x:c r="L147" s="2" t="str">
        <x:v>Disease surveillance systems is embodied mainly as an information and decision service. The deliverable is accepted only when measurable service, quality, safety and climate-performance criteria are met under real conditions.</x:v>
      </x:c>
      <x:c r="M147" s="2" t="str">
        <x:v>Yes, subject to life-cycle safeguards</x:v>
      </x:c>
      <x:c r="N147" s="2" t="str">
        <x:v>Disease surveillance systems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47" s="2" t="str">
        <x:v>Disease surveillance systems: clinical and laboratory equipment, diagnostics, cold chain, vector-control tools, ambulances, communications, backup power and climate-resilient health facilities.</x:v>
      </x:c>
      <x:c r="P147" s="2" t="str">
        <x:v>Disease surveillance systems: case definitions, epidemiological surveillance, climate–health analytics, risk stratification, logistics, clinical protocols and early-warning thresholds.</x:v>
      </x:c>
      <x:c r="Q147" s="2" t="str">
        <x:v>Disease surveillance systems: public-health authority, referral network, emergency command, community outreach, procurement, stock management, privacy and equitable access.</x:v>
      </x:c>
      <x:c r="R147" s="2" t="str">
        <x:v>Disease surveillance systems: health posts and hospitals, laboratories, cold-chain and warehouses, communications, safe water and sanitation, cooling and reliable electricity.</x:v>
      </x:c>
      <x:c r="S147" s="2" t="str">
        <x:v>Disease surveillance systems: electricity and fuel for facilities, cooling, cold chain, laboratories, digital systems and emergency transport.</x:v>
      </x:c>
      <x:c r="T147" s="2" t="str">
        <x:v>Disease surveillance systems: medicines, vaccines, diagnostics, disinfectants, protective equipment, insecticides or nets, medical gases and laboratory consumables.</x:v>
      </x:c>
      <x:c r="U147" s="2" t="str">
        <x:v>Disease surveillance systems: cold-chain parts, test cartridges, filters, batteries, communications equipment, vehicle parts, protective equipment and essential stocks.</x:v>
      </x:c>
      <x:c r="V147" s="2" t="str">
        <x:v>https://www.ctc-n.org/sites/default/files/resources/ctcn_taxonomy_0.pdf</x:v>
      </x:c>
      <x:c r="W147" s="2" t="str">
        <x:v>https://institutoagricoladepueblobello.edu.co/colegiapp/archivostemas/GUIA%209.%5B25%5D.pdf</x:v>
      </x:c>
      <x:c r="X147" s="2" t="str">
        <x:v>https://iiasa.ac.at/what-is-technology</x:v>
      </x:c>
      <x:c r="Y147" s="2" t="str">
        <x:v>https://www.who.int/news-room/fact-sheets/detail/climate-change-and-health</x:v>
      </x:c>
      <x:c r="Z147" s="2" t="str">
        <x:v>Technology-specific analytical synthesis. The CTCN hierarchy is retained; classifications and component dependencies require validation against the selected design, site and supplier documentation before investment or policy use.</x:v>
      </x:c>
      <x:c r="AA147" s="2" t="str">
        <x:v>Physical deployment of Disease surveillance systems requires health posts and hospitals, laboratories, cold-chain and warehouses, communications, safe water and sanitation, cooling and reliable electricity; interfaces, foundations, access and environmental protection are sized to the specific resource and design load.</x:v>
      </x:c>
      <x:c r="AB147" s="2" t="str">
        <x:v>For Disease surveillance systems, the hardware energy balance comprises electricity and fuel for facilities, cooling, cold chain, laboratories, digital systems and emergency transport; metering must separate useful output, conversion losses and auxiliaries for the selected design.</x:v>
      </x:c>
      <x:c r="AC147" s="2" t="str">
        <x:v>Construction and operation use medicines, vaccines, diagnostics, disinfectants, protective equipment, insecticides or nets, medical gases and laboratory consumables. For Disease surveillance systems, specifications must include durability, compatibility, recycled content and recoverability.</x:v>
      </x:c>
      <x:c r="AD147" s="2" t="str">
        <x:v>Maintenance of Disease surveillance systems depends on cold-chain parts, test cartridges, filters, batteries, communications equipment, vehicle parts, protective equipment and essential stocks; critical spares are selected from failure-mode, lead-time and safety analysis for its installed configuration.</x:v>
      </x:c>
      <x:c r="AE147" s="2" t="str">
        <x:v>The software stack for Disease surveillance systems requires databases, secure communications, version-controlled models, computing, backup and interfaces with field or operational systems.</x:v>
      </x:c>
      <x:c r="AF147" s="2" t="str">
        <x:v>For Disease surveillance systems, software-related energy is electricity for sensing, computing, storage, communication and cooling; it is normally secondary but must be included for data-intensive or continuous services.</x:v>
      </x:c>
      <x:c r="AG147" s="2" t="str">
        <x:v>The non-physical inputs are calibrated data, metadata, algorithms, boundary conditions, emission or hazard factors, manuals and validation records specific to Disease surveillance systems.</x:v>
      </x:c>
      <x:c r="AH147" s="2" t="str">
        <x:v>Software continuity for Disease surveillance systems requires licences where applicable, updates, cybersecurity patches, backups, calibration files, model validation and technical support.</x:v>
      </x:c>
      <x:c r="AI147" s="2" t="str">
        <x:v>Orgware depends on the institutions, laboratories, training providers, regulators, operators and community interfaces needed to govern Disease surveillance systems.</x:v>
      </x:c>
      <x:c r="AJ147" s="2" t="str">
        <x:v>The orgware supporting Disease surveillance systems has mainly indirect energy use from offices, meetings, training and information systems; travel and field supervision may be material at dispersed sites.</x:v>
      </x:c>
      <x:c r="AK147" s="2" t="str">
        <x:v>Its organisational inputs are permits, budgets, trained staff, competence records, contracts, procedures, safeguards, monitoring evidence and stakeholder agreements tailored to Disease surveillance systems.</x:v>
      </x:c>
      <x:c r="AL147" s="2" t="str">
        <x:v>Sustained implementation of Disease surveillance systems requires procurement and service contracts, audit protocols, training material, reporting templates, insurance or guarantees and periodic independent review.</x:v>
      </x:c>
      <x:c r="AM147" s="2" t="str">
        <x:v>Iron ore / steel inputs</x:v>
      </x:c>
      <x:c r="AN147" s="2" t="str">
        <x:v>Australia; Brazil; China</x:v>
      </x:c>
      <x:c r="AO147" s="2" t="str">
        <x:v>China; India; Japan</x:v>
      </x:c>
      <x:c r="AP147" s="2" t="str">
        <x:v>Disease surveillance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7" s="2" t="str">
        <x:v>2024–2025</x:v>
      </x:c>
      <x:c r="AR147" s="2" t="str">
        <x:v>https://pubs.usgs.gov/periodicals/mcs2026/mcs2026.pdf</x:v>
      </x:c>
    </x:row>
    <x:row r="148" ht="240" customHeight="1">
      <x:c r="A148" s="2" t="str">
        <x:v>ADP-0141</x:v>
      </x:c>
      <x:c r="B148" s="2" t="str">
        <x:v>Adaptation</x:v>
      </x:c>
      <x:c r="C148" s="2" t="str">
        <x:v>Human Health</x:v>
      </x:c>
      <x:c r="D148" s="2" t="str">
        <x:v>Advanced IT systems in the health sector</x:v>
      </x:c>
      <x:c r="E148" s="2" t="str">
        <x:v>E-Health</x:v>
      </x:c>
      <x:c r="F148" s="2" t="str">
        <x:v>E-Health is a adaptation technology in the Human Health sector and the Advanced IT systems in the health sector technology group. It is defined as a combined hardware–software–orgware system that reduces climate-sensitive morbidity and mortality through surveillance, prevention, diagnosis, vaccination, heat-health action, emergency care and continuity of essential services. E-Health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48" s="2" t="str">
        <x:v>Mixed: adaptable design, site-specific implementation</x:v>
      </x:c>
      <x:c r="H148" s="2" t="str">
        <x:v>E-Health is adaptable in capacity and configuration but site-specific in final engineering. Its principle remains the same, but resource quality, climate, scale, interfaces and safety constraints must be recalculated for each deployment.</x:v>
      </x:c>
      <x:c r="I148" s="2" t="str">
        <x:v>Hard and soft</x:v>
      </x:c>
      <x:c r="J148" s="2" t="str">
        <x:v>E-Health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48" s="2" t="str">
        <x:v>Operation and information service</x:v>
      </x:c>
      <x:c r="L148" s="2" t="str">
        <x:v>E-Health is embodied mainly as an information and decision service. The deliverable is accepted only when measurable service, quality, safety and climate-performance criteria are met under real conditions.</x:v>
      </x:c>
      <x:c r="M148" s="2" t="str">
        <x:v>Yes, subject to life-cycle safeguards</x:v>
      </x:c>
      <x:c r="N148" s="2" t="str">
        <x:v>E-Health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48" s="2" t="str">
        <x:v>E-Health: clinical and laboratory equipment, diagnostics, cold chain, vector-control tools, ambulances, communications, backup power and climate-resilient health facilities.</x:v>
      </x:c>
      <x:c r="P148" s="2" t="str">
        <x:v>E-Health: case definitions, epidemiological surveillance, climate–health analytics, risk stratification, logistics, clinical protocols and early-warning thresholds.</x:v>
      </x:c>
      <x:c r="Q148" s="2" t="str">
        <x:v>E-Health: public-health authority, referral network, emergency command, community outreach, procurement, stock management, privacy and equitable access.</x:v>
      </x:c>
      <x:c r="R148" s="2" t="str">
        <x:v>E-Health: health posts and hospitals, laboratories, cold-chain and warehouses, communications, safe water and sanitation, cooling and reliable electricity.</x:v>
      </x:c>
      <x:c r="S148" s="2" t="str">
        <x:v>E-Health: electricity and fuel for facilities, cooling, cold chain, laboratories, digital systems and emergency transport.</x:v>
      </x:c>
      <x:c r="T148" s="2" t="str">
        <x:v>E-Health: medicines, vaccines, diagnostics, disinfectants, protective equipment, insecticides or nets, medical gases and laboratory consumables.</x:v>
      </x:c>
      <x:c r="U148" s="2" t="str">
        <x:v>E-Health: cold-chain parts, test cartridges, filters, batteries, communications equipment, vehicle parts, protective equipment and essential stocks.</x:v>
      </x:c>
      <x:c r="V148" s="2" t="str">
        <x:v>https://www.ctc-n.org/sites/default/files/resources/ctcn_taxonomy_0.pdf</x:v>
      </x:c>
      <x:c r="W148" s="2" t="str">
        <x:v>https://institutoagricoladepueblobello.edu.co/colegiapp/archivostemas/GUIA%209.%5B25%5D.pdf</x:v>
      </x:c>
      <x:c r="X148" s="2" t="str">
        <x:v>https://iiasa.ac.at/what-is-technology</x:v>
      </x:c>
      <x:c r="Y148" s="2" t="str">
        <x:v>https://www.who.int/news-room/fact-sheets/detail/climate-change-and-health</x:v>
      </x:c>
      <x:c r="Z148" s="2" t="str">
        <x:v>Technology-specific analytical synthesis. The CTCN hierarchy is retained; classifications and component dependencies require validation against the selected design, site and supplier documentation before investment or policy use.</x:v>
      </x:c>
      <x:c r="AA148" s="2" t="str">
        <x:v>Physical deployment of E-Health requires health posts and hospitals, laboratories, cold-chain and warehouses, communications, safe water and sanitation, cooling and reliable electricity; interfaces, foundations, access and environmental protection are sized to the specific resource and design load.</x:v>
      </x:c>
      <x:c r="AB148" s="2" t="str">
        <x:v>For E-Health, the hardware energy balance comprises electricity and fuel for facilities, cooling, cold chain, laboratories, digital systems and emergency transport; metering must separate useful output, conversion losses and auxiliaries for the selected design.</x:v>
      </x:c>
      <x:c r="AC148" s="2" t="str">
        <x:v>Construction and operation use medicines, vaccines, diagnostics, disinfectants, protective equipment, insecticides or nets, medical gases and laboratory consumables. For E-Health, specifications must include durability, compatibility, recycled content and recoverability.</x:v>
      </x:c>
      <x:c r="AD148" s="2" t="str">
        <x:v>Maintenance of E-Health depends on cold-chain parts, test cartridges, filters, batteries, communications equipment, vehicle parts, protective equipment and essential stocks; critical spares are selected from failure-mode, lead-time and safety analysis for its installed configuration.</x:v>
      </x:c>
      <x:c r="AE148" s="2" t="str">
        <x:v>The software stack for E-Health requires databases, secure communications, version-controlled models, computing, backup and interfaces with field or operational systems.</x:v>
      </x:c>
      <x:c r="AF148" s="2" t="str">
        <x:v>For E-Health, software-related energy is electricity for sensing, computing, storage, communication and cooling; it is normally secondary but must be included for data-intensive or continuous services.</x:v>
      </x:c>
      <x:c r="AG148" s="2" t="str">
        <x:v>The non-physical inputs are calibrated data, metadata, algorithms, boundary conditions, emission or hazard factors, manuals and validation records specific to E-Health.</x:v>
      </x:c>
      <x:c r="AH148" s="2" t="str">
        <x:v>Software continuity for E-Health requires licences where applicable, updates, cybersecurity patches, backups, calibration files, model validation and technical support.</x:v>
      </x:c>
      <x:c r="AI148" s="2" t="str">
        <x:v>Orgware depends on the institutions, laboratories, training providers, regulators, operators and community interfaces needed to govern E-Health.</x:v>
      </x:c>
      <x:c r="AJ148" s="2" t="str">
        <x:v>The orgware supporting E-Health has mainly indirect energy use from offices, meetings, training and information systems; travel and field supervision may be material at dispersed sites.</x:v>
      </x:c>
      <x:c r="AK148" s="2" t="str">
        <x:v>Its organisational inputs are permits, budgets, trained staff, competence records, contracts, procedures, safeguards, monitoring evidence and stakeholder agreements tailored to E-Health.</x:v>
      </x:c>
      <x:c r="AL148" s="2" t="str">
        <x:v>Sustained implementation of E-Health requires procurement and service contracts, audit protocols, training material, reporting templates, insurance or guarantees and periodic independent review.</x:v>
      </x:c>
      <x:c r="AM148" s="2" t="str">
        <x:v>Iron ore / steel inputs</x:v>
      </x:c>
      <x:c r="AN148" s="2" t="str">
        <x:v>Australia; Brazil; China</x:v>
      </x:c>
      <x:c r="AO148" s="2" t="str">
        <x:v>China; India; Japan</x:v>
      </x:c>
      <x:c r="AP148" s="2" t="str">
        <x:v>E-Health: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8" s="2" t="str">
        <x:v>2024–2025</x:v>
      </x:c>
      <x:c r="AR148" s="2" t="str">
        <x:v>https://pubs.usgs.gov/periodicals/mcs2026/mcs2026.pdf</x:v>
      </x:c>
    </x:row>
    <x:row r="149" ht="240" customHeight="1">
      <x:c r="A149" s="2" t="str">
        <x:v>ADP-0142</x:v>
      </x:c>
      <x:c r="B149" s="2" t="str">
        <x:v>Adaptation</x:v>
      </x:c>
      <x:c r="C149" s="2" t="str">
        <x:v>Human Health</x:v>
      </x:c>
      <x:c r="D149" s="2" t="str">
        <x:v>Public health services</x:v>
      </x:c>
      <x:c r="E149" s="2" t="str">
        <x:v>Education of health personnel</x:v>
      </x:c>
      <x:c r="F149" s="2" t="str">
        <x:v>Education of health personnel is a adaptation technology in the Human Health sector and the Public health services technology group. It is defined as a combined hardware–software–orgware system that reduces climate-sensitive morbidity and mortality through surveillance, prevention, diagnosis, vaccination, heat-health action, emergency care and continuity of essential services. Education of health personnel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49" s="2" t="str">
        <x:v>Mixed: adaptable design, site-specific implementation</x:v>
      </x:c>
      <x:c r="H149" s="2" t="str">
        <x:v>Education of health personnel is adaptable in capacity and configuration but site-specific in final engineering. Its principle remains the same, but resource quality, climate, scale, interfaces and safety constraints must be recalculated for each deployment.</x:v>
      </x:c>
      <x:c r="I149" s="2" t="str">
        <x:v>Primarily hard, with a soft component</x:v>
      </x:c>
      <x:c r="J149" s="2" t="str">
        <x:v>Education of health personnel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49" s="2" t="str">
        <x:v>Operation</x:v>
      </x:c>
      <x:c r="L149" s="2" t="str">
        <x:v>Education of health personnel is embodied mainly as an operating practice. The deliverable is accepted only when measurable service, quality, safety and climate-performance criteria are met under real conditions.</x:v>
      </x:c>
      <x:c r="M149" s="2" t="str">
        <x:v>Yes, subject to life-cycle safeguards</x:v>
      </x:c>
      <x:c r="N149" s="2" t="str">
        <x:v>Education of health personnel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49" s="2" t="str">
        <x:v>Education of health personnel: clinical and laboratory equipment, diagnostics, cold chain, vector-control tools, ambulances, communications, backup power and climate-resilient health facilities.</x:v>
      </x:c>
      <x:c r="P149" s="2" t="str">
        <x:v>Education of health personnel: case definitions, epidemiological surveillance, climate–health analytics, risk stratification, logistics, clinical protocols and early-warning thresholds.</x:v>
      </x:c>
      <x:c r="Q149" s="2" t="str">
        <x:v>Education of health personnel: public-health authority, referral network, emergency command, community outreach, procurement, stock management, privacy and equitable access.</x:v>
      </x:c>
      <x:c r="R149" s="2" t="str">
        <x:v>Education of health personnel: health posts and hospitals, laboratories, cold-chain and warehouses, communications, safe water and sanitation, cooling and reliable electricity.</x:v>
      </x:c>
      <x:c r="S149" s="2" t="str">
        <x:v>Education of health personnel: electricity and fuel for facilities, cooling, cold chain, laboratories, digital systems and emergency transport.</x:v>
      </x:c>
      <x:c r="T149" s="2" t="str">
        <x:v>Education of health personnel: medicines, vaccines, diagnostics, disinfectants, protective equipment, insecticides or nets, medical gases and laboratory consumables.</x:v>
      </x:c>
      <x:c r="U149" s="2" t="str">
        <x:v>Education of health personnel: cold-chain parts, test cartridges, filters, batteries, communications equipment, vehicle parts, protective equipment and essential stocks.</x:v>
      </x:c>
      <x:c r="V149" s="2" t="str">
        <x:v>https://www.ctc-n.org/sites/default/files/resources/ctcn_taxonomy_0.pdf</x:v>
      </x:c>
      <x:c r="W149" s="2" t="str">
        <x:v>https://institutoagricoladepueblobello.edu.co/colegiapp/archivostemas/GUIA%209.%5B25%5D.pdf</x:v>
      </x:c>
      <x:c r="X149" s="2" t="str">
        <x:v>https://iiasa.ac.at/what-is-technology</x:v>
      </x:c>
      <x:c r="Y149" s="2" t="str">
        <x:v>https://www.who.int/news-room/fact-sheets/detail/climate-change-and-health</x:v>
      </x:c>
      <x:c r="Z149" s="2" t="str">
        <x:v>Technology-specific analytical synthesis. The CTCN hierarchy is retained; classifications and component dependencies require validation against the selected design, site and supplier documentation before investment or policy use.</x:v>
      </x:c>
      <x:c r="AA149" s="2" t="str">
        <x:v>Physical deployment of Education of health personnel requires health posts and hospitals, laboratories, cold-chain and warehouses, communications, safe water and sanitation, cooling and reliable electricity; interfaces, foundations, access and environmental protection are sized to the specific resource and design load.</x:v>
      </x:c>
      <x:c r="AB149" s="2" t="str">
        <x:v>For Education of health personnel, the hardware energy balance comprises electricity and fuel for facilities, cooling, cold chain, laboratories, digital systems and emergency transport; metering must separate useful output, conversion losses and auxiliaries for the selected design.</x:v>
      </x:c>
      <x:c r="AC149" s="2" t="str">
        <x:v>Construction and operation use medicines, vaccines, diagnostics, disinfectants, protective equipment, insecticides or nets, medical gases and laboratory consumables. For Education of health personnel, specifications must include durability, compatibility, recycled content and recoverability.</x:v>
      </x:c>
      <x:c r="AD149" s="2" t="str">
        <x:v>Maintenance of Education of health personnel depends on cold-chain parts, test cartridges, filters, batteries, communications equipment, vehicle parts, protective equipment and essential stocks; critical spares are selected from failure-mode, lead-time and safety analysis for its installed configuration.</x:v>
      </x:c>
      <x:c r="AE149" s="2" t="str">
        <x:v>The software stack for Education of health personnel requires databases, secure communications, version-controlled models, computing, backup and interfaces with field or operational systems.</x:v>
      </x:c>
      <x:c r="AF149" s="2" t="str">
        <x:v>For Education of health personnel, software-related energy is electricity for sensing, computing, storage, communication and cooling; it is normally secondary but must be included for data-intensive or continuous services.</x:v>
      </x:c>
      <x:c r="AG149" s="2" t="str">
        <x:v>The non-physical inputs are calibrated data, metadata, algorithms, boundary conditions, emission or hazard factors, manuals and validation records specific to Education of health personnel.</x:v>
      </x:c>
      <x:c r="AH149" s="2" t="str">
        <x:v>Software continuity for Education of health personnel requires licences where applicable, updates, cybersecurity patches, backups, calibration files, model validation and technical support.</x:v>
      </x:c>
      <x:c r="AI149" s="2" t="str">
        <x:v>Orgware depends on the institutions, laboratories, training providers, regulators, operators and community interfaces needed to govern Education of health personnel.</x:v>
      </x:c>
      <x:c r="AJ149" s="2" t="str">
        <x:v>The orgware supporting Education of health personnel has mainly indirect energy use from offices, meetings, training and information systems; travel and field supervision may be material at dispersed sites.</x:v>
      </x:c>
      <x:c r="AK149" s="2" t="str">
        <x:v>Its organisational inputs are permits, budgets, trained staff, competence records, contracts, procedures, safeguards, monitoring evidence and stakeholder agreements tailored to Education of health personnel.</x:v>
      </x:c>
      <x:c r="AL149" s="2" t="str">
        <x:v>Sustained implementation of Education of health personnel requires procurement and service contracts, audit protocols, training material, reporting templates, insurance or guarantees and periodic independent review.</x:v>
      </x:c>
      <x:c r="AM149" s="2" t="str">
        <x:v>Iron ore / steel inputs</x:v>
      </x:c>
      <x:c r="AN149" s="2" t="str">
        <x:v>Australia; Brazil; China</x:v>
      </x:c>
      <x:c r="AO149" s="2" t="str">
        <x:v>China; India; Japan</x:v>
      </x:c>
      <x:c r="AP149" s="2" t="str">
        <x:v>Education of health personnel: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49" s="2" t="str">
        <x:v>2024–2025</x:v>
      </x:c>
      <x:c r="AR149" s="2" t="str">
        <x:v>https://pubs.usgs.gov/periodicals/mcs2026/mcs2026.pdf</x:v>
      </x:c>
    </x:row>
    <x:row r="150" ht="240" customHeight="1">
      <x:c r="A150" s="2" t="str">
        <x:v>ADP-0143</x:v>
      </x:c>
      <x:c r="B150" s="2" t="str">
        <x:v>Adaptation</x:v>
      </x:c>
      <x:c r="C150" s="2" t="str">
        <x:v>Human Health</x:v>
      </x:c>
      <x:c r="D150" s="2" t="str">
        <x:v>Public health services</x:v>
      </x:c>
      <x:c r="E150" s="2" t="str">
        <x:v>Heat wave plans and emergency response</x:v>
      </x:c>
      <x:c r="F150" s="2" t="str">
        <x:v>Heat wave plans and emergency response is a adaptation technology in the Human Health sector and the Public health services technology group. It is defined as a combined hardware–software–orgware system that reduces climate-sensitive morbidity and mortality through surveillance, prevention, diagnosis, vaccination, heat-health action, emergency care and continuity of essential services. Heat wave plans and emergency response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50" s="2" t="str">
        <x:v>Mixed: adaptable design, site-specific implementation</x:v>
      </x:c>
      <x:c r="H150" s="2" t="str">
        <x:v>Heat wave plans and emergency response is adaptable in capacity and configuration but site-specific in final engineering. Its principle remains the same, but resource quality, climate, scale, interfaces and safety constraints must be recalculated for each deployment.</x:v>
      </x:c>
      <x:c r="I150" s="2" t="str">
        <x:v>Primarily hard, with a soft component</x:v>
      </x:c>
      <x:c r="J150" s="2" t="str">
        <x:v>Heat wave plans and emergency response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50" s="2" t="str">
        <x:v>Operation</x:v>
      </x:c>
      <x:c r="L150" s="2" t="str">
        <x:v>Heat wave plans and emergency response is embodied mainly as an operating practice. The deliverable is accepted only when measurable service, quality, safety and climate-performance criteria are met under real conditions.</x:v>
      </x:c>
      <x:c r="M150" s="2" t="str">
        <x:v>Yes, subject to life-cycle safeguards</x:v>
      </x:c>
      <x:c r="N150" s="2" t="str">
        <x:v>Heat wave plans and emergency response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50" s="2" t="str">
        <x:v>Heat wave plans and emergency response: clinical and laboratory equipment, diagnostics, cold chain, vector-control tools, ambulances, communications, backup power and climate-resilient health facilities.</x:v>
      </x:c>
      <x:c r="P150" s="2" t="str">
        <x:v>Heat wave plans and emergency response: case definitions, epidemiological surveillance, climate–health analytics, risk stratification, logistics, clinical protocols and early-warning thresholds.</x:v>
      </x:c>
      <x:c r="Q150" s="2" t="str">
        <x:v>Heat wave plans and emergency response: public-health authority, referral network, emergency command, community outreach, procurement, stock management, privacy and equitable access.</x:v>
      </x:c>
      <x:c r="R150" s="2" t="str">
        <x:v>Heat wave plans and emergency response: health posts and hospitals, laboratories, cold-chain and warehouses, communications, safe water and sanitation, cooling and reliable electricity.</x:v>
      </x:c>
      <x:c r="S150" s="2" t="str">
        <x:v>Heat wave plans and emergency response: electricity and fuel for facilities, cooling, cold chain, laboratories, digital systems and emergency transport.</x:v>
      </x:c>
      <x:c r="T150" s="2" t="str">
        <x:v>Heat wave plans and emergency response: medicines, vaccines, diagnostics, disinfectants, protective equipment, insecticides or nets, medical gases and laboratory consumables.</x:v>
      </x:c>
      <x:c r="U150" s="2" t="str">
        <x:v>Heat wave plans and emergency response: cold-chain parts, test cartridges, filters, batteries, communications equipment, vehicle parts, protective equipment and essential stocks.</x:v>
      </x:c>
      <x:c r="V150" s="2" t="str">
        <x:v>https://www.ctc-n.org/sites/default/files/resources/ctcn_taxonomy_0.pdf</x:v>
      </x:c>
      <x:c r="W150" s="2" t="str">
        <x:v>https://institutoagricoladepueblobello.edu.co/colegiapp/archivostemas/GUIA%209.%5B25%5D.pdf</x:v>
      </x:c>
      <x:c r="X150" s="2" t="str">
        <x:v>https://iiasa.ac.at/what-is-technology</x:v>
      </x:c>
      <x:c r="Y150" s="2" t="str">
        <x:v>https://www.who.int/news-room/fact-sheets/detail/climate-change-and-health</x:v>
      </x:c>
      <x:c r="Z150" s="2" t="str">
        <x:v>Technology-specific analytical synthesis. The CTCN hierarchy is retained; classifications and component dependencies require validation against the selected design, site and supplier documentation before investment or policy use.</x:v>
      </x:c>
      <x:c r="AA150" s="2" t="str">
        <x:v>Physical deployment of Heat wave plans and emergency response requires health posts and hospitals, laboratories, cold-chain and warehouses, communications, safe water and sanitation, cooling and reliable electricity; interfaces, foundations, access and environmental protection are sized to the specific resource and design load.</x:v>
      </x:c>
      <x:c r="AB150" s="2" t="str">
        <x:v>For Heat wave plans and emergency response, the hardware energy balance comprises electricity and fuel for facilities, cooling, cold chain, laboratories, digital systems and emergency transport; metering must separate useful output, conversion losses and auxiliaries for the selected design.</x:v>
      </x:c>
      <x:c r="AC150" s="2" t="str">
        <x:v>Construction and operation use medicines, vaccines, diagnostics, disinfectants, protective equipment, insecticides or nets, medical gases and laboratory consumables. For Heat wave plans and emergency response, specifications must include durability, compatibility, recycled content and recoverability.</x:v>
      </x:c>
      <x:c r="AD150" s="2" t="str">
        <x:v>Maintenance of Heat wave plans and emergency response depends on cold-chain parts, test cartridges, filters, batteries, communications equipment, vehicle parts, protective equipment and essential stocks; critical spares are selected from failure-mode, lead-time and safety analysis for its installed configuration.</x:v>
      </x:c>
      <x:c r="AE150" s="2" t="str">
        <x:v>The software stack for Heat wave plans and emergency response requires databases, secure communications, version-controlled models, computing, backup and interfaces with field or operational systems.</x:v>
      </x:c>
      <x:c r="AF150" s="2" t="str">
        <x:v>For Heat wave plans and emergency response, software-related energy is electricity for sensing, computing, storage, communication and cooling; it is normally secondary but must be included for data-intensive or continuous services.</x:v>
      </x:c>
      <x:c r="AG150" s="2" t="str">
        <x:v>The non-physical inputs are calibrated data, metadata, algorithms, boundary conditions, emission or hazard factors, manuals and validation records specific to Heat wave plans and emergency response.</x:v>
      </x:c>
      <x:c r="AH150" s="2" t="str">
        <x:v>Software continuity for Heat wave plans and emergency response requires licences where applicable, updates, cybersecurity patches, backups, calibration files, model validation and technical support.</x:v>
      </x:c>
      <x:c r="AI150" s="2" t="str">
        <x:v>Orgware depends on the institutions, laboratories, training providers, regulators, operators and community interfaces needed to govern Heat wave plans and emergency response.</x:v>
      </x:c>
      <x:c r="AJ150" s="2" t="str">
        <x:v>The orgware supporting Heat wave plans and emergency response has mainly indirect energy use from offices, meetings, training and information systems; travel and field supervision may be material at dispersed sites.</x:v>
      </x:c>
      <x:c r="AK150" s="2" t="str">
        <x:v>Its organisational inputs are permits, budgets, trained staff, competence records, contracts, procedures, safeguards, monitoring evidence and stakeholder agreements tailored to Heat wave plans and emergency response.</x:v>
      </x:c>
      <x:c r="AL150" s="2" t="str">
        <x:v>Sustained implementation of Heat wave plans and emergency response requires procurement and service contracts, audit protocols, training material, reporting templates, insurance or guarantees and periodic independent review.</x:v>
      </x:c>
      <x:c r="AM150" s="2" t="str">
        <x:v>Iron ore / steel inputs</x:v>
      </x:c>
      <x:c r="AN150" s="2" t="str">
        <x:v>Australia; Brazil; China</x:v>
      </x:c>
      <x:c r="AO150" s="2" t="str">
        <x:v>China; India; Japan</x:v>
      </x:c>
      <x:c r="AP150" s="2" t="str">
        <x:v>Heat wave plans and emergency response: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0" s="2" t="str">
        <x:v>2024–2025</x:v>
      </x:c>
      <x:c r="AR150" s="2" t="str">
        <x:v>https://pubs.usgs.gov/periodicals/mcs2026/mcs2026.pdf</x:v>
      </x:c>
    </x:row>
    <x:row r="151" ht="240" customHeight="1">
      <x:c r="A151" s="2" t="str">
        <x:v>ADP-0144</x:v>
      </x:c>
      <x:c r="B151" s="2" t="str">
        <x:v>Adaptation</x:v>
      </x:c>
      <x:c r="C151" s="2" t="str">
        <x:v>Human Health</x:v>
      </x:c>
      <x:c r="D151" s="2" t="str">
        <x:v>Vaccination programs</x:v>
      </x:c>
      <x:c r="E151" s="2" t="str">
        <x:v>Vaccination programs</x:v>
      </x:c>
      <x:c r="F151" s="2" t="str">
        <x:v>Vaccination programs is a adaptation technology in the Human Health sector and the Vaccination programs technology group. It is defined as a combined hardware–software–orgware system that reduces climate-sensitive morbidity and mortality through surveillance, prevention, diagnosis, vaccination, heat-health action, emergency care and continuity of essential services. Vaccination programs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51" s="2" t="str">
        <x:v>Flexible</x:v>
      </x:c>
      <x:c r="H151" s="2" t="str">
        <x:v>Vaccination programs is transferable through configurable methods, rules and operating parameters. Its principle remains the same, but resource quality, climate, scale, interfaces and safety constraints must be recalculated for each deployment.</x:v>
      </x:c>
      <x:c r="I151" s="2" t="str">
        <x:v>Primarily soft, with physical support</x:v>
      </x:c>
      <x:c r="J151" s="2" t="str">
        <x:v>Vaccination programs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51" s="2" t="str">
        <x:v>Operation</x:v>
      </x:c>
      <x:c r="L151" s="2" t="str">
        <x:v>Vaccination programs is embodied mainly as an operating practice. The deliverable is accepted only when measurable service, quality, safety and climate-performance criteria are met under real conditions.</x:v>
      </x:c>
      <x:c r="M151" s="2" t="str">
        <x:v>Yes, subject to life-cycle safeguards</x:v>
      </x:c>
      <x:c r="N151" s="2" t="str">
        <x:v>Vaccination programs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51" s="2" t="str">
        <x:v>Vaccination programs: clinical and laboratory equipment, diagnostics, cold chain, vector-control tools, ambulances, communications, backup power and climate-resilient health facilities.</x:v>
      </x:c>
      <x:c r="P151" s="2" t="str">
        <x:v>Vaccination programs: case definitions, epidemiological surveillance, climate–health analytics, risk stratification, logistics, clinical protocols and early-warning thresholds.</x:v>
      </x:c>
      <x:c r="Q151" s="2" t="str">
        <x:v>Vaccination programs: public-health authority, referral network, emergency command, community outreach, procurement, stock management, privacy and equitable access.</x:v>
      </x:c>
      <x:c r="R151" s="2" t="str">
        <x:v>Vaccination programs: health posts and hospitals, laboratories, cold-chain and warehouses, communications, safe water and sanitation, cooling and reliable electricity.</x:v>
      </x:c>
      <x:c r="S151" s="2" t="str">
        <x:v>Vaccination programs: electricity and fuel for facilities, cooling, cold chain, laboratories, digital systems and emergency transport.</x:v>
      </x:c>
      <x:c r="T151" s="2" t="str">
        <x:v>Vaccination programs: medicines, vaccines, diagnostics, disinfectants, protective equipment, insecticides or nets, medical gases and laboratory consumables.</x:v>
      </x:c>
      <x:c r="U151" s="2" t="str">
        <x:v>Vaccination programs: cold-chain parts, test cartridges, filters, batteries, communications equipment, vehicle parts, protective equipment and essential stocks.</x:v>
      </x:c>
      <x:c r="V151" s="2" t="str">
        <x:v>https://www.ctc-n.org/sites/default/files/resources/ctcn_taxonomy_0.pdf</x:v>
      </x:c>
      <x:c r="W151" s="2" t="str">
        <x:v>https://institutoagricoladepueblobello.edu.co/colegiapp/archivostemas/GUIA%209.%5B25%5D.pdf</x:v>
      </x:c>
      <x:c r="X151" s="2" t="str">
        <x:v>https://iiasa.ac.at/what-is-technology</x:v>
      </x:c>
      <x:c r="Y151" s="2" t="str">
        <x:v>https://www.who.int/news-room/fact-sheets/detail/climate-change-and-health</x:v>
      </x:c>
      <x:c r="Z151" s="2" t="str">
        <x:v>Technology-specific analytical synthesis. The CTCN hierarchy is retained; classifications and component dependencies require validation against the selected design, site and supplier documentation before investment or policy use.</x:v>
      </x:c>
      <x:c r="AA151" s="2" t="str">
        <x:v>Physical deployment of Vaccination programs requires health posts and hospitals, laboratories, cold-chain and warehouses, communications, safe water and sanitation, cooling and reliable electricity; interfaces, foundations, access and environmental protection are sized to the specific resource and design load.</x:v>
      </x:c>
      <x:c r="AB151" s="2" t="str">
        <x:v>For Vaccination programs, the hardware energy balance comprises electricity and fuel for facilities, cooling, cold chain, laboratories, digital systems and emergency transport; metering must separate useful output, conversion losses and auxiliaries for the selected design.</x:v>
      </x:c>
      <x:c r="AC151" s="2" t="str">
        <x:v>Construction and operation use medicines, vaccines, diagnostics, disinfectants, protective equipment, insecticides or nets, medical gases and laboratory consumables. For Vaccination programs, specifications must include durability, compatibility, recycled content and recoverability.</x:v>
      </x:c>
      <x:c r="AD151" s="2" t="str">
        <x:v>Maintenance of Vaccination programs depends on cold-chain parts, test cartridges, filters, batteries, communications equipment, vehicle parts, protective equipment and essential stocks; critical spares are selected from failure-mode, lead-time and safety analysis for its installed configuration.</x:v>
      </x:c>
      <x:c r="AE151" s="2" t="str">
        <x:v>The software stack for Vaccination programs requires databases, secure communications, version-controlled models, computing, backup and interfaces with field or operational systems.</x:v>
      </x:c>
      <x:c r="AF151" s="2" t="str">
        <x:v>For Vaccination programs, software-related energy is electricity for sensing, computing, storage, communication and cooling; it is normally secondary but must be included for data-intensive or continuous services.</x:v>
      </x:c>
      <x:c r="AG151" s="2" t="str">
        <x:v>The non-physical inputs are calibrated data, metadata, algorithms, boundary conditions, emission or hazard factors, manuals and validation records specific to Vaccination programs.</x:v>
      </x:c>
      <x:c r="AH151" s="2" t="str">
        <x:v>Software continuity for Vaccination programs requires licences where applicable, updates, cybersecurity patches, backups, calibration files, model validation and technical support.</x:v>
      </x:c>
      <x:c r="AI151" s="2" t="str">
        <x:v>Orgware depends on the institutions, laboratories, training providers, regulators, operators and community interfaces needed to govern Vaccination programs.</x:v>
      </x:c>
      <x:c r="AJ151" s="2" t="str">
        <x:v>The orgware supporting Vaccination programs has mainly indirect energy use from offices, meetings, training and information systems; travel and field supervision may be material at dispersed sites.</x:v>
      </x:c>
      <x:c r="AK151" s="2" t="str">
        <x:v>Its organisational inputs are permits, budgets, trained staff, competence records, contracts, procedures, safeguards, monitoring evidence and stakeholder agreements tailored to Vaccination programs.</x:v>
      </x:c>
      <x:c r="AL151" s="2" t="str">
        <x:v>Sustained implementation of Vaccination programs requires procurement and service contracts, audit protocols, training material, reporting templates, insurance or guarantees and periodic independent review.</x:v>
      </x:c>
      <x:c r="AM151" s="2" t="str">
        <x:v>Iron ore / steel inputs</x:v>
      </x:c>
      <x:c r="AN151" s="2" t="str">
        <x:v>Australia; Brazil; China</x:v>
      </x:c>
      <x:c r="AO151" s="2" t="str">
        <x:v>China; India; Japan</x:v>
      </x:c>
      <x:c r="AP151" s="2" t="str">
        <x:v>Vaccination programs: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1" s="2" t="str">
        <x:v>2024–2025</x:v>
      </x:c>
      <x:c r="AR151" s="2" t="str">
        <x:v>https://pubs.usgs.gov/periodicals/mcs2026/mcs2026.pdf</x:v>
      </x:c>
    </x:row>
    <x:row r="152" ht="240" customHeight="1">
      <x:c r="A152" s="2" t="str">
        <x:v>ADP-0145</x:v>
      </x:c>
      <x:c r="B152" s="2" t="str">
        <x:v>Adaptation</x:v>
      </x:c>
      <x:c r="C152" s="2" t="str">
        <x:v>Human Health</x:v>
      </x:c>
      <x:c r="D152" s="2" t="str">
        <x:v>Vector-borne diseases</x:v>
      </x:c>
      <x:c r="E152" s="2" t="str">
        <x:v>Rapid diagnostic tests</x:v>
      </x:c>
      <x:c r="F152" s="2" t="str">
        <x:v>Rapid diagnostic tests is a adaptation technology in the Human Health sector and the Vector-borne diseases technology group. It is defined as a combined hardware–software–orgware system that reduces climate-sensitive morbidity and mortality through surveillance, prevention, diagnosis, vaccination, heat-health action, emergency care and continuity of essential services. Rapid diagnostic tests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52" s="2" t="str">
        <x:v>Mixed: adaptable design, site-specific implementation</x:v>
      </x:c>
      <x:c r="H152" s="2" t="str">
        <x:v>Rapid diagnostic tests is adaptable in capacity and configuration but site-specific in final engineering. Its principle remains the same, but resource quality, climate, scale, interfaces and safety constraints must be recalculated for each deployment.</x:v>
      </x:c>
      <x:c r="I152" s="2" t="str">
        <x:v>Primarily hard, with a soft component</x:v>
      </x:c>
      <x:c r="J152" s="2" t="str">
        <x:v>Rapid diagnostic tests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52" s="2" t="str">
        <x:v>Product and equipment; complementary operation</x:v>
      </x:c>
      <x:c r="L152" s="2" t="str">
        <x:v>Rapid diagnostic tests is embodied mainly as a product/equipment package. The deliverable is accepted only when measurable service, quality, safety and climate-performance criteria are met under real conditions.</x:v>
      </x:c>
      <x:c r="M152" s="2" t="str">
        <x:v>Yes, subject to life-cycle safeguards</x:v>
      </x:c>
      <x:c r="N152" s="2" t="str">
        <x:v>Rapid diagnostic tests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52" s="2" t="str">
        <x:v>Rapid diagnostic tests: clinical and laboratory equipment, diagnostics, cold chain, vector-control tools, ambulances, communications, backup power and climate-resilient health facilities.</x:v>
      </x:c>
      <x:c r="P152" s="2" t="str">
        <x:v>Rapid diagnostic tests: case definitions, epidemiological surveillance, climate–health analytics, risk stratification, logistics, clinical protocols and early-warning thresholds.</x:v>
      </x:c>
      <x:c r="Q152" s="2" t="str">
        <x:v>Rapid diagnostic tests: public-health authority, referral network, emergency command, community outreach, procurement, stock management, privacy and equitable access.</x:v>
      </x:c>
      <x:c r="R152" s="2" t="str">
        <x:v>Rapid diagnostic tests: health posts and hospitals, laboratories, cold-chain and warehouses, communications, safe water and sanitation, cooling and reliable electricity.</x:v>
      </x:c>
      <x:c r="S152" s="2" t="str">
        <x:v>Rapid diagnostic tests: electricity and fuel for facilities, cooling, cold chain, laboratories, digital systems and emergency transport.</x:v>
      </x:c>
      <x:c r="T152" s="2" t="str">
        <x:v>Rapid diagnostic tests: medicines, vaccines, diagnostics, disinfectants, protective equipment, insecticides or nets, medical gases and laboratory consumables.</x:v>
      </x:c>
      <x:c r="U152" s="2" t="str">
        <x:v>Rapid diagnostic tests: cold-chain parts, test cartridges, filters, batteries, communications equipment, vehicle parts, protective equipment and essential stocks.</x:v>
      </x:c>
      <x:c r="V152" s="2" t="str">
        <x:v>https://www.ctc-n.org/sites/default/files/resources/ctcn_taxonomy_0.pdf</x:v>
      </x:c>
      <x:c r="W152" s="2" t="str">
        <x:v>https://institutoagricoladepueblobello.edu.co/colegiapp/archivostemas/GUIA%209.%5B25%5D.pdf</x:v>
      </x:c>
      <x:c r="X152" s="2" t="str">
        <x:v>https://iiasa.ac.at/what-is-technology</x:v>
      </x:c>
      <x:c r="Y152" s="2" t="str">
        <x:v>https://www.who.int/news-room/fact-sheets/detail/climate-change-and-health</x:v>
      </x:c>
      <x:c r="Z152" s="2" t="str">
        <x:v>Technology-specific analytical synthesis. The CTCN hierarchy is retained; classifications and component dependencies require validation against the selected design, site and supplier documentation before investment or policy use.</x:v>
      </x:c>
      <x:c r="AA152" s="2" t="str">
        <x:v>Physical deployment of Rapid diagnostic tests requires health posts and hospitals, laboratories, cold-chain and warehouses, communications, safe water and sanitation, cooling and reliable electricity; interfaces, foundations, access and environmental protection are sized to the specific resource and design load.</x:v>
      </x:c>
      <x:c r="AB152" s="2" t="str">
        <x:v>For Rapid diagnostic tests, the hardware energy balance comprises electricity and fuel for facilities, cooling, cold chain, laboratories, digital systems and emergency transport; metering must separate useful output, conversion losses and auxiliaries for the selected design.</x:v>
      </x:c>
      <x:c r="AC152" s="2" t="str">
        <x:v>Construction and operation use medicines, vaccines, diagnostics, disinfectants, protective equipment, insecticides or nets, medical gases and laboratory consumables. For Rapid diagnostic tests, specifications must include durability, compatibility, recycled content and recoverability.</x:v>
      </x:c>
      <x:c r="AD152" s="2" t="str">
        <x:v>Maintenance of Rapid diagnostic tests depends on cold-chain parts, test cartridges, filters, batteries, communications equipment, vehicle parts, protective equipment and essential stocks; critical spares are selected from failure-mode, lead-time and safety analysis for its installed configuration.</x:v>
      </x:c>
      <x:c r="AE152" s="2" t="str">
        <x:v>The software stack for Rapid diagnostic tests requires databases, secure communications, version-controlled models, computing, backup and interfaces with field or operational systems.</x:v>
      </x:c>
      <x:c r="AF152" s="2" t="str">
        <x:v>For Rapid diagnostic tests, software-related energy is electricity for sensing, computing, storage, communication and cooling; it is normally secondary but must be included for data-intensive or continuous services.</x:v>
      </x:c>
      <x:c r="AG152" s="2" t="str">
        <x:v>The non-physical inputs are calibrated data, metadata, algorithms, boundary conditions, emission or hazard factors, manuals and validation records specific to Rapid diagnostic tests.</x:v>
      </x:c>
      <x:c r="AH152" s="2" t="str">
        <x:v>Software continuity for Rapid diagnostic tests requires licences where applicable, updates, cybersecurity patches, backups, calibration files, model validation and technical support.</x:v>
      </x:c>
      <x:c r="AI152" s="2" t="str">
        <x:v>Orgware depends on the institutions, laboratories, training providers, regulators, operators and community interfaces needed to govern Rapid diagnostic tests.</x:v>
      </x:c>
      <x:c r="AJ152" s="2" t="str">
        <x:v>The orgware supporting Rapid diagnostic tests has mainly indirect energy use from offices, meetings, training and information systems; travel and field supervision may be material at dispersed sites.</x:v>
      </x:c>
      <x:c r="AK152" s="2" t="str">
        <x:v>Its organisational inputs are permits, budgets, trained staff, competence records, contracts, procedures, safeguards, monitoring evidence and stakeholder agreements tailored to Rapid diagnostic tests.</x:v>
      </x:c>
      <x:c r="AL152" s="2" t="str">
        <x:v>Sustained implementation of Rapid diagnostic tests requires procurement and service contracts, audit protocols, training material, reporting templates, insurance or guarantees and periodic independent review.</x:v>
      </x:c>
      <x:c r="AM152" s="2" t="str">
        <x:v>Iron ore / steel inputs</x:v>
      </x:c>
      <x:c r="AN152" s="2" t="str">
        <x:v>Australia; Brazil; China</x:v>
      </x:c>
      <x:c r="AO152" s="2" t="str">
        <x:v>China; India; Japan</x:v>
      </x:c>
      <x:c r="AP152" s="2" t="str">
        <x:v>Rapid diagnostic tests: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2" s="2" t="str">
        <x:v>2024–2025</x:v>
      </x:c>
      <x:c r="AR152" s="2" t="str">
        <x:v>https://pubs.usgs.gov/periodicals/mcs2026/mcs2026.pdf</x:v>
      </x:c>
    </x:row>
    <x:row r="153" ht="240" customHeight="1">
      <x:c r="A153" s="2" t="str">
        <x:v>ADP-0146</x:v>
      </x:c>
      <x:c r="B153" s="2" t="str">
        <x:v>Adaptation</x:v>
      </x:c>
      <x:c r="C153" s="2" t="str">
        <x:v>Human Health</x:v>
      </x:c>
      <x:c r="D153" s="2" t="str">
        <x:v>Vector-borne diseases</x:v>
      </x:c>
      <x:c r="E153" s="2" t="str">
        <x:v>Malaria protection and prevention programs</x:v>
      </x:c>
      <x:c r="F153" s="2" t="str">
        <x:v>Malaria protection and prevention programs is a adaptation technology in the Human Health sector and the Vector-borne diseases technology group. It is defined as a combined hardware–software–orgware system that reduces climate-sensitive morbidity and mortality through surveillance, prevention, diagnosis, vaccination, heat-health action, emergency care and continuity of essential services. Malaria protection and prevention programs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53" s="2" t="str">
        <x:v>Flexible</x:v>
      </x:c>
      <x:c r="H153" s="2" t="str">
        <x:v>Malaria protection and prevention programs is transferable through configurable methods, rules and operating parameters. Its principle remains the same, but resource quality, climate, scale, interfaces and safety constraints must be recalculated for each deployment.</x:v>
      </x:c>
      <x:c r="I153" s="2" t="str">
        <x:v>Primarily soft, with physical support</x:v>
      </x:c>
      <x:c r="J153" s="2" t="str">
        <x:v>Malaria protection and prevention programs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53" s="2" t="str">
        <x:v>Operation</x:v>
      </x:c>
      <x:c r="L153" s="2" t="str">
        <x:v>Malaria protection and prevention programs is embodied mainly as an operating practice. The deliverable is accepted only when measurable service, quality, safety and climate-performance criteria are met under real conditions.</x:v>
      </x:c>
      <x:c r="M153" s="2" t="str">
        <x:v>Yes, subject to life-cycle safeguards</x:v>
      </x:c>
      <x:c r="N153" s="2" t="str">
        <x:v>Malaria protection and prevention programs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53" s="2" t="str">
        <x:v>Malaria protection and prevention programs: clinical and laboratory equipment, diagnostics, cold chain, vector-control tools, ambulances, communications, backup power and climate-resilient health facilities.</x:v>
      </x:c>
      <x:c r="P153" s="2" t="str">
        <x:v>Malaria protection and prevention programs: case definitions, epidemiological surveillance, climate–health analytics, risk stratification, logistics, clinical protocols and early-warning thresholds.</x:v>
      </x:c>
      <x:c r="Q153" s="2" t="str">
        <x:v>Malaria protection and prevention programs: public-health authority, referral network, emergency command, community outreach, procurement, stock management, privacy and equitable access.</x:v>
      </x:c>
      <x:c r="R153" s="2" t="str">
        <x:v>Malaria protection and prevention programs: health posts and hospitals, laboratories, cold-chain and warehouses, communications, safe water and sanitation, cooling and reliable electricity.</x:v>
      </x:c>
      <x:c r="S153" s="2" t="str">
        <x:v>Malaria protection and prevention programs: electricity and fuel for facilities, cooling, cold chain, laboratories, digital systems and emergency transport.</x:v>
      </x:c>
      <x:c r="T153" s="2" t="str">
        <x:v>Malaria protection and prevention programs: medicines, vaccines, diagnostics, disinfectants, protective equipment, insecticides or nets, medical gases and laboratory consumables.</x:v>
      </x:c>
      <x:c r="U153" s="2" t="str">
        <x:v>Malaria protection and prevention programs: cold-chain parts, test cartridges, filters, batteries, communications equipment, vehicle parts, protective equipment and essential stocks.</x:v>
      </x:c>
      <x:c r="V153" s="2" t="str">
        <x:v>https://www.ctc-n.org/sites/default/files/resources/ctcn_taxonomy_0.pdf</x:v>
      </x:c>
      <x:c r="W153" s="2" t="str">
        <x:v>https://institutoagricoladepueblobello.edu.co/colegiapp/archivostemas/GUIA%209.%5B25%5D.pdf</x:v>
      </x:c>
      <x:c r="X153" s="2" t="str">
        <x:v>https://iiasa.ac.at/what-is-technology</x:v>
      </x:c>
      <x:c r="Y153" s="2" t="str">
        <x:v>https://www.who.int/news-room/fact-sheets/detail/climate-change-and-health</x:v>
      </x:c>
      <x:c r="Z153" s="2" t="str">
        <x:v>Technology-specific analytical synthesis. The CTCN hierarchy is retained; classifications and component dependencies require validation against the selected design, site and supplier documentation before investment or policy use.</x:v>
      </x:c>
      <x:c r="AA153" s="2" t="str">
        <x:v>Physical deployment of Malaria protection and prevention programs requires health posts and hospitals, laboratories, cold-chain and warehouses, communications, safe water and sanitation, cooling and reliable electricity; interfaces, foundations, access and environmental protection are sized to the specific resource and design load.</x:v>
      </x:c>
      <x:c r="AB153" s="2" t="str">
        <x:v>For Malaria protection and prevention programs, the hardware energy balance comprises electricity and fuel for facilities, cooling, cold chain, laboratories, digital systems and emergency transport; metering must separate useful output, conversion losses and auxiliaries for the selected design.</x:v>
      </x:c>
      <x:c r="AC153" s="2" t="str">
        <x:v>Construction and operation use medicines, vaccines, diagnostics, disinfectants, protective equipment, insecticides or nets, medical gases and laboratory consumables. For Malaria protection and prevention programs, specifications must include durability, compatibility, recycled content and recoverability.</x:v>
      </x:c>
      <x:c r="AD153" s="2" t="str">
        <x:v>Maintenance of Malaria protection and prevention programs depends on cold-chain parts, test cartridges, filters, batteries, communications equipment, vehicle parts, protective equipment and essential stocks; critical spares are selected from failure-mode, lead-time and safety analysis for its installed configuration.</x:v>
      </x:c>
      <x:c r="AE153" s="2" t="str">
        <x:v>The software stack for Malaria protection and prevention programs requires databases, secure communications, version-controlled models, computing, backup and interfaces with field or operational systems.</x:v>
      </x:c>
      <x:c r="AF153" s="2" t="str">
        <x:v>For Malaria protection and prevention programs, software-related energy is electricity for sensing, computing, storage, communication and cooling; it is normally secondary but must be included for data-intensive or continuous services.</x:v>
      </x:c>
      <x:c r="AG153" s="2" t="str">
        <x:v>The non-physical inputs are calibrated data, metadata, algorithms, boundary conditions, emission or hazard factors, manuals and validation records specific to Malaria protection and prevention programs.</x:v>
      </x:c>
      <x:c r="AH153" s="2" t="str">
        <x:v>Software continuity for Malaria protection and prevention programs requires licences where applicable, updates, cybersecurity patches, backups, calibration files, model validation and technical support.</x:v>
      </x:c>
      <x:c r="AI153" s="2" t="str">
        <x:v>Orgware depends on the institutions, laboratories, training providers, regulators, operators and community interfaces needed to govern Malaria protection and prevention programs.</x:v>
      </x:c>
      <x:c r="AJ153" s="2" t="str">
        <x:v>The orgware supporting Malaria protection and prevention programs has mainly indirect energy use from offices, meetings, training and information systems; travel and field supervision may be material at dispersed sites.</x:v>
      </x:c>
      <x:c r="AK153" s="2" t="str">
        <x:v>Its organisational inputs are permits, budgets, trained staff, competence records, contracts, procedures, safeguards, monitoring evidence and stakeholder agreements tailored to Malaria protection and prevention programs.</x:v>
      </x:c>
      <x:c r="AL153" s="2" t="str">
        <x:v>Sustained implementation of Malaria protection and prevention programs requires procurement and service contracts, audit protocols, training material, reporting templates, insurance or guarantees and periodic independent review.</x:v>
      </x:c>
      <x:c r="AM153" s="2" t="str">
        <x:v>Iron ore / steel inputs</x:v>
      </x:c>
      <x:c r="AN153" s="2" t="str">
        <x:v>Australia; Brazil; China</x:v>
      </x:c>
      <x:c r="AO153" s="2" t="str">
        <x:v>China; India; Japan</x:v>
      </x:c>
      <x:c r="AP153" s="2" t="str">
        <x:v>Malaria protection and prevention programs: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3" s="2" t="str">
        <x:v>2024–2025</x:v>
      </x:c>
      <x:c r="AR153" s="2" t="str">
        <x:v>https://pubs.usgs.gov/periodicals/mcs2026/mcs2026.pdf</x:v>
      </x:c>
    </x:row>
    <x:row r="154" ht="240" customHeight="1">
      <x:c r="A154" s="2" t="str">
        <x:v>ADP-0147</x:v>
      </x:c>
      <x:c r="B154" s="2" t="str">
        <x:v>Adaptation</x:v>
      </x:c>
      <x:c r="C154" s="2" t="str">
        <x:v>Human Health</x:v>
      </x:c>
      <x:c r="D154" s="2" t="str">
        <x:v>Vector-borne diseases</x:v>
      </x:c>
      <x:c r="E154" s="2" t="str">
        <x:v>Long-lasting insecticidal bed nets</x:v>
      </x:c>
      <x:c r="F154" s="2" t="str">
        <x:v>Long-lasting insecticidal bed nets is a adaptation technology in the Human Health sector and the Vector-borne diseases technology group. It is defined as a combined hardware–software–orgware system that reduces climate-sensitive morbidity and mortality through surveillance, prevention, diagnosis, vaccination, heat-health action, emergency care and continuity of essential services. Long-lasting insecticidal bed nets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Performance is measured by coverage, timeliness, diagnostic accuracy, continuity during hazards, equity, resistance or toxicity risks, medical waste and sustained workforce capacity. WHO climate-resilient health frameworks document heat-health action plans, climate-sensitive disease surveillance and resilient health-service delivery as linked operational measures.</x:v>
      </x:c>
      <x:c r="G154" s="2" t="str">
        <x:v>Mixed: adaptable design, site-specific implementation</x:v>
      </x:c>
      <x:c r="H154" s="2" t="str">
        <x:v>Long-lasting insecticidal bed nets is adaptable in capacity and configuration but site-specific in final engineering. Its principle remains the same, but resource quality, climate, scale, interfaces and safety constraints must be recalculated for each deployment.</x:v>
      </x:c>
      <x:c r="I154" s="2" t="str">
        <x:v>Primarily hard, with a soft component</x:v>
      </x:c>
      <x:c r="J154" s="2" t="str">
        <x:v>Long-lasting insecticidal bed nets combines clinical and laboratory equipment, diagnostics, cold chain, vector-control tools, ambulances, communications, backup power and climate-resilient health facilities with the codified knowledge in case definitions, epidemiological surveillance, climate–health analytics, risk stratification, logistics, clinical protocols and early-warning thresholds. Its performance cannot be assigned to artefacts alone: operation, competence, data quality and institutional arrangements are causal parts of the technology.</x:v>
      </x:c>
      <x:c r="K154" s="2" t="str">
        <x:v>Product and equipment; complementary operation</x:v>
      </x:c>
      <x:c r="L154" s="2" t="str">
        <x:v>Long-lasting insecticidal bed nets is embodied mainly as a product/equipment package. The deliverable is accepted only when measurable service, quality, safety and climate-performance criteria are met under real conditions.</x:v>
      </x:c>
      <x:c r="M154" s="2" t="str">
        <x:v>Yes, subject to life-cycle safeguards</x:v>
      </x:c>
      <x:c r="N154" s="2" t="str">
        <x:v>Long-lasting insecticidal bed nets is classified as climate-beneficial subject to safeguards. Performance is measured by coverage, timeliness, diagnostic accuracy, continuity during hazards, equity, resistance or toxicity risks, medical waste and sustained workforce capacity. Avoided emissions or reduced vulnerability must be demonstrated against a defined baseline, without shifting material, pollution or social burdens outside the system boundary.</x:v>
      </x:c>
      <x:c r="O154" s="2" t="str">
        <x:v>Long-lasting insecticidal bed nets: clinical and laboratory equipment, diagnostics, cold chain, vector-control tools, ambulances, communications, backup power and climate-resilient health facilities.</x:v>
      </x:c>
      <x:c r="P154" s="2" t="str">
        <x:v>Long-lasting insecticidal bed nets: case definitions, epidemiological surveillance, climate–health analytics, risk stratification, logistics, clinical protocols and early-warning thresholds.</x:v>
      </x:c>
      <x:c r="Q154" s="2" t="str">
        <x:v>Long-lasting insecticidal bed nets: public-health authority, referral network, emergency command, community outreach, procurement, stock management, privacy and equitable access.</x:v>
      </x:c>
      <x:c r="R154" s="2" t="str">
        <x:v>Long-lasting insecticidal bed nets: health posts and hospitals, laboratories, cold-chain and warehouses, communications, safe water and sanitation, cooling and reliable electricity.</x:v>
      </x:c>
      <x:c r="S154" s="2" t="str">
        <x:v>Long-lasting insecticidal bed nets: electricity and fuel for facilities, cooling, cold chain, laboratories, digital systems and emergency transport.</x:v>
      </x:c>
      <x:c r="T154" s="2" t="str">
        <x:v>Long-lasting insecticidal bed nets: medicines, vaccines, diagnostics, disinfectants, protective equipment, insecticides or nets, medical gases and laboratory consumables.</x:v>
      </x:c>
      <x:c r="U154" s="2" t="str">
        <x:v>Long-lasting insecticidal bed nets: cold-chain parts, test cartridges, filters, batteries, communications equipment, vehicle parts, protective equipment and essential stocks.</x:v>
      </x:c>
      <x:c r="V154" s="2" t="str">
        <x:v>https://www.ctc-n.org/sites/default/files/resources/ctcn_taxonomy_0.pdf</x:v>
      </x:c>
      <x:c r="W154" s="2" t="str">
        <x:v>https://institutoagricoladepueblobello.edu.co/colegiapp/archivostemas/GUIA%209.%5B25%5D.pdf</x:v>
      </x:c>
      <x:c r="X154" s="2" t="str">
        <x:v>https://iiasa.ac.at/what-is-technology</x:v>
      </x:c>
      <x:c r="Y154" s="2" t="str">
        <x:v>https://www.who.int/news-room/fact-sheets/detail/climate-change-and-health</x:v>
      </x:c>
      <x:c r="Z154" s="2" t="str">
        <x:v>Technology-specific analytical synthesis. The CTCN hierarchy is retained; classifications and component dependencies require validation against the selected design, site and supplier documentation before investment or policy use.</x:v>
      </x:c>
      <x:c r="AA154" s="2" t="str">
        <x:v>Physical deployment of Long-lasting insecticidal bed nets requires health posts and hospitals, laboratories, cold-chain and warehouses, communications, safe water and sanitation, cooling and reliable electricity; interfaces, foundations, access and environmental protection are sized to the specific resource and design load.</x:v>
      </x:c>
      <x:c r="AB154" s="2" t="str">
        <x:v>For Long-lasting insecticidal bed nets, the hardware energy balance comprises electricity and fuel for facilities, cooling, cold chain, laboratories, digital systems and emergency transport; metering must separate useful output, conversion losses and auxiliaries for the selected design.</x:v>
      </x:c>
      <x:c r="AC154" s="2" t="str">
        <x:v>Construction and operation use medicines, vaccines, diagnostics, disinfectants, protective equipment, insecticides or nets, medical gases and laboratory consumables. For Long-lasting insecticidal bed nets, specifications must include durability, compatibility, recycled content and recoverability.</x:v>
      </x:c>
      <x:c r="AD154" s="2" t="str">
        <x:v>Maintenance of Long-lasting insecticidal bed nets depends on cold-chain parts, test cartridges, filters, batteries, communications equipment, vehicle parts, protective equipment and essential stocks; critical spares are selected from failure-mode, lead-time and safety analysis for its installed configuration.</x:v>
      </x:c>
      <x:c r="AE154" s="2" t="str">
        <x:v>The software stack for Long-lasting insecticidal bed nets requires databases, secure communications, version-controlled models, computing, backup and interfaces with field or operational systems.</x:v>
      </x:c>
      <x:c r="AF154" s="2" t="str">
        <x:v>For Long-lasting insecticidal bed nets, software-related energy is electricity for sensing, computing, storage, communication and cooling; it is normally secondary but must be included for data-intensive or continuous services.</x:v>
      </x:c>
      <x:c r="AG154" s="2" t="str">
        <x:v>The non-physical inputs are calibrated data, metadata, algorithms, boundary conditions, emission or hazard factors, manuals and validation records specific to Long-lasting insecticidal bed nets.</x:v>
      </x:c>
      <x:c r="AH154" s="2" t="str">
        <x:v>Software continuity for Long-lasting insecticidal bed nets requires licences where applicable, updates, cybersecurity patches, backups, calibration files, model validation and technical support.</x:v>
      </x:c>
      <x:c r="AI154" s="2" t="str">
        <x:v>Orgware depends on the institutions, laboratories, training providers, regulators, operators and community interfaces needed to govern Long-lasting insecticidal bed nets.</x:v>
      </x:c>
      <x:c r="AJ154" s="2" t="str">
        <x:v>The orgware supporting Long-lasting insecticidal bed nets has mainly indirect energy use from offices, meetings, training and information systems; travel and field supervision may be material at dispersed sites.</x:v>
      </x:c>
      <x:c r="AK154" s="2" t="str">
        <x:v>Its organisational inputs are permits, budgets, trained staff, competence records, contracts, procedures, safeguards, monitoring evidence and stakeholder agreements tailored to Long-lasting insecticidal bed nets.</x:v>
      </x:c>
      <x:c r="AL154" s="2" t="str">
        <x:v>Sustained implementation of Long-lasting insecticidal bed nets requires procurement and service contracts, audit protocols, training material, reporting templates, insurance or guarantees and periodic independent review.</x:v>
      </x:c>
      <x:c r="AM154" s="2" t="str">
        <x:v>Iron ore / steel inputs</x:v>
      </x:c>
      <x:c r="AN154" s="2" t="str">
        <x:v>Australia; Brazil; China</x:v>
      </x:c>
      <x:c r="AO154" s="2" t="str">
        <x:v>China; India; Japan</x:v>
      </x:c>
      <x:c r="AP154" s="2" t="str">
        <x:v>Long-lasting insecticidal bed nets: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4" s="2" t="str">
        <x:v>2024–2025</x:v>
      </x:c>
      <x:c r="AR154" s="2" t="str">
        <x:v>https://pubs.usgs.gov/periodicals/mcs2026/mcs2026.pdf</x:v>
      </x:c>
    </x:row>
    <x:row r="155" ht="240" customHeight="1">
      <x:c r="A155" s="2" t="str">
        <x:v>ADP-0148</x:v>
      </x:c>
      <x:c r="B155" s="2" t="str">
        <x:v>Adaptation</x:v>
      </x:c>
      <x:c r="C155" s="2" t="str">
        <x:v>Infrastructure and Urban planning</x:v>
      </x:c>
      <x:c r="D155" s="2" t="str">
        <x:v>Ground surface material</x:v>
      </x:c>
      <x:c r="E155" s="2" t="str">
        <x:v>Engineered cementitious composite (ECC)</x:v>
      </x:c>
      <x:c r="F155" s="2" t="str">
        <x:v>Engineered cementitious composite (ECC) is a adaptation technology in the Infrastructure and Urban planning sector and the Ground surface material technology group. It is defined as a combined hardware–software–orgware system that changes industrial chemistry, heat integration, equipment efficiency, material yield, fuel, process route or product design to reduce direct and energy-related emissions per unit of output. Engineered cementitious composite (ECC)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Evaluation includes upstream feedstocks, plant conversion efficiency, process emissions, product durability, material yield and scrap, pollutant controls, maintenance, retrofit life and end-of-life recycling. Industrial applications include waste-heat recovery, combined heat and power, efficient motors, clinker substitution, dry coke quenching and advanced process control; each requires plant-specific integration.</x:v>
      </x:c>
      <x:c r="G155" s="2" t="str">
        <x:v>Mixed: adaptable design, site-specific implementation</x:v>
      </x:c>
      <x:c r="H155" s="2" t="str">
        <x:v>Engineered cementitious composite (ECC) is adaptable in capacity and configuration but site-specific in final engineering. Its principle remains the same, but resource quality, climate, scale, interfaces and safety constraints must be recalculated for each deployment.</x:v>
      </x:c>
      <x:c r="I155" s="2" t="str">
        <x:v>Primarily hard, with a soft component</x:v>
      </x:c>
      <x:c r="J155" s="2" t="str">
        <x:v>Engineered cementitious composite (ECC) combines process reactors or furnaces, heat exchangers, motors and drives, compressors, burners, controls, pollution abatement, material handling and measurement equipment with the codified knowledge in process simulation, pinch and heat-integration analysis, advanced control, production scheduling, quality control, energy management and life-cycle assessment. Its performance cannot be assigned to artefacts alone: operation, competence, data quality and institutional arrangements are causal parts of the technology.</x:v>
      </x:c>
      <x:c r="K155" s="2" t="str">
        <x:v>Equipment and operation</x:v>
      </x:c>
      <x:c r="L155" s="2" t="str">
        <x:v>Engineered cementitious composite (ECC) is embodied mainly as an equipment-and-operation system. The deliverable is accepted only when measurable service, quality, safety and climate-performance criteria are met under real conditions.</x:v>
      </x:c>
      <x:c r="M155" s="2" t="str">
        <x:v>Yes, subject to life-cycle safeguards</x:v>
      </x:c>
      <x:c r="N155" s="2" t="str">
        <x:v>Engineered cementitious composite (ECC) is classified as climate-beneficial subject to safeguards. Evaluation includes upstream feedstocks, plant conversion efficiency, process emissions, product durability, material yield and scrap, pollutant controls, maintenance, retrofit life and end-of-life recycling. Avoided emissions or reduced vulnerability must be demonstrated against a defined baseline, without shifting material, pollution or social burdens outside the system boundary.</x:v>
      </x:c>
      <x:c r="O155" s="2" t="str">
        <x:v>Engineered cementitious composite (ECC): process reactors or furnaces, heat exchangers, motors and drives, compressors, burners, controls, pollution abatement, material handling and measurement equipment.</x:v>
      </x:c>
      <x:c r="P155" s="2" t="str">
        <x:v>Engineered cementitious composite (ECC): process simulation, pinch and heat-integration analysis, advanced control, production scheduling, quality control, energy management and life-cycle assessment.</x:v>
      </x:c>
      <x:c r="Q155" s="2" t="str">
        <x:v>Engineered cementitious composite (ECC): industrial permits, product standards, operating procedures, maintenance and competence systems, procurement, energy management and industrial-symbiosis agreements.</x:v>
      </x:c>
      <x:c r="R155" s="2" t="str">
        <x:v>Engineered cementitious composite (ECC): industrial site, utilities, fuel and electricity supply, material storage, process buildings, laboratories, waste handling and logistics.</x:v>
      </x:c>
      <x:c r="S155" s="2" t="str">
        <x:v>Engineered cementitious composite (ECC): electricity, steam, process heat, cooling and fuels; useful-energy efficiency, heat recovery and carbon intensity of supply determine savings.</x:v>
      </x:c>
      <x:c r="T155" s="2" t="str">
        <x:v>Engineered cementitious composite (ECC): process feedstocks, steel and refractory materials, catalysts, solvents, lubricants, insulation, piping, sensors and technology-specific alloying elements.</x:v>
      </x:c>
      <x:c r="U155" s="2" t="str">
        <x:v>Engineered cementitious composite (ECC): refractory linings, bearings, seals, valves, filters, burners, electrodes, sensors, control modules, lubricants and calibrated instruments.</x:v>
      </x:c>
      <x:c r="V155" s="2" t="str">
        <x:v>https://www.ctc-n.org/sites/default/files/resources/ctcn_taxonomy_0.pdf</x:v>
      </x:c>
      <x:c r="W155" s="2" t="str">
        <x:v>https://institutoagricoladepueblobello.edu.co/colegiapp/archivostemas/GUIA%209.%5B25%5D.pdf</x:v>
      </x:c>
      <x:c r="X155" s="2" t="str">
        <x:v>https://iiasa.ac.at/what-is-technology</x:v>
      </x:c>
      <x:c r="Y155" s="2" t="str">
        <x:v>https://www.ipcc.ch/report/ar6/wg2/chapter/chapter-6/; https://www.ipcc.ch/report/ar6/wg3/chapter/chapter-11/</x:v>
      </x:c>
      <x:c r="Z155" s="2" t="str">
        <x:v>Technology-specific analytical synthesis. The CTCN hierarchy is retained; classifications and component dependencies require validation against the selected design, site and supplier documentation before investment or policy use.</x:v>
      </x:c>
      <x:c r="AA155" s="2" t="str">
        <x:v>Physical deployment of Engineered cementitious composite (ECC) requires industrial site, utilities, fuel and electricity supply, material storage, process buildings, laboratories, waste handling and logistics; interfaces, foundations, access and environmental protection are sized to the specific resource and design load.</x:v>
      </x:c>
      <x:c r="AB155" s="2" t="str">
        <x:v>For Engineered cementitious composite (ECC), the hardware energy balance comprises electricity, steam, process heat, cooling and fuels; useful-energy efficiency, heat recovery and carbon intensity of supply determine savings; metering must separate useful output, conversion losses and auxiliaries for the selected design.</x:v>
      </x:c>
      <x:c r="AC155" s="2" t="str">
        <x:v>Construction and operation use process feedstocks, steel and refractory materials, catalysts, solvents, lubricants, insulation, piping, sensors and technology-specific alloying elements. For Engineered cementitious composite (ECC), specifications must include durability, compatibility, recycled content and recoverability.</x:v>
      </x:c>
      <x:c r="AD155" s="2" t="str">
        <x:v>Maintenance of Engineered cementitious composite (ECC) depends on refractory linings, bearings, seals, valves, filters, burners, electrodes, sensors, control modules, lubricants and calibrated instruments; critical spares are selected from failure-mode, lead-time and safety analysis for its installed configuration.</x:v>
      </x:c>
      <x:c r="AE155" s="2" t="str">
        <x:v>The software stack for Engineered cementitious composite (ECC) requires databases, secure communications, version-controlled models, computing, backup and interfaces with field or operational systems.</x:v>
      </x:c>
      <x:c r="AF155" s="2" t="str">
        <x:v>For Engineered cementitious composite (ECC), software-related energy is electricity for sensing, computing, storage, communication and cooling; it is normally secondary but must be included for data-intensive or continuous services.</x:v>
      </x:c>
      <x:c r="AG155" s="2" t="str">
        <x:v>The non-physical inputs are calibrated data, metadata, algorithms, boundary conditions, emission or hazard factors, manuals and validation records specific to Engineered cementitious composite (ECC).</x:v>
      </x:c>
      <x:c r="AH155" s="2" t="str">
        <x:v>Software continuity for Engineered cementitious composite (ECC) requires licences where applicable, updates, cybersecurity patches, backups, calibration files, model validation and technical support.</x:v>
      </x:c>
      <x:c r="AI155" s="2" t="str">
        <x:v>Orgware depends on the institutions, laboratories, training providers, regulators, operators and community interfaces needed to govern Engineered cementitious composite (ECC).</x:v>
      </x:c>
      <x:c r="AJ155" s="2" t="str">
        <x:v>The orgware supporting Engineered cementitious composite (ECC) has mainly indirect energy use from offices, meetings, training and information systems; travel and field supervision may be material at dispersed sites.</x:v>
      </x:c>
      <x:c r="AK155" s="2" t="str">
        <x:v>Its organisational inputs are permits, budgets, trained staff, competence records, contracts, procedures, safeguards, monitoring evidence and stakeholder agreements tailored to Engineered cementitious composite (ECC).</x:v>
      </x:c>
      <x:c r="AL155" s="2" t="str">
        <x:v>Sustained implementation of Engineered cementitious composite (ECC) requires procurement and service contracts, audit protocols, training material, reporting templates, insurance or guarantees and periodic independent review.</x:v>
      </x:c>
      <x:c r="AM155" s="2" t="str">
        <x:v>Iron ore / steel inputs; Nickel; Chromium; Limestone / cement raw materials</x:v>
      </x:c>
      <x:c r="AN155" s="2" t="str">
        <x:v>Australia; Brazil; China; Indonesia; Philippines; Russia; South Africa; Kazakhstan; Turkey; India; Vietnam</x:v>
      </x:c>
      <x:c r="AO155" s="2" t="str">
        <x:v>China; India; Japan; Indonesia; South Africa; Kazakhstan; Vietnam</x:v>
      </x:c>
      <x:c r="AP155" s="2" t="str">
        <x:v>Engineered cementitious composite (ECC):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5" s="2" t="str">
        <x:v>2024–2025</x:v>
      </x:c>
      <x:c r="AR155" s="2" t="str">
        <x:v>https://pubs.usgs.gov/periodicals/mcs2026/mcs2026.pdf; https://www.iea.org/reports/global-critical-minerals-outlook-2025</x:v>
      </x:c>
    </x:row>
    <x:row r="156" ht="240" customHeight="1">
      <x:c r="A156" s="2" t="str">
        <x:v>ADP-0149</x:v>
      </x:c>
      <x:c r="B156" s="2" t="str">
        <x:v>Adaptation</x:v>
      </x:c>
      <x:c r="C156" s="2" t="str">
        <x:v>Infrastructure and Urban planning</x:v>
      </x:c>
      <x:c r="D156" s="2" t="str">
        <x:v>Ground surface material</x:v>
      </x:c>
      <x:c r="E156" s="2" t="str">
        <x:v>Warm-mix asphalt</x:v>
      </x:c>
      <x:c r="F156" s="2" t="str">
        <x:v>Warm-mix asphalt is a adaptation technology in the Infrastructure and Urban planning sector and the Ground surface material technology group. It is defined as a combined hardware–software–orgware system that reduces exposure and physical vulnerability through resilient siting, design loads, protective structures, adaptable construction, ecosystem buffers and planned management of residual risk. Warm-mix asphalt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56" s="2" t="str">
        <x:v>Mixed: adaptable design, site-specific implementation</x:v>
      </x:c>
      <x:c r="H156" s="2" t="str">
        <x:v>Warm-mix asphalt is adaptable in capacity and configuration but site-specific in final engineering. Its principle remains the same, but resource quality, climate, scale, interfaces and safety constraints must be recalculated for each deployment.</x:v>
      </x:c>
      <x:c r="I156" s="2" t="str">
        <x:v>Primarily hard, with a soft component</x:v>
      </x:c>
      <x:c r="J156" s="2" t="str">
        <x:v>Warm-mix asphalt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56" s="2" t="str">
        <x:v>Equipment and operation</x:v>
      </x:c>
      <x:c r="L156" s="2" t="str">
        <x:v>Warm-mix asphalt is embodied mainly as an equipment-and-operation system. The deliverable is accepted only when measurable service, quality, safety and climate-performance criteria are met under real conditions.</x:v>
      </x:c>
      <x:c r="M156" s="2" t="str">
        <x:v>Yes, subject to life-cycle safeguards</x:v>
      </x:c>
      <x:c r="N156" s="2" t="str">
        <x:v>Warm-mix asphalt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56" s="2" t="str">
        <x:v>Warm-mix asphalt: resilient structural, drainage, transport, coastal or utility components; foundations, barriers, armour, geosynthetics, sensors and nature-based elements as applicable.</x:v>
      </x:c>
      <x:c r="P156" s="2" t="str">
        <x:v>Warm-mix asphalt: climate-load and hazard analysis, structural or hydraulic modelling, geotechnical design, spatial planning, asset criticality, inspection and adaptation pathways.</x:v>
      </x:c>
      <x:c r="Q156" s="2" t="str">
        <x:v>Warm-mix asphalt: building and infrastructure codes, zoning, permits, land acquisition or easements, maintenance responsibility, emergency access, environmental safeguards and community participation.</x:v>
      </x:c>
      <x:c r="R156" s="2" t="str">
        <x:v>Warm-mix asphalt: site access, foundations, drainage, utility relocation, monitoring, construction staging, sediment or material supply and long-term maintenance corridors.</x:v>
      </x:c>
      <x:c r="S156" s="2" t="str">
        <x:v>Warm-mix asphalt: construction fuel and electricity plus operational pumping, monitoring, lighting or active control; passive and ecosystem measures have lower operational demand.</x:v>
      </x:c>
      <x:c r="T156" s="2" t="str">
        <x:v>Warm-mix asphalt: concrete, steel, stone, asphalt, timber, geotextiles, soil or sand, corrosion protection, vegetation and locally compatible fill.</x:v>
      </x:c>
      <x:c r="U156" s="2" t="str">
        <x:v>Warm-mix asphalt: drainage and pump parts, expansion joints, fasteners, coatings, sensors, geotextile repair, replacement armour or fill and planting stock.</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https://www.ipcc.ch/report/ar6/wg2/chapter/chapter-6/; https://www.ipcc.ch/srocc/chapter/chapter-4-sea-level-rise-and-implications-for-low-lying-islands-coasts-and-communities/; https://www.unep.org/topics/climate-action/adaptation/ecosystem-based-adaptation</x:v>
      </x:c>
      <x:c r="Z156" s="2" t="str">
        <x:v>Technology-specific analytical synthesis. The CTCN hierarchy is retained; classifications and component dependencies require validation against the selected design, site and supplier documentation before investment or policy use.</x:v>
      </x:c>
      <x:c r="AA156" s="2" t="str">
        <x:v>Physical deployment of Warm-mix asphalt requires site access, foundations, drainage, utility relocation, monitoring, construction staging, sediment or material supply and long-term maintenance corridors; interfaces, foundations, access and environmental protection are sized to the specific resource and design load.</x:v>
      </x:c>
      <x:c r="AB156" s="2" t="str">
        <x:v>For Warm-mix asphalt,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56" s="2" t="str">
        <x:v>Construction and operation use concrete, steel, stone, asphalt, timber, geotextiles, soil or sand, corrosion protection, vegetation and locally compatible fill. For Warm-mix asphalt, specifications must include durability, compatibility, recycled content and recoverability.</x:v>
      </x:c>
      <x:c r="AD156" s="2" t="str">
        <x:v>Maintenance of Warm-mix asphalt depends on drainage and pump parts, expansion joints, fasteners, coatings, sensors, geotextile repair, replacement armour or fill and planting stock; critical spares are selected from failure-mode, lead-time and safety analysis for its installed configuration.</x:v>
      </x:c>
      <x:c r="AE156" s="2" t="str">
        <x:v>The software stack for Warm-mix asphalt requires databases, secure communications, version-controlled models, computing, backup and interfaces with field or operational systems.</x:v>
      </x:c>
      <x:c r="AF156" s="2" t="str">
        <x:v>For Warm-mix asphalt, software-related energy is electricity for sensing, computing, storage, communication and cooling; it is normally secondary but must be included for data-intensive or continuous services.</x:v>
      </x:c>
      <x:c r="AG156" s="2" t="str">
        <x:v>The non-physical inputs are calibrated data, metadata, algorithms, boundary conditions, emission or hazard factors, manuals and validation records specific to Warm-mix asphalt.</x:v>
      </x:c>
      <x:c r="AH156" s="2" t="str">
        <x:v>Software continuity for Warm-mix asphalt requires licences where applicable, updates, cybersecurity patches, backups, calibration files, model validation and technical support.</x:v>
      </x:c>
      <x:c r="AI156" s="2" t="str">
        <x:v>Orgware depends on the institutions, laboratories, training providers, regulators, operators and community interfaces needed to govern Warm-mix asphalt.</x:v>
      </x:c>
      <x:c r="AJ156" s="2" t="str">
        <x:v>The orgware supporting Warm-mix asphalt has mainly indirect energy use from offices, meetings, training and information systems; travel and field supervision may be material at dispersed sites.</x:v>
      </x:c>
      <x:c r="AK156" s="2" t="str">
        <x:v>Its organisational inputs are permits, budgets, trained staff, competence records, contracts, procedures, safeguards, monitoring evidence and stakeholder agreements tailored to Warm-mix asphalt.</x:v>
      </x:c>
      <x:c r="AL156" s="2" t="str">
        <x:v>Sustained implementation of Warm-mix asphalt requires procurement and service contracts, audit protocols, training material, reporting templates, insurance or guarantees and periodic independent review.</x:v>
      </x:c>
      <x:c r="AM156" s="2" t="str">
        <x:v>Iron ore / steel inputs; Limestone / cement raw materials</x:v>
      </x:c>
      <x:c r="AN156" s="2" t="str">
        <x:v>Australia; Brazil; China; India; Vietnam</x:v>
      </x:c>
      <x:c r="AO156" s="2" t="str">
        <x:v>China; India; Japan; Vietnam</x:v>
      </x:c>
      <x:c r="AP156" s="2" t="str">
        <x:v>Warm-mix asphalt: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6" s="2" t="str">
        <x:v>2024–2025</x:v>
      </x:c>
      <x:c r="AR156" s="2" t="str">
        <x:v>https://pubs.usgs.gov/periodicals/mcs2026/mcs2026.pdf</x:v>
      </x:c>
    </x:row>
    <x:row r="157" ht="240" customHeight="1">
      <x:c r="A157" s="2" t="str">
        <x:v>ADP-0150</x:v>
      </x:c>
      <x:c r="B157" s="2" t="str">
        <x:v>Adaptation</x:v>
      </x:c>
      <x:c r="C157" s="2" t="str">
        <x:v>Infrastructure and Urban planning</x:v>
      </x:c>
      <x:c r="D157" s="2" t="str">
        <x:v>Sewerage infrastructure</x:v>
      </x:c>
      <x:c r="E157" s="2" t="str">
        <x:v>Sewerage infrastructure</x:v>
      </x:c>
      <x:c r="F157" s="2" t="str">
        <x:v>Sewerage infrastructure is a adaptation technology in the Infrastructure and Urban planning sector and the Sewerage infrastructure technology group. It is defined as a combined hardware–software–orgware system that reduces exposure and physical vulnerability through resilient siting, design loads, protective structures, adaptable construction, ecosystem buffers and planned management of residual risk. Sewerage infrastructure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57" s="2" t="str">
        <x:v>Primarily fixed</x:v>
      </x:c>
      <x:c r="H157" s="2" t="str">
        <x:v>Sewerage infrastructure is tied to long-lived, site-specific assets and design loads. Its principle remains the same, but resource quality, climate, scale, interfaces and safety constraints must be recalculated for each deployment.</x:v>
      </x:c>
      <x:c r="I157" s="2" t="str">
        <x:v>Primarily hard, with a soft component</x:v>
      </x:c>
      <x:c r="J157" s="2" t="str">
        <x:v>Sewerage infrastructure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57" s="2" t="str">
        <x:v>Equipment and operation</x:v>
      </x:c>
      <x:c r="L157" s="2" t="str">
        <x:v>Sewerage infrastructure is embodied mainly as an equipment-and-operation system. The deliverable is accepted only when measurable service, quality, safety and climate-performance criteria are met under real conditions.</x:v>
      </x:c>
      <x:c r="M157" s="2" t="str">
        <x:v>Yes, subject to life-cycle safeguards</x:v>
      </x:c>
      <x:c r="N157" s="2" t="str">
        <x:v>Sewerage infrastructure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57" s="2" t="str">
        <x:v>Sewerage infrastructure: resilient structural, drainage, transport, coastal or utility components; foundations, barriers, armour, geosynthetics, sensors and nature-based elements as applicable.</x:v>
      </x:c>
      <x:c r="P157" s="2" t="str">
        <x:v>Sewerage infrastructure: climate-load and hazard analysis, structural or hydraulic modelling, geotechnical design, spatial planning, asset criticality, inspection and adaptation pathways.</x:v>
      </x:c>
      <x:c r="Q157" s="2" t="str">
        <x:v>Sewerage infrastructure: building and infrastructure codes, zoning, permits, land acquisition or easements, maintenance responsibility, emergency access, environmental safeguards and community participation.</x:v>
      </x:c>
      <x:c r="R157" s="2" t="str">
        <x:v>Sewerage infrastructure: site access, foundations, drainage, utility relocation, monitoring, construction staging, sediment or material supply and long-term maintenance corridors.</x:v>
      </x:c>
      <x:c r="S157" s="2" t="str">
        <x:v>Sewerage infrastructure: construction fuel and electricity plus operational pumping, monitoring, lighting or active control; passive and ecosystem measures have lower operational demand.</x:v>
      </x:c>
      <x:c r="T157" s="2" t="str">
        <x:v>Sewerage infrastructure: concrete, steel, stone, asphalt, timber, geotextiles, soil or sand, corrosion protection, vegetation and locally compatible fill.</x:v>
      </x:c>
      <x:c r="U157" s="2" t="str">
        <x:v>Sewerage infrastructure: drainage and pump parts, expansion joints, fasteners, coatings, sensors, geotextile repair, replacement armour or fill and planting stock.</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https://www.ipcc.ch/report/ar6/wg2/chapter/chapter-6/; https://www.ipcc.ch/srocc/chapter/chapter-4-sea-level-rise-and-implications-for-low-lying-islands-coasts-and-communities/; https://www.unep.org/topics/climate-action/adaptation/ecosystem-based-adaptation</x:v>
      </x:c>
      <x:c r="Z157" s="2" t="str">
        <x:v>Technology-specific analytical synthesis. The CTCN hierarchy is retained; classifications and component dependencies require validation against the selected design, site and supplier documentation before investment or policy use.</x:v>
      </x:c>
      <x:c r="AA157" s="2" t="str">
        <x:v>Physical deployment of Sewerage infrastructure requires site access, foundations, drainage, utility relocation, monitoring, construction staging, sediment or material supply and long-term maintenance corridors; interfaces, foundations, access and environmental protection are sized to the specific resource and design load.</x:v>
      </x:c>
      <x:c r="AB157" s="2" t="str">
        <x:v>For Sewerage infrastructure,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57" s="2" t="str">
        <x:v>Construction and operation use concrete, steel, stone, asphalt, timber, geotextiles, soil or sand, corrosion protection, vegetation and locally compatible fill. For Sewerage infrastructure, specifications must include durability, compatibility, recycled content and recoverability.</x:v>
      </x:c>
      <x:c r="AD157" s="2" t="str">
        <x:v>Maintenance of Sewerage infrastructure depends on drainage and pump parts, expansion joints, fasteners, coatings, sensors, geotextile repair, replacement armour or fill and planting stock; critical spares are selected from failure-mode, lead-time and safety analysis for its installed configuration.</x:v>
      </x:c>
      <x:c r="AE157" s="2" t="str">
        <x:v>The software stack for Sewerage infrastructure requires databases, secure communications, version-controlled models, computing, backup and interfaces with field or operational systems.</x:v>
      </x:c>
      <x:c r="AF157" s="2" t="str">
        <x:v>For Sewerage infrastructure, software-related energy is electricity for sensing, computing, storage, communication and cooling; it is normally secondary but must be included for data-intensive or continuous services.</x:v>
      </x:c>
      <x:c r="AG157" s="2" t="str">
        <x:v>The non-physical inputs are calibrated data, metadata, algorithms, boundary conditions, emission or hazard factors, manuals and validation records specific to Sewerage infrastructure.</x:v>
      </x:c>
      <x:c r="AH157" s="2" t="str">
        <x:v>Software continuity for Sewerage infrastructure requires licences where applicable, updates, cybersecurity patches, backups, calibration files, model validation and technical support.</x:v>
      </x:c>
      <x:c r="AI157" s="2" t="str">
        <x:v>Orgware depends on the institutions, laboratories, training providers, regulators, operators and community interfaces needed to govern Sewerage infrastructure.</x:v>
      </x:c>
      <x:c r="AJ157" s="2" t="str">
        <x:v>The orgware supporting Sewerage infrastructure has mainly indirect energy use from offices, meetings, training and information systems; travel and field supervision may be material at dispersed sites.</x:v>
      </x:c>
      <x:c r="AK157" s="2" t="str">
        <x:v>Its organisational inputs are permits, budgets, trained staff, competence records, contracts, procedures, safeguards, monitoring evidence and stakeholder agreements tailored to Sewerage infrastructure.</x:v>
      </x:c>
      <x:c r="AL157" s="2" t="str">
        <x:v>Sustained implementation of Sewerage infrastructure requires procurement and service contracts, audit protocols, training material, reporting templates, insurance or guarantees and periodic independent review.</x:v>
      </x:c>
      <x:c r="AM157" s="2" t="str">
        <x:v>Iron ore / steel inputs; Limestone / cement raw materials</x:v>
      </x:c>
      <x:c r="AN157" s="2" t="str">
        <x:v>Australia; Brazil; China; India; Vietnam</x:v>
      </x:c>
      <x:c r="AO157" s="2" t="str">
        <x:v>China; India; Japan; Vietnam</x:v>
      </x:c>
      <x:c r="AP157" s="2" t="str">
        <x:v>Sewerage infrastructure: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7" s="2" t="str">
        <x:v>2024–2025</x:v>
      </x:c>
      <x:c r="AR157" s="2" t="str">
        <x:v>https://pubs.usgs.gov/periodicals/mcs2026/mcs2026.pdf</x:v>
      </x:c>
    </x:row>
    <x:row r="158" ht="240" customHeight="1">
      <x:c r="A158" s="2" t="str">
        <x:v>ADP-0151</x:v>
      </x:c>
      <x:c r="B158" s="2" t="str">
        <x:v>Adaptation</x:v>
      </x:c>
      <x:c r="C158" s="2" t="str">
        <x:v>Infrastructure and Urban planning</x:v>
      </x:c>
      <x:c r="D158" s="2" t="str">
        <x:v>Land use in human settlements</x:v>
      </x:c>
      <x:c r="E158" s="2" t="str">
        <x:v>Land use in human settlements</x:v>
      </x:c>
      <x:c r="F158" s="2" t="str">
        <x:v>Land use in human settlements is a adaptation technology in the Infrastructure and Urban planning sector and the Land use in human settlements technology group. It is defined as a combined hardware–software–orgware system that reduces exposure and physical vulnerability through resilient siting, design loads, protective structures, adaptable construction, ecosystem buffers and planned management of residual risk. Land use in human settlements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58" s="2" t="str">
        <x:v>Mixed: adaptable design, site-specific implementation</x:v>
      </x:c>
      <x:c r="H158" s="2" t="str">
        <x:v>Land use in human settlements is adaptable in capacity and configuration but site-specific in final engineering. Its principle remains the same, but resource quality, climate, scale, interfaces and safety constraints must be recalculated for each deployment.</x:v>
      </x:c>
      <x:c r="I158" s="2" t="str">
        <x:v>Primarily hard, with a soft component</x:v>
      </x:c>
      <x:c r="J158" s="2" t="str">
        <x:v>Land use in human settlements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58" s="2" t="str">
        <x:v>Equipment and operation</x:v>
      </x:c>
      <x:c r="L158" s="2" t="str">
        <x:v>Land use in human settlements is embodied mainly as an equipment-and-operation system. The deliverable is accepted only when measurable service, quality, safety and climate-performance criteria are met under real conditions.</x:v>
      </x:c>
      <x:c r="M158" s="2" t="str">
        <x:v>Yes, subject to life-cycle safeguards</x:v>
      </x:c>
      <x:c r="N158" s="2" t="str">
        <x:v>Land use in human settlements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58" s="2" t="str">
        <x:v>Land use in human settlements: resilient structural, drainage, transport, coastal or utility components; foundations, barriers, armour, geosynthetics, sensors and nature-based elements as applicable.</x:v>
      </x:c>
      <x:c r="P158" s="2" t="str">
        <x:v>Land use in human settlements: climate-load and hazard analysis, structural or hydraulic modelling, geotechnical design, spatial planning, asset criticality, inspection and adaptation pathways.</x:v>
      </x:c>
      <x:c r="Q158" s="2" t="str">
        <x:v>Land use in human settlements: building and infrastructure codes, zoning, permits, land acquisition or easements, maintenance responsibility, emergency access, environmental safeguards and community participation.</x:v>
      </x:c>
      <x:c r="R158" s="2" t="str">
        <x:v>Land use in human settlements: site access, foundations, drainage, utility relocation, monitoring, construction staging, sediment or material supply and long-term maintenance corridors.</x:v>
      </x:c>
      <x:c r="S158" s="2" t="str">
        <x:v>Land use in human settlements: construction fuel and electricity plus operational pumping, monitoring, lighting or active control; passive and ecosystem measures have lower operational demand.</x:v>
      </x:c>
      <x:c r="T158" s="2" t="str">
        <x:v>Land use in human settlements: concrete, steel, stone, asphalt, timber, geotextiles, soil or sand, corrosion protection, vegetation and locally compatible fill.</x:v>
      </x:c>
      <x:c r="U158" s="2" t="str">
        <x:v>Land use in human settlements: drainage and pump parts, expansion joints, fasteners, coatings, sensors, geotextile repair, replacement armour or fill and planting stock.</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https://www.ipcc.ch/report/ar6/wg2/chapter/chapter-6/; https://www.ipcc.ch/srocc/chapter/chapter-4-sea-level-rise-and-implications-for-low-lying-islands-coasts-and-communities/; https://www.unep.org/topics/climate-action/adaptation/ecosystem-based-adaptation</x:v>
      </x:c>
      <x:c r="Z158" s="2" t="str">
        <x:v>Technology-specific analytical synthesis. The CTCN hierarchy is retained; classifications and component dependencies require validation against the selected design, site and supplier documentation before investment or policy use.</x:v>
      </x:c>
      <x:c r="AA158" s="2" t="str">
        <x:v>Physical deployment of Land use in human settlements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58" s="2" t="str">
        <x:v>For Land use in human settlements,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58" s="2" t="str">
        <x:v>Construction and operation use concrete, steel, stone, asphalt, timber, geotextiles, soil or sand, corrosion protection, vegetation and locally compatible fill. For Land use in human settlements, specifications must include durability, compatibility, recycled content and recoverability.</x:v>
      </x:c>
      <x:c r="AD158" s="2" t="str">
        <x:v>Maintenance of Land use in human settlements depends on drainage and pump parts, expansion joints, fasteners, coatings, sensors, geotextile repair, replacement armour or fill and planting stock; critical spares are selected from failure-mode, lead-time and safety analysis for its installed configuration.</x:v>
      </x:c>
      <x:c r="AE158" s="2" t="str">
        <x:v>The software stack for Land use in human settlements requires databases, secure communications, version-controlled models, computing, backup and interfaces with field or operational systems.</x:v>
      </x:c>
      <x:c r="AF158" s="2" t="str">
        <x:v>For Land use in human settlements, software-related energy is electricity for sensing, computing, storage, communication and cooling; it is normally secondary but must be included for data-intensive or continuous services.</x:v>
      </x:c>
      <x:c r="AG158" s="2" t="str">
        <x:v>The non-physical inputs are calibrated data, metadata, algorithms, boundary conditions, emission or hazard factors, manuals and validation records specific to Land use in human settlements.</x:v>
      </x:c>
      <x:c r="AH158" s="2" t="str">
        <x:v>Software continuity for Land use in human settlements requires licences where applicable, updates, cybersecurity patches, backups, calibration files, model validation and technical support.</x:v>
      </x:c>
      <x:c r="AI158" s="2" t="str">
        <x:v>Orgware depends on the institutions, laboratories, training providers, regulators, operators and community interfaces needed to govern Land use in human settlements.</x:v>
      </x:c>
      <x:c r="AJ158" s="2" t="str">
        <x:v>The orgware supporting Land use in human settlements has mainly indirect energy use from offices, meetings, training and information systems; travel and field supervision may be material at dispersed sites.</x:v>
      </x:c>
      <x:c r="AK158" s="2" t="str">
        <x:v>Its organisational inputs are permits, budgets, trained staff, competence records, contracts, procedures, safeguards, monitoring evidence and stakeholder agreements tailored to Land use in human settlements.</x:v>
      </x:c>
      <x:c r="AL158" s="2" t="str">
        <x:v>Sustained implementation of Land use in human settlements requires procurement and service contracts, audit protocols, training material, reporting templates, insurance or guarantees and periodic independent review.</x:v>
      </x:c>
      <x:c r="AM158" s="2" t="str">
        <x:v>Iron ore / steel inputs</x:v>
      </x:c>
      <x:c r="AN158" s="2" t="str">
        <x:v>Australia; Brazil; China</x:v>
      </x:c>
      <x:c r="AO158" s="2" t="str">
        <x:v>China; India; Japan</x:v>
      </x:c>
      <x:c r="AP158" s="2" t="str">
        <x:v>Land use in human settlements: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8" s="2" t="str">
        <x:v>2024–2025</x:v>
      </x:c>
      <x:c r="AR158" s="2" t="str">
        <x:v>https://pubs.usgs.gov/periodicals/mcs2026/mcs2026.pdf</x:v>
      </x:c>
    </x:row>
    <x:row r="159" ht="240" customHeight="1">
      <x:c r="A159" s="2" t="str">
        <x:v>ADP-0152</x:v>
      </x:c>
      <x:c r="B159" s="2" t="str">
        <x:v>Adaptation</x:v>
      </x:c>
      <x:c r="C159" s="2" t="str">
        <x:v>Infrastructure and Urban planning</x:v>
      </x:c>
      <x:c r="D159" s="2" t="str">
        <x:v>Grid resiliency</x:v>
      </x:c>
      <x:c r="E159" s="2" t="str">
        <x:v>Grid resiliency</x:v>
      </x:c>
      <x:c r="F159" s="2" t="str">
        <x:v>Grid resiliency is a adaptation technology in the Infrastructure and Urban planning sector and the Grid resiliency technology group. It is defined as a combined hardware–software–orgware system that reduces exposure and physical vulnerability through resilient siting, design loads, protective structures, adaptable construction, ecosystem buffers and planned management of residual risk. Grid resiliency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59" s="2" t="str">
        <x:v>Mixed: adaptable design, site-specific implementation</x:v>
      </x:c>
      <x:c r="H159" s="2" t="str">
        <x:v>Grid resiliency is adaptable in capacity and configuration but site-specific in final engineering. Its principle remains the same, but resource quality, climate, scale, interfaces and safety constraints must be recalculated for each deployment.</x:v>
      </x:c>
      <x:c r="I159" s="2" t="str">
        <x:v>Primarily hard, with a soft component</x:v>
      </x:c>
      <x:c r="J159" s="2" t="str">
        <x:v>Grid resiliency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59" s="2" t="str">
        <x:v>Equipment and operation</x:v>
      </x:c>
      <x:c r="L159" s="2" t="str">
        <x:v>Grid resiliency is embodied mainly as an equipment-and-operation system. The deliverable is accepted only when measurable service, quality, safety and climate-performance criteria are met under real conditions.</x:v>
      </x:c>
      <x:c r="M159" s="2" t="str">
        <x:v>Yes, subject to life-cycle safeguards</x:v>
      </x:c>
      <x:c r="N159" s="2" t="str">
        <x:v>Grid resiliency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59" s="2" t="str">
        <x:v>Grid resiliency: resilient structural, drainage, transport, coastal or utility components; foundations, barriers, armour, geosynthetics, sensors and nature-based elements as applicable.</x:v>
      </x:c>
      <x:c r="P159" s="2" t="str">
        <x:v>Grid resiliency: climate-load and hazard analysis, structural or hydraulic modelling, geotechnical design, spatial planning, asset criticality, inspection and adaptation pathways.</x:v>
      </x:c>
      <x:c r="Q159" s="2" t="str">
        <x:v>Grid resiliency: building and infrastructure codes, zoning, permits, land acquisition or easements, maintenance responsibility, emergency access, environmental safeguards and community participation.</x:v>
      </x:c>
      <x:c r="R159" s="2" t="str">
        <x:v>Grid resiliency: site access, foundations, drainage, utility relocation, monitoring, construction staging, sediment or material supply and long-term maintenance corridors.</x:v>
      </x:c>
      <x:c r="S159" s="2" t="str">
        <x:v>Grid resiliency: construction fuel and electricity plus operational pumping, monitoring, lighting or active control; passive and ecosystem measures have lower operational demand.</x:v>
      </x:c>
      <x:c r="T159" s="2" t="str">
        <x:v>Grid resiliency: concrete, steel, stone, asphalt, timber, geotextiles, soil or sand, corrosion protection, vegetation and locally compatible fill.</x:v>
      </x:c>
      <x:c r="U159" s="2" t="str">
        <x:v>Grid resiliency: drainage and pump parts, expansion joints, fasteners, coatings, sensors, geotextile repair, replacement armour or fill and planting stock.</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https://www.ipcc.ch/report/ar6/wg2/chapter/chapter-6/; https://www.ipcc.ch/srocc/chapter/chapter-4-sea-level-rise-and-implications-for-low-lying-islands-coasts-and-communities/; https://www.unep.org/topics/climate-action/adaptation/ecosystem-based-adaptation</x:v>
      </x:c>
      <x:c r="Z159" s="2" t="str">
        <x:v>Technology-specific analytical synthesis. The CTCN hierarchy is retained; classifications and component dependencies require validation against the selected design, site and supplier documentation before investment or policy use.</x:v>
      </x:c>
      <x:c r="AA159" s="2" t="str">
        <x:v>Physical deployment of Grid resiliency requires site access, foundations, drainage, utility relocation, monitoring, construction staging, sediment or material supply and long-term maintenance corridors; interfaces, foundations, access and environmental protection are sized to the specific resource and design load.</x:v>
      </x:c>
      <x:c r="AB159" s="2" t="str">
        <x:v>For Grid resiliency,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59" s="2" t="str">
        <x:v>Construction and operation use concrete, steel, stone, asphalt, timber, geotextiles, soil or sand, corrosion protection, vegetation and locally compatible fill. For Grid resiliency, specifications must include durability, compatibility, recycled content and recoverability.</x:v>
      </x:c>
      <x:c r="AD159" s="2" t="str">
        <x:v>Maintenance of Grid resiliency depends on drainage and pump parts, expansion joints, fasteners, coatings, sensors, geotextile repair, replacement armour or fill and planting stock; critical spares are selected from failure-mode, lead-time and safety analysis for its installed configuration.</x:v>
      </x:c>
      <x:c r="AE159" s="2" t="str">
        <x:v>The software stack for Grid resiliency requires databases, secure communications, version-controlled models, computing, backup and interfaces with field or operational systems.</x:v>
      </x:c>
      <x:c r="AF159" s="2" t="str">
        <x:v>For Grid resiliency, software-related energy is electricity for sensing, computing, storage, communication and cooling; it is normally secondary but must be included for data-intensive or continuous services.</x:v>
      </x:c>
      <x:c r="AG159" s="2" t="str">
        <x:v>The non-physical inputs are calibrated data, metadata, algorithms, boundary conditions, emission or hazard factors, manuals and validation records specific to Grid resiliency.</x:v>
      </x:c>
      <x:c r="AH159" s="2" t="str">
        <x:v>Software continuity for Grid resiliency requires licences where applicable, updates, cybersecurity patches, backups, calibration files, model validation and technical support.</x:v>
      </x:c>
      <x:c r="AI159" s="2" t="str">
        <x:v>Orgware depends on the institutions, laboratories, training providers, regulators, operators and community interfaces needed to govern Grid resiliency.</x:v>
      </x:c>
      <x:c r="AJ159" s="2" t="str">
        <x:v>The orgware supporting Grid resiliency has mainly indirect energy use from offices, meetings, training and information systems; travel and field supervision may be material at dispersed sites.</x:v>
      </x:c>
      <x:c r="AK159" s="2" t="str">
        <x:v>Its organisational inputs are permits, budgets, trained staff, competence records, contracts, procedures, safeguards, monitoring evidence and stakeholder agreements tailored to Grid resiliency.</x:v>
      </x:c>
      <x:c r="AL159" s="2" t="str">
        <x:v>Sustained implementation of Grid resiliency requires procurement and service contracts, audit protocols, training material, reporting templates, insurance or guarantees and periodic independent review.</x:v>
      </x:c>
      <x:c r="AM159" s="2" t="str">
        <x:v>Iron ore / steel inputs; Copper; Tin</x:v>
      </x:c>
      <x:c r="AN159" s="2" t="str">
        <x:v>Australia; Brazil; China; Chile; Democratic Republic of the Congo; Peru; Indonesia; Myanmar</x:v>
      </x:c>
      <x:c r="AO159" s="2" t="str">
        <x:v>China; India; Japan; Chile; Democratic Republic of the Congo; Indonesia; Malaysia</x:v>
      </x:c>
      <x:c r="AP159" s="2" t="str">
        <x:v>Grid resiliency: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59" s="2" t="str">
        <x:v>2024–2025</x:v>
      </x:c>
      <x:c r="AR159" s="2" t="str">
        <x:v>https://pubs.usgs.gov/periodicals/mcs2026/mcs2026.pdf</x:v>
      </x:c>
    </x:row>
    <x:row r="160" ht="240" customHeight="1">
      <x:c r="A160" s="2" t="str">
        <x:v>ADP-0153</x:v>
      </x:c>
      <x:c r="B160" s="2" t="str">
        <x:v>Adaptation</x:v>
      </x:c>
      <x:c r="C160" s="2" t="str">
        <x:v>Infrastructure and Urban planning</x:v>
      </x:c>
      <x:c r="D160" s="2" t="str">
        <x:v>Building design and material</x:v>
      </x:c>
      <x:c r="E160" s="2" t="str">
        <x:v>Elevated buildings</x:v>
      </x:c>
      <x:c r="F160" s="2" t="str">
        <x:v>Elevated buildings is a adaptation technology in the Infrastructure and Urban planning sector and the Building design and material technology group. It is defined as a combined hardware–software–orgware system that reduces thermal, electrical or water demand through passive design, efficient equipment, controls and low-impact materials. Elevated buildings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160" s="2" t="str">
        <x:v>Mixed: adaptable design, site-specific implementation</x:v>
      </x:c>
      <x:c r="H160" s="2" t="str">
        <x:v>Elevated buildings is adaptable in capacity and configuration but site-specific in final engineering. Its principle remains the same, but resource quality, climate, scale, interfaces and safety constraints must be recalculated for each deployment.</x:v>
      </x:c>
      <x:c r="I160" s="2" t="str">
        <x:v>Primarily hard, with a soft component</x:v>
      </x:c>
      <x:c r="J160" s="2" t="str">
        <x:v>Elevated buildings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160" s="2" t="str">
        <x:v>Equipment and operation</x:v>
      </x:c>
      <x:c r="L160" s="2" t="str">
        <x:v>Elevated buildings is embodied mainly as an equipment-and-operation system. The deliverable is accepted only when measurable service, quality, safety and climate-performance criteria are met under real conditions.</x:v>
      </x:c>
      <x:c r="M160" s="2" t="str">
        <x:v>Yes, subject to life-cycle safeguards</x:v>
      </x:c>
      <x:c r="N160" s="2" t="str">
        <x:v>Elevated buildings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160" s="2" t="str">
        <x:v>Elevated buildings: envelope assemblies, efficient equipment, sensors, actuators, meters and distribution systems.</x:v>
      </x:c>
      <x:c r="P160" s="2" t="str">
        <x:v>Elevated buildings: energy simulation, load calculation, control sequences, commissioning data and building management.</x:v>
      </x:c>
      <x:c r="Q160" s="2" t="str">
        <x:v>Elevated buildings: building codes, performance standards, procurement, commissioning, maintenance plans and occupant guidance.</x:v>
      </x:c>
      <x:c r="R160" s="2" t="str">
        <x:v>Elevated buildings: building fabric, plant rooms, electrical and water networks, access for maintenance and metering.</x:v>
      </x:c>
      <x:c r="S160" s="2" t="str">
        <x:v>Elevated buildings: electricity and thermal energy; peak demand, part-load efficiency and controls determine actual savings.</x:v>
      </x:c>
      <x:c r="T160" s="2" t="str">
        <x:v>Elevated buildings: insulation, glass, concrete, steel, timber, aluminium, copper, refrigerants and electronic components as applicable.</x:v>
      </x:c>
      <x:c r="U160" s="2" t="str">
        <x:v>Elevated buildings: filters, belts, seals, lamps or drivers, sensors, actuators, valves, control modules and envelope repair materials.</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https://www.ipcc.ch/report/ar6/wg2/chapter/chapter-6/; https://www.ipcc.ch/report/ar6/wg3/chapter/chapter-9/</x:v>
      </x:c>
      <x:c r="Z160" s="2" t="str">
        <x:v>Technology-specific analytical synthesis. The CTCN hierarchy is retained; classifications and component dependencies require validation against the selected design, site and supplier documentation before investment or policy use.</x:v>
      </x:c>
      <x:c r="AA160" s="2" t="str">
        <x:v>Physical deployment of Elevated buildings requires building fabric, plant rooms, electrical and water networks, access for maintenance and metering; interfaces, foundations, access and environmental protection are sized to the specific resource and design load.</x:v>
      </x:c>
      <x:c r="AB160" s="2" t="str">
        <x:v>For Elevated buildings, the hardware energy balance comprises electricity and thermal energy; peak demand, part-load efficiency and controls determine actual savings; metering must separate useful output, conversion losses and auxiliaries for the selected design.</x:v>
      </x:c>
      <x:c r="AC160" s="2" t="str">
        <x:v>Construction and operation use insulation, glass, concrete, steel, timber, aluminium, copper, refrigerants and electronic components as applicable. For Elevated buildings, specifications must include durability, compatibility, recycled content and recoverability.</x:v>
      </x:c>
      <x:c r="AD160" s="2" t="str">
        <x:v>Maintenance of Elevated buildings depends on filters, belts, seals, lamps or drivers, sensors, actuators, valves, control modules and envelope repair materials; critical spares are selected from failure-mode, lead-time and safety analysis for its installed configuration.</x:v>
      </x:c>
      <x:c r="AE160" s="2" t="str">
        <x:v>The software stack for Elevated buildings requires databases, secure communications, version-controlled models, computing, backup and interfaces with field or operational systems.</x:v>
      </x:c>
      <x:c r="AF160" s="2" t="str">
        <x:v>For Elevated buildings, software-related energy is electricity for sensing, computing, storage, communication and cooling; it is normally secondary but must be included for data-intensive or continuous services.</x:v>
      </x:c>
      <x:c r="AG160" s="2" t="str">
        <x:v>The non-physical inputs are calibrated data, metadata, algorithms, boundary conditions, emission or hazard factors, manuals and validation records specific to Elevated buildings.</x:v>
      </x:c>
      <x:c r="AH160" s="2" t="str">
        <x:v>Software continuity for Elevated buildings requires licences where applicable, updates, cybersecurity patches, backups, calibration files, model validation and technical support.</x:v>
      </x:c>
      <x:c r="AI160" s="2" t="str">
        <x:v>Orgware depends on the institutions, laboratories, training providers, regulators, operators and community interfaces needed to govern Elevated buildings.</x:v>
      </x:c>
      <x:c r="AJ160" s="2" t="str">
        <x:v>The orgware supporting Elevated buildings has mainly indirect energy use from offices, meetings, training and information systems; travel and field supervision may be material at dispersed sites.</x:v>
      </x:c>
      <x:c r="AK160" s="2" t="str">
        <x:v>Its organisational inputs are permits, budgets, trained staff, competence records, contracts, procedures, safeguards, monitoring evidence and stakeholder agreements tailored to Elevated buildings.</x:v>
      </x:c>
      <x:c r="AL160" s="2" t="str">
        <x:v>Sustained implementation of Elevated buildings requires procurement and service contracts, audit protocols, training material, reporting templates, insurance or guarantees and periodic independent review.</x:v>
      </x:c>
      <x:c r="AM160" s="2" t="str">
        <x:v>Iron ore / steel inputs; Limestone / cement raw materials</x:v>
      </x:c>
      <x:c r="AN160" s="2" t="str">
        <x:v>Australia; Brazil; China; India; Vietnam</x:v>
      </x:c>
      <x:c r="AO160" s="2" t="str">
        <x:v>China; India; Japan; Vietnam</x:v>
      </x:c>
      <x:c r="AP160" s="2" t="str">
        <x:v>Elevated buildings: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0" s="2" t="str">
        <x:v>2024–2025</x:v>
      </x:c>
      <x:c r="AR160" s="2" t="str">
        <x:v>https://pubs.usgs.gov/periodicals/mcs2026/mcs2026.pdf</x:v>
      </x:c>
    </x:row>
    <x:row r="161" ht="240" customHeight="1">
      <x:c r="A161" s="2" t="str">
        <x:v>ADP-0154</x:v>
      </x:c>
      <x:c r="B161" s="2" t="str">
        <x:v>Adaptation</x:v>
      </x:c>
      <x:c r="C161" s="2" t="str">
        <x:v>Infrastructure and Urban planning</x:v>
      </x:c>
      <x:c r="D161" s="2" t="str">
        <x:v>Urban design and spatial planning</x:v>
      </x:c>
      <x:c r="E161" s="2" t="str">
        <x:v>Urban design and spatial planning</x:v>
      </x:c>
      <x:c r="F161" s="2" t="str">
        <x:v>Urban design and spatial planning is a adaptation technology in the Infrastructure and Urban planning sector and the Urban design and spatial planning technology group. It is defined as a combined hardware–software–orgware system that reduces exposure and physical vulnerability through resilient siting, design loads, protective structures, adaptable construction, ecosystem buffers and planned management of residual risk. Urban design and spatial planning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61" s="2" t="str">
        <x:v>Flexible</x:v>
      </x:c>
      <x:c r="H161" s="2" t="str">
        <x:v>Urban design and spatial planning is transferable through configurable methods, rules and operating parameters. Its principle remains the same, but resource quality, climate, scale, interfaces and safety constraints must be recalculated for each deployment.</x:v>
      </x:c>
      <x:c r="I161" s="2" t="str">
        <x:v>Hard and soft</x:v>
      </x:c>
      <x:c r="J161" s="2" t="str">
        <x:v>Urban design and spatial planning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61" s="2" t="str">
        <x:v>Operation and information service</x:v>
      </x:c>
      <x:c r="L161" s="2" t="str">
        <x:v>Urban design and spatial planning is embodied mainly as an information and decision service. The deliverable is accepted only when measurable service, quality, safety and climate-performance criteria are met under real conditions.</x:v>
      </x:c>
      <x:c r="M161" s="2" t="str">
        <x:v>Yes, subject to life-cycle safeguards</x:v>
      </x:c>
      <x:c r="N161" s="2" t="str">
        <x:v>Urban design and spatial planning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61" s="2" t="str">
        <x:v>Urban design and spatial planning: resilient structural, drainage, transport, coastal or utility components; foundations, barriers, armour, geosynthetics, sensors and nature-based elements as applicable.</x:v>
      </x:c>
      <x:c r="P161" s="2" t="str">
        <x:v>Urban design and spatial planning: climate-load and hazard analysis, structural or hydraulic modelling, geotechnical design, spatial planning, asset criticality, inspection and adaptation pathways.</x:v>
      </x:c>
      <x:c r="Q161" s="2" t="str">
        <x:v>Urban design and spatial planning: building and infrastructure codes, zoning, permits, land acquisition or easements, maintenance responsibility, emergency access, environmental safeguards and community participation.</x:v>
      </x:c>
      <x:c r="R161" s="2" t="str">
        <x:v>Urban design and spatial planning: site access, foundations, drainage, utility relocation, monitoring, construction staging, sediment or material supply and long-term maintenance corridors.</x:v>
      </x:c>
      <x:c r="S161" s="2" t="str">
        <x:v>Urban design and spatial planning: construction fuel and electricity plus operational pumping, monitoring, lighting or active control; passive and ecosystem measures have lower operational demand.</x:v>
      </x:c>
      <x:c r="T161" s="2" t="str">
        <x:v>Urban design and spatial planning: concrete, steel, stone, asphalt, timber, geotextiles, soil or sand, corrosion protection, vegetation and locally compatible fill.</x:v>
      </x:c>
      <x:c r="U161" s="2" t="str">
        <x:v>Urban design and spatial planning: drainage and pump parts, expansion joints, fasteners, coatings, sensors, geotextile repair, replacement armour or fill and planting stock.</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https://www.ipcc.ch/report/ar6/wg2/chapter/chapter-6/; https://www.ipcc.ch/srocc/chapter/chapter-4-sea-level-rise-and-implications-for-low-lying-islands-coasts-and-communities/; https://www.unep.org/topics/climate-action/adaptation/ecosystem-based-adaptation</x:v>
      </x:c>
      <x:c r="Z161" s="2" t="str">
        <x:v>Technology-specific analytical synthesis. The CTCN hierarchy is retained; classifications and component dependencies require validation against the selected design, site and supplier documentation before investment or policy use.</x:v>
      </x:c>
      <x:c r="AA161" s="2" t="str">
        <x:v>Physical deployment of Urban design and spatial planning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161" s="2" t="str">
        <x:v>For Urban design and spatial planning,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61" s="2" t="str">
        <x:v>Construction and operation use concrete, steel, stone, asphalt, timber, geotextiles, soil or sand, corrosion protection, vegetation and locally compatible fill. For Urban design and spatial planning, specifications must include durability, compatibility, recycled content and recoverability.</x:v>
      </x:c>
      <x:c r="AD161" s="2" t="str">
        <x:v>Maintenance of Urban design and spatial planning depends on drainage and pump parts, expansion joints, fasteners, coatings, sensors, geotextile repair, replacement armour or fill and planting stock; critical spares are selected from failure-mode, lead-time and safety analysis for its installed configuration.</x:v>
      </x:c>
      <x:c r="AE161" s="2" t="str">
        <x:v>The software stack for Urban design and spatial planning requires databases, secure communications, version-controlled models, computing, backup and interfaces with field or operational systems.</x:v>
      </x:c>
      <x:c r="AF161" s="2" t="str">
        <x:v>For Urban design and spatial planning, software-related energy is electricity for sensing, computing, storage, communication and cooling; it is normally secondary but must be included for data-intensive or continuous services.</x:v>
      </x:c>
      <x:c r="AG161" s="2" t="str">
        <x:v>The non-physical inputs are calibrated data, metadata, algorithms, boundary conditions, emission or hazard factors, manuals and validation records specific to Urban design and spatial planning.</x:v>
      </x:c>
      <x:c r="AH161" s="2" t="str">
        <x:v>Software continuity for Urban design and spatial planning requires licences where applicable, updates, cybersecurity patches, backups, calibration files, model validation and technical support.</x:v>
      </x:c>
      <x:c r="AI161" s="2" t="str">
        <x:v>Orgware depends on the institutions, laboratories, training providers, regulators, operators and community interfaces needed to govern Urban design and spatial planning.</x:v>
      </x:c>
      <x:c r="AJ161" s="2" t="str">
        <x:v>The orgware supporting Urban design and spatial planning has mainly indirect energy use from offices, meetings, training and information systems; travel and field supervision may be material at dispersed sites.</x:v>
      </x:c>
      <x:c r="AK161" s="2" t="str">
        <x:v>Its organisational inputs are permits, budgets, trained staff, competence records, contracts, procedures, safeguards, monitoring evidence and stakeholder agreements tailored to Urban design and spatial planning.</x:v>
      </x:c>
      <x:c r="AL161" s="2" t="str">
        <x:v>Sustained implementation of Urban design and spatial planning requires procurement and service contracts, audit protocols, training material, reporting templates, insurance or guarantees and periodic independent review.</x:v>
      </x:c>
      <x:c r="AM161" s="2" t="str">
        <x:v>No critical or strategic raw material is identifiable at taxonomy level; site-specific bulk materials may still be required.</x:v>
      </x:c>
      <x:c r="AN161" s="2" t="str"/>
      <x:c r="AO161" s="2" t="str"/>
      <x:c r="AP161" s="2" t="str">
        <x:v>Urban design and spatial planning: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1" s="2" t="str">
        <x:v>2024–2025</x:v>
      </x:c>
      <x:c r="AR161" s="2" t="str">
        <x:v>https://pubs.usgs.gov/periodicals/mcs2026/mcs2026.pdf</x:v>
      </x:c>
    </x:row>
    <x:row r="162" ht="240" customHeight="1">
      <x:c r="A162" s="2" t="str">
        <x:v>ADP-0155</x:v>
      </x:c>
      <x:c r="B162" s="2" t="str">
        <x:v>Adaptation</x:v>
      </x:c>
      <x:c r="C162" s="2" t="str">
        <x:v>Infrastructure and Urban planning</x:v>
      </x:c>
      <x:c r="D162" s="2" t="str">
        <x:v>Building construction</x:v>
      </x:c>
      <x:c r="E162" s="2" t="str">
        <x:v>Building construction</x:v>
      </x:c>
      <x:c r="F162" s="2" t="str">
        <x:v>Building construction is a adaptation technology in the Infrastructure and Urban planning sector and the Building construction technology group. It is defined as a combined hardware–software–orgware system that reduces thermal, electrical or water demand through passive design, efficient equipment, controls and low-impact materials. Building construction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162" s="2" t="str">
        <x:v>Primarily fixed</x:v>
      </x:c>
      <x:c r="H162" s="2" t="str">
        <x:v>Building construction is tied to long-lived, site-specific assets and design loads. Its principle remains the same, but resource quality, climate, scale, interfaces and safety constraints must be recalculated for each deployment.</x:v>
      </x:c>
      <x:c r="I162" s="2" t="str">
        <x:v>Primarily hard, with a soft component</x:v>
      </x:c>
      <x:c r="J162" s="2" t="str">
        <x:v>Building construction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162" s="2" t="str">
        <x:v>Equipment and operation</x:v>
      </x:c>
      <x:c r="L162" s="2" t="str">
        <x:v>Building construction is embodied mainly as an equipment-and-operation system. The deliverable is accepted only when measurable service, quality, safety and climate-performance criteria are met under real conditions.</x:v>
      </x:c>
      <x:c r="M162" s="2" t="str">
        <x:v>Yes, subject to life-cycle safeguards</x:v>
      </x:c>
      <x:c r="N162" s="2" t="str">
        <x:v>Building construction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162" s="2" t="str">
        <x:v>Building construction: envelope assemblies, efficient equipment, sensors, actuators, meters and distribution systems.</x:v>
      </x:c>
      <x:c r="P162" s="2" t="str">
        <x:v>Building construction: energy simulation, load calculation, control sequences, commissioning data and building management.</x:v>
      </x:c>
      <x:c r="Q162" s="2" t="str">
        <x:v>Building construction: building codes, performance standards, procurement, commissioning, maintenance plans and occupant guidance.</x:v>
      </x:c>
      <x:c r="R162" s="2" t="str">
        <x:v>Building construction: building fabric, plant rooms, electrical and water networks, access for maintenance and metering.</x:v>
      </x:c>
      <x:c r="S162" s="2" t="str">
        <x:v>Building construction: electricity and thermal energy; peak demand, part-load efficiency and controls determine actual savings.</x:v>
      </x:c>
      <x:c r="T162" s="2" t="str">
        <x:v>Building construction: insulation, glass, concrete, steel, timber, aluminium, copper, refrigerants and electronic components as applicable.</x:v>
      </x:c>
      <x:c r="U162" s="2" t="str">
        <x:v>Building construction: filters, belts, seals, lamps or drivers, sensors, actuators, valves, control modules and envelope repair materials.</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https://www.ipcc.ch/report/ar6/wg2/chapter/chapter-6/; https://www.ipcc.ch/report/ar6/wg3/chapter/chapter-9/</x:v>
      </x:c>
      <x:c r="Z162" s="2" t="str">
        <x:v>Technology-specific analytical synthesis. The CTCN hierarchy is retained; classifications and component dependencies require validation against the selected design, site and supplier documentation before investment or policy use.</x:v>
      </x:c>
      <x:c r="AA162" s="2" t="str">
        <x:v>Physical deployment of Building construction requires building fabric, plant rooms, electrical and water networks, access for maintenance and metering; interfaces, foundations, access and environmental protection are sized to the specific resource and design load.</x:v>
      </x:c>
      <x:c r="AB162" s="2" t="str">
        <x:v>For Building construction, the hardware energy balance comprises electricity and thermal energy; peak demand, part-load efficiency and controls determine actual savings; metering must separate useful output, conversion losses and auxiliaries for the selected design.</x:v>
      </x:c>
      <x:c r="AC162" s="2" t="str">
        <x:v>Construction and operation use insulation, glass, concrete, steel, timber, aluminium, copper, refrigerants and electronic components as applicable. For Building construction, specifications must include durability, compatibility, recycled content and recoverability.</x:v>
      </x:c>
      <x:c r="AD162" s="2" t="str">
        <x:v>Maintenance of Building construction depends on filters, belts, seals, lamps or drivers, sensors, actuators, valves, control modules and envelope repair materials; critical spares are selected from failure-mode, lead-time and safety analysis for its installed configuration.</x:v>
      </x:c>
      <x:c r="AE162" s="2" t="str">
        <x:v>The software stack for Building construction requires databases, secure communications, version-controlled models, computing, backup and interfaces with field or operational systems.</x:v>
      </x:c>
      <x:c r="AF162" s="2" t="str">
        <x:v>For Building construction, software-related energy is electricity for sensing, computing, storage, communication and cooling; it is normally secondary but must be included for data-intensive or continuous services.</x:v>
      </x:c>
      <x:c r="AG162" s="2" t="str">
        <x:v>The non-physical inputs are calibrated data, metadata, algorithms, boundary conditions, emission or hazard factors, manuals and validation records specific to Building construction.</x:v>
      </x:c>
      <x:c r="AH162" s="2" t="str">
        <x:v>Software continuity for Building construction requires licences where applicable, updates, cybersecurity patches, backups, calibration files, model validation and technical support.</x:v>
      </x:c>
      <x:c r="AI162" s="2" t="str">
        <x:v>Orgware depends on the institutions, laboratories, training providers, regulators, operators and community interfaces needed to govern Building construction.</x:v>
      </x:c>
      <x:c r="AJ162" s="2" t="str">
        <x:v>The orgware supporting Building construction has mainly indirect energy use from offices, meetings, training and information systems; travel and field supervision may be material at dispersed sites.</x:v>
      </x:c>
      <x:c r="AK162" s="2" t="str">
        <x:v>Its organisational inputs are permits, budgets, trained staff, competence records, contracts, procedures, safeguards, monitoring evidence and stakeholder agreements tailored to Building construction.</x:v>
      </x:c>
      <x:c r="AL162" s="2" t="str">
        <x:v>Sustained implementation of Building construction requires procurement and service contracts, audit protocols, training material, reporting templates, insurance or guarantees and periodic independent review.</x:v>
      </x:c>
      <x:c r="AM162" s="2" t="str">
        <x:v>Iron ore / steel inputs; Limestone / cement raw materials</x:v>
      </x:c>
      <x:c r="AN162" s="2" t="str">
        <x:v>Australia; Brazil; China; India; Vietnam</x:v>
      </x:c>
      <x:c r="AO162" s="2" t="str">
        <x:v>China; India; Japan; Vietnam</x:v>
      </x:c>
      <x:c r="AP162" s="2" t="str">
        <x:v>Building construction: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2" s="2" t="str">
        <x:v>2024–2025</x:v>
      </x:c>
      <x:c r="AR162" s="2" t="str">
        <x:v>https://pubs.usgs.gov/periodicals/mcs2026/mcs2026.pdf</x:v>
      </x:c>
    </x:row>
    <x:row r="163" ht="240" customHeight="1">
      <x:c r="A163" s="2" t="str">
        <x:v>ADP-0156</x:v>
      </x:c>
      <x:c r="B163" s="2" t="str">
        <x:v>Adaptation</x:v>
      </x:c>
      <x:c r="C163" s="2" t="str">
        <x:v>Infrastructure and Urban planning</x:v>
      </x:c>
      <x:c r="D163" s="2" t="str">
        <x:v>Water supply infrastructure</x:v>
      </x:c>
      <x:c r="E163" s="2" t="str">
        <x:v>Water supply infrastructure</x:v>
      </x:c>
      <x:c r="F163" s="2" t="str">
        <x:v>Water supply infrastructure is a adaptation technology in the Infrastructure and Urban planning sector and the Water supply infrastructure technology group. It is defined as a combined hardware–software–orgware system that reduces exposure and physical vulnerability through resilient siting, design loads, protective structures, adaptable construction, ecosystem buffers and planned management of residual risk. Water supply infrastructure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63" s="2" t="str">
        <x:v>Primarily fixed</x:v>
      </x:c>
      <x:c r="H163" s="2" t="str">
        <x:v>Water supply infrastructure is tied to long-lived, site-specific assets and design loads. Its principle remains the same, but resource quality, climate, scale, interfaces and safety constraints must be recalculated for each deployment.</x:v>
      </x:c>
      <x:c r="I163" s="2" t="str">
        <x:v>Primarily hard, with a soft component</x:v>
      </x:c>
      <x:c r="J163" s="2" t="str">
        <x:v>Water supply infrastructure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63" s="2" t="str">
        <x:v>Equipment and operation</x:v>
      </x:c>
      <x:c r="L163" s="2" t="str">
        <x:v>Water supply infrastructure is embodied mainly as an equipment-and-operation system. The deliverable is accepted only when measurable service, quality, safety and climate-performance criteria are met under real conditions.</x:v>
      </x:c>
      <x:c r="M163" s="2" t="str">
        <x:v>Yes, subject to life-cycle safeguards</x:v>
      </x:c>
      <x:c r="N163" s="2" t="str">
        <x:v>Water supply infrastructure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63" s="2" t="str">
        <x:v>Water supply infrastructure: resilient structural, drainage, transport, coastal or utility components; foundations, barriers, armour, geosynthetics, sensors and nature-based elements as applicable.</x:v>
      </x:c>
      <x:c r="P163" s="2" t="str">
        <x:v>Water supply infrastructure: climate-load and hazard analysis, structural or hydraulic modelling, geotechnical design, spatial planning, asset criticality, inspection and adaptation pathways.</x:v>
      </x:c>
      <x:c r="Q163" s="2" t="str">
        <x:v>Water supply infrastructure: building and infrastructure codes, zoning, permits, land acquisition or easements, maintenance responsibility, emergency access, environmental safeguards and community participation.</x:v>
      </x:c>
      <x:c r="R163" s="2" t="str">
        <x:v>Water supply infrastructure: site access, foundations, drainage, utility relocation, monitoring, construction staging, sediment or material supply and long-term maintenance corridors.</x:v>
      </x:c>
      <x:c r="S163" s="2" t="str">
        <x:v>Water supply infrastructure: construction fuel and electricity plus operational pumping, monitoring, lighting or active control; passive and ecosystem measures have lower operational demand.</x:v>
      </x:c>
      <x:c r="T163" s="2" t="str">
        <x:v>Water supply infrastructure: concrete, steel, stone, asphalt, timber, geotextiles, soil or sand, corrosion protection, vegetation and locally compatible fill.</x:v>
      </x:c>
      <x:c r="U163" s="2" t="str">
        <x:v>Water supply infrastructure: drainage and pump parts, expansion joints, fasteners, coatings, sensors, geotextile repair, replacement armour or fill and planting stock.</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https://www.ipcc.ch/report/ar6/wg2/chapter/chapter-6/; https://www.ipcc.ch/srocc/chapter/chapter-4-sea-level-rise-and-implications-for-low-lying-islands-coasts-and-communities/; https://www.unep.org/topics/climate-action/adaptation/ecosystem-based-adaptation</x:v>
      </x:c>
      <x:c r="Z163" s="2" t="str">
        <x:v>Technology-specific analytical synthesis. The CTCN hierarchy is retained; classifications and component dependencies require validation against the selected design, site and supplier documentation before investment or policy use.</x:v>
      </x:c>
      <x:c r="AA163" s="2" t="str">
        <x:v>Physical deployment of Water supply infrastructure requires site access, foundations, drainage, utility relocation, monitoring, construction staging, sediment or material supply and long-term maintenance corridors; interfaces, foundations, access and environmental protection are sized to the specific resource and design load.</x:v>
      </x:c>
      <x:c r="AB163" s="2" t="str">
        <x:v>For Water supply infrastructure,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63" s="2" t="str">
        <x:v>Construction and operation use concrete, steel, stone, asphalt, timber, geotextiles, soil or sand, corrosion protection, vegetation and locally compatible fill. For Water supply infrastructure, specifications must include durability, compatibility, recycled content and recoverability.</x:v>
      </x:c>
      <x:c r="AD163" s="2" t="str">
        <x:v>Maintenance of Water supply infrastructure depends on drainage and pump parts, expansion joints, fasteners, coatings, sensors, geotextile repair, replacement armour or fill and planting stock; critical spares are selected from failure-mode, lead-time and safety analysis for its installed configuration.</x:v>
      </x:c>
      <x:c r="AE163" s="2" t="str">
        <x:v>The software stack for Water supply infrastructure requires databases, secure communications, version-controlled models, computing, backup and interfaces with field or operational systems.</x:v>
      </x:c>
      <x:c r="AF163" s="2" t="str">
        <x:v>For Water supply infrastructure, software-related energy is electricity for sensing, computing, storage, communication and cooling; it is normally secondary but must be included for data-intensive or continuous services.</x:v>
      </x:c>
      <x:c r="AG163" s="2" t="str">
        <x:v>The non-physical inputs are calibrated data, metadata, algorithms, boundary conditions, emission or hazard factors, manuals and validation records specific to Water supply infrastructure.</x:v>
      </x:c>
      <x:c r="AH163" s="2" t="str">
        <x:v>Software continuity for Water supply infrastructure requires licences where applicable, updates, cybersecurity patches, backups, calibration files, model validation and technical support.</x:v>
      </x:c>
      <x:c r="AI163" s="2" t="str">
        <x:v>Orgware depends on the institutions, laboratories, training providers, regulators, operators and community interfaces needed to govern Water supply infrastructure.</x:v>
      </x:c>
      <x:c r="AJ163" s="2" t="str">
        <x:v>The orgware supporting Water supply infrastructure has mainly indirect energy use from offices, meetings, training and information systems; travel and field supervision may be material at dispersed sites.</x:v>
      </x:c>
      <x:c r="AK163" s="2" t="str">
        <x:v>Its organisational inputs are permits, budgets, trained staff, competence records, contracts, procedures, safeguards, monitoring evidence and stakeholder agreements tailored to Water supply infrastructure.</x:v>
      </x:c>
      <x:c r="AL163" s="2" t="str">
        <x:v>Sustained implementation of Water supply infrastructure requires procurement and service contracts, audit protocols, training material, reporting templates, insurance or guarantees and periodic independent review.</x:v>
      </x:c>
      <x:c r="AM163" s="2" t="str">
        <x:v>Iron ore / steel inputs; Limestone / cement raw materials</x:v>
      </x:c>
      <x:c r="AN163" s="2" t="str">
        <x:v>Australia; Brazil; China; India; Vietnam</x:v>
      </x:c>
      <x:c r="AO163" s="2" t="str">
        <x:v>China; India; Japan; Vietnam</x:v>
      </x:c>
      <x:c r="AP163" s="2" t="str">
        <x:v>Water supply infrastructure: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3" s="2" t="str">
        <x:v>2024–2025</x:v>
      </x:c>
      <x:c r="AR163" s="2" t="str">
        <x:v>https://pubs.usgs.gov/periodicals/mcs2026/mcs2026.pdf</x:v>
      </x:c>
    </x:row>
    <x:row r="164" ht="240" customHeight="1">
      <x:c r="A164" s="2" t="str">
        <x:v>ADP-0157</x:v>
      </x:c>
      <x:c r="B164" s="2" t="str">
        <x:v>Adaptation</x:v>
      </x:c>
      <x:c r="C164" s="2" t="str">
        <x:v>Infrastructure and Urban planning</x:v>
      </x:c>
      <x:c r="D164" s="2" t="str">
        <x:v>Urban planning</x:v>
      </x:c>
      <x:c r="E164" s="2" t="str">
        <x:v>Urban infrastructure development</x:v>
      </x:c>
      <x:c r="F164" s="2" t="str">
        <x:v>Urban infrastructure development is a adaptation technology in the Infrastructure and Urban planning sector and the Urban planning technology group. It is defined as a combined hardware–software–orgware system that reduces exposure and physical vulnerability through resilient siting, design loads, protective structures, adaptable construction, ecosystem buffers and planned management of residual risk. Urban infrastructure development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64" s="2" t="str">
        <x:v>Flexible</x:v>
      </x:c>
      <x:c r="H164" s="2" t="str">
        <x:v>Urban infrastructure development is transferable through configurable methods, rules and operating parameters. Its principle remains the same, but resource quality, climate, scale, interfaces and safety constraints must be recalculated for each deployment.</x:v>
      </x:c>
      <x:c r="I164" s="2" t="str">
        <x:v>Hard and soft</x:v>
      </x:c>
      <x:c r="J164" s="2" t="str">
        <x:v>Urban infrastructure development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64" s="2" t="str">
        <x:v>Operation and information service</x:v>
      </x:c>
      <x:c r="L164" s="2" t="str">
        <x:v>Urban infrastructure development is embodied mainly as an information and decision service. The deliverable is accepted only when measurable service, quality, safety and climate-performance criteria are met under real conditions.</x:v>
      </x:c>
      <x:c r="M164" s="2" t="str">
        <x:v>Yes, subject to life-cycle safeguards</x:v>
      </x:c>
      <x:c r="N164" s="2" t="str">
        <x:v>Urban infrastructure development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64" s="2" t="str">
        <x:v>Urban infrastructure development: resilient structural, drainage, transport, coastal or utility components; foundations, barriers, armour, geosynthetics, sensors and nature-based elements as applicable.</x:v>
      </x:c>
      <x:c r="P164" s="2" t="str">
        <x:v>Urban infrastructure development: climate-load and hazard analysis, structural or hydraulic modelling, geotechnical design, spatial planning, asset criticality, inspection and adaptation pathways.</x:v>
      </x:c>
      <x:c r="Q164" s="2" t="str">
        <x:v>Urban infrastructure development: building and infrastructure codes, zoning, permits, land acquisition or easements, maintenance responsibility, emergency access, environmental safeguards and community participation.</x:v>
      </x:c>
      <x:c r="R164" s="2" t="str">
        <x:v>Urban infrastructure development: site access, foundations, drainage, utility relocation, monitoring, construction staging, sediment or material supply and long-term maintenance corridors.</x:v>
      </x:c>
      <x:c r="S164" s="2" t="str">
        <x:v>Urban infrastructure development: construction fuel and electricity plus operational pumping, monitoring, lighting or active control; passive and ecosystem measures have lower operational demand.</x:v>
      </x:c>
      <x:c r="T164" s="2" t="str">
        <x:v>Urban infrastructure development: concrete, steel, stone, asphalt, timber, geotextiles, soil or sand, corrosion protection, vegetation and locally compatible fill.</x:v>
      </x:c>
      <x:c r="U164" s="2" t="str">
        <x:v>Urban infrastructure development: drainage and pump parts, expansion joints, fasteners, coatings, sensors, geotextile repair, replacement armour or fill and planting stock.</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https://www.ipcc.ch/report/ar6/wg2/chapter/chapter-6/; https://www.ipcc.ch/srocc/chapter/chapter-4-sea-level-rise-and-implications-for-low-lying-islands-coasts-and-communities/; https://www.unep.org/topics/climate-action/adaptation/ecosystem-based-adaptation</x:v>
      </x:c>
      <x:c r="Z164" s="2" t="str">
        <x:v>Technology-specific analytical synthesis. The CTCN hierarchy is retained; classifications and component dependencies require validation against the selected design, site and supplier documentation before investment or policy use.</x:v>
      </x:c>
      <x:c r="AA164" s="2" t="str">
        <x:v>Physical deployment of Urban infrastructure development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164" s="2" t="str">
        <x:v>For Urban infrastructure development,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64" s="2" t="str">
        <x:v>Construction and operation use concrete, steel, stone, asphalt, timber, geotextiles, soil or sand, corrosion protection, vegetation and locally compatible fill. For Urban infrastructure development, specifications must include durability, compatibility, recycled content and recoverability.</x:v>
      </x:c>
      <x:c r="AD164" s="2" t="str">
        <x:v>Maintenance of Urban infrastructure development depends on drainage and pump parts, expansion joints, fasteners, coatings, sensors, geotextile repair, replacement armour or fill and planting stock; critical spares are selected from failure-mode, lead-time and safety analysis for its installed configuration.</x:v>
      </x:c>
      <x:c r="AE164" s="2" t="str">
        <x:v>The software stack for Urban infrastructure development requires databases, secure communications, version-controlled models, computing, backup and interfaces with field or operational systems.</x:v>
      </x:c>
      <x:c r="AF164" s="2" t="str">
        <x:v>For Urban infrastructure development, software-related energy is electricity for sensing, computing, storage, communication and cooling; it is normally secondary but must be included for data-intensive or continuous services.</x:v>
      </x:c>
      <x:c r="AG164" s="2" t="str">
        <x:v>The non-physical inputs are calibrated data, metadata, algorithms, boundary conditions, emission or hazard factors, manuals and validation records specific to Urban infrastructure development.</x:v>
      </x:c>
      <x:c r="AH164" s="2" t="str">
        <x:v>Software continuity for Urban infrastructure development requires licences where applicable, updates, cybersecurity patches, backups, calibration files, model validation and technical support.</x:v>
      </x:c>
      <x:c r="AI164" s="2" t="str">
        <x:v>Orgware depends on the institutions, laboratories, training providers, regulators, operators and community interfaces needed to govern Urban infrastructure development.</x:v>
      </x:c>
      <x:c r="AJ164" s="2" t="str">
        <x:v>The orgware supporting Urban infrastructure development has mainly indirect energy use from offices, meetings, training and information systems; travel and field supervision may be material at dispersed sites.</x:v>
      </x:c>
      <x:c r="AK164" s="2" t="str">
        <x:v>Its organisational inputs are permits, budgets, trained staff, competence records, contracts, procedures, safeguards, monitoring evidence and stakeholder agreements tailored to Urban infrastructure development.</x:v>
      </x:c>
      <x:c r="AL164" s="2" t="str">
        <x:v>Sustained implementation of Urban infrastructure development requires procurement and service contracts, audit protocols, training material, reporting templates, insurance or guarantees and periodic independent review.</x:v>
      </x:c>
      <x:c r="AM164" s="2" t="str">
        <x:v>Limestone / cement raw materials</x:v>
      </x:c>
      <x:c r="AN164" s="2" t="str">
        <x:v>China; India; Vietnam</x:v>
      </x:c>
      <x:c r="AO164" s="2" t="str">
        <x:v>China; India; Vietnam</x:v>
      </x:c>
      <x:c r="AP164" s="2" t="str">
        <x:v>Urban infrastructure development: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4" s="2" t="str">
        <x:v>2024–2025</x:v>
      </x:c>
      <x:c r="AR164" s="2" t="str">
        <x:v>https://pubs.usgs.gov/periodicals/mcs2026/mcs2026.pdf</x:v>
      </x:c>
    </x:row>
    <x:row r="165" ht="240" customHeight="1">
      <x:c r="A165" s="2" t="str">
        <x:v>ADP-0158</x:v>
      </x:c>
      <x:c r="B165" s="2" t="str">
        <x:v>Adaptation</x:v>
      </x:c>
      <x:c r="C165" s="2" t="str">
        <x:v>Infrastructure and Urban planning</x:v>
      </x:c>
      <x:c r="D165" s="2" t="str">
        <x:v>Urban planning</x:v>
      </x:c>
      <x:c r="E165" s="2" t="str">
        <x:v>General planning solutions</x:v>
      </x:c>
      <x:c r="F165" s="2" t="str">
        <x:v>General planning solutions is a adaptation technology in the Infrastructure and Urban planning sector and the Urban planning technology group. It is defined as a combined hardware–software–orgware system that reduces exposure and physical vulnerability through resilient siting, design loads, protective structures, adaptable construction, ecosystem buffers and planned management of residual risk. General planning solutions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65" s="2" t="str">
        <x:v>Flexible</x:v>
      </x:c>
      <x:c r="H165" s="2" t="str">
        <x:v>General planning solutions is transferable through configurable methods, rules and operating parameters. Its principle remains the same, but resource quality, climate, scale, interfaces and safety constraints must be recalculated for each deployment.</x:v>
      </x:c>
      <x:c r="I165" s="2" t="str">
        <x:v>Hard and soft</x:v>
      </x:c>
      <x:c r="J165" s="2" t="str">
        <x:v>General planning solutions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65" s="2" t="str">
        <x:v>Operation and information service</x:v>
      </x:c>
      <x:c r="L165" s="2" t="str">
        <x:v>General planning solutions is embodied mainly as an information and decision service. The deliverable is accepted only when measurable service, quality, safety and climate-performance criteria are met under real conditions.</x:v>
      </x:c>
      <x:c r="M165" s="2" t="str">
        <x:v>Yes, subject to life-cycle safeguards</x:v>
      </x:c>
      <x:c r="N165" s="2" t="str">
        <x:v>General planning solutions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65" s="2" t="str">
        <x:v>General planning solutions: resilient structural, drainage, transport, coastal or utility components; foundations, barriers, armour, geosynthetics, sensors and nature-based elements as applicable.</x:v>
      </x:c>
      <x:c r="P165" s="2" t="str">
        <x:v>General planning solutions: climate-load and hazard analysis, structural or hydraulic modelling, geotechnical design, spatial planning, asset criticality, inspection and adaptation pathways.</x:v>
      </x:c>
      <x:c r="Q165" s="2" t="str">
        <x:v>General planning solutions: building and infrastructure codes, zoning, permits, land acquisition or easements, maintenance responsibility, emergency access, environmental safeguards and community participation.</x:v>
      </x:c>
      <x:c r="R165" s="2" t="str">
        <x:v>General planning solutions: site access, foundations, drainage, utility relocation, monitoring, construction staging, sediment or material supply and long-term maintenance corridors.</x:v>
      </x:c>
      <x:c r="S165" s="2" t="str">
        <x:v>General planning solutions: construction fuel and electricity plus operational pumping, monitoring, lighting or active control; passive and ecosystem measures have lower operational demand.</x:v>
      </x:c>
      <x:c r="T165" s="2" t="str">
        <x:v>General planning solutions: concrete, steel, stone, asphalt, timber, geotextiles, soil or sand, corrosion protection, vegetation and locally compatible fill.</x:v>
      </x:c>
      <x:c r="U165" s="2" t="str">
        <x:v>General planning solutions: drainage and pump parts, expansion joints, fasteners, coatings, sensors, geotextile repair, replacement armour or fill and planting stock.</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https://www.ipcc.ch/report/ar6/wg2/chapter/chapter-6/; https://www.ipcc.ch/srocc/chapter/chapter-4-sea-level-rise-and-implications-for-low-lying-islands-coasts-and-communities/; https://www.unep.org/topics/climate-action/adaptation/ecosystem-based-adaptation</x:v>
      </x:c>
      <x:c r="Z165" s="2" t="str">
        <x:v>Technology-specific analytical synthesis. The CTCN hierarchy is retained; classifications and component dependencies require validation against the selected design, site and supplier documentation before investment or policy use.</x:v>
      </x:c>
      <x:c r="AA165" s="2" t="str">
        <x:v>Physical deployment of General planning solutions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65" s="2" t="str">
        <x:v>For General planning solutions,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65" s="2" t="str">
        <x:v>Construction and operation use concrete, steel, stone, asphalt, timber, geotextiles, soil or sand, corrosion protection, vegetation and locally compatible fill. For General planning solutions, specifications must include durability, compatibility, recycled content and recoverability.</x:v>
      </x:c>
      <x:c r="AD165" s="2" t="str">
        <x:v>Maintenance of General planning solutions depends on drainage and pump parts, expansion joints, fasteners, coatings, sensors, geotextile repair, replacement armour or fill and planting stock; critical spares are selected from failure-mode, lead-time and safety analysis for its installed configuration.</x:v>
      </x:c>
      <x:c r="AE165" s="2" t="str">
        <x:v>The software stack for General planning solutions requires databases, secure communications, version-controlled models, computing, backup and interfaces with field or operational systems.</x:v>
      </x:c>
      <x:c r="AF165" s="2" t="str">
        <x:v>For General planning solutions, software-related energy is electricity for sensing, computing, storage, communication and cooling; it is normally secondary but must be included for data-intensive or continuous services.</x:v>
      </x:c>
      <x:c r="AG165" s="2" t="str">
        <x:v>The non-physical inputs are calibrated data, metadata, algorithms, boundary conditions, emission or hazard factors, manuals and validation records specific to General planning solutions.</x:v>
      </x:c>
      <x:c r="AH165" s="2" t="str">
        <x:v>Software continuity for General planning solutions requires licences where applicable, updates, cybersecurity patches, backups, calibration files, model validation and technical support.</x:v>
      </x:c>
      <x:c r="AI165" s="2" t="str">
        <x:v>Orgware depends on the institutions, laboratories, training providers, regulators, operators and community interfaces needed to govern General planning solutions.</x:v>
      </x:c>
      <x:c r="AJ165" s="2" t="str">
        <x:v>The orgware supporting General planning solutions has mainly indirect energy use from offices, meetings, training and information systems; travel and field supervision may be material at dispersed sites.</x:v>
      </x:c>
      <x:c r="AK165" s="2" t="str">
        <x:v>Its organisational inputs are permits, budgets, trained staff, competence records, contracts, procedures, safeguards, monitoring evidence and stakeholder agreements tailored to General planning solutions.</x:v>
      </x:c>
      <x:c r="AL165" s="2" t="str">
        <x:v>Sustained implementation of General planning solutions requires procurement and service contracts, audit protocols, training material, reporting templates, insurance or guarantees and periodic independent review.</x:v>
      </x:c>
      <x:c r="AM165" s="2" t="str">
        <x:v>No critical or strategic raw material is identifiable at taxonomy level; site-specific bulk materials may still be required.</x:v>
      </x:c>
      <x:c r="AN165" s="2" t="str"/>
      <x:c r="AO165" s="2" t="str"/>
      <x:c r="AP165" s="2" t="str">
        <x:v>General planning solutions: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5" s="2" t="str">
        <x:v>2024–2025</x:v>
      </x:c>
      <x:c r="AR165" s="2" t="str">
        <x:v>https://pubs.usgs.gov/periodicals/mcs2026/mcs2026.pdf</x:v>
      </x:c>
    </x:row>
    <x:row r="166" ht="240" customHeight="1">
      <x:c r="A166" s="2" t="str">
        <x:v>ADP-0159</x:v>
      </x:c>
      <x:c r="B166" s="2" t="str">
        <x:v>Adaptation</x:v>
      </x:c>
      <x:c r="C166" s="2" t="str">
        <x:v>Infrastructure and Urban planning</x:v>
      </x:c>
      <x:c r="D166" s="2" t="str">
        <x:v>Building codes</x:v>
      </x:c>
      <x:c r="E166" s="2" t="str">
        <x:v>Building codes</x:v>
      </x:c>
      <x:c r="F166" s="2" t="str">
        <x:v>Building codes is a adaptation technology in the Infrastructure and Urban planning sector and the Building codes technology group. It is defined as a combined hardware–software–orgware system that reduces thermal, electrical or water demand through passive design, efficient equipment, controls and low-impact materials. Building codes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Embodied carbon, construction waste, operational energy, refrigerant leakage, durability, adaptability and end-of-life recovery must be assessed together. Documented applications range from passive-house envelopes and deep retrofits to automated building-energy management; performance is verified through commissioning and metering.</x:v>
      </x:c>
      <x:c r="G166" s="2" t="str">
        <x:v>Flexible</x:v>
      </x:c>
      <x:c r="H166" s="2" t="str">
        <x:v>Building codes is transferable through configurable methods, rules and operating parameters. Its principle remains the same, but resource quality, climate, scale, interfaces and safety constraints must be recalculated for each deployment.</x:v>
      </x:c>
      <x:c r="I166" s="2" t="str">
        <x:v>Primarily soft, with physical support</x:v>
      </x:c>
      <x:c r="J166" s="2" t="str">
        <x:v>Building codes combines envelope assemblies, efficient equipment, sensors, actuators, meters and distribution systems with the codified knowledge in energy simulation, load calculation, control sequences, commissioning data and building management. Its performance cannot be assigned to artefacts alone: operation, competence, data quality and institutional arrangements are causal parts of the technology.</x:v>
      </x:c>
      <x:c r="K166" s="2" t="str">
        <x:v>Operation</x:v>
      </x:c>
      <x:c r="L166" s="2" t="str">
        <x:v>Building codes is embodied mainly as an operating practice. The deliverable is accepted only when measurable service, quality, safety and climate-performance criteria are met under real conditions.</x:v>
      </x:c>
      <x:c r="M166" s="2" t="str">
        <x:v>Yes, subject to life-cycle safeguards</x:v>
      </x:c>
      <x:c r="N166" s="2" t="str">
        <x:v>Building codes is classified as climate-beneficial subject to safeguards. Embodied carbon, construction waste, operational energy, refrigerant leakage, durability, adaptability and end-of-life recovery must be assessed together. Avoided emissions or reduced vulnerability must be demonstrated against a defined baseline, without shifting material, pollution or social burdens outside the system boundary.</x:v>
      </x:c>
      <x:c r="O166" s="2" t="str">
        <x:v>Building codes: envelope assemblies, efficient equipment, sensors, actuators, meters and distribution systems.</x:v>
      </x:c>
      <x:c r="P166" s="2" t="str">
        <x:v>Building codes: energy simulation, load calculation, control sequences, commissioning data and building management.</x:v>
      </x:c>
      <x:c r="Q166" s="2" t="str">
        <x:v>Building codes: building codes, performance standards, procurement, commissioning, maintenance plans and occupant guidance.</x:v>
      </x:c>
      <x:c r="R166" s="2" t="str">
        <x:v>Building codes: building fabric, plant rooms, electrical and water networks, access for maintenance and metering.</x:v>
      </x:c>
      <x:c r="S166" s="2" t="str">
        <x:v>Building codes: electricity and thermal energy; peak demand, part-load efficiency and controls determine actual savings.</x:v>
      </x:c>
      <x:c r="T166" s="2" t="str">
        <x:v>Building codes: insulation, glass, concrete, steel, timber, aluminium, copper, refrigerants and electronic components as applicable.</x:v>
      </x:c>
      <x:c r="U166" s="2" t="str">
        <x:v>Building codes: filters, belts, seals, lamps or drivers, sensors, actuators, valves, control modules and envelope repair materials.</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https://www.ipcc.ch/report/ar6/wg2/chapter/chapter-6/; https://www.ipcc.ch/report/ar6/wg3/chapter/chapter-9/</x:v>
      </x:c>
      <x:c r="Z166" s="2" t="str">
        <x:v>Technology-specific analytical synthesis. The CTCN hierarchy is retained; classifications and component dependencies require validation against the selected design, site and supplier documentation before investment or policy use.</x:v>
      </x:c>
      <x:c r="AA166" s="2" t="str">
        <x:v>Physical deployment of Building codes requires building fabric, plant rooms, electrical and water networks, access for maintenance and metering; interfaces, foundations, access and environmental protection are sized to the specific resource and design load.</x:v>
      </x:c>
      <x:c r="AB166" s="2" t="str">
        <x:v>For Building codes, the hardware energy balance comprises electricity and thermal energy; peak demand, part-load efficiency and controls determine actual savings; metering must separate useful output, conversion losses and auxiliaries for the selected design.</x:v>
      </x:c>
      <x:c r="AC166" s="2" t="str">
        <x:v>Construction and operation use insulation, glass, concrete, steel, timber, aluminium, copper, refrigerants and electronic components as applicable. For Building codes, specifications must include durability, compatibility, recycled content and recoverability.</x:v>
      </x:c>
      <x:c r="AD166" s="2" t="str">
        <x:v>Maintenance of Building codes depends on filters, belts, seals, lamps or drivers, sensors, actuators, valves, control modules and envelope repair materials; critical spares are selected from failure-mode, lead-time and safety analysis for its installed configuration.</x:v>
      </x:c>
      <x:c r="AE166" s="2" t="str">
        <x:v>The software stack for Building codes requires databases, secure communications, version-controlled models, computing, backup and interfaces with field or operational systems.</x:v>
      </x:c>
      <x:c r="AF166" s="2" t="str">
        <x:v>For Building codes, software-related energy is electricity for sensing, computing, storage, communication and cooling; it is normally secondary but must be included for data-intensive or continuous services.</x:v>
      </x:c>
      <x:c r="AG166" s="2" t="str">
        <x:v>The non-physical inputs are calibrated data, metadata, algorithms, boundary conditions, emission or hazard factors, manuals and validation records specific to Building codes.</x:v>
      </x:c>
      <x:c r="AH166" s="2" t="str">
        <x:v>Software continuity for Building codes requires licences where applicable, updates, cybersecurity patches, backups, calibration files, model validation and technical support.</x:v>
      </x:c>
      <x:c r="AI166" s="2" t="str">
        <x:v>Orgware depends on the institutions, laboratories, training providers, regulators, operators and community interfaces needed to govern Building codes.</x:v>
      </x:c>
      <x:c r="AJ166" s="2" t="str">
        <x:v>The orgware supporting Building codes has mainly indirect energy use from offices, meetings, training and information systems; travel and field supervision may be material at dispersed sites.</x:v>
      </x:c>
      <x:c r="AK166" s="2" t="str">
        <x:v>Its organisational inputs are permits, budgets, trained staff, competence records, contracts, procedures, safeguards, monitoring evidence and stakeholder agreements tailored to Building codes.</x:v>
      </x:c>
      <x:c r="AL166" s="2" t="str">
        <x:v>Sustained implementation of Building codes requires procurement and service contracts, audit protocols, training material, reporting templates, insurance or guarantees and periodic independent review.</x:v>
      </x:c>
      <x:c r="AM166" s="2" t="str">
        <x:v>Iron ore / steel inputs; Limestone / cement raw materials</x:v>
      </x:c>
      <x:c r="AN166" s="2" t="str">
        <x:v>Australia; Brazil; China; India; Vietnam</x:v>
      </x:c>
      <x:c r="AO166" s="2" t="str">
        <x:v>China; India; Japan; Vietnam</x:v>
      </x:c>
      <x:c r="AP166" s="2" t="str">
        <x:v>Building codes: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6" s="2" t="str">
        <x:v>2024–2025</x:v>
      </x:c>
      <x:c r="AR166" s="2" t="str">
        <x:v>https://pubs.usgs.gov/periodicals/mcs2026/mcs2026.pdf</x:v>
      </x:c>
    </x:row>
    <x:row r="167" ht="240" customHeight="1">
      <x:c r="A167" s="2" t="str">
        <x:v>ADP-0160</x:v>
      </x:c>
      <x:c r="B167" s="2" t="str">
        <x:v>Adaptation</x:v>
      </x:c>
      <x:c r="C167" s="2" t="str">
        <x:v>Infrastructure and Urban planning</x:v>
      </x:c>
      <x:c r="D167" s="2" t="str">
        <x:v>Resilient transport systems</x:v>
      </x:c>
      <x:c r="E167" s="2" t="str">
        <x:v>Resilient railway systems</x:v>
      </x:c>
      <x:c r="F167" s="2" t="str">
        <x:v>Resilient railway systems is a adaptation technology in the Infrastructure and Urban planning sector and the Resilient transport systems technology group. It is defined as a combined hardware–software–orgware system that changes vehicle kilometres, modal share, occupancy, speed profiles, routing or logistics so that the same mobility service is delivered with less final energy and fewer tailpipe emissions. Resilient railway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67" s="2" t="str">
        <x:v>Primarily fixed</x:v>
      </x:c>
      <x:c r="H167" s="2" t="str">
        <x:v>Resilient railway systems is tied to long-lived, site-specific assets and design loads. Its principle remains the same, but resource quality, climate, scale, interfaces and safety constraints must be recalculated for each deployment.</x:v>
      </x:c>
      <x:c r="I167" s="2" t="str">
        <x:v>Primarily hard, with a soft component</x:v>
      </x:c>
      <x:c r="J167" s="2" t="str">
        <x:v>Resilient railway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67" s="2" t="str">
        <x:v>Equipment and operation</x:v>
      </x:c>
      <x:c r="L167" s="2" t="str">
        <x:v>Resilient railway systems is embodied mainly as an equipment-and-operation system. The deliverable is accepted only when measurable service, quality, safety and climate-performance criteria are met under real conditions.</x:v>
      </x:c>
      <x:c r="M167" s="2" t="str">
        <x:v>Yes, subject to life-cycle safeguards</x:v>
      </x:c>
      <x:c r="N167" s="2" t="str">
        <x:v>Resilient railway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67" s="2" t="str">
        <x:v>Resilient railway systems: corridor and station infrastructure, signalling, ticketing, communications, fleet equipment, traffic sensors and user interfaces as applicable.</x:v>
      </x:c>
      <x:c r="P167" s="2" t="str">
        <x:v>Resilient railway systems: network and timetable design, demand models, traffic control, fleet dispatch, logistics optimisation, safety analysis and service-performance analytics.</x:v>
      </x:c>
      <x:c r="Q167" s="2" t="str">
        <x:v>Resilient railway systems: transport authority mandates, operating contracts, tariffs, enforcement, street-space allocation, accessibility rules and coordination with land-use planning.</x:v>
      </x:c>
      <x:c r="R167" s="2" t="str">
        <x:v>Resilient railway systems: rights-of-way, stops or terminals, depots, interchanges, control centres, communications and safe pedestrian or cycling access.</x:v>
      </x:c>
      <x:c r="S167" s="2" t="str">
        <x:v>Resilient railway systems: electricity for control and stations plus the energy used by the affected vehicle fleet; the net result is governed by modal shift and occupancy.</x:v>
      </x:c>
      <x:c r="T167" s="2" t="str">
        <x:v>Resilient railway systems: concrete, steel, asphalt, copper, signalling electronics, pavement materials and vehicle-related materials where new infrastructure is built.</x:v>
      </x:c>
      <x:c r="U167" s="2" t="str">
        <x:v>Resilient railway systems: signal modules, communications equipment, validators, sensors, pavement components, station equipment and fleet consumables.</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https://www.ipcc.ch/report/ar6/wg2/chapter/chapter-6/; https://www.ipcc.ch/report/ar6/wg3/chapter/chapter-10/; https://ppp.worldbank.org/print/pdf/node/7300</x:v>
      </x:c>
      <x:c r="Z167" s="2" t="str">
        <x:v>Technology-specific analytical synthesis. The CTCN hierarchy is retained; classifications and component dependencies require validation against the selected design, site and supplier documentation before investment or policy use.</x:v>
      </x:c>
      <x:c r="AA167" s="2" t="str">
        <x:v>Physical deployment of Resilient railway systems requires rights-of-way, stops or terminals, depots, interchanges, control centres, communications and safe pedestrian or cycling access; interfaces, foundations, access and environmental protection are sized to the specific resource and design load.</x:v>
      </x:c>
      <x:c r="AB167" s="2" t="str">
        <x:v>For Resilient railway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67" s="2" t="str">
        <x:v>Construction and operation use concrete, steel, asphalt, copper, signalling electronics, pavement materials and vehicle-related materials where new infrastructure is built. For Resilient railway systems, specifications must include durability, compatibility, recycled content and recoverability.</x:v>
      </x:c>
      <x:c r="AD167" s="2" t="str">
        <x:v>Maintenance of Resilient railway systems depends on signal modules, communications equipment, validators, sensors, pavement components, station equipment and fleet consumables; critical spares are selected from failure-mode, lead-time and safety analysis for its installed configuration.</x:v>
      </x:c>
      <x:c r="AE167" s="2" t="str">
        <x:v>The software stack for Resilient railway systems requires databases, secure communications, version-controlled models, computing, backup and interfaces with field or operational systems.</x:v>
      </x:c>
      <x:c r="AF167" s="2" t="str">
        <x:v>For Resilient railway systems, software-related energy is electricity for sensing, computing, storage, communication and cooling; it is normally secondary but must be included for data-intensive or continuous services.</x:v>
      </x:c>
      <x:c r="AG167" s="2" t="str">
        <x:v>The non-physical inputs are calibrated data, metadata, algorithms, boundary conditions, emission or hazard factors, manuals and validation records specific to Resilient railway systems.</x:v>
      </x:c>
      <x:c r="AH167" s="2" t="str">
        <x:v>Software continuity for Resilient railway systems requires licences where applicable, updates, cybersecurity patches, backups, calibration files, model validation and technical support.</x:v>
      </x:c>
      <x:c r="AI167" s="2" t="str">
        <x:v>Orgware depends on the institutions, laboratories, training providers, regulators, operators and community interfaces needed to govern Resilient railway systems.</x:v>
      </x:c>
      <x:c r="AJ167" s="2" t="str">
        <x:v>The orgware supporting Resilient railway systems has mainly indirect energy use from offices, meetings, training and information systems; travel and field supervision may be material at dispersed sites.</x:v>
      </x:c>
      <x:c r="AK167" s="2" t="str">
        <x:v>Its organisational inputs are permits, budgets, trained staff, competence records, contracts, procedures, safeguards, monitoring evidence and stakeholder agreements tailored to Resilient railway systems.</x:v>
      </x:c>
      <x:c r="AL167" s="2" t="str">
        <x:v>Sustained implementation of Resilient railway systems requires procurement and service contracts, audit protocols, training material, reporting templates, insurance or guarantees and periodic independent review.</x:v>
      </x:c>
      <x:c r="AM167" s="2" t="str">
        <x:v>Iron ore / steel inputs; Copper; Tin; Limestone / cement raw materials</x:v>
      </x:c>
      <x:c r="AN167" s="2" t="str">
        <x:v>Australia; Brazil; China; Chile; Democratic Republic of the Congo; Peru; Indonesia; Myanmar; India; Vietnam</x:v>
      </x:c>
      <x:c r="AO167" s="2" t="str">
        <x:v>China; India; Japan; Chile; Democratic Republic of the Congo; Indonesia; Malaysia; Vietnam</x:v>
      </x:c>
      <x:c r="AP167" s="2" t="str">
        <x:v>Resilient railway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7" s="2" t="str">
        <x:v>2024–2025</x:v>
      </x:c>
      <x:c r="AR167" s="2" t="str">
        <x:v>https://pubs.usgs.gov/periodicals/mcs2026/mcs2026.pdf</x:v>
      </x:c>
    </x:row>
    <x:row r="168" ht="240" customHeight="1">
      <x:c r="A168" s="2" t="str">
        <x:v>ADP-0161</x:v>
      </x:c>
      <x:c r="B168" s="2" t="str">
        <x:v>Adaptation</x:v>
      </x:c>
      <x:c r="C168" s="2" t="str">
        <x:v>Infrastructure and Urban planning</x:v>
      </x:c>
      <x:c r="D168" s="2" t="str">
        <x:v>Resilient transport systems</x:v>
      </x:c>
      <x:c r="E168" s="2" t="str">
        <x:v>Resilient road systems</x:v>
      </x:c>
      <x:c r="F168" s="2" t="str">
        <x:v>Resilient road systems is a adaptation technology in the Infrastructure and Urban planning sector and the Resilient transport systems technology group. It is defined as a combined hardware–software–orgware system that changes vehicle kilometres, modal share, occupancy, speed profiles, routing or logistics so that the same mobility service is delivered with less final energy and fewer tailpipe emissions. Resilient road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Benefits must be evaluated against construction emissions, induced travel, changes in occupancy, maintenance, vehicle replacement and eventual reuse or recycling of infrastructure and fleet assets. Bogotá's TransMilenio is a documented BRT application; the same city also provides an operational reference for large electric-bus deployment.</x:v>
      </x:c>
      <x:c r="G168" s="2" t="str">
        <x:v>Mixed: adaptable design, site-specific implementation</x:v>
      </x:c>
      <x:c r="H168" s="2" t="str">
        <x:v>Resilient road systems is adaptable in capacity and configuration but site-specific in final engineering. Its principle remains the same, but resource quality, climate, scale, interfaces and safety constraints must be recalculated for each deployment.</x:v>
      </x:c>
      <x:c r="I168" s="2" t="str">
        <x:v>Primarily hard, with a soft component</x:v>
      </x:c>
      <x:c r="J168" s="2" t="str">
        <x:v>Resilient road systems combines corridor and station infrastructure, signalling, ticketing, communications, fleet equipment, traffic sensors and user interfaces as applicable with the codified knowledge in network and timetable design, demand models, traffic control, fleet dispatch, logistics optimisation, safety analysis and service-performance analytics. Its performance cannot be assigned to artefacts alone: operation, competence, data quality and institutional arrangements are causal parts of the technology.</x:v>
      </x:c>
      <x:c r="K168" s="2" t="str">
        <x:v>Equipment and operation</x:v>
      </x:c>
      <x:c r="L168" s="2" t="str">
        <x:v>Resilient road systems is embodied mainly as an equipment-and-operation system. The deliverable is accepted only when measurable service, quality, safety and climate-performance criteria are met under real conditions.</x:v>
      </x:c>
      <x:c r="M168" s="2" t="str">
        <x:v>Yes, subject to life-cycle safeguards</x:v>
      </x:c>
      <x:c r="N168" s="2" t="str">
        <x:v>Resilient road systems is classified as climate-beneficial subject to safeguards. Benefits must be evaluated against construction emissions, induced travel, changes in occupancy, maintenance, vehicle replacement and eventual reuse or recycling of infrastructure and fleet assets. Avoided emissions or reduced vulnerability must be demonstrated against a defined baseline, without shifting material, pollution or social burdens outside the system boundary.</x:v>
      </x:c>
      <x:c r="O168" s="2" t="str">
        <x:v>Resilient road systems: corridor and station infrastructure, signalling, ticketing, communications, fleet equipment, traffic sensors and user interfaces as applicable.</x:v>
      </x:c>
      <x:c r="P168" s="2" t="str">
        <x:v>Resilient road systems: network and timetable design, demand models, traffic control, fleet dispatch, logistics optimisation, safety analysis and service-performance analytics.</x:v>
      </x:c>
      <x:c r="Q168" s="2" t="str">
        <x:v>Resilient road systems: transport authority mandates, operating contracts, tariffs, enforcement, street-space allocation, accessibility rules and coordination with land-use planning.</x:v>
      </x:c>
      <x:c r="R168" s="2" t="str">
        <x:v>Resilient road systems: rights-of-way, stops or terminals, depots, interchanges, control centres, communications and safe pedestrian or cycling access.</x:v>
      </x:c>
      <x:c r="S168" s="2" t="str">
        <x:v>Resilient road systems: electricity for control and stations plus the energy used by the affected vehicle fleet; the net result is governed by modal shift and occupancy.</x:v>
      </x:c>
      <x:c r="T168" s="2" t="str">
        <x:v>Resilient road systems: concrete, steel, asphalt, copper, signalling electronics, pavement materials and vehicle-related materials where new infrastructure is built.</x:v>
      </x:c>
      <x:c r="U168" s="2" t="str">
        <x:v>Resilient road systems: signal modules, communications equipment, validators, sensors, pavement components, station equipment and fleet consumables.</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https://www.ipcc.ch/report/ar6/wg2/chapter/chapter-6/; https://www.ipcc.ch/report/ar6/wg3/chapter/chapter-10/; https://ppp.worldbank.org/print/pdf/node/7300</x:v>
      </x:c>
      <x:c r="Z168" s="2" t="str">
        <x:v>Technology-specific analytical synthesis. The CTCN hierarchy is retained; classifications and component dependencies require validation against the selected design, site and supplier documentation before investment or policy use.</x:v>
      </x:c>
      <x:c r="AA168" s="2" t="str">
        <x:v>Physical deployment of Resilient road systems requires rights-of-way, stops or terminals, depots, interchanges, control centres, communications and safe pedestrian or cycling access; interfaces, foundations, access and environmental protection are sized to the specific resource and design load.</x:v>
      </x:c>
      <x:c r="AB168" s="2" t="str">
        <x:v>For Resilient road systems, the hardware energy balance comprises electricity for control and stations plus the energy used by the affected vehicle fleet; the net result is governed by modal shift and occupancy; metering must separate useful output, conversion losses and auxiliaries for the selected design.</x:v>
      </x:c>
      <x:c r="AC168" s="2" t="str">
        <x:v>Construction and operation use concrete, steel, asphalt, copper, signalling electronics, pavement materials and vehicle-related materials where new infrastructure is built. For Resilient road systems, specifications must include durability, compatibility, recycled content and recoverability.</x:v>
      </x:c>
      <x:c r="AD168" s="2" t="str">
        <x:v>Maintenance of Resilient road systems depends on signal modules, communications equipment, validators, sensors, pavement components, station equipment and fleet consumables; critical spares are selected from failure-mode, lead-time and safety analysis for its installed configuration.</x:v>
      </x:c>
      <x:c r="AE168" s="2" t="str">
        <x:v>The software stack for Resilient road systems requires databases, secure communications, version-controlled models, computing, backup and interfaces with field or operational systems.</x:v>
      </x:c>
      <x:c r="AF168" s="2" t="str">
        <x:v>For Resilient road systems, software-related energy is electricity for sensing, computing, storage, communication and cooling; it is normally secondary but must be included for data-intensive or continuous services.</x:v>
      </x:c>
      <x:c r="AG168" s="2" t="str">
        <x:v>The non-physical inputs are calibrated data, metadata, algorithms, boundary conditions, emission or hazard factors, manuals and validation records specific to Resilient road systems.</x:v>
      </x:c>
      <x:c r="AH168" s="2" t="str">
        <x:v>Software continuity for Resilient road systems requires licences where applicable, updates, cybersecurity patches, backups, calibration files, model validation and technical support.</x:v>
      </x:c>
      <x:c r="AI168" s="2" t="str">
        <x:v>Orgware depends on the institutions, laboratories, training providers, regulators, operators and community interfaces needed to govern Resilient road systems.</x:v>
      </x:c>
      <x:c r="AJ168" s="2" t="str">
        <x:v>The orgware supporting Resilient road systems has mainly indirect energy use from offices, meetings, training and information systems; travel and field supervision may be material at dispersed sites.</x:v>
      </x:c>
      <x:c r="AK168" s="2" t="str">
        <x:v>Its organisational inputs are permits, budgets, trained staff, competence records, contracts, procedures, safeguards, monitoring evidence and stakeholder agreements tailored to Resilient road systems.</x:v>
      </x:c>
      <x:c r="AL168" s="2" t="str">
        <x:v>Sustained implementation of Resilient road systems requires procurement and service contracts, audit protocols, training material, reporting templates, insurance or guarantees and periodic independent review.</x:v>
      </x:c>
      <x:c r="AM168" s="2" t="str">
        <x:v>Iron ore / steel inputs</x:v>
      </x:c>
      <x:c r="AN168" s="2" t="str">
        <x:v>Australia; Brazil; China</x:v>
      </x:c>
      <x:c r="AO168" s="2" t="str">
        <x:v>China; India; Japan</x:v>
      </x:c>
      <x:c r="AP168" s="2" t="str">
        <x:v>Resilient road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8" s="2" t="str">
        <x:v>2024–2025</x:v>
      </x:c>
      <x:c r="AR168" s="2" t="str">
        <x:v>https://pubs.usgs.gov/periodicals/mcs2026/mcs2026.pdf</x:v>
      </x:c>
    </x:row>
    <x:row r="169" ht="240" customHeight="1">
      <x:c r="A169" s="2" t="str">
        <x:v>ADP-0162</x:v>
      </x:c>
      <x:c r="B169" s="2" t="str">
        <x:v>Adaptation</x:v>
      </x:c>
      <x:c r="C169" s="2" t="str">
        <x:v>Coastal Zones</x:v>
      </x:c>
      <x:c r="D169" s="2" t="str">
        <x:v>Retreat</x:v>
      </x:c>
      <x:c r="E169" s="2" t="str">
        <x:v>Coastal setbacks</x:v>
      </x:c>
      <x:c r="F169" s="2" t="str">
        <x:v>Coastal setbacks is a adaptation technology in the Coastal Zones sector and the Retreat technology group. It is defined as a combined hardware–software–orgware system that reduces exposure and physical vulnerability through resilient siting, design loads, protective structures, adaptable construction, ecosystem buffers and planned management of residual risk. Coastal setbacks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69" s="2" t="str">
        <x:v>Mixed: adaptable design, site-specific implementation</x:v>
      </x:c>
      <x:c r="H169" s="2" t="str">
        <x:v>Coastal setbacks is adaptable in capacity and configuration but site-specific in final engineering. Its principle remains the same, but resource quality, climate, scale, interfaces and safety constraints must be recalculated for each deployment.</x:v>
      </x:c>
      <x:c r="I169" s="2" t="str">
        <x:v>Primarily hard, with a soft component</x:v>
      </x:c>
      <x:c r="J169" s="2" t="str">
        <x:v>Coastal setbacks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69" s="2" t="str">
        <x:v>Equipment and operation</x:v>
      </x:c>
      <x:c r="L169" s="2" t="str">
        <x:v>Coastal setbacks is embodied mainly as an equipment-and-operation system. The deliverable is accepted only when measurable service, quality, safety and climate-performance criteria are met under real conditions.</x:v>
      </x:c>
      <x:c r="M169" s="2" t="str">
        <x:v>Yes, subject to life-cycle safeguards</x:v>
      </x:c>
      <x:c r="N169" s="2" t="str">
        <x:v>Coastal setbacks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69" s="2" t="str">
        <x:v>Coastal setbacks: resilient structural, drainage, transport, coastal or utility components; foundations, barriers, armour, geosynthetics, sensors and nature-based elements as applicable.</x:v>
      </x:c>
      <x:c r="P169" s="2" t="str">
        <x:v>Coastal setbacks: climate-load and hazard analysis, structural or hydraulic modelling, geotechnical design, spatial planning, asset criticality, inspection and adaptation pathways.</x:v>
      </x:c>
      <x:c r="Q169" s="2" t="str">
        <x:v>Coastal setbacks: building and infrastructure codes, zoning, permits, land acquisition or easements, maintenance responsibility, emergency access, environmental safeguards and community participation.</x:v>
      </x:c>
      <x:c r="R169" s="2" t="str">
        <x:v>Coastal setbacks: site access, foundations, drainage, utility relocation, monitoring, construction staging, sediment or material supply and long-term maintenance corridors.</x:v>
      </x:c>
      <x:c r="S169" s="2" t="str">
        <x:v>Coastal setbacks: construction fuel and electricity plus operational pumping, monitoring, lighting or active control; passive and ecosystem measures have lower operational demand.</x:v>
      </x:c>
      <x:c r="T169" s="2" t="str">
        <x:v>Coastal setbacks: concrete, steel, stone, asphalt, timber, geotextiles, soil or sand, corrosion protection, vegetation and locally compatible fill.</x:v>
      </x:c>
      <x:c r="U169" s="2" t="str">
        <x:v>Coastal setbacks: drainage and pump parts, expansion joints, fasteners, coatings, sensors, geotextile repair, replacement armour or fill and planting stock.</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https://www.ipcc.ch/srocc/chapter/chapter-4-sea-level-rise-and-implications-for-low-lying-islands-coasts-and-communities/; https://www.ipcc.ch/report/ar6/wg2/chapter/chapter-6/; https://www.unep.org/topics/climate-action/adaptation/ecosystem-based-adaptation</x:v>
      </x:c>
      <x:c r="Z169" s="2" t="str">
        <x:v>Technology-specific analytical synthesis. The CTCN hierarchy is retained; classifications and component dependencies require validation against the selected design, site and supplier documentation before investment or policy use.</x:v>
      </x:c>
      <x:c r="AA169" s="2" t="str">
        <x:v>Physical deployment of Coastal setbacks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69" s="2" t="str">
        <x:v>For Coastal setbacks,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69" s="2" t="str">
        <x:v>Construction and operation use concrete, steel, stone, asphalt, timber, geotextiles, soil or sand, corrosion protection, vegetation and locally compatible fill. For Coastal setbacks, specifications must include durability, compatibility, recycled content and recoverability.</x:v>
      </x:c>
      <x:c r="AD169" s="2" t="str">
        <x:v>Maintenance of Coastal setbacks depends on drainage and pump parts, expansion joints, fasteners, coatings, sensors, geotextile repair, replacement armour or fill and planting stock; critical spares are selected from failure-mode, lead-time and safety analysis for its installed configuration.</x:v>
      </x:c>
      <x:c r="AE169" s="2" t="str">
        <x:v>The software stack for Coastal setbacks requires databases, secure communications, version-controlled models, computing, backup and interfaces with field or operational systems.</x:v>
      </x:c>
      <x:c r="AF169" s="2" t="str">
        <x:v>For Coastal setbacks, software-related energy is electricity for sensing, computing, storage, communication and cooling; it is normally secondary but must be included for data-intensive or continuous services.</x:v>
      </x:c>
      <x:c r="AG169" s="2" t="str">
        <x:v>The non-physical inputs are calibrated data, metadata, algorithms, boundary conditions, emission or hazard factors, manuals and validation records specific to Coastal setbacks.</x:v>
      </x:c>
      <x:c r="AH169" s="2" t="str">
        <x:v>Software continuity for Coastal setbacks requires licences where applicable, updates, cybersecurity patches, backups, calibration files, model validation and technical support.</x:v>
      </x:c>
      <x:c r="AI169" s="2" t="str">
        <x:v>Orgware depends on the institutions, laboratories, training providers, regulators, operators and community interfaces needed to govern Coastal setbacks.</x:v>
      </x:c>
      <x:c r="AJ169" s="2" t="str">
        <x:v>The orgware supporting Coastal setbacks has mainly indirect energy use from offices, meetings, training and information systems; travel and field supervision may be material at dispersed sites.</x:v>
      </x:c>
      <x:c r="AK169" s="2" t="str">
        <x:v>Its organisational inputs are permits, budgets, trained staff, competence records, contracts, procedures, safeguards, monitoring evidence and stakeholder agreements tailored to Coastal setbacks.</x:v>
      </x:c>
      <x:c r="AL169" s="2" t="str">
        <x:v>Sustained implementation of Coastal setbacks requires procurement and service contracts, audit protocols, training material, reporting templates, insurance or guarantees and periodic independent review.</x:v>
      </x:c>
      <x:c r="AM169" s="2" t="str">
        <x:v>Iron ore / steel inputs; Nickel; Chromium; Zinc</x:v>
      </x:c>
      <x:c r="AN169" s="2" t="str">
        <x:v>Australia; Brazil; China; Indonesia; Philippines; Russia; South Africa; Kazakhstan; Turkey; Peru</x:v>
      </x:c>
      <x:c r="AO169" s="2" t="str">
        <x:v>China; India; Japan; Indonesia; South Africa; Kazakhstan; South Korea</x:v>
      </x:c>
      <x:c r="AP169" s="2" t="str">
        <x:v>Coastal setbacks: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69" s="2" t="str">
        <x:v>2024–2025</x:v>
      </x:c>
      <x:c r="AR169" s="2" t="str">
        <x:v>https://pubs.usgs.gov/periodicals/mcs2026/mcs2026.pdf; https://www.iea.org/reports/global-critical-minerals-outlook-2025</x:v>
      </x:c>
    </x:row>
    <x:row r="170" ht="240" customHeight="1">
      <x:c r="A170" s="2" t="str">
        <x:v>ADP-0163</x:v>
      </x:c>
      <x:c r="B170" s="2" t="str">
        <x:v>Adaptation</x:v>
      </x:c>
      <x:c r="C170" s="2" t="str">
        <x:v>Coastal Zones</x:v>
      </x:c>
      <x:c r="D170" s="2" t="str">
        <x:v>Retreat</x:v>
      </x:c>
      <x:c r="E170" s="2" t="str">
        <x:v>Managed realignment</x:v>
      </x:c>
      <x:c r="F170" s="2" t="str">
        <x:v>Managed realignment is a adaptation technology in the Coastal Zones sector and the Retreat technology group. It is defined as a combined hardware–software–orgware system that reduces exposure and physical vulnerability through resilient siting, design loads, protective structures, adaptable construction, ecosystem buffers and planned management of residual risk. Managed realignment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0" s="2" t="str">
        <x:v>Mixed: adaptable design, site-specific implementation</x:v>
      </x:c>
      <x:c r="H170" s="2" t="str">
        <x:v>Managed realignment is adaptable in capacity and configuration but site-specific in final engineering. Its principle remains the same, but resource quality, climate, scale, interfaces and safety constraints must be recalculated for each deployment.</x:v>
      </x:c>
      <x:c r="I170" s="2" t="str">
        <x:v>Primarily hard, with a soft component</x:v>
      </x:c>
      <x:c r="J170" s="2" t="str">
        <x:v>Managed realignment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0" s="2" t="str">
        <x:v>Equipment and operation</x:v>
      </x:c>
      <x:c r="L170" s="2" t="str">
        <x:v>Managed realignment is embodied mainly as an equipment-and-operation system. The deliverable is accepted only when measurable service, quality, safety and climate-performance criteria are met under real conditions.</x:v>
      </x:c>
      <x:c r="M170" s="2" t="str">
        <x:v>Yes, subject to life-cycle safeguards</x:v>
      </x:c>
      <x:c r="N170" s="2" t="str">
        <x:v>Managed realignment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0" s="2" t="str">
        <x:v>Managed realignment: resilient structural, drainage, transport, coastal or utility components; foundations, barriers, armour, geosynthetics, sensors and nature-based elements as applicable.</x:v>
      </x:c>
      <x:c r="P170" s="2" t="str">
        <x:v>Managed realignment: climate-load and hazard analysis, structural or hydraulic modelling, geotechnical design, spatial planning, asset criticality, inspection and adaptation pathways.</x:v>
      </x:c>
      <x:c r="Q170" s="2" t="str">
        <x:v>Managed realignment: building and infrastructure codes, zoning, permits, land acquisition or easements, maintenance responsibility, emergency access, environmental safeguards and community participation.</x:v>
      </x:c>
      <x:c r="R170" s="2" t="str">
        <x:v>Managed realignment: site access, foundations, drainage, utility relocation, monitoring, construction staging, sediment or material supply and long-term maintenance corridors.</x:v>
      </x:c>
      <x:c r="S170" s="2" t="str">
        <x:v>Managed realignment: construction fuel and electricity plus operational pumping, monitoring, lighting or active control; passive and ecosystem measures have lower operational demand.</x:v>
      </x:c>
      <x:c r="T170" s="2" t="str">
        <x:v>Managed realignment: concrete, steel, stone, asphalt, timber, geotextiles, soil or sand, corrosion protection, vegetation and locally compatible fill.</x:v>
      </x:c>
      <x:c r="U170" s="2" t="str">
        <x:v>Managed realignment: drainage and pump parts, expansion joints, fasteners, coatings, sensors, geotextile repair, replacement armour or fill and planting stock.</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https://www.ipcc.ch/srocc/chapter/chapter-4-sea-level-rise-and-implications-for-low-lying-islands-coasts-and-communities/; https://www.ipcc.ch/report/ar6/wg2/chapter/chapter-6/; https://www.unep.org/topics/climate-action/adaptation/ecosystem-based-adaptation</x:v>
      </x:c>
      <x:c r="Z170" s="2" t="str">
        <x:v>Technology-specific analytical synthesis. The CTCN hierarchy is retained; classifications and component dependencies require validation against the selected design, site and supplier documentation before investment or policy use.</x:v>
      </x:c>
      <x:c r="AA170" s="2" t="str">
        <x:v>Physical deployment of Managed realignment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0" s="2" t="str">
        <x:v>For Managed realignment,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0" s="2" t="str">
        <x:v>Construction and operation use concrete, steel, stone, asphalt, timber, geotextiles, soil or sand, corrosion protection, vegetation and locally compatible fill. For Managed realignment, specifications must include durability, compatibility, recycled content and recoverability.</x:v>
      </x:c>
      <x:c r="AD170" s="2" t="str">
        <x:v>Maintenance of Managed realignment depends on drainage and pump parts, expansion joints, fasteners, coatings, sensors, geotextile repair, replacement armour or fill and planting stock; critical spares are selected from failure-mode, lead-time and safety analysis for its installed configuration.</x:v>
      </x:c>
      <x:c r="AE170" s="2" t="str">
        <x:v>The software stack for Managed realignment requires databases, secure communications, version-controlled models, computing, backup and interfaces with field or operational systems.</x:v>
      </x:c>
      <x:c r="AF170" s="2" t="str">
        <x:v>For Managed realignment, software-related energy is electricity for sensing, computing, storage, communication and cooling; it is normally secondary but must be included for data-intensive or continuous services.</x:v>
      </x:c>
      <x:c r="AG170" s="2" t="str">
        <x:v>The non-physical inputs are calibrated data, metadata, algorithms, boundary conditions, emission or hazard factors, manuals and validation records specific to Managed realignment.</x:v>
      </x:c>
      <x:c r="AH170" s="2" t="str">
        <x:v>Software continuity for Managed realignment requires licences where applicable, updates, cybersecurity patches, backups, calibration files, model validation and technical support.</x:v>
      </x:c>
      <x:c r="AI170" s="2" t="str">
        <x:v>Orgware depends on the institutions, laboratories, training providers, regulators, operators and community interfaces needed to govern Managed realignment.</x:v>
      </x:c>
      <x:c r="AJ170" s="2" t="str">
        <x:v>The orgware supporting Managed realignment has mainly indirect energy use from offices, meetings, training and information systems; travel and field supervision may be material at dispersed sites.</x:v>
      </x:c>
      <x:c r="AK170" s="2" t="str">
        <x:v>Its organisational inputs are permits, budgets, trained staff, competence records, contracts, procedures, safeguards, monitoring evidence and stakeholder agreements tailored to Managed realignment.</x:v>
      </x:c>
      <x:c r="AL170" s="2" t="str">
        <x:v>Sustained implementation of Managed realignment requires procurement and service contracts, audit protocols, training material, reporting templates, insurance or guarantees and periodic independent review.</x:v>
      </x:c>
      <x:c r="AM170" s="2" t="str">
        <x:v>Iron ore / steel inputs</x:v>
      </x:c>
      <x:c r="AN170" s="2" t="str">
        <x:v>Australia; Brazil; China</x:v>
      </x:c>
      <x:c r="AO170" s="2" t="str">
        <x:v>China; India; Japan</x:v>
      </x:c>
      <x:c r="AP170" s="2" t="str">
        <x:v>Managed realignment: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0" s="2" t="str">
        <x:v>2024–2025</x:v>
      </x:c>
      <x:c r="AR170" s="2" t="str">
        <x:v>https://pubs.usgs.gov/periodicals/mcs2026/mcs2026.pdf</x:v>
      </x:c>
    </x:row>
    <x:row r="171" ht="240" customHeight="1">
      <x:c r="A171" s="2" t="str">
        <x:v>ADP-0164</x:v>
      </x:c>
      <x:c r="B171" s="2" t="str">
        <x:v>Adaptation</x:v>
      </x:c>
      <x:c r="C171" s="2" t="str">
        <x:v>Coastal Zones</x:v>
      </x:c>
      <x:c r="D171" s="2" t="str">
        <x:v>Accommodation</x:v>
      </x:c>
      <x:c r="E171" s="2" t="str">
        <x:v>Flood and cyclone shelters</x:v>
      </x:c>
      <x:c r="F171" s="2" t="str">
        <x:v>Flood and cyclone shelters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Flood and cyclone shelters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1" s="2" t="str">
        <x:v>Mixed: adaptable design, site-specific implementation</x:v>
      </x:c>
      <x:c r="H171" s="2" t="str">
        <x:v>Flood and cyclone shelters is adaptable in capacity and configuration but site-specific in final engineering. Its principle remains the same, but resource quality, climate, scale, interfaces and safety constraints must be recalculated for each deployment.</x:v>
      </x:c>
      <x:c r="I171" s="2" t="str">
        <x:v>Primarily hard, with a soft component</x:v>
      </x:c>
      <x:c r="J171" s="2" t="str">
        <x:v>Flood and cyclone shelters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1" s="2" t="str">
        <x:v>Equipment and operation</x:v>
      </x:c>
      <x:c r="L171" s="2" t="str">
        <x:v>Flood and cyclone shelters is embodied mainly as an equipment-and-operation system. The deliverable is accepted only when measurable service, quality, safety and climate-performance criteria are met under real conditions.</x:v>
      </x:c>
      <x:c r="M171" s="2" t="str">
        <x:v>Yes, subject to life-cycle safeguards</x:v>
      </x:c>
      <x:c r="N171" s="2" t="str">
        <x:v>Flood and cyclone shelters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1" s="2" t="str">
        <x:v>Flood and cyclone shelters: resilient structural, drainage, transport, coastal or utility components; foundations, barriers, armour, geosynthetics, sensors and nature-based elements as applicable.</x:v>
      </x:c>
      <x:c r="P171" s="2" t="str">
        <x:v>Flood and cyclone shelters: climate-load and hazard analysis, structural or hydraulic modelling, geotechnical design, spatial planning, asset criticality, inspection and adaptation pathways.</x:v>
      </x:c>
      <x:c r="Q171" s="2" t="str">
        <x:v>Flood and cyclone shelters: building and infrastructure codes, zoning, permits, land acquisition or easements, maintenance responsibility, emergency access, environmental safeguards and community participation.</x:v>
      </x:c>
      <x:c r="R171" s="2" t="str">
        <x:v>Flood and cyclone shelters: site access, foundations, drainage, utility relocation, monitoring, construction staging, sediment or material supply and long-term maintenance corridors.</x:v>
      </x:c>
      <x:c r="S171" s="2" t="str">
        <x:v>Flood and cyclone shelters: construction fuel and electricity plus operational pumping, monitoring, lighting or active control; passive and ecosystem measures have lower operational demand.</x:v>
      </x:c>
      <x:c r="T171" s="2" t="str">
        <x:v>Flood and cyclone shelters: concrete, steel, stone, asphalt, timber, geotextiles, soil or sand, corrosion protection, vegetation and locally compatible fill.</x:v>
      </x:c>
      <x:c r="U171" s="2" t="str">
        <x:v>Flood and cyclone shelters: drainage and pump parts, expansion joints, fasteners, coatings, sensors, geotextile repair, replacement armour or fill and planting stock.</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https://www.ipcc.ch/srocc/chapter/chapter-4-sea-level-rise-and-implications-for-low-lying-islands-coasts-and-communities/; https://www.ipcc.ch/report/ar6/wg2/chapter/chapter-6/; https://www.unep.org/topics/climate-action/adaptation/ecosystem-based-adaptation</x:v>
      </x:c>
      <x:c r="Z171" s="2" t="str">
        <x:v>Technology-specific analytical synthesis. The CTCN hierarchy is retained; classifications and component dependencies require validation against the selected design, site and supplier documentation before investment or policy use.</x:v>
      </x:c>
      <x:c r="AA171" s="2" t="str">
        <x:v>Physical deployment of Flood and cyclone shelters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1" s="2" t="str">
        <x:v>For Flood and cyclone shelters,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1" s="2" t="str">
        <x:v>Construction and operation use concrete, steel, stone, asphalt, timber, geotextiles, soil or sand, corrosion protection, vegetation and locally compatible fill. For Flood and cyclone shelters, specifications must include durability, compatibility, recycled content and recoverability.</x:v>
      </x:c>
      <x:c r="AD171" s="2" t="str">
        <x:v>Maintenance of Flood and cyclone shelters depends on drainage and pump parts, expansion joints, fasteners, coatings, sensors, geotextile repair, replacement armour or fill and planting stock; critical spares are selected from failure-mode, lead-time and safety analysis for its installed configuration.</x:v>
      </x:c>
      <x:c r="AE171" s="2" t="str">
        <x:v>The software stack for Flood and cyclone shelters requires databases, secure communications, version-controlled models, computing, backup and interfaces with field or operational systems.</x:v>
      </x:c>
      <x:c r="AF171" s="2" t="str">
        <x:v>For Flood and cyclone shelters, software-related energy is electricity for sensing, computing, storage, communication and cooling; it is normally secondary but must be included for data-intensive or continuous services.</x:v>
      </x:c>
      <x:c r="AG171" s="2" t="str">
        <x:v>The non-physical inputs are calibrated data, metadata, algorithms, boundary conditions, emission or hazard factors, manuals and validation records specific to Flood and cyclone shelters.</x:v>
      </x:c>
      <x:c r="AH171" s="2" t="str">
        <x:v>Software continuity for Flood and cyclone shelters requires licences where applicable, updates, cybersecurity patches, backups, calibration files, model validation and technical support.</x:v>
      </x:c>
      <x:c r="AI171" s="2" t="str">
        <x:v>Orgware depends on the institutions, laboratories, training providers, regulators, operators and community interfaces needed to govern Flood and cyclone shelters.</x:v>
      </x:c>
      <x:c r="AJ171" s="2" t="str">
        <x:v>The orgware supporting Flood and cyclone shelters has mainly indirect energy use from offices, meetings, training and information systems; travel and field supervision may be material at dispersed sites.</x:v>
      </x:c>
      <x:c r="AK171" s="2" t="str">
        <x:v>Its organisational inputs are permits, budgets, trained staff, competence records, contracts, procedures, safeguards, monitoring evidence and stakeholder agreements tailored to Flood and cyclone shelters.</x:v>
      </x:c>
      <x:c r="AL171" s="2" t="str">
        <x:v>Sustained implementation of Flood and cyclone shelters requires procurement and service contracts, audit protocols, training material, reporting templates, insurance or guarantees and periodic independent review.</x:v>
      </x:c>
      <x:c r="AM171" s="2" t="str">
        <x:v>Iron ore / steel inputs; Limestone / cement raw materials</x:v>
      </x:c>
      <x:c r="AN171" s="2" t="str">
        <x:v>Australia; Brazil; China; India; Vietnam</x:v>
      </x:c>
      <x:c r="AO171" s="2" t="str">
        <x:v>China; India; Japan; Vietnam</x:v>
      </x:c>
      <x:c r="AP171" s="2" t="str">
        <x:v>Flood and cyclone shelters: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1" s="2" t="str">
        <x:v>2024–2025</x:v>
      </x:c>
      <x:c r="AR171" s="2" t="str">
        <x:v>https://pubs.usgs.gov/periodicals/mcs2026/mcs2026.pdf</x:v>
      </x:c>
    </x:row>
    <x:row r="172" ht="240" customHeight="1">
      <x:c r="A172" s="2" t="str">
        <x:v>ADP-0165</x:v>
      </x:c>
      <x:c r="B172" s="2" t="str">
        <x:v>Adaptation</x:v>
      </x:c>
      <x:c r="C172" s="2" t="str">
        <x:v>Coastal Zones</x:v>
      </x:c>
      <x:c r="D172" s="2" t="str">
        <x:v>Accommodation</x:v>
      </x:c>
      <x:c r="E172" s="2" t="str">
        <x:v>Flood-proofing</x:v>
      </x:c>
      <x:c r="F172" s="2" t="str">
        <x:v>Flood-proofing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Flood-proofing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2" s="2" t="str">
        <x:v>Mixed: adaptable design, site-specific implementation</x:v>
      </x:c>
      <x:c r="H172" s="2" t="str">
        <x:v>Flood-proofing is adaptable in capacity and configuration but site-specific in final engineering. Its principle remains the same, but resource quality, climate, scale, interfaces and safety constraints must be recalculated for each deployment.</x:v>
      </x:c>
      <x:c r="I172" s="2" t="str">
        <x:v>Primarily hard, with a soft component</x:v>
      </x:c>
      <x:c r="J172" s="2" t="str">
        <x:v>Flood-proofing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2" s="2" t="str">
        <x:v>Equipment and operation</x:v>
      </x:c>
      <x:c r="L172" s="2" t="str">
        <x:v>Flood-proofing is embodied mainly as an equipment-and-operation system. The deliverable is accepted only when measurable service, quality, safety and climate-performance criteria are met under real conditions.</x:v>
      </x:c>
      <x:c r="M172" s="2" t="str">
        <x:v>Yes, subject to life-cycle safeguards</x:v>
      </x:c>
      <x:c r="N172" s="2" t="str">
        <x:v>Flood-proofing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2" s="2" t="str">
        <x:v>Flood-proofing: resilient structural, drainage, transport, coastal or utility components; foundations, barriers, armour, geosynthetics, sensors and nature-based elements as applicable.</x:v>
      </x:c>
      <x:c r="P172" s="2" t="str">
        <x:v>Flood-proofing: climate-load and hazard analysis, structural or hydraulic modelling, geotechnical design, spatial planning, asset criticality, inspection and adaptation pathways.</x:v>
      </x:c>
      <x:c r="Q172" s="2" t="str">
        <x:v>Flood-proofing: building and infrastructure codes, zoning, permits, land acquisition or easements, maintenance responsibility, emergency access, environmental safeguards and community participation.</x:v>
      </x:c>
      <x:c r="R172" s="2" t="str">
        <x:v>Flood-proofing: site access, foundations, drainage, utility relocation, monitoring, construction staging, sediment or material supply and long-term maintenance corridors.</x:v>
      </x:c>
      <x:c r="S172" s="2" t="str">
        <x:v>Flood-proofing: construction fuel and electricity plus operational pumping, monitoring, lighting or active control; passive and ecosystem measures have lower operational demand.</x:v>
      </x:c>
      <x:c r="T172" s="2" t="str">
        <x:v>Flood-proofing: concrete, steel, stone, asphalt, timber, geotextiles, soil or sand, corrosion protection, vegetation and locally compatible fill.</x:v>
      </x:c>
      <x:c r="U172" s="2" t="str">
        <x:v>Flood-proofing: drainage and pump parts, expansion joints, fasteners, coatings, sensors, geotextile repair, replacement armour or fill and planting stock.</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https://www.ipcc.ch/srocc/chapter/chapter-4-sea-level-rise-and-implications-for-low-lying-islands-coasts-and-communities/; https://www.ipcc.ch/report/ar6/wg2/chapter/chapter-6/; https://www.unep.org/topics/climate-action/adaptation/ecosystem-based-adaptation</x:v>
      </x:c>
      <x:c r="Z172" s="2" t="str">
        <x:v>Technology-specific analytical synthesis. The CTCN hierarchy is retained; classifications and component dependencies require validation against the selected design, site and supplier documentation before investment or policy use.</x:v>
      </x:c>
      <x:c r="AA172" s="2" t="str">
        <x:v>Physical deployment of Flood-proofing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2" s="2" t="str">
        <x:v>For Flood-proofing,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2" s="2" t="str">
        <x:v>Construction and operation use concrete, steel, stone, asphalt, timber, geotextiles, soil or sand, corrosion protection, vegetation and locally compatible fill. For Flood-proofing, specifications must include durability, compatibility, recycled content and recoverability.</x:v>
      </x:c>
      <x:c r="AD172" s="2" t="str">
        <x:v>Maintenance of Flood-proofing depends on drainage and pump parts, expansion joints, fasteners, coatings, sensors, geotextile repair, replacement armour or fill and planting stock; critical spares are selected from failure-mode, lead-time and safety analysis for its installed configuration.</x:v>
      </x:c>
      <x:c r="AE172" s="2" t="str">
        <x:v>The software stack for Flood-proofing requires databases, secure communications, version-controlled models, computing, backup and interfaces with field or operational systems.</x:v>
      </x:c>
      <x:c r="AF172" s="2" t="str">
        <x:v>For Flood-proofing, software-related energy is electricity for sensing, computing, storage, communication and cooling; it is normally secondary but must be included for data-intensive or continuous services.</x:v>
      </x:c>
      <x:c r="AG172" s="2" t="str">
        <x:v>The non-physical inputs are calibrated data, metadata, algorithms, boundary conditions, emission or hazard factors, manuals and validation records specific to Flood-proofing.</x:v>
      </x:c>
      <x:c r="AH172" s="2" t="str">
        <x:v>Software continuity for Flood-proofing requires licences where applicable, updates, cybersecurity patches, backups, calibration files, model validation and technical support.</x:v>
      </x:c>
      <x:c r="AI172" s="2" t="str">
        <x:v>Orgware depends on the institutions, laboratories, training providers, regulators, operators and community interfaces needed to govern Flood-proofing.</x:v>
      </x:c>
      <x:c r="AJ172" s="2" t="str">
        <x:v>The orgware supporting Flood-proofing has mainly indirect energy use from offices, meetings, training and information systems; travel and field supervision may be material at dispersed sites.</x:v>
      </x:c>
      <x:c r="AK172" s="2" t="str">
        <x:v>Its organisational inputs are permits, budgets, trained staff, competence records, contracts, procedures, safeguards, monitoring evidence and stakeholder agreements tailored to Flood-proofing.</x:v>
      </x:c>
      <x:c r="AL172" s="2" t="str">
        <x:v>Sustained implementation of Flood-proofing requires procurement and service contracts, audit protocols, training material, reporting templates, insurance or guarantees and periodic independent review.</x:v>
      </x:c>
      <x:c r="AM172" s="2" t="str">
        <x:v>Iron ore / steel inputs</x:v>
      </x:c>
      <x:c r="AN172" s="2" t="str">
        <x:v>Australia; Brazil; China</x:v>
      </x:c>
      <x:c r="AO172" s="2" t="str">
        <x:v>China; India; Japan</x:v>
      </x:c>
      <x:c r="AP172" s="2" t="str">
        <x:v>Flood-proofing: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2" s="2" t="str">
        <x:v>2024–2025</x:v>
      </x:c>
      <x:c r="AR172" s="2" t="str">
        <x:v>https://pubs.usgs.gov/periodicals/mcs2026/mcs2026.pdf</x:v>
      </x:c>
    </x:row>
    <x:row r="173" ht="240" customHeight="1">
      <x:c r="A173" s="2" t="str">
        <x:v>ADP-0166</x:v>
      </x:c>
      <x:c r="B173" s="2" t="str">
        <x:v>Adaptation</x:v>
      </x:c>
      <x:c r="C173" s="2" t="str">
        <x:v>Coastal Zones</x:v>
      </x:c>
      <x:c r="D173" s="2" t="str">
        <x:v>Accommodation</x:v>
      </x:c>
      <x:c r="E173" s="2" t="str">
        <x:v>Floating houses</x:v>
      </x:c>
      <x:c r="F173" s="2" t="str">
        <x:v>Floating houses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Floating houses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3" s="2" t="str">
        <x:v>Mixed: adaptable design, site-specific implementation</x:v>
      </x:c>
      <x:c r="H173" s="2" t="str">
        <x:v>Floating houses is adaptable in capacity and configuration but site-specific in final engineering. Its principle remains the same, but resource quality, climate, scale, interfaces and safety constraints must be recalculated for each deployment.</x:v>
      </x:c>
      <x:c r="I173" s="2" t="str">
        <x:v>Primarily hard, with a soft component</x:v>
      </x:c>
      <x:c r="J173" s="2" t="str">
        <x:v>Floating houses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3" s="2" t="str">
        <x:v>Equipment and operation</x:v>
      </x:c>
      <x:c r="L173" s="2" t="str">
        <x:v>Floating houses is embodied mainly as an equipment-and-operation system. The deliverable is accepted only when measurable service, quality, safety and climate-performance criteria are met under real conditions.</x:v>
      </x:c>
      <x:c r="M173" s="2" t="str">
        <x:v>Yes, subject to life-cycle safeguards</x:v>
      </x:c>
      <x:c r="N173" s="2" t="str">
        <x:v>Floating houses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3" s="2" t="str">
        <x:v>Floating houses: resilient structural, drainage, transport, coastal or utility components; foundations, barriers, armour, geosynthetics, sensors and nature-based elements as applicable.</x:v>
      </x:c>
      <x:c r="P173" s="2" t="str">
        <x:v>Floating houses: climate-load and hazard analysis, structural or hydraulic modelling, geotechnical design, spatial planning, asset criticality, inspection and adaptation pathways.</x:v>
      </x:c>
      <x:c r="Q173" s="2" t="str">
        <x:v>Floating houses: building and infrastructure codes, zoning, permits, land acquisition or easements, maintenance responsibility, emergency access, environmental safeguards and community participation.</x:v>
      </x:c>
      <x:c r="R173" s="2" t="str">
        <x:v>Floating houses: site access, foundations, drainage, utility relocation, monitoring, construction staging, sediment or material supply and long-term maintenance corridors.</x:v>
      </x:c>
      <x:c r="S173" s="2" t="str">
        <x:v>Floating houses: construction fuel and electricity plus operational pumping, monitoring, lighting or active control; passive and ecosystem measures have lower operational demand.</x:v>
      </x:c>
      <x:c r="T173" s="2" t="str">
        <x:v>Floating houses: concrete, steel, stone, asphalt, timber, geotextiles, soil or sand, corrosion protection, vegetation and locally compatible fill.</x:v>
      </x:c>
      <x:c r="U173" s="2" t="str">
        <x:v>Floating houses: drainage and pump parts, expansion joints, fasteners, coatings, sensors, geotextile repair, replacement armour or fill and planting stock.</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https://www.ipcc.ch/srocc/chapter/chapter-4-sea-level-rise-and-implications-for-low-lying-islands-coasts-and-communities/; https://www.ipcc.ch/report/ar6/wg2/chapter/chapter-6/; https://www.unep.org/topics/climate-action/adaptation/ecosystem-based-adaptation</x:v>
      </x:c>
      <x:c r="Z173" s="2" t="str">
        <x:v>Technology-specific analytical synthesis. The CTCN hierarchy is retained; classifications and component dependencies require validation against the selected design, site and supplier documentation before investment or policy use.</x:v>
      </x:c>
      <x:c r="AA173" s="2" t="str">
        <x:v>Physical deployment of Floating houses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3" s="2" t="str">
        <x:v>For Floating houses,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3" s="2" t="str">
        <x:v>Construction and operation use concrete, steel, stone, asphalt, timber, geotextiles, soil or sand, corrosion protection, vegetation and locally compatible fill. For Floating houses, specifications must include durability, compatibility, recycled content and recoverability.</x:v>
      </x:c>
      <x:c r="AD173" s="2" t="str">
        <x:v>Maintenance of Floating houses depends on drainage and pump parts, expansion joints, fasteners, coatings, sensors, geotextile repair, replacement armour or fill and planting stock; critical spares are selected from failure-mode, lead-time and safety analysis for its installed configuration.</x:v>
      </x:c>
      <x:c r="AE173" s="2" t="str">
        <x:v>The software stack for Floating houses requires databases, secure communications, version-controlled models, computing, backup and interfaces with field or operational systems.</x:v>
      </x:c>
      <x:c r="AF173" s="2" t="str">
        <x:v>For Floating houses, software-related energy is electricity for sensing, computing, storage, communication and cooling; it is normally secondary but must be included for data-intensive or continuous services.</x:v>
      </x:c>
      <x:c r="AG173" s="2" t="str">
        <x:v>The non-physical inputs are calibrated data, metadata, algorithms, boundary conditions, emission or hazard factors, manuals and validation records specific to Floating houses.</x:v>
      </x:c>
      <x:c r="AH173" s="2" t="str">
        <x:v>Software continuity for Floating houses requires licences where applicable, updates, cybersecurity patches, backups, calibration files, model validation and technical support.</x:v>
      </x:c>
      <x:c r="AI173" s="2" t="str">
        <x:v>Orgware depends on the institutions, laboratories, training providers, regulators, operators and community interfaces needed to govern Floating houses.</x:v>
      </x:c>
      <x:c r="AJ173" s="2" t="str">
        <x:v>The orgware supporting Floating houses has mainly indirect energy use from offices, meetings, training and information systems; travel and field supervision may be material at dispersed sites.</x:v>
      </x:c>
      <x:c r="AK173" s="2" t="str">
        <x:v>Its organisational inputs are permits, budgets, trained staff, competence records, contracts, procedures, safeguards, monitoring evidence and stakeholder agreements tailored to Floating houses.</x:v>
      </x:c>
      <x:c r="AL173" s="2" t="str">
        <x:v>Sustained implementation of Floating houses requires procurement and service contracts, audit protocols, training material, reporting templates, insurance or guarantees and periodic independent review.</x:v>
      </x:c>
      <x:c r="AM173" s="2" t="str">
        <x:v>Iron ore / steel inputs</x:v>
      </x:c>
      <x:c r="AN173" s="2" t="str">
        <x:v>Australia; Brazil; China</x:v>
      </x:c>
      <x:c r="AO173" s="2" t="str">
        <x:v>China; India; Japan</x:v>
      </x:c>
      <x:c r="AP173" s="2" t="str">
        <x:v>Floating houses: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3" s="2" t="str">
        <x:v>2024–2025</x:v>
      </x:c>
      <x:c r="AR173" s="2" t="str">
        <x:v>https://pubs.usgs.gov/periodicals/mcs2026/mcs2026.pdf</x:v>
      </x:c>
    </x:row>
    <x:row r="174" ht="240" customHeight="1">
      <x:c r="A174" s="2" t="str">
        <x:v>ADP-0167</x:v>
      </x:c>
      <x:c r="B174" s="2" t="str">
        <x:v>Adaptation</x:v>
      </x:c>
      <x:c r="C174" s="2" t="str">
        <x:v>Coastal Zones</x:v>
      </x:c>
      <x:c r="D174" s="2" t="str">
        <x:v>Accommodation</x:v>
      </x:c>
      <x:c r="E174" s="2" t="str">
        <x:v>Management of seagrass beds</x:v>
      </x:c>
      <x:c r="F174" s="2" t="str">
        <x:v>Management of seagrass beds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4" s="2" t="str">
        <x:v>Flexible</x:v>
      </x:c>
      <x:c r="H174" s="2" t="str">
        <x:v>Management of seagrass beds is transferable through configurable methods, rules and operating parameters. Its principle remains the same, but resource quality, climate, scale, interfaces and safety constraints must be recalculated for each deployment.</x:v>
      </x:c>
      <x:c r="I174" s="2" t="str">
        <x:v>Primarily soft, with physical support</x:v>
      </x:c>
      <x:c r="J174" s="2" t="str">
        <x:v>Management of seagrass beds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4" s="2" t="str">
        <x:v>Operation</x:v>
      </x:c>
      <x:c r="L174" s="2" t="str">
        <x:v>Management of seagrass beds is embodied mainly as an operating practice. The deliverable is accepted only when measurable service, quality, safety and climate-performance criteria are met under real conditions.</x:v>
      </x:c>
      <x:c r="M174" s="2" t="str">
        <x:v>Yes, subject to life-cycle safeguards</x:v>
      </x:c>
      <x:c r="N174" s="2" t="str">
        <x:v>Management of seagrass beds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4" s="2" t="str">
        <x:v>Management of seagrass beds: resilient structural, drainage, transport, coastal or utility components; foundations, barriers, armour, geosynthetics, sensors and nature-based elements as applicable.</x:v>
      </x:c>
      <x:c r="P174" s="2" t="str">
        <x:v>Management of seagrass beds: climate-load and hazard analysis, structural or hydraulic modelling, geotechnical design, spatial planning, asset criticality, inspection and adaptation pathways.</x:v>
      </x:c>
      <x:c r="Q174" s="2" t="str">
        <x:v>Management of seagrass beds: building and infrastructure codes, zoning, permits, land acquisition or easements, maintenance responsibility, emergency access, environmental safeguards and community participation.</x:v>
      </x:c>
      <x:c r="R174" s="2" t="str">
        <x:v>Management of seagrass beds: site access, foundations, drainage, utility relocation, monitoring, construction staging, sediment or material supply and long-term maintenance corridors.</x:v>
      </x:c>
      <x:c r="S174" s="2" t="str">
        <x:v>Management of seagrass beds: construction fuel and electricity plus operational pumping, monitoring, lighting or active control; passive and ecosystem measures have lower operational demand.</x:v>
      </x:c>
      <x:c r="T174" s="2" t="str">
        <x:v>Management of seagrass beds: concrete, steel, stone, asphalt, timber, geotextiles, soil or sand, corrosion protection, vegetation and locally compatible fill.</x:v>
      </x:c>
      <x:c r="U174" s="2" t="str">
        <x:v>Management of seagrass beds: drainage and pump parts, expansion joints, fasteners, coatings, sensors, geotextile repair, replacement armour or fill and planting stock.</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https://www.ipcc.ch/srocc/chapter/chapter-4-sea-level-rise-and-implications-for-low-lying-islands-coasts-and-communities/; https://www.ipcc.ch/report/ar6/wg2/chapter/chapter-6/; https://www.unep.org/topics/climate-action/adaptation/ecosystem-based-adaptation</x:v>
      </x:c>
      <x:c r="Z174" s="2" t="str">
        <x:v>Technology-specific analytical synthesis. The CTCN hierarchy is retained; classifications and component dependencies require validation against the selected design, site and supplier documentation before investment or policy use.</x:v>
      </x:c>
      <x:c r="AA174" s="2" t="str">
        <x:v>Physical deployment of Management of seagrass beds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4" s="2" t="str">
        <x:v>For Management of seagrass beds,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4" s="2" t="str">
        <x:v>Construction and operation use concrete, steel, stone, asphalt, timber, geotextiles, soil or sand, corrosion protection, vegetation and locally compatible fill. For Management of seagrass beds, specifications must include durability, compatibility, recycled content and recoverability.</x:v>
      </x:c>
      <x:c r="AD174" s="2" t="str">
        <x:v>Maintenance of Management of seagrass beds depends on drainage and pump parts, expansion joints, fasteners, coatings, sensors, geotextile repair, replacement armour or fill and planting stock; critical spares are selected from failure-mode, lead-time and safety analysis for its installed configuration.</x:v>
      </x:c>
      <x:c r="AE174" s="2" t="str">
        <x:v>The software stack for Management of seagrass beds requires databases, secure communications, version-controlled models, computing, backup and interfaces with field or operational systems.</x:v>
      </x:c>
      <x:c r="AF174" s="2" t="str">
        <x:v>For Management of seagrass beds, software-related energy is electricity for sensing, computing, storage, communication and cooling; it is normally secondary but must be included for data-intensive or continuous services.</x:v>
      </x:c>
      <x:c r="AG174" s="2" t="str">
        <x:v>The non-physical inputs are calibrated data, metadata, algorithms, boundary conditions, emission or hazard factors, manuals and validation records specific to Management of seagrass beds.</x:v>
      </x:c>
      <x:c r="AH174" s="2" t="str">
        <x:v>Software continuity for Management of seagrass beds requires licences where applicable, updates, cybersecurity patches, backups, calibration files, model validation and technical support.</x:v>
      </x:c>
      <x:c r="AI174" s="2" t="str">
        <x:v>Orgware depends on the institutions, laboratories, training providers, regulators, operators and community interfaces needed to govern Management of seagrass beds.</x:v>
      </x:c>
      <x:c r="AJ174" s="2" t="str">
        <x:v>The orgware supporting Management of seagrass beds has mainly indirect energy use from offices, meetings, training and information systems; travel and field supervision may be material at dispersed sites.</x:v>
      </x:c>
      <x:c r="AK174" s="2" t="str">
        <x:v>Its organisational inputs are permits, budgets, trained staff, competence records, contracts, procedures, safeguards, monitoring evidence and stakeholder agreements tailored to Management of seagrass beds.</x:v>
      </x:c>
      <x:c r="AL174" s="2" t="str">
        <x:v>Sustained implementation of Management of seagrass beds requires procurement and service contracts, audit protocols, training material, reporting templates, insurance or guarantees and periodic independent review.</x:v>
      </x:c>
      <x:c r="AM174" s="2" t="str">
        <x:v>Iron ore / steel inputs</x:v>
      </x:c>
      <x:c r="AN174" s="2" t="str">
        <x:v>Australia; Brazil; China</x:v>
      </x:c>
      <x:c r="AO174" s="2" t="str">
        <x:v>China; India; Japan</x:v>
      </x:c>
      <x:c r="AP174" s="2" t="str">
        <x:v>Management of seagrass beds: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4" s="2" t="str">
        <x:v>2024–2025</x:v>
      </x:c>
      <x:c r="AR174" s="2" t="str">
        <x:v>https://pubs.usgs.gov/periodicals/mcs2026/mcs2026.pdf</x:v>
      </x:c>
    </x:row>
    <x:row r="175" ht="240" customHeight="1">
      <x:c r="A175" s="2" t="str">
        <x:v>ADP-0168</x:v>
      </x:c>
      <x:c r="B175" s="2" t="str">
        <x:v>Adaptation</x:v>
      </x:c>
      <x:c r="C175" s="2" t="str">
        <x:v>Coastal Zones</x:v>
      </x:c>
      <x:c r="D175" s="2" t="str">
        <x:v>Accommodation</x:v>
      </x:c>
      <x:c r="E175" s="2" t="str">
        <x:v>Floating agricultural systems</x:v>
      </x:c>
      <x:c r="F175" s="2" t="str">
        <x:v>Floating agricultural systems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Floating agricultural systems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5" s="2" t="str">
        <x:v>Mixed: adaptable design, site-specific implementation</x:v>
      </x:c>
      <x:c r="H175" s="2" t="str">
        <x:v>Floating agricultural systems is adaptable in capacity and configuration but site-specific in final engineering. Its principle remains the same, but resource quality, climate, scale, interfaces and safety constraints must be recalculated for each deployment.</x:v>
      </x:c>
      <x:c r="I175" s="2" t="str">
        <x:v>Primarily hard, with a soft component</x:v>
      </x:c>
      <x:c r="J175" s="2" t="str">
        <x:v>Floating agricultural systems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5" s="2" t="str">
        <x:v>Equipment and operation</x:v>
      </x:c>
      <x:c r="L175" s="2" t="str">
        <x:v>Floating agricultural systems is embodied mainly as an equipment-and-operation system. The deliverable is accepted only when measurable service, quality, safety and climate-performance criteria are met under real conditions.</x:v>
      </x:c>
      <x:c r="M175" s="2" t="str">
        <x:v>Yes, subject to life-cycle safeguards</x:v>
      </x:c>
      <x:c r="N175" s="2" t="str">
        <x:v>Floating agricultural systems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5" s="2" t="str">
        <x:v>Floating agricultural systems: resilient structural, drainage, transport, coastal or utility components; foundations, barriers, armour, geosynthetics, sensors and nature-based elements as applicable.</x:v>
      </x:c>
      <x:c r="P175" s="2" t="str">
        <x:v>Floating agricultural systems: climate-load and hazard analysis, structural or hydraulic modelling, geotechnical design, spatial planning, asset criticality, inspection and adaptation pathways.</x:v>
      </x:c>
      <x:c r="Q175" s="2" t="str">
        <x:v>Floating agricultural systems: building and infrastructure codes, zoning, permits, land acquisition or easements, maintenance responsibility, emergency access, environmental safeguards and community participation.</x:v>
      </x:c>
      <x:c r="R175" s="2" t="str">
        <x:v>Floating agricultural systems: site access, foundations, drainage, utility relocation, monitoring, construction staging, sediment or material supply and long-term maintenance corridors.</x:v>
      </x:c>
      <x:c r="S175" s="2" t="str">
        <x:v>Floating agricultural systems: construction fuel and electricity plus operational pumping, monitoring, lighting or active control; passive and ecosystem measures have lower operational demand.</x:v>
      </x:c>
      <x:c r="T175" s="2" t="str">
        <x:v>Floating agricultural systems: concrete, steel, stone, asphalt, timber, geotextiles, soil or sand, corrosion protection, vegetation and locally compatible fill.</x:v>
      </x:c>
      <x:c r="U175" s="2" t="str">
        <x:v>Floating agricultural systems: drainage and pump parts, expansion joints, fasteners, coatings, sensors, geotextile repair, replacement armour or fill and planting stock.</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https://www.ipcc.ch/srocc/chapter/chapter-4-sea-level-rise-and-implications-for-low-lying-islands-coasts-and-communities/; https://www.ipcc.ch/report/ar6/wg2/chapter/chapter-6/; https://www.unep.org/topics/climate-action/adaptation/ecosystem-based-adaptation</x:v>
      </x:c>
      <x:c r="Z175" s="2" t="str">
        <x:v>Technology-specific analytical synthesis. The CTCN hierarchy is retained; classifications and component dependencies require validation against the selected design, site and supplier documentation before investment or policy use.</x:v>
      </x:c>
      <x:c r="AA175" s="2" t="str">
        <x:v>Physical deployment of Floating agricultural systems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5" s="2" t="str">
        <x:v>For Floating agricultural systems,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5" s="2" t="str">
        <x:v>Construction and operation use concrete, steel, stone, asphalt, timber, geotextiles, soil or sand, corrosion protection, vegetation and locally compatible fill. For Floating agricultural systems, specifications must include durability, compatibility, recycled content and recoverability.</x:v>
      </x:c>
      <x:c r="AD175" s="2" t="str">
        <x:v>Maintenance of Floating agricultural systems depends on drainage and pump parts, expansion joints, fasteners, coatings, sensors, geotextile repair, replacement armour or fill and planting stock; critical spares are selected from failure-mode, lead-time and safety analysis for its installed configuration.</x:v>
      </x:c>
      <x:c r="AE175" s="2" t="str">
        <x:v>The software stack for Floating agricultural systems requires databases, secure communications, version-controlled models, computing, backup and interfaces with field or operational systems.</x:v>
      </x:c>
      <x:c r="AF175" s="2" t="str">
        <x:v>For Floating agricultural systems, software-related energy is electricity for sensing, computing, storage, communication and cooling; it is normally secondary but must be included for data-intensive or continuous services.</x:v>
      </x:c>
      <x:c r="AG175" s="2" t="str">
        <x:v>The non-physical inputs are calibrated data, metadata, algorithms, boundary conditions, emission or hazard factors, manuals and validation records specific to Floating agricultural systems.</x:v>
      </x:c>
      <x:c r="AH175" s="2" t="str">
        <x:v>Software continuity for Floating agricultural systems requires licences where applicable, updates, cybersecurity patches, backups, calibration files, model validation and technical support.</x:v>
      </x:c>
      <x:c r="AI175" s="2" t="str">
        <x:v>Orgware depends on the institutions, laboratories, training providers, regulators, operators and community interfaces needed to govern Floating agricultural systems.</x:v>
      </x:c>
      <x:c r="AJ175" s="2" t="str">
        <x:v>The orgware supporting Floating agricultural systems has mainly indirect energy use from offices, meetings, training and information systems; travel and field supervision may be material at dispersed sites.</x:v>
      </x:c>
      <x:c r="AK175" s="2" t="str">
        <x:v>Its organisational inputs are permits, budgets, trained staff, competence records, contracts, procedures, safeguards, monitoring evidence and stakeholder agreements tailored to Floating agricultural systems.</x:v>
      </x:c>
      <x:c r="AL175" s="2" t="str">
        <x:v>Sustained implementation of Floating agricultural systems requires procurement and service contracts, audit protocols, training material, reporting templates, insurance or guarantees and periodic independent review.</x:v>
      </x:c>
      <x:c r="AM175" s="2" t="str">
        <x:v>Iron ore / steel inputs</x:v>
      </x:c>
      <x:c r="AN175" s="2" t="str">
        <x:v>Australia; Brazil; China</x:v>
      </x:c>
      <x:c r="AO175" s="2" t="str">
        <x:v>China; India; Japan</x:v>
      </x:c>
      <x:c r="AP175" s="2" t="str">
        <x:v>Floating agricultural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5" s="2" t="str">
        <x:v>2024–2025</x:v>
      </x:c>
      <x:c r="AR175" s="2" t="str">
        <x:v>https://pubs.usgs.gov/periodicals/mcs2026/mcs2026.pdf</x:v>
      </x:c>
    </x:row>
    <x:row r="176" ht="240" customHeight="1">
      <x:c r="A176" s="2" t="str">
        <x:v>ADP-0169</x:v>
      </x:c>
      <x:c r="B176" s="2" t="str">
        <x:v>Adaptation</x:v>
      </x:c>
      <x:c r="C176" s="2" t="str">
        <x:v>Coastal Zones</x:v>
      </x:c>
      <x:c r="D176" s="2" t="str">
        <x:v>Accommodation</x:v>
      </x:c>
      <x:c r="E176" s="2" t="str">
        <x:v>Groundwater management</x:v>
      </x:c>
      <x:c r="F176" s="2" t="str">
        <x:v>Groundwater management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Groundwater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6" s="2" t="str">
        <x:v>Flexible</x:v>
      </x:c>
      <x:c r="H176" s="2" t="str">
        <x:v>Groundwater management is transferable through configurable methods, rules and operating parameters. Its principle remains the same, but resource quality, climate, scale, interfaces and safety constraints must be recalculated for each deployment.</x:v>
      </x:c>
      <x:c r="I176" s="2" t="str">
        <x:v>Primarily soft, with physical support</x:v>
      </x:c>
      <x:c r="J176" s="2" t="str">
        <x:v>Groundwater management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6" s="2" t="str">
        <x:v>Operation</x:v>
      </x:c>
      <x:c r="L176" s="2" t="str">
        <x:v>Groundwater management is embodied mainly as an operating practice. The deliverable is accepted only when measurable service, quality, safety and climate-performance criteria are met under real conditions.</x:v>
      </x:c>
      <x:c r="M176" s="2" t="str">
        <x:v>Yes, subject to life-cycle safeguards</x:v>
      </x:c>
      <x:c r="N176" s="2" t="str">
        <x:v>Groundwater management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6" s="2" t="str">
        <x:v>Groundwater management: resilient structural, drainage, transport, coastal or utility components; foundations, barriers, armour, geosynthetics, sensors and nature-based elements as applicable.</x:v>
      </x:c>
      <x:c r="P176" s="2" t="str">
        <x:v>Groundwater management: climate-load and hazard analysis, structural or hydraulic modelling, geotechnical design, spatial planning, asset criticality, inspection and adaptation pathways.</x:v>
      </x:c>
      <x:c r="Q176" s="2" t="str">
        <x:v>Groundwater management: building and infrastructure codes, zoning, permits, land acquisition or easements, maintenance responsibility, emergency access, environmental safeguards and community participation.</x:v>
      </x:c>
      <x:c r="R176" s="2" t="str">
        <x:v>Groundwater management: site access, foundations, drainage, utility relocation, monitoring, construction staging, sediment or material supply and long-term maintenance corridors.</x:v>
      </x:c>
      <x:c r="S176" s="2" t="str">
        <x:v>Groundwater management: construction fuel and electricity plus operational pumping, monitoring, lighting or active control; passive and ecosystem measures have lower operational demand.</x:v>
      </x:c>
      <x:c r="T176" s="2" t="str">
        <x:v>Groundwater management: concrete, steel, stone, asphalt, timber, geotextiles, soil or sand, corrosion protection, vegetation and locally compatible fill.</x:v>
      </x:c>
      <x:c r="U176" s="2" t="str">
        <x:v>Groundwater management: drainage and pump parts, expansion joints, fasteners, coatings, sensors, geotextile repair, replacement armour or fill and planting stock.</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https://www.ipcc.ch/srocc/chapter/chapter-4-sea-level-rise-and-implications-for-low-lying-islands-coasts-and-communities/; https://www.ipcc.ch/report/ar6/wg2/chapter/chapter-6/; https://www.unep.org/topics/climate-action/adaptation/ecosystem-based-adaptation</x:v>
      </x:c>
      <x:c r="Z176" s="2" t="str">
        <x:v>Technology-specific analytical synthesis. The CTCN hierarchy is retained; classifications and component dependencies require validation against the selected design, site and supplier documentation before investment or policy use.</x:v>
      </x:c>
      <x:c r="AA176" s="2" t="str">
        <x:v>Physical deployment of Groundwater management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6" s="2" t="str">
        <x:v>For Groundwater management,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6" s="2" t="str">
        <x:v>Construction and operation use concrete, steel, stone, asphalt, timber, geotextiles, soil or sand, corrosion protection, vegetation and locally compatible fill. For Groundwater management, specifications must include durability, compatibility, recycled content and recoverability.</x:v>
      </x:c>
      <x:c r="AD176" s="2" t="str">
        <x:v>Maintenance of Groundwater management depends on drainage and pump parts, expansion joints, fasteners, coatings, sensors, geotextile repair, replacement armour or fill and planting stock; critical spares are selected from failure-mode, lead-time and safety analysis for its installed configuration.</x:v>
      </x:c>
      <x:c r="AE176" s="2" t="str">
        <x:v>The software stack for Groundwater management requires databases, secure communications, version-controlled models, computing, backup and interfaces with field or operational systems.</x:v>
      </x:c>
      <x:c r="AF176" s="2" t="str">
        <x:v>For Groundwater management, software-related energy is electricity for sensing, computing, storage, communication and cooling; it is normally secondary but must be included for data-intensive or continuous services.</x:v>
      </x:c>
      <x:c r="AG176" s="2" t="str">
        <x:v>The non-physical inputs are calibrated data, metadata, algorithms, boundary conditions, emission or hazard factors, manuals and validation records specific to Groundwater management.</x:v>
      </x:c>
      <x:c r="AH176" s="2" t="str">
        <x:v>Software continuity for Groundwater management requires licences where applicable, updates, cybersecurity patches, backups, calibration files, model validation and technical support.</x:v>
      </x:c>
      <x:c r="AI176" s="2" t="str">
        <x:v>Orgware depends on the institutions, laboratories, training providers, regulators, operators and community interfaces needed to govern Groundwater management.</x:v>
      </x:c>
      <x:c r="AJ176" s="2" t="str">
        <x:v>The orgware supporting Groundwater management has mainly indirect energy use from offices, meetings, training and information systems; travel and field supervision may be material at dispersed sites.</x:v>
      </x:c>
      <x:c r="AK176" s="2" t="str">
        <x:v>Its organisational inputs are permits, budgets, trained staff, competence records, contracts, procedures, safeguards, monitoring evidence and stakeholder agreements tailored to Groundwater management.</x:v>
      </x:c>
      <x:c r="AL176" s="2" t="str">
        <x:v>Sustained implementation of Groundwater management requires procurement and service contracts, audit protocols, training material, reporting templates, insurance or guarantees and periodic independent review.</x:v>
      </x:c>
      <x:c r="AM176" s="2" t="str">
        <x:v>No critical or strategic raw material is identifiable at taxonomy level; site-specific bulk materials may still be required.</x:v>
      </x:c>
      <x:c r="AN176" s="2" t="str"/>
      <x:c r="AO176" s="2" t="str"/>
      <x:c r="AP176" s="2" t="str">
        <x:v>Groundwater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6" s="2" t="str">
        <x:v>2024–2025</x:v>
      </x:c>
      <x:c r="AR176" s="2" t="str">
        <x:v>https://pubs.usgs.gov/periodicals/mcs2026/mcs2026.pdf</x:v>
      </x:c>
    </x:row>
    <x:row r="177" ht="240" customHeight="1">
      <x:c r="A177" s="2" t="str">
        <x:v>ADP-0170</x:v>
      </x:c>
      <x:c r="B177" s="2" t="str">
        <x:v>Adaptation</x:v>
      </x:c>
      <x:c r="C177" s="2" t="str">
        <x:v>Coastal Zones</x:v>
      </x:c>
      <x:c r="D177" s="2" t="str">
        <x:v>Accommodation</x:v>
      </x:c>
      <x:c r="E177" s="2" t="str">
        <x:v>Flood warning systems</x:v>
      </x:c>
      <x:c r="F177" s="2" t="str">
        <x:v>Flood warning systems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It links monitored variables and forecasts to pre-agreed, impact-based thresholds; authorised messages trigger preparedness and response through redundant, accessible communication channels.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7" s="2" t="str">
        <x:v>Mixed: adaptable design, site-specific implementation</x:v>
      </x:c>
      <x:c r="H177" s="2" t="str">
        <x:v>Flood warning systems is adaptable in capacity and configuration but site-specific in final engineering. Its principle remains the same, but resource quality, climate, scale, interfaces and safety constraints must be recalculated for each deployment.</x:v>
      </x:c>
      <x:c r="I177" s="2" t="str">
        <x:v>Primarily hard, with a soft component</x:v>
      </x:c>
      <x:c r="J177" s="2" t="str">
        <x:v>Flood warning systems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7" s="2" t="str">
        <x:v>Equipment and operation</x:v>
      </x:c>
      <x:c r="L177" s="2" t="str">
        <x:v>Flood warning systems is embodied mainly as an equipment-and-operation system. The deliverable is accepted only when measurable service, quality, safety and climate-performance criteria are met under real conditions.</x:v>
      </x:c>
      <x:c r="M177" s="2" t="str">
        <x:v>Yes, subject to life-cycle safeguards</x:v>
      </x:c>
      <x:c r="N177" s="2" t="str">
        <x:v>Flood warning systems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7" s="2" t="str">
        <x:v>Flood warning systems: resilient structural, drainage, transport, coastal or utility components; foundations, barriers, armour, geosynthetics, sensors and nature-based elements as applicable.</x:v>
      </x:c>
      <x:c r="P177" s="2" t="str">
        <x:v>Flood warning systems: climate-load and hazard analysis, structural or hydraulic modelling, geotechnical design, spatial planning, asset criticality, inspection and adaptation pathways.</x:v>
      </x:c>
      <x:c r="Q177" s="2" t="str">
        <x:v>Flood warning systems: building and infrastructure codes, zoning, permits, land acquisition or easements, maintenance responsibility, emergency access, environmental safeguards and community participation.</x:v>
      </x:c>
      <x:c r="R177" s="2" t="str">
        <x:v>Flood warning systems: site access, foundations, drainage, utility relocation, monitoring, construction staging, sediment or material supply and long-term maintenance corridors.</x:v>
      </x:c>
      <x:c r="S177" s="2" t="str">
        <x:v>Flood warning systems: construction fuel and electricity plus operational pumping, monitoring, lighting or active control; passive and ecosystem measures have lower operational demand.</x:v>
      </x:c>
      <x:c r="T177" s="2" t="str">
        <x:v>Flood warning systems: concrete, steel, stone, asphalt, timber, geotextiles, soil or sand, corrosion protection, vegetation and locally compatible fill.</x:v>
      </x:c>
      <x:c r="U177" s="2" t="str">
        <x:v>Flood warning systems: drainage and pump parts, expansion joints, fasteners, coatings, sensors, geotextile repair, replacement armour or fill and planting stock.</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https://www.ipcc.ch/srocc/chapter/chapter-4-sea-level-rise-and-implications-for-low-lying-islands-coasts-and-communities/; https://www.ipcc.ch/report/ar6/wg2/chapter/chapter-6/; https://www.unep.org/topics/climate-action/adaptation/ecosystem-based-adaptation</x:v>
      </x:c>
      <x:c r="Z177" s="2" t="str">
        <x:v>Technology-specific analytical synthesis. The CTCN hierarchy is retained; classifications and component dependencies require validation against the selected design, site and supplier documentation before investment or policy use.</x:v>
      </x:c>
      <x:c r="AA177" s="2" t="str">
        <x:v>Physical deployment of Flood warning systems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7" s="2" t="str">
        <x:v>For Flood warning systems,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7" s="2" t="str">
        <x:v>Construction and operation use concrete, steel, stone, asphalt, timber, geotextiles, soil or sand, corrosion protection, vegetation and locally compatible fill. For Flood warning systems, specifications must include durability, compatibility, recycled content and recoverability.</x:v>
      </x:c>
      <x:c r="AD177" s="2" t="str">
        <x:v>Maintenance of Flood warning systems depends on drainage and pump parts, expansion joints, fasteners, coatings, sensors, geotextile repair, replacement armour or fill and planting stock; critical spares are selected from failure-mode, lead-time and safety analysis for its installed configuration.</x:v>
      </x:c>
      <x:c r="AE177" s="2" t="str">
        <x:v>The software stack for Flood warning systems requires databases, secure communications, version-controlled models, computing, backup and interfaces with field or operational systems.</x:v>
      </x:c>
      <x:c r="AF177" s="2" t="str">
        <x:v>For Flood warning systems, software-related energy is electricity for sensing, computing, storage, communication and cooling; it is normally secondary but must be included for data-intensive or continuous services.</x:v>
      </x:c>
      <x:c r="AG177" s="2" t="str">
        <x:v>The non-physical inputs are calibrated data, metadata, algorithms, boundary conditions, emission or hazard factors, manuals and validation records specific to Flood warning systems.</x:v>
      </x:c>
      <x:c r="AH177" s="2" t="str">
        <x:v>Software continuity for Flood warning systems requires licences where applicable, updates, cybersecurity patches, backups, calibration files, model validation and technical support.</x:v>
      </x:c>
      <x:c r="AI177" s="2" t="str">
        <x:v>Orgware depends on the institutions, laboratories, training providers, regulators, operators and community interfaces needed to govern Flood warning systems.</x:v>
      </x:c>
      <x:c r="AJ177" s="2" t="str">
        <x:v>The orgware supporting Flood warning systems has mainly indirect energy use from offices, meetings, training and information systems; travel and field supervision may be material at dispersed sites.</x:v>
      </x:c>
      <x:c r="AK177" s="2" t="str">
        <x:v>Its organisational inputs are permits, budgets, trained staff, competence records, contracts, procedures, safeguards, monitoring evidence and stakeholder agreements tailored to Flood warning systems.</x:v>
      </x:c>
      <x:c r="AL177" s="2" t="str">
        <x:v>Sustained implementation of Flood warning systems requires procurement and service contracts, audit protocols, training material, reporting templates, insurance or guarantees and periodic independent review.</x:v>
      </x:c>
      <x:c r="AM177" s="2" t="str">
        <x:v>Iron ore / steel inputs</x:v>
      </x:c>
      <x:c r="AN177" s="2" t="str">
        <x:v>Australia; Brazil; China</x:v>
      </x:c>
      <x:c r="AO177" s="2" t="str">
        <x:v>China; India; Japan</x:v>
      </x:c>
      <x:c r="AP177" s="2" t="str">
        <x:v>Flood warning systems: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7" s="2" t="str">
        <x:v>2024–2025</x:v>
      </x:c>
      <x:c r="AR177" s="2" t="str">
        <x:v>https://pubs.usgs.gov/periodicals/mcs2026/mcs2026.pdf</x:v>
      </x:c>
    </x:row>
    <x:row r="178" ht="240" customHeight="1">
      <x:c r="A178" s="2" t="str">
        <x:v>ADP-0171</x:v>
      </x:c>
      <x:c r="B178" s="2" t="str">
        <x:v>Adaptation</x:v>
      </x:c>
      <x:c r="C178" s="2" t="str">
        <x:v>Coastal Zones</x:v>
      </x:c>
      <x:c r="D178" s="2" t="str">
        <x:v>Accommodation</x:v>
      </x:c>
      <x:c r="E178" s="2" t="str">
        <x:v>Coastal zoning</x:v>
      </x:c>
      <x:c r="F178" s="2" t="str">
        <x:v>Coastal zoning is a adaptation technology in the Coastal Zones sector and the Accommodation technology group. It is defined as a combined hardware–software–orgware system that reduces exposure and physical vulnerability through resilient siting, design loads, protective structures, adaptable construction, ecosystem buffers and planned management of residual risk. Coastal zoning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8" s="2" t="str">
        <x:v>Flexible</x:v>
      </x:c>
      <x:c r="H178" s="2" t="str">
        <x:v>Coastal zoning is transferable through configurable methods, rules and operating parameters. Its principle remains the same, but resource quality, climate, scale, interfaces and safety constraints must be recalculated for each deployment.</x:v>
      </x:c>
      <x:c r="I178" s="2" t="str">
        <x:v>Primarily soft, with physical support</x:v>
      </x:c>
      <x:c r="J178" s="2" t="str">
        <x:v>Coastal zoning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8" s="2" t="str">
        <x:v>Operation</x:v>
      </x:c>
      <x:c r="L178" s="2" t="str">
        <x:v>Coastal zoning is embodied mainly as an operating practice. The deliverable is accepted only when measurable service, quality, safety and climate-performance criteria are met under real conditions.</x:v>
      </x:c>
      <x:c r="M178" s="2" t="str">
        <x:v>Yes, subject to life-cycle safeguards</x:v>
      </x:c>
      <x:c r="N178" s="2" t="str">
        <x:v>Coastal zoning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8" s="2" t="str">
        <x:v>Coastal zoning: resilient structural, drainage, transport, coastal or utility components; foundations, barriers, armour, geosynthetics, sensors and nature-based elements as applicable.</x:v>
      </x:c>
      <x:c r="P178" s="2" t="str">
        <x:v>Coastal zoning: climate-load and hazard analysis, structural or hydraulic modelling, geotechnical design, spatial planning, asset criticality, inspection and adaptation pathways.</x:v>
      </x:c>
      <x:c r="Q178" s="2" t="str">
        <x:v>Coastal zoning: building and infrastructure codes, zoning, permits, land acquisition or easements, maintenance responsibility, emergency access, environmental safeguards and community participation.</x:v>
      </x:c>
      <x:c r="R178" s="2" t="str">
        <x:v>Coastal zoning: site access, foundations, drainage, utility relocation, monitoring, construction staging, sediment or material supply and long-term maintenance corridors.</x:v>
      </x:c>
      <x:c r="S178" s="2" t="str">
        <x:v>Coastal zoning: construction fuel and electricity plus operational pumping, monitoring, lighting or active control; passive and ecosystem measures have lower operational demand.</x:v>
      </x:c>
      <x:c r="T178" s="2" t="str">
        <x:v>Coastal zoning: concrete, steel, stone, asphalt, timber, geotextiles, soil or sand, corrosion protection, vegetation and locally compatible fill.</x:v>
      </x:c>
      <x:c r="U178" s="2" t="str">
        <x:v>Coastal zoning: drainage and pump parts, expansion joints, fasteners, coatings, sensors, geotextile repair, replacement armour or fill and planting stock.</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https://www.ipcc.ch/srocc/chapter/chapter-4-sea-level-rise-and-implications-for-low-lying-islands-coasts-and-communities/; https://www.ipcc.ch/report/ar6/wg2/chapter/chapter-6/; https://www.unep.org/topics/climate-action/adaptation/ecosystem-based-adaptation</x:v>
      </x:c>
      <x:c r="Z178" s="2" t="str">
        <x:v>Technology-specific analytical synthesis. The CTCN hierarchy is retained; classifications and component dependencies require validation against the selected design, site and supplier documentation before investment or policy use.</x:v>
      </x:c>
      <x:c r="AA178" s="2" t="str">
        <x:v>Physical deployment of Coastal zoning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8" s="2" t="str">
        <x:v>For Coastal zoning,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8" s="2" t="str">
        <x:v>Construction and operation use concrete, steel, stone, asphalt, timber, geotextiles, soil or sand, corrosion protection, vegetation and locally compatible fill. For Coastal zoning, specifications must include durability, compatibility, recycled content and recoverability.</x:v>
      </x:c>
      <x:c r="AD178" s="2" t="str">
        <x:v>Maintenance of Coastal zoning depends on drainage and pump parts, expansion joints, fasteners, coatings, sensors, geotextile repair, replacement armour or fill and planting stock; critical spares are selected from failure-mode, lead-time and safety analysis for its installed configuration.</x:v>
      </x:c>
      <x:c r="AE178" s="2" t="str">
        <x:v>The software stack for Coastal zoning requires databases, secure communications, version-controlled models, computing, backup and interfaces with field or operational systems.</x:v>
      </x:c>
      <x:c r="AF178" s="2" t="str">
        <x:v>For Coastal zoning, software-related energy is electricity for sensing, computing, storage, communication and cooling; it is normally secondary but must be included for data-intensive or continuous services.</x:v>
      </x:c>
      <x:c r="AG178" s="2" t="str">
        <x:v>The non-physical inputs are calibrated data, metadata, algorithms, boundary conditions, emission or hazard factors, manuals and validation records specific to Coastal zoning.</x:v>
      </x:c>
      <x:c r="AH178" s="2" t="str">
        <x:v>Software continuity for Coastal zoning requires licences where applicable, updates, cybersecurity patches, backups, calibration files, model validation and technical support.</x:v>
      </x:c>
      <x:c r="AI178" s="2" t="str">
        <x:v>Orgware depends on the institutions, laboratories, training providers, regulators, operators and community interfaces needed to govern Coastal zoning.</x:v>
      </x:c>
      <x:c r="AJ178" s="2" t="str">
        <x:v>The orgware supporting Coastal zoning has mainly indirect energy use from offices, meetings, training and information systems; travel and field supervision may be material at dispersed sites.</x:v>
      </x:c>
      <x:c r="AK178" s="2" t="str">
        <x:v>Its organisational inputs are permits, budgets, trained staff, competence records, contracts, procedures, safeguards, monitoring evidence and stakeholder agreements tailored to Coastal zoning.</x:v>
      </x:c>
      <x:c r="AL178" s="2" t="str">
        <x:v>Sustained implementation of Coastal zoning requires procurement and service contracts, audit protocols, training material, reporting templates, insurance or guarantees and periodic independent review.</x:v>
      </x:c>
      <x:c r="AM178" s="2" t="str">
        <x:v>Iron ore / steel inputs; Nickel; Chromium; Zinc</x:v>
      </x:c>
      <x:c r="AN178" s="2" t="str">
        <x:v>Australia; Brazil; China; Indonesia; Philippines; Russia; South Africa; Kazakhstan; Turkey; Peru</x:v>
      </x:c>
      <x:c r="AO178" s="2" t="str">
        <x:v>China; India; Japan; Indonesia; South Africa; Kazakhstan; South Korea</x:v>
      </x:c>
      <x:c r="AP178" s="2" t="str">
        <x:v>Coastal zoning: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8" s="2" t="str">
        <x:v>2024–2025</x:v>
      </x:c>
      <x:c r="AR178" s="2" t="str">
        <x:v>https://pubs.usgs.gov/periodicals/mcs2026/mcs2026.pdf; https://www.iea.org/reports/global-critical-minerals-outlook-2025</x:v>
      </x:c>
    </x:row>
    <x:row r="179" ht="240" customHeight="1">
      <x:c r="A179" s="2" t="str">
        <x:v>ADP-0172</x:v>
      </x:c>
      <x:c r="B179" s="2" t="str">
        <x:v>Adaptation</x:v>
      </x:c>
      <x:c r="C179" s="2" t="str">
        <x:v>Coastal Zones</x:v>
      </x:c>
      <x:c r="D179" s="2" t="str">
        <x:v>Integrated coastal zone management</x:v>
      </x:c>
      <x:c r="E179" s="2" t="str">
        <x:v>Sediment management</x:v>
      </x:c>
      <x:c r="F179" s="2" t="str">
        <x:v>Sediment management is a adaptation technology in the Coastal Zones sector and the Integrated coastal zone management technology group. It is defined as a combined hardware–software–orgware system that reduces exposure and physical vulnerability through resilient siting, design loads, protective structures, adaptable construction, ecosystem buffers and planned management of residual risk. Sediment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79" s="2" t="str">
        <x:v>Flexible</x:v>
      </x:c>
      <x:c r="H179" s="2" t="str">
        <x:v>Sediment management is transferable through configurable methods, rules and operating parameters. Its principle remains the same, but resource quality, climate, scale, interfaces and safety constraints must be recalculated for each deployment.</x:v>
      </x:c>
      <x:c r="I179" s="2" t="str">
        <x:v>Primarily soft, with physical support</x:v>
      </x:c>
      <x:c r="J179" s="2" t="str">
        <x:v>Sediment management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79" s="2" t="str">
        <x:v>Operation</x:v>
      </x:c>
      <x:c r="L179" s="2" t="str">
        <x:v>Sediment management is embodied mainly as an operating practice. The deliverable is accepted only when measurable service, quality, safety and climate-performance criteria are met under real conditions.</x:v>
      </x:c>
      <x:c r="M179" s="2" t="str">
        <x:v>Yes, subject to life-cycle safeguards</x:v>
      </x:c>
      <x:c r="N179" s="2" t="str">
        <x:v>Sediment management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79" s="2" t="str">
        <x:v>Sediment management: resilient structural, drainage, transport, coastal or utility components; foundations, barriers, armour, geosynthetics, sensors and nature-based elements as applicable.</x:v>
      </x:c>
      <x:c r="P179" s="2" t="str">
        <x:v>Sediment management: climate-load and hazard analysis, structural or hydraulic modelling, geotechnical design, spatial planning, asset criticality, inspection and adaptation pathways.</x:v>
      </x:c>
      <x:c r="Q179" s="2" t="str">
        <x:v>Sediment management: building and infrastructure codes, zoning, permits, land acquisition or easements, maintenance responsibility, emergency access, environmental safeguards and community participation.</x:v>
      </x:c>
      <x:c r="R179" s="2" t="str">
        <x:v>Sediment management: site access, foundations, drainage, utility relocation, monitoring, construction staging, sediment or material supply and long-term maintenance corridors.</x:v>
      </x:c>
      <x:c r="S179" s="2" t="str">
        <x:v>Sediment management: construction fuel and electricity plus operational pumping, monitoring, lighting or active control; passive and ecosystem measures have lower operational demand.</x:v>
      </x:c>
      <x:c r="T179" s="2" t="str">
        <x:v>Sediment management: concrete, steel, stone, asphalt, timber, geotextiles, soil or sand, corrosion protection, vegetation and locally compatible fill.</x:v>
      </x:c>
      <x:c r="U179" s="2" t="str">
        <x:v>Sediment management: drainage and pump parts, expansion joints, fasteners, coatings, sensors, geotextile repair, replacement armour or fill and planting stock.</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https://www.ipcc.ch/srocc/chapter/chapter-4-sea-level-rise-and-implications-for-low-lying-islands-coasts-and-communities/; https://www.ipcc.ch/report/ar6/wg2/chapter/chapter-6/; https://www.unep.org/topics/climate-action/adaptation/ecosystem-based-adaptation</x:v>
      </x:c>
      <x:c r="Z179" s="2" t="str">
        <x:v>Technology-specific analytical synthesis. The CTCN hierarchy is retained; classifications and component dependencies require validation against the selected design, site and supplier documentation before investment or policy use.</x:v>
      </x:c>
      <x:c r="AA179" s="2" t="str">
        <x:v>Physical deployment of Sediment management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179" s="2" t="str">
        <x:v>For Sediment management,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79" s="2" t="str">
        <x:v>Construction and operation use concrete, steel, stone, asphalt, timber, geotextiles, soil or sand, corrosion protection, vegetation and locally compatible fill. For Sediment management, specifications must include durability, compatibility, recycled content and recoverability.</x:v>
      </x:c>
      <x:c r="AD179" s="2" t="str">
        <x:v>Maintenance of Sediment management depends on drainage and pump parts, expansion joints, fasteners, coatings, sensors, geotextile repair, replacement armour or fill and planting stock; critical spares are selected from failure-mode, lead-time and safety analysis for its installed configuration.</x:v>
      </x:c>
      <x:c r="AE179" s="2" t="str">
        <x:v>The software stack for Sediment management requires databases, secure communications, version-controlled models, computing, backup and interfaces with field or operational systems.</x:v>
      </x:c>
      <x:c r="AF179" s="2" t="str">
        <x:v>For Sediment management, software-related energy is electricity for sensing, computing, storage, communication and cooling; it is normally secondary but must be included for data-intensive or continuous services.</x:v>
      </x:c>
      <x:c r="AG179" s="2" t="str">
        <x:v>The non-physical inputs are calibrated data, metadata, algorithms, boundary conditions, emission or hazard factors, manuals and validation records specific to Sediment management.</x:v>
      </x:c>
      <x:c r="AH179" s="2" t="str">
        <x:v>Software continuity for Sediment management requires licences where applicable, updates, cybersecurity patches, backups, calibration files, model validation and technical support.</x:v>
      </x:c>
      <x:c r="AI179" s="2" t="str">
        <x:v>Orgware depends on the institutions, laboratories, training providers, regulators, operators and community interfaces needed to govern Sediment management.</x:v>
      </x:c>
      <x:c r="AJ179" s="2" t="str">
        <x:v>The orgware supporting Sediment management has mainly indirect energy use from offices, meetings, training and information systems; travel and field supervision may be material at dispersed sites.</x:v>
      </x:c>
      <x:c r="AK179" s="2" t="str">
        <x:v>Its organisational inputs are permits, budgets, trained staff, competence records, contracts, procedures, safeguards, monitoring evidence and stakeholder agreements tailored to Sediment management.</x:v>
      </x:c>
      <x:c r="AL179" s="2" t="str">
        <x:v>Sustained implementation of Sediment management requires procurement and service contracts, audit protocols, training material, reporting templates, insurance or guarantees and periodic independent review.</x:v>
      </x:c>
      <x:c r="AM179" s="2" t="str">
        <x:v>Nickel; Chromium; Zinc</x:v>
      </x:c>
      <x:c r="AN179" s="2" t="str">
        <x:v>Indonesia; Philippines; Russia; South Africa; Kazakhstan; Turkey; China; Peru; Australia</x:v>
      </x:c>
      <x:c r="AO179" s="2" t="str">
        <x:v>China; Indonesia; Japan; South Africa; Kazakhstan; South Korea; India</x:v>
      </x:c>
      <x:c r="AP179" s="2" t="str">
        <x:v>Sediment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79" s="2" t="str">
        <x:v>2024–2025</x:v>
      </x:c>
      <x:c r="AR179" s="2" t="str">
        <x:v>https://www.iea.org/reports/global-critical-minerals-outlook-2025; https://pubs.usgs.gov/periodicals/mcs2026/mcs2026.pdf</x:v>
      </x:c>
    </x:row>
    <x:row r="180" ht="240" customHeight="1">
      <x:c r="A180" s="2" t="str">
        <x:v>ADP-0173</x:v>
      </x:c>
      <x:c r="B180" s="2" t="str">
        <x:v>Adaptation</x:v>
      </x:c>
      <x:c r="C180" s="2" t="str">
        <x:v>Coastal Zones</x:v>
      </x:c>
      <x:c r="D180" s="2" t="str">
        <x:v>Integrated coastal zone management</x:v>
      </x:c>
      <x:c r="E180" s="2" t="str">
        <x:v>Restoration and protection of coral reefs</x:v>
      </x:c>
      <x:c r="F180" s="2" t="str">
        <x:v>Restoration and protection of coral reefs is a adaptation technology in the Coastal Zones sector and the Integrated coastal zone management technology group. It is defined as a combined hardware–software–orgware system that reduces exposure and physical vulnerability through resilient siting, design loads, protective structures, adaptable construction, ecosystem buffers and planned management of residual risk.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0" s="2" t="str">
        <x:v>Flexible</x:v>
      </x:c>
      <x:c r="H180" s="2" t="str">
        <x:v>Restoration and protection of coral reefs is transferable through configurable methods, rules and operating parameters. Its principle remains the same, but resource quality, climate, scale, interfaces and safety constraints must be recalculated for each deployment.</x:v>
      </x:c>
      <x:c r="I180" s="2" t="str">
        <x:v>Primarily soft, with physical support</x:v>
      </x:c>
      <x:c r="J180" s="2" t="str">
        <x:v>Restoration and protection of coral reefs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0" s="2" t="str">
        <x:v>Operation</x:v>
      </x:c>
      <x:c r="L180" s="2" t="str">
        <x:v>Restoration and protection of coral reefs is embodied mainly as an operating practice. The deliverable is accepted only when measurable service, quality, safety and climate-performance criteria are met under real conditions.</x:v>
      </x:c>
      <x:c r="M180" s="2" t="str">
        <x:v>Yes, subject to life-cycle safeguards</x:v>
      </x:c>
      <x:c r="N180" s="2" t="str">
        <x:v>Restoration and protection of coral reefs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0" s="2" t="str">
        <x:v>Restoration and protection of coral reefs: resilient structural, drainage, transport, coastal or utility components; foundations, barriers, armour, geosynthetics, sensors and nature-based elements as applicable.</x:v>
      </x:c>
      <x:c r="P180" s="2" t="str">
        <x:v>Restoration and protection of coral reefs: climate-load and hazard analysis, structural or hydraulic modelling, geotechnical design, spatial planning, asset criticality, inspection and adaptation pathways.</x:v>
      </x:c>
      <x:c r="Q180" s="2" t="str">
        <x:v>Restoration and protection of coral reefs: building and infrastructure codes, zoning, permits, land acquisition or easements, maintenance responsibility, emergency access, environmental safeguards and community participation.</x:v>
      </x:c>
      <x:c r="R180" s="2" t="str">
        <x:v>Restoration and protection of coral reefs: site access, foundations, drainage, utility relocation, monitoring, construction staging, sediment or material supply and long-term maintenance corridors.</x:v>
      </x:c>
      <x:c r="S180" s="2" t="str">
        <x:v>Restoration and protection of coral reefs: construction fuel and electricity plus operational pumping, monitoring, lighting or active control; passive and ecosystem measures have lower operational demand.</x:v>
      </x:c>
      <x:c r="T180" s="2" t="str">
        <x:v>Restoration and protection of coral reefs: concrete, steel, stone, asphalt, timber, geotextiles, soil or sand, corrosion protection, vegetation and locally compatible fill.</x:v>
      </x:c>
      <x:c r="U180" s="2" t="str">
        <x:v>Restoration and protection of coral reefs: drainage and pump parts, expansion joints, fasteners, coatings, sensors, geotextile repair, replacement armour or fill and planting stock.</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https://www.ipcc.ch/srocc/chapter/chapter-4-sea-level-rise-and-implications-for-low-lying-islands-coasts-and-communities/; https://www.ipcc.ch/report/ar6/wg2/chapter/chapter-6/; https://www.unep.org/topics/climate-action/adaptation/ecosystem-based-adaptation</x:v>
      </x:c>
      <x:c r="Z180" s="2" t="str">
        <x:v>Technology-specific analytical synthesis. The CTCN hierarchy is retained; classifications and component dependencies require validation against the selected design, site and supplier documentation before investment or policy use.</x:v>
      </x:c>
      <x:c r="AA180" s="2" t="str">
        <x:v>Physical deployment of Restoration and protection of coral reefs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0" s="2" t="str">
        <x:v>For Restoration and protection of coral reefs,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0" s="2" t="str">
        <x:v>Construction and operation use concrete, steel, stone, asphalt, timber, geotextiles, soil or sand, corrosion protection, vegetation and locally compatible fill. For Restoration and protection of coral reefs, specifications must include durability, compatibility, recycled content and recoverability.</x:v>
      </x:c>
      <x:c r="AD180" s="2" t="str">
        <x:v>Maintenance of Restoration and protection of coral reefs depends on drainage and pump parts, expansion joints, fasteners, coatings, sensors, geotextile repair, replacement armour or fill and planting stock; critical spares are selected from failure-mode, lead-time and safety analysis for its installed configuration.</x:v>
      </x:c>
      <x:c r="AE180" s="2" t="str">
        <x:v>The software stack for Restoration and protection of coral reefs requires databases, secure communications, version-controlled models, computing, backup and interfaces with field or operational systems.</x:v>
      </x:c>
      <x:c r="AF180" s="2" t="str">
        <x:v>For Restoration and protection of coral reefs, software-related energy is electricity for sensing, computing, storage, communication and cooling; it is normally secondary but must be included for data-intensive or continuous services.</x:v>
      </x:c>
      <x:c r="AG180" s="2" t="str">
        <x:v>The non-physical inputs are calibrated data, metadata, algorithms, boundary conditions, emission or hazard factors, manuals and validation records specific to Restoration and protection of coral reefs.</x:v>
      </x:c>
      <x:c r="AH180" s="2" t="str">
        <x:v>Software continuity for Restoration and protection of coral reefs requires licences where applicable, updates, cybersecurity patches, backups, calibration files, model validation and technical support.</x:v>
      </x:c>
      <x:c r="AI180" s="2" t="str">
        <x:v>Orgware depends on the institutions, laboratories, training providers, regulators, operators and community interfaces needed to govern Restoration and protection of coral reefs.</x:v>
      </x:c>
      <x:c r="AJ180" s="2" t="str">
        <x:v>The orgware supporting Restoration and protection of coral reefs has mainly indirect energy use from offices, meetings, training and information systems; travel and field supervision may be material at dispersed sites.</x:v>
      </x:c>
      <x:c r="AK180" s="2" t="str">
        <x:v>Its organisational inputs are permits, budgets, trained staff, competence records, contracts, procedures, safeguards, monitoring evidence and stakeholder agreements tailored to Restoration and protection of coral reefs.</x:v>
      </x:c>
      <x:c r="AL180" s="2" t="str">
        <x:v>Sustained implementation of Restoration and protection of coral reefs requires procurement and service contracts, audit protocols, training material, reporting templates, insurance or guarantees and periodic independent review.</x:v>
      </x:c>
      <x:c r="AM180" s="2" t="str">
        <x:v>Iron ore / steel inputs; Nickel; Chromium; Zinc</x:v>
      </x:c>
      <x:c r="AN180" s="2" t="str">
        <x:v>Australia; Brazil; China; Indonesia; Philippines; Russia; South Africa; Kazakhstan; Turkey; Peru</x:v>
      </x:c>
      <x:c r="AO180" s="2" t="str">
        <x:v>China; India; Japan; Indonesia; South Africa; Kazakhstan; South Korea</x:v>
      </x:c>
      <x:c r="AP180" s="2" t="str">
        <x:v>Restoration and protection of coral reefs: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0" s="2" t="str">
        <x:v>2024–2025</x:v>
      </x:c>
      <x:c r="AR180" s="2" t="str">
        <x:v>https://pubs.usgs.gov/periodicals/mcs2026/mcs2026.pdf; https://www.iea.org/reports/global-critical-minerals-outlook-2025</x:v>
      </x:c>
    </x:row>
    <x:row r="181" ht="240" customHeight="1">
      <x:c r="A181" s="2" t="str">
        <x:v>ADP-0174</x:v>
      </x:c>
      <x:c r="B181" s="2" t="str">
        <x:v>Adaptation</x:v>
      </x:c>
      <x:c r="C181" s="2" t="str">
        <x:v>Coastal Zones</x:v>
      </x:c>
      <x:c r="D181" s="2" t="str">
        <x:v>Integrated coastal zone management</x:v>
      </x:c>
      <x:c r="E181" s="2" t="str">
        <x:v>Coastal monitoring</x:v>
      </x:c>
      <x:c r="F181" s="2" t="str">
        <x:v>Coastal monitoring is a adaptation technology in the Coastal Zones sector and the Integrated coastal zone management technology group. It is defined as a combined hardware–software–orgware system that reduces exposure and physical vulnerability through resilient siting, design loads, protective structures, adaptable construction, ecosystem buffers and planned management of residual risk. Coastal monitoring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1" s="2" t="str">
        <x:v>Flexible</x:v>
      </x:c>
      <x:c r="H181" s="2" t="str">
        <x:v>Coastal monitoring is transferable through configurable methods, rules and operating parameters. Its principle remains the same, but resource quality, climate, scale, interfaces and safety constraints must be recalculated for each deployment.</x:v>
      </x:c>
      <x:c r="I181" s="2" t="str">
        <x:v>Hard and soft</x:v>
      </x:c>
      <x:c r="J181" s="2" t="str">
        <x:v>Coastal monitoring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1" s="2" t="str">
        <x:v>Operation and information service</x:v>
      </x:c>
      <x:c r="L181" s="2" t="str">
        <x:v>Coastal monitoring is embodied mainly as an information and decision service. The deliverable is accepted only when measurable service, quality, safety and climate-performance criteria are met under real conditions.</x:v>
      </x:c>
      <x:c r="M181" s="2" t="str">
        <x:v>Yes, subject to life-cycle safeguards</x:v>
      </x:c>
      <x:c r="N181" s="2" t="str">
        <x:v>Coastal monitoring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1" s="2" t="str">
        <x:v>Coastal monitoring: resilient structural, drainage, transport, coastal or utility components; foundations, barriers, armour, geosynthetics, sensors and nature-based elements as applicable.</x:v>
      </x:c>
      <x:c r="P181" s="2" t="str">
        <x:v>Coastal monitoring: climate-load and hazard analysis, structural or hydraulic modelling, geotechnical design, spatial planning, asset criticality, inspection and adaptation pathways.</x:v>
      </x:c>
      <x:c r="Q181" s="2" t="str">
        <x:v>Coastal monitoring: building and infrastructure codes, zoning, permits, land acquisition or easements, maintenance responsibility, emergency access, environmental safeguards and community participation.</x:v>
      </x:c>
      <x:c r="R181" s="2" t="str">
        <x:v>Coastal monitoring: site access, foundations, drainage, utility relocation, monitoring, construction staging, sediment or material supply and long-term maintenance corridors.</x:v>
      </x:c>
      <x:c r="S181" s="2" t="str">
        <x:v>Coastal monitoring: construction fuel and electricity plus operational pumping, monitoring, lighting or active control; passive and ecosystem measures have lower operational demand.</x:v>
      </x:c>
      <x:c r="T181" s="2" t="str">
        <x:v>Coastal monitoring: concrete, steel, stone, asphalt, timber, geotextiles, soil or sand, corrosion protection, vegetation and locally compatible fill.</x:v>
      </x:c>
      <x:c r="U181" s="2" t="str">
        <x:v>Coastal monitoring: drainage and pump parts, expansion joints, fasteners, coatings, sensors, geotextile repair, replacement armour or fill and planting stock.</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https://www.ipcc.ch/srocc/chapter/chapter-4-sea-level-rise-and-implications-for-low-lying-islands-coasts-and-communities/; https://www.ipcc.ch/report/ar6/wg2/chapter/chapter-6/; https://www.unep.org/topics/climate-action/adaptation/ecosystem-based-adaptation</x:v>
      </x:c>
      <x:c r="Z181" s="2" t="str">
        <x:v>Technology-specific analytical synthesis. The CTCN hierarchy is retained; classifications and component dependencies require validation against the selected design, site and supplier documentation before investment or policy use.</x:v>
      </x:c>
      <x:c r="AA181" s="2" t="str">
        <x:v>Physical deployment of Coastal monitoring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1" s="2" t="str">
        <x:v>For Coastal monitoring,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1" s="2" t="str">
        <x:v>Construction and operation use concrete, steel, stone, asphalt, timber, geotextiles, soil or sand, corrosion protection, vegetation and locally compatible fill. For Coastal monitoring, specifications must include durability, compatibility, recycled content and recoverability.</x:v>
      </x:c>
      <x:c r="AD181" s="2" t="str">
        <x:v>Maintenance of Coastal monitoring depends on drainage and pump parts, expansion joints, fasteners, coatings, sensors, geotextile repair, replacement armour or fill and planting stock; critical spares are selected from failure-mode, lead-time and safety analysis for its installed configuration.</x:v>
      </x:c>
      <x:c r="AE181" s="2" t="str">
        <x:v>The software stack for Coastal monitoring requires databases, secure communications, version-controlled models, computing, backup and interfaces with field or operational systems.</x:v>
      </x:c>
      <x:c r="AF181" s="2" t="str">
        <x:v>For Coastal monitoring, software-related energy is electricity for sensing, computing, storage, communication and cooling; it is normally secondary but must be included for data-intensive or continuous services.</x:v>
      </x:c>
      <x:c r="AG181" s="2" t="str">
        <x:v>The non-physical inputs are calibrated data, metadata, algorithms, boundary conditions, emission or hazard factors, manuals and validation records specific to Coastal monitoring.</x:v>
      </x:c>
      <x:c r="AH181" s="2" t="str">
        <x:v>Software continuity for Coastal monitoring requires licences where applicable, updates, cybersecurity patches, backups, calibration files, model validation and technical support.</x:v>
      </x:c>
      <x:c r="AI181" s="2" t="str">
        <x:v>Orgware depends on the institutions, laboratories, training providers, regulators, operators and community interfaces needed to govern Coastal monitoring.</x:v>
      </x:c>
      <x:c r="AJ181" s="2" t="str">
        <x:v>The orgware supporting Coastal monitoring has mainly indirect energy use from offices, meetings, training and information systems; travel and field supervision may be material at dispersed sites.</x:v>
      </x:c>
      <x:c r="AK181" s="2" t="str">
        <x:v>Its organisational inputs are permits, budgets, trained staff, competence records, contracts, procedures, safeguards, monitoring evidence and stakeholder agreements tailored to Coastal monitoring.</x:v>
      </x:c>
      <x:c r="AL181" s="2" t="str">
        <x:v>Sustained implementation of Coastal monitoring requires procurement and service contracts, audit protocols, training material, reporting templates, insurance or guarantees and periodic independent review.</x:v>
      </x:c>
      <x:c r="AM181" s="2" t="str">
        <x:v>Iron ore / steel inputs; Copper; Tin; Nickel; Chromium; Zinc</x:v>
      </x:c>
      <x:c r="AN181" s="2" t="str">
        <x:v>Australia; Brazil; China; Chile; Democratic Republic of the Congo; Peru; Indonesia; Myanmar; Philippines; Russia; South Africa; Kazakhstan; Turkey</x:v>
      </x:c>
      <x:c r="AO181" s="2" t="str">
        <x:v>China; India; Japan; Chile; Democratic Republic of the Congo; Indonesia; Malaysia; South Africa; Kazakhstan; South Korea</x:v>
      </x:c>
      <x:c r="AP181" s="2" t="str">
        <x:v>Coastal monitoring: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1" s="2" t="str">
        <x:v>2024–2025</x:v>
      </x:c>
      <x:c r="AR181" s="2" t="str">
        <x:v>https://pubs.usgs.gov/periodicals/mcs2026/mcs2026.pdf; https://www.iea.org/reports/global-critical-minerals-outlook-2025</x:v>
      </x:c>
    </x:row>
    <x:row r="182" ht="240" customHeight="1">
      <x:c r="A182" s="2" t="str">
        <x:v>ADP-0175</x:v>
      </x:c>
      <x:c r="B182" s="2" t="str">
        <x:v>Adaptation</x:v>
      </x:c>
      <x:c r="C182" s="2" t="str">
        <x:v>Coastal Zones</x:v>
      </x:c>
      <x:c r="D182" s="2" t="str">
        <x:v>Integrated coastal zone management</x:v>
      </x:c>
      <x:c r="E182" s="2" t="str">
        <x:v>Ecosystem restoration and conservation plans</x:v>
      </x:c>
      <x:c r="F182" s="2" t="str">
        <x:v>Ecosystem restoration and conservation plans is a adaptation technology in the Coastal Zones sector and the Integrated coastal zone management technology group. It is defined as a combined hardware–software–orgware system that reduces exposure and physical vulnerability through resilient siting, design loads, protective structures, adaptable construction, ecosystem buffers and planned management of residual risk. Ecosystem restoration and conservation plans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2" s="2" t="str">
        <x:v>Flexible</x:v>
      </x:c>
      <x:c r="H182" s="2" t="str">
        <x:v>Ecosystem restoration and conservation plans is transferable through configurable methods, rules and operating parameters. Its principle remains the same, but resource quality, climate, scale, interfaces and safety constraints must be recalculated for each deployment.</x:v>
      </x:c>
      <x:c r="I182" s="2" t="str">
        <x:v>Primarily soft, with physical support</x:v>
      </x:c>
      <x:c r="J182" s="2" t="str">
        <x:v>Ecosystem restoration and conservation plans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2" s="2" t="str">
        <x:v>Operation</x:v>
      </x:c>
      <x:c r="L182" s="2" t="str">
        <x:v>Ecosystem restoration and conservation plans is embodied mainly as an operating practice. The deliverable is accepted only when measurable service, quality, safety and climate-performance criteria are met under real conditions.</x:v>
      </x:c>
      <x:c r="M182" s="2" t="str">
        <x:v>Yes, subject to life-cycle safeguards</x:v>
      </x:c>
      <x:c r="N182" s="2" t="str">
        <x:v>Ecosystem restoration and conservation plans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2" s="2" t="str">
        <x:v>Ecosystem restoration and conservation plans: resilient structural, drainage, transport, coastal or utility components; foundations, barriers, armour, geosynthetics, sensors and nature-based elements as applicable.</x:v>
      </x:c>
      <x:c r="P182" s="2" t="str">
        <x:v>Ecosystem restoration and conservation plans: climate-load and hazard analysis, structural or hydraulic modelling, geotechnical design, spatial planning, asset criticality, inspection and adaptation pathways.</x:v>
      </x:c>
      <x:c r="Q182" s="2" t="str">
        <x:v>Ecosystem restoration and conservation plans: building and infrastructure codes, zoning, permits, land acquisition or easements, maintenance responsibility, emergency access, environmental safeguards and community participation.</x:v>
      </x:c>
      <x:c r="R182" s="2" t="str">
        <x:v>Ecosystem restoration and conservation plans: site access, foundations, drainage, utility relocation, monitoring, construction staging, sediment or material supply and long-term maintenance corridors.</x:v>
      </x:c>
      <x:c r="S182" s="2" t="str">
        <x:v>Ecosystem restoration and conservation plans: construction fuel and electricity plus operational pumping, monitoring, lighting or active control; passive and ecosystem measures have lower operational demand.</x:v>
      </x:c>
      <x:c r="T182" s="2" t="str">
        <x:v>Ecosystem restoration and conservation plans: concrete, steel, stone, asphalt, timber, geotextiles, soil or sand, corrosion protection, vegetation and locally compatible fill.</x:v>
      </x:c>
      <x:c r="U182" s="2" t="str">
        <x:v>Ecosystem restoration and conservation plans: drainage and pump parts, expansion joints, fasteners, coatings, sensors, geotextile repair, replacement armour or fill and planting stock.</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https://www.ipcc.ch/srocc/chapter/chapter-4-sea-level-rise-and-implications-for-low-lying-islands-coasts-and-communities/; https://www.ipcc.ch/report/ar6/wg2/chapter/chapter-6/; https://www.unep.org/topics/climate-action/adaptation/ecosystem-based-adaptation</x:v>
      </x:c>
      <x:c r="Z182" s="2" t="str">
        <x:v>Technology-specific analytical synthesis. The CTCN hierarchy is retained; classifications and component dependencies require validation against the selected design, site and supplier documentation before investment or policy use.</x:v>
      </x:c>
      <x:c r="AA182" s="2" t="str">
        <x:v>Physical deployment of Ecosystem restoration and conservation plans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2" s="2" t="str">
        <x:v>For Ecosystem restoration and conservation plans,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2" s="2" t="str">
        <x:v>Construction and operation use concrete, steel, stone, asphalt, timber, geotextiles, soil or sand, corrosion protection, vegetation and locally compatible fill. For Ecosystem restoration and conservation plans, specifications must include durability, compatibility, recycled content and recoverability.</x:v>
      </x:c>
      <x:c r="AD182" s="2" t="str">
        <x:v>Maintenance of Ecosystem restoration and conservation plans depends on drainage and pump parts, expansion joints, fasteners, coatings, sensors, geotextile repair, replacement armour or fill and planting stock; critical spares are selected from failure-mode, lead-time and safety analysis for its installed configuration.</x:v>
      </x:c>
      <x:c r="AE182" s="2" t="str">
        <x:v>The software stack for Ecosystem restoration and conservation plans requires databases, secure communications, version-controlled models, computing, backup and interfaces with field or operational systems.</x:v>
      </x:c>
      <x:c r="AF182" s="2" t="str">
        <x:v>For Ecosystem restoration and conservation plans, software-related energy is electricity for sensing, computing, storage, communication and cooling; it is normally secondary but must be included for data-intensive or continuous services.</x:v>
      </x:c>
      <x:c r="AG182" s="2" t="str">
        <x:v>The non-physical inputs are calibrated data, metadata, algorithms, boundary conditions, emission or hazard factors, manuals and validation records specific to Ecosystem restoration and conservation plans.</x:v>
      </x:c>
      <x:c r="AH182" s="2" t="str">
        <x:v>Software continuity for Ecosystem restoration and conservation plans requires licences where applicable, updates, cybersecurity patches, backups, calibration files, model validation and technical support.</x:v>
      </x:c>
      <x:c r="AI182" s="2" t="str">
        <x:v>Orgware depends on the institutions, laboratories, training providers, regulators, operators and community interfaces needed to govern Ecosystem restoration and conservation plans.</x:v>
      </x:c>
      <x:c r="AJ182" s="2" t="str">
        <x:v>The orgware supporting Ecosystem restoration and conservation plans has mainly indirect energy use from offices, meetings, training and information systems; travel and field supervision may be material at dispersed sites.</x:v>
      </x:c>
      <x:c r="AK182" s="2" t="str">
        <x:v>Its organisational inputs are permits, budgets, trained staff, competence records, contracts, procedures, safeguards, monitoring evidence and stakeholder agreements tailored to Ecosystem restoration and conservation plans.</x:v>
      </x:c>
      <x:c r="AL182" s="2" t="str">
        <x:v>Sustained implementation of Ecosystem restoration and conservation plans requires procurement and service contracts, audit protocols, training material, reporting templates, insurance or guarantees and periodic independent review.</x:v>
      </x:c>
      <x:c r="AM182" s="2" t="str">
        <x:v>Iron ore / steel inputs; Nickel; Chromium; Zinc</x:v>
      </x:c>
      <x:c r="AN182" s="2" t="str">
        <x:v>Australia; Brazil; China; Indonesia; Philippines; Russia; South Africa; Kazakhstan; Turkey; Peru</x:v>
      </x:c>
      <x:c r="AO182" s="2" t="str">
        <x:v>China; India; Japan; Indonesia; South Africa; Kazakhstan; South Korea</x:v>
      </x:c>
      <x:c r="AP182" s="2" t="str">
        <x:v>Ecosystem restoration and conservation plans: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2" s="2" t="str">
        <x:v>2024–2025</x:v>
      </x:c>
      <x:c r="AR182" s="2" t="str">
        <x:v>https://pubs.usgs.gov/periodicals/mcs2026/mcs2026.pdf; https://www.iea.org/reports/global-critical-minerals-outlook-2025</x:v>
      </x:c>
    </x:row>
    <x:row r="183" ht="240" customHeight="1">
      <x:c r="A183" s="2" t="str">
        <x:v>ADP-0176</x:v>
      </x:c>
      <x:c r="B183" s="2" t="str">
        <x:v>Adaptation</x:v>
      </x:c>
      <x:c r="C183" s="2" t="str">
        <x:v>Coastal Zones</x:v>
      </x:c>
      <x:c r="D183" s="2" t="str">
        <x:v>Protection (hard engineering)</x:v>
      </x:c>
      <x:c r="E183" s="2" t="str">
        <x:v>Storm surge barriers and closure dams</x:v>
      </x:c>
      <x:c r="F183" s="2" t="str">
        <x:v>Storm surge barriers and closure dams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3" s="2" t="str">
        <x:v>Primarily fixed</x:v>
      </x:c>
      <x:c r="H183" s="2" t="str">
        <x:v>Storm surge barriers and closure dams is tied to long-lived, site-specific assets and design loads. Its principle remains the same, but resource quality, climate, scale, interfaces and safety constraints must be recalculated for each deployment.</x:v>
      </x:c>
      <x:c r="I183" s="2" t="str">
        <x:v>Primarily hard, with a soft component</x:v>
      </x:c>
      <x:c r="J183" s="2" t="str">
        <x:v>Storm surge barriers and closure dams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3" s="2" t="str">
        <x:v>Equipment and operation</x:v>
      </x:c>
      <x:c r="L183" s="2" t="str">
        <x:v>Storm surge barriers and closure dams is embodied mainly as an equipment-and-operation system. The deliverable is accepted only when measurable service, quality, safety and climate-performance criteria are met under real conditions.</x:v>
      </x:c>
      <x:c r="M183" s="2" t="str">
        <x:v>Yes, subject to life-cycle safeguards</x:v>
      </x:c>
      <x:c r="N183" s="2" t="str">
        <x:v>Storm surge barriers and closure dams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3" s="2" t="str">
        <x:v>Storm surge barriers and closure dams: resilient structural, drainage, transport, coastal or utility components; foundations, barriers, armour, geosynthetics, sensors and nature-based elements as applicable.</x:v>
      </x:c>
      <x:c r="P183" s="2" t="str">
        <x:v>Storm surge barriers and closure dams: climate-load and hazard analysis, structural or hydraulic modelling, geotechnical design, spatial planning, asset criticality, inspection and adaptation pathways.</x:v>
      </x:c>
      <x:c r="Q183" s="2" t="str">
        <x:v>Storm surge barriers and closure dams: building and infrastructure codes, zoning, permits, land acquisition or easements, maintenance responsibility, emergency access, environmental safeguards and community participation.</x:v>
      </x:c>
      <x:c r="R183" s="2" t="str">
        <x:v>Storm surge barriers and closure dams: site access, foundations, drainage, utility relocation, monitoring, construction staging, sediment or material supply and long-term maintenance corridors.</x:v>
      </x:c>
      <x:c r="S183" s="2" t="str">
        <x:v>Storm surge barriers and closure dams: construction fuel and electricity plus operational pumping, monitoring, lighting or active control; passive and ecosystem measures have lower operational demand.</x:v>
      </x:c>
      <x:c r="T183" s="2" t="str">
        <x:v>Storm surge barriers and closure dams: concrete, steel, stone, asphalt, timber, geotextiles, soil or sand, corrosion protection, vegetation and locally compatible fill.</x:v>
      </x:c>
      <x:c r="U183" s="2" t="str">
        <x:v>Storm surge barriers and closure dams: drainage and pump parts, expansion joints, fasteners, coatings, sensors, geotextile repair, replacement armour or fill and planting stock.</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https://www.ipcc.ch/srocc/chapter/chapter-4-sea-level-rise-and-implications-for-low-lying-islands-coasts-and-communities/; https://www.ipcc.ch/report/ar6/wg2/chapter/chapter-6/; https://www.unep.org/topics/climate-action/adaptation/ecosystem-based-adaptation</x:v>
      </x:c>
      <x:c r="Z183" s="2" t="str">
        <x:v>Technology-specific analytical synthesis. The CTCN hierarchy is retained; classifications and component dependencies require validation against the selected design, site and supplier documentation before investment or policy use.</x:v>
      </x:c>
      <x:c r="AA183" s="2" t="str">
        <x:v>Physical deployment of Storm surge barriers and closure dams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3" s="2" t="str">
        <x:v>For Storm surge barriers and closure dams,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3" s="2" t="str">
        <x:v>Construction and operation use concrete, steel, stone, asphalt, timber, geotextiles, soil or sand, corrosion protection, vegetation and locally compatible fill. For Storm surge barriers and closure dams, specifications must include durability, compatibility, recycled content and recoverability.</x:v>
      </x:c>
      <x:c r="AD183" s="2" t="str">
        <x:v>Maintenance of Storm surge barriers and closure dams depends on drainage and pump parts, expansion joints, fasteners, coatings, sensors, geotextile repair, replacement armour or fill and planting stock; critical spares are selected from failure-mode, lead-time and safety analysis for its installed configuration.</x:v>
      </x:c>
      <x:c r="AE183" s="2" t="str">
        <x:v>The software stack for Storm surge barriers and closure dams requires databases, secure communications, version-controlled models, computing, backup and interfaces with field or operational systems.</x:v>
      </x:c>
      <x:c r="AF183" s="2" t="str">
        <x:v>For Storm surge barriers and closure dams, software-related energy is electricity for sensing, computing, storage, communication and cooling; it is normally secondary but must be included for data-intensive or continuous services.</x:v>
      </x:c>
      <x:c r="AG183" s="2" t="str">
        <x:v>The non-physical inputs are calibrated data, metadata, algorithms, boundary conditions, emission or hazard factors, manuals and validation records specific to Storm surge barriers and closure dams.</x:v>
      </x:c>
      <x:c r="AH183" s="2" t="str">
        <x:v>Software continuity for Storm surge barriers and closure dams requires licences where applicable, updates, cybersecurity patches, backups, calibration files, model validation and technical support.</x:v>
      </x:c>
      <x:c r="AI183" s="2" t="str">
        <x:v>Orgware depends on the institutions, laboratories, training providers, regulators, operators and community interfaces needed to govern Storm surge barriers and closure dams.</x:v>
      </x:c>
      <x:c r="AJ183" s="2" t="str">
        <x:v>The orgware supporting Storm surge barriers and closure dams has mainly indirect energy use from offices, meetings, training and information systems; travel and field supervision may be material at dispersed sites.</x:v>
      </x:c>
      <x:c r="AK183" s="2" t="str">
        <x:v>Its organisational inputs are permits, budgets, trained staff, competence records, contracts, procedures, safeguards, monitoring evidence and stakeholder agreements tailored to Storm surge barriers and closure dams.</x:v>
      </x:c>
      <x:c r="AL183" s="2" t="str">
        <x:v>Sustained implementation of Storm surge barriers and closure dams requires procurement and service contracts, audit protocols, training material, reporting templates, insurance or guarantees and periodic independent review.</x:v>
      </x:c>
      <x:c r="AM183" s="2" t="str">
        <x:v>Iron ore / steel inputs; Limestone / cement raw materials</x:v>
      </x:c>
      <x:c r="AN183" s="2" t="str">
        <x:v>Australia; Brazil; China; India; Vietnam</x:v>
      </x:c>
      <x:c r="AO183" s="2" t="str">
        <x:v>China; India; Japan; Vietnam</x:v>
      </x:c>
      <x:c r="AP183" s="2" t="str">
        <x:v>Storm surge barriers and closure dams: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3" s="2" t="str">
        <x:v>2024–2025</x:v>
      </x:c>
      <x:c r="AR183" s="2" t="str">
        <x:v>https://pubs.usgs.gov/periodicals/mcs2026/mcs2026.pdf</x:v>
      </x:c>
    </x:row>
    <x:row r="184" ht="240" customHeight="1">
      <x:c r="A184" s="2" t="str">
        <x:v>ADP-0177</x:v>
      </x:c>
      <x:c r="B184" s="2" t="str">
        <x:v>Adaptation</x:v>
      </x:c>
      <x:c r="C184" s="2" t="str">
        <x:v>Coastal Zones</x:v>
      </x:c>
      <x:c r="D184" s="2" t="str">
        <x:v>Protection (hard engineering)</x:v>
      </x:c>
      <x:c r="E184" s="2" t="str">
        <x:v>Breakwaters</x:v>
      </x:c>
      <x:c r="F184" s="2" t="str">
        <x:v>Breakwaters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4" s="2" t="str">
        <x:v>Primarily fixed</x:v>
      </x:c>
      <x:c r="H184" s="2" t="str">
        <x:v>Breakwaters is tied to long-lived, site-specific assets and design loads. Its principle remains the same, but resource quality, climate, scale, interfaces and safety constraints must be recalculated for each deployment.</x:v>
      </x:c>
      <x:c r="I184" s="2" t="str">
        <x:v>Primarily hard, with a soft component</x:v>
      </x:c>
      <x:c r="J184" s="2" t="str">
        <x:v>Breakwaters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4" s="2" t="str">
        <x:v>Equipment and operation</x:v>
      </x:c>
      <x:c r="L184" s="2" t="str">
        <x:v>Breakwaters is embodied mainly as an equipment-and-operation system. The deliverable is accepted only when measurable service, quality, safety and climate-performance criteria are met under real conditions.</x:v>
      </x:c>
      <x:c r="M184" s="2" t="str">
        <x:v>Yes, subject to life-cycle safeguards</x:v>
      </x:c>
      <x:c r="N184" s="2" t="str">
        <x:v>Breakwaters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4" s="2" t="str">
        <x:v>Breakwaters: resilient structural, drainage, transport, coastal or utility components; foundations, barriers, armour, geosynthetics, sensors and nature-based elements as applicable.</x:v>
      </x:c>
      <x:c r="P184" s="2" t="str">
        <x:v>Breakwaters: climate-load and hazard analysis, structural or hydraulic modelling, geotechnical design, spatial planning, asset criticality, inspection and adaptation pathways.</x:v>
      </x:c>
      <x:c r="Q184" s="2" t="str">
        <x:v>Breakwaters: building and infrastructure codes, zoning, permits, land acquisition or easements, maintenance responsibility, emergency access, environmental safeguards and community participation.</x:v>
      </x:c>
      <x:c r="R184" s="2" t="str">
        <x:v>Breakwaters: site access, foundations, drainage, utility relocation, monitoring, construction staging, sediment or material supply and long-term maintenance corridors.</x:v>
      </x:c>
      <x:c r="S184" s="2" t="str">
        <x:v>Breakwaters: construction fuel and electricity plus operational pumping, monitoring, lighting or active control; passive and ecosystem measures have lower operational demand.</x:v>
      </x:c>
      <x:c r="T184" s="2" t="str">
        <x:v>Breakwaters: concrete, steel, stone, asphalt, timber, geotextiles, soil or sand, corrosion protection, vegetation and locally compatible fill.</x:v>
      </x:c>
      <x:c r="U184" s="2" t="str">
        <x:v>Breakwaters: drainage and pump parts, expansion joints, fasteners, coatings, sensors, geotextile repair, replacement armour or fill and planting stock.</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https://www.ipcc.ch/srocc/chapter/chapter-4-sea-level-rise-and-implications-for-low-lying-islands-coasts-and-communities/; https://www.ipcc.ch/report/ar6/wg2/chapter/chapter-6/; https://www.unep.org/topics/climate-action/adaptation/ecosystem-based-adaptation</x:v>
      </x:c>
      <x:c r="Z184" s="2" t="str">
        <x:v>Technology-specific analytical synthesis. The CTCN hierarchy is retained; classifications and component dependencies require validation against the selected design, site and supplier documentation before investment or policy use.</x:v>
      </x:c>
      <x:c r="AA184" s="2" t="str">
        <x:v>Physical deployment of Breakwaters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4" s="2" t="str">
        <x:v>For Breakwaters,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4" s="2" t="str">
        <x:v>Construction and operation use concrete, steel, stone, asphalt, timber, geotextiles, soil or sand, corrosion protection, vegetation and locally compatible fill. For Breakwaters, specifications must include durability, compatibility, recycled content and recoverability.</x:v>
      </x:c>
      <x:c r="AD184" s="2" t="str">
        <x:v>Maintenance of Breakwaters depends on drainage and pump parts, expansion joints, fasteners, coatings, sensors, geotextile repair, replacement armour or fill and planting stock; critical spares are selected from failure-mode, lead-time and safety analysis for its installed configuration.</x:v>
      </x:c>
      <x:c r="AE184" s="2" t="str">
        <x:v>The software stack for Breakwaters requires databases, secure communications, version-controlled models, computing, backup and interfaces with field or operational systems.</x:v>
      </x:c>
      <x:c r="AF184" s="2" t="str">
        <x:v>For Breakwaters, software-related energy is electricity for sensing, computing, storage, communication and cooling; it is normally secondary but must be included for data-intensive or continuous services.</x:v>
      </x:c>
      <x:c r="AG184" s="2" t="str">
        <x:v>The non-physical inputs are calibrated data, metadata, algorithms, boundary conditions, emission or hazard factors, manuals and validation records specific to Breakwaters.</x:v>
      </x:c>
      <x:c r="AH184" s="2" t="str">
        <x:v>Software continuity for Breakwaters requires licences where applicable, updates, cybersecurity patches, backups, calibration files, model validation and technical support.</x:v>
      </x:c>
      <x:c r="AI184" s="2" t="str">
        <x:v>Orgware depends on the institutions, laboratories, training providers, regulators, operators and community interfaces needed to govern Breakwaters.</x:v>
      </x:c>
      <x:c r="AJ184" s="2" t="str">
        <x:v>The orgware supporting Breakwaters has mainly indirect energy use from offices, meetings, training and information systems; travel and field supervision may be material at dispersed sites.</x:v>
      </x:c>
      <x:c r="AK184" s="2" t="str">
        <x:v>Its organisational inputs are permits, budgets, trained staff, competence records, contracts, procedures, safeguards, monitoring evidence and stakeholder agreements tailored to Breakwaters.</x:v>
      </x:c>
      <x:c r="AL184" s="2" t="str">
        <x:v>Sustained implementation of Breakwaters requires procurement and service contracts, audit protocols, training material, reporting templates, insurance or guarantees and periodic independent review.</x:v>
      </x:c>
      <x:c r="AM184" s="2" t="str">
        <x:v>Iron ore / steel inputs; Limestone / cement raw materials</x:v>
      </x:c>
      <x:c r="AN184" s="2" t="str">
        <x:v>Australia; Brazil; China; India; Vietnam</x:v>
      </x:c>
      <x:c r="AO184" s="2" t="str">
        <x:v>China; India; Japan; Vietnam</x:v>
      </x:c>
      <x:c r="AP184" s="2" t="str">
        <x:v>Breakwaters: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4" s="2" t="str">
        <x:v>2024–2025</x:v>
      </x:c>
      <x:c r="AR184" s="2" t="str">
        <x:v>https://pubs.usgs.gov/periodicals/mcs2026/mcs2026.pdf</x:v>
      </x:c>
    </x:row>
    <x:row r="185" ht="240" customHeight="1">
      <x:c r="A185" s="2" t="str">
        <x:v>ADP-0178</x:v>
      </x:c>
      <x:c r="B185" s="2" t="str">
        <x:v>Adaptation</x:v>
      </x:c>
      <x:c r="C185" s="2" t="str">
        <x:v>Coastal Zones</x:v>
      </x:c>
      <x:c r="D185" s="2" t="str">
        <x:v>Protection (hard engineering)</x:v>
      </x:c>
      <x:c r="E185" s="2" t="str">
        <x:v>Jetties</x:v>
      </x:c>
      <x:c r="F185" s="2" t="str">
        <x:v>Jetties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5" s="2" t="str">
        <x:v>Mixed: adaptable design, site-specific implementation</x:v>
      </x:c>
      <x:c r="H185" s="2" t="str">
        <x:v>Jetties is adaptable in capacity and configuration but site-specific in final engineering. Its principle remains the same, but resource quality, climate, scale, interfaces and safety constraints must be recalculated for each deployment.</x:v>
      </x:c>
      <x:c r="I185" s="2" t="str">
        <x:v>Primarily hard, with a soft component</x:v>
      </x:c>
      <x:c r="J185" s="2" t="str">
        <x:v>Jetties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5" s="2" t="str">
        <x:v>Equipment and operation</x:v>
      </x:c>
      <x:c r="L185" s="2" t="str">
        <x:v>Jetties is embodied mainly as an equipment-and-operation system. The deliverable is accepted only when measurable service, quality, safety and climate-performance criteria are met under real conditions.</x:v>
      </x:c>
      <x:c r="M185" s="2" t="str">
        <x:v>Yes, subject to life-cycle safeguards</x:v>
      </x:c>
      <x:c r="N185" s="2" t="str">
        <x:v>Jetties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5" s="2" t="str">
        <x:v>Jetties: resilient structural, drainage, transport, coastal or utility components; foundations, barriers, armour, geosynthetics, sensors and nature-based elements as applicable.</x:v>
      </x:c>
      <x:c r="P185" s="2" t="str">
        <x:v>Jetties: climate-load and hazard analysis, structural or hydraulic modelling, geotechnical design, spatial planning, asset criticality, inspection and adaptation pathways.</x:v>
      </x:c>
      <x:c r="Q185" s="2" t="str">
        <x:v>Jetties: building and infrastructure codes, zoning, permits, land acquisition or easements, maintenance responsibility, emergency access, environmental safeguards and community participation.</x:v>
      </x:c>
      <x:c r="R185" s="2" t="str">
        <x:v>Jetties: site access, foundations, drainage, utility relocation, monitoring, construction staging, sediment or material supply and long-term maintenance corridors.</x:v>
      </x:c>
      <x:c r="S185" s="2" t="str">
        <x:v>Jetties: construction fuel and electricity plus operational pumping, monitoring, lighting or active control; passive and ecosystem measures have lower operational demand.</x:v>
      </x:c>
      <x:c r="T185" s="2" t="str">
        <x:v>Jetties: concrete, steel, stone, asphalt, timber, geotextiles, soil or sand, corrosion protection, vegetation and locally compatible fill.</x:v>
      </x:c>
      <x:c r="U185" s="2" t="str">
        <x:v>Jetties: drainage and pump parts, expansion joints, fasteners, coatings, sensors, geotextile repair, replacement armour or fill and planting stock.</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https://www.ipcc.ch/srocc/chapter/chapter-4-sea-level-rise-and-implications-for-low-lying-islands-coasts-and-communities/; https://www.ipcc.ch/report/ar6/wg2/chapter/chapter-6/; https://www.unep.org/topics/climate-action/adaptation/ecosystem-based-adaptation</x:v>
      </x:c>
      <x:c r="Z185" s="2" t="str">
        <x:v>Technology-specific analytical synthesis. The CTCN hierarchy is retained; classifications and component dependencies require validation against the selected design, site and supplier documentation before investment or policy use.</x:v>
      </x:c>
      <x:c r="AA185" s="2" t="str">
        <x:v>Physical deployment of Jetties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5" s="2" t="str">
        <x:v>For Jetties,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5" s="2" t="str">
        <x:v>Construction and operation use concrete, steel, stone, asphalt, timber, geotextiles, soil or sand, corrosion protection, vegetation and locally compatible fill. For Jetties, specifications must include durability, compatibility, recycled content and recoverability.</x:v>
      </x:c>
      <x:c r="AD185" s="2" t="str">
        <x:v>Maintenance of Jetties depends on drainage and pump parts, expansion joints, fasteners, coatings, sensors, geotextile repair, replacement armour or fill and planting stock; critical spares are selected from failure-mode, lead-time and safety analysis for its installed configuration.</x:v>
      </x:c>
      <x:c r="AE185" s="2" t="str">
        <x:v>The software stack for Jetties requires databases, secure communications, version-controlled models, computing, backup and interfaces with field or operational systems.</x:v>
      </x:c>
      <x:c r="AF185" s="2" t="str">
        <x:v>For Jetties, software-related energy is electricity for sensing, computing, storage, communication and cooling; it is normally secondary but must be included for data-intensive or continuous services.</x:v>
      </x:c>
      <x:c r="AG185" s="2" t="str">
        <x:v>The non-physical inputs are calibrated data, metadata, algorithms, boundary conditions, emission or hazard factors, manuals and validation records specific to Jetties.</x:v>
      </x:c>
      <x:c r="AH185" s="2" t="str">
        <x:v>Software continuity for Jetties requires licences where applicable, updates, cybersecurity patches, backups, calibration files, model validation and technical support.</x:v>
      </x:c>
      <x:c r="AI185" s="2" t="str">
        <x:v>Orgware depends on the institutions, laboratories, training providers, regulators, operators and community interfaces needed to govern Jetties.</x:v>
      </x:c>
      <x:c r="AJ185" s="2" t="str">
        <x:v>The orgware supporting Jetties has mainly indirect energy use from offices, meetings, training and information systems; travel and field supervision may be material at dispersed sites.</x:v>
      </x:c>
      <x:c r="AK185" s="2" t="str">
        <x:v>Its organisational inputs are permits, budgets, trained staff, competence records, contracts, procedures, safeguards, monitoring evidence and stakeholder agreements tailored to Jetties.</x:v>
      </x:c>
      <x:c r="AL185" s="2" t="str">
        <x:v>Sustained implementation of Jetties requires procurement and service contracts, audit protocols, training material, reporting templates, insurance or guarantees and periodic independent review.</x:v>
      </x:c>
      <x:c r="AM185" s="2" t="str">
        <x:v>Iron ore / steel inputs</x:v>
      </x:c>
      <x:c r="AN185" s="2" t="str">
        <x:v>Australia; Brazil; China</x:v>
      </x:c>
      <x:c r="AO185" s="2" t="str">
        <x:v>China; India; Japan</x:v>
      </x:c>
      <x:c r="AP185" s="2" t="str">
        <x:v>Jetties: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5" s="2" t="str">
        <x:v>2024–2025</x:v>
      </x:c>
      <x:c r="AR185" s="2" t="str">
        <x:v>https://pubs.usgs.gov/periodicals/mcs2026/mcs2026.pdf</x:v>
      </x:c>
    </x:row>
    <x:row r="186" ht="240" customHeight="1">
      <x:c r="A186" s="2" t="str">
        <x:v>ADP-0179</x:v>
      </x:c>
      <x:c r="B186" s="2" t="str">
        <x:v>Adaptation</x:v>
      </x:c>
      <x:c r="C186" s="2" t="str">
        <x:v>Coastal Zones</x:v>
      </x:c>
      <x:c r="D186" s="2" t="str">
        <x:v>Protection (hard engineering)</x:v>
      </x:c>
      <x:c r="E186" s="2" t="str">
        <x:v>Dikes</x:v>
      </x:c>
      <x:c r="F186" s="2" t="str">
        <x:v>Dikes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6" s="2" t="str">
        <x:v>Primarily fixed</x:v>
      </x:c>
      <x:c r="H186" s="2" t="str">
        <x:v>Dikes is tied to long-lived, site-specific assets and design loads. Its principle remains the same, but resource quality, climate, scale, interfaces and safety constraints must be recalculated for each deployment.</x:v>
      </x:c>
      <x:c r="I186" s="2" t="str">
        <x:v>Primarily hard, with a soft component</x:v>
      </x:c>
      <x:c r="J186" s="2" t="str">
        <x:v>Dikes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6" s="2" t="str">
        <x:v>Equipment and operation</x:v>
      </x:c>
      <x:c r="L186" s="2" t="str">
        <x:v>Dikes is embodied mainly as an equipment-and-operation system. The deliverable is accepted only when measurable service, quality, safety and climate-performance criteria are met under real conditions.</x:v>
      </x:c>
      <x:c r="M186" s="2" t="str">
        <x:v>Yes, subject to life-cycle safeguards</x:v>
      </x:c>
      <x:c r="N186" s="2" t="str">
        <x:v>Dikes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6" s="2" t="str">
        <x:v>Dikes: resilient structural, drainage, transport, coastal or utility components; foundations, barriers, armour, geosynthetics, sensors and nature-based elements as applicable.</x:v>
      </x:c>
      <x:c r="P186" s="2" t="str">
        <x:v>Dikes: climate-load and hazard analysis, structural or hydraulic modelling, geotechnical design, spatial planning, asset criticality, inspection and adaptation pathways.</x:v>
      </x:c>
      <x:c r="Q186" s="2" t="str">
        <x:v>Dikes: building and infrastructure codes, zoning, permits, land acquisition or easements, maintenance responsibility, emergency access, environmental safeguards and community participation.</x:v>
      </x:c>
      <x:c r="R186" s="2" t="str">
        <x:v>Dikes: site access, foundations, drainage, utility relocation, monitoring, construction staging, sediment or material supply and long-term maintenance corridors.</x:v>
      </x:c>
      <x:c r="S186" s="2" t="str">
        <x:v>Dikes: construction fuel and electricity plus operational pumping, monitoring, lighting or active control; passive and ecosystem measures have lower operational demand.</x:v>
      </x:c>
      <x:c r="T186" s="2" t="str">
        <x:v>Dikes: concrete, steel, stone, asphalt, timber, geotextiles, soil or sand, corrosion protection, vegetation and locally compatible fill.</x:v>
      </x:c>
      <x:c r="U186" s="2" t="str">
        <x:v>Dikes: drainage and pump parts, expansion joints, fasteners, coatings, sensors, geotextile repair, replacement armour or fill and planting stock.</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https://www.ipcc.ch/srocc/chapter/chapter-4-sea-level-rise-and-implications-for-low-lying-islands-coasts-and-communities/; https://www.ipcc.ch/report/ar6/wg2/chapter/chapter-6/; https://www.unep.org/topics/climate-action/adaptation/ecosystem-based-adaptation</x:v>
      </x:c>
      <x:c r="Z186" s="2" t="str">
        <x:v>Technology-specific analytical synthesis. The CTCN hierarchy is retained; classifications and component dependencies require validation against the selected design, site and supplier documentation before investment or policy use.</x:v>
      </x:c>
      <x:c r="AA186" s="2" t="str">
        <x:v>Physical deployment of Dikes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6" s="2" t="str">
        <x:v>For Dikes,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6" s="2" t="str">
        <x:v>Construction and operation use concrete, steel, stone, asphalt, timber, geotextiles, soil or sand, corrosion protection, vegetation and locally compatible fill. For Dikes, specifications must include durability, compatibility, recycled content and recoverability.</x:v>
      </x:c>
      <x:c r="AD186" s="2" t="str">
        <x:v>Maintenance of Dikes depends on drainage and pump parts, expansion joints, fasteners, coatings, sensors, geotextile repair, replacement armour or fill and planting stock; critical spares are selected from failure-mode, lead-time and safety analysis for its installed configuration.</x:v>
      </x:c>
      <x:c r="AE186" s="2" t="str">
        <x:v>The software stack for Dikes requires databases, secure communications, version-controlled models, computing, backup and interfaces with field or operational systems.</x:v>
      </x:c>
      <x:c r="AF186" s="2" t="str">
        <x:v>For Dikes, software-related energy is electricity for sensing, computing, storage, communication and cooling; it is normally secondary but must be included for data-intensive or continuous services.</x:v>
      </x:c>
      <x:c r="AG186" s="2" t="str">
        <x:v>The non-physical inputs are calibrated data, metadata, algorithms, boundary conditions, emission or hazard factors, manuals and validation records specific to Dikes.</x:v>
      </x:c>
      <x:c r="AH186" s="2" t="str">
        <x:v>Software continuity for Dikes requires licences where applicable, updates, cybersecurity patches, backups, calibration files, model validation and technical support.</x:v>
      </x:c>
      <x:c r="AI186" s="2" t="str">
        <x:v>Orgware depends on the institutions, laboratories, training providers, regulators, operators and community interfaces needed to govern Dikes.</x:v>
      </x:c>
      <x:c r="AJ186" s="2" t="str">
        <x:v>The orgware supporting Dikes has mainly indirect energy use from offices, meetings, training and information systems; travel and field supervision may be material at dispersed sites.</x:v>
      </x:c>
      <x:c r="AK186" s="2" t="str">
        <x:v>Its organisational inputs are permits, budgets, trained staff, competence records, contracts, procedures, safeguards, monitoring evidence and stakeholder agreements tailored to Dikes.</x:v>
      </x:c>
      <x:c r="AL186" s="2" t="str">
        <x:v>Sustained implementation of Dikes requires procurement and service contracts, audit protocols, training material, reporting templates, insurance or guarantees and periodic independent review.</x:v>
      </x:c>
      <x:c r="AM186" s="2" t="str">
        <x:v>Iron ore / steel inputs; Limestone / cement raw materials</x:v>
      </x:c>
      <x:c r="AN186" s="2" t="str">
        <x:v>Australia; Brazil; China; India; Vietnam</x:v>
      </x:c>
      <x:c r="AO186" s="2" t="str">
        <x:v>China; India; Japan; Vietnam</x:v>
      </x:c>
      <x:c r="AP186" s="2" t="str">
        <x:v>Dikes: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6" s="2" t="str">
        <x:v>2024–2025</x:v>
      </x:c>
      <x:c r="AR186" s="2" t="str">
        <x:v>https://pubs.usgs.gov/periodicals/mcs2026/mcs2026.pdf</x:v>
      </x:c>
    </x:row>
    <x:row r="187" ht="240" customHeight="1">
      <x:c r="A187" s="2" t="str">
        <x:v>ADP-0180</x:v>
      </x:c>
      <x:c r="B187" s="2" t="str">
        <x:v>Adaptation</x:v>
      </x:c>
      <x:c r="C187" s="2" t="str">
        <x:v>Coastal Zones</x:v>
      </x:c>
      <x:c r="D187" s="2" t="str">
        <x:v>Protection (hard engineering)</x:v>
      </x:c>
      <x:c r="E187" s="2" t="str">
        <x:v>Sea walls</x:v>
      </x:c>
      <x:c r="F187" s="2" t="str">
        <x:v>Sea walls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7" s="2" t="str">
        <x:v>Primarily fixed</x:v>
      </x:c>
      <x:c r="H187" s="2" t="str">
        <x:v>Sea walls is tied to long-lived, site-specific assets and design loads. Its principle remains the same, but resource quality, climate, scale, interfaces and safety constraints must be recalculated for each deployment.</x:v>
      </x:c>
      <x:c r="I187" s="2" t="str">
        <x:v>Primarily hard, with a soft component</x:v>
      </x:c>
      <x:c r="J187" s="2" t="str">
        <x:v>Sea walls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7" s="2" t="str">
        <x:v>Equipment and operation</x:v>
      </x:c>
      <x:c r="L187" s="2" t="str">
        <x:v>Sea walls is embodied mainly as an equipment-and-operation system. The deliverable is accepted only when measurable service, quality, safety and climate-performance criteria are met under real conditions.</x:v>
      </x:c>
      <x:c r="M187" s="2" t="str">
        <x:v>Yes, subject to life-cycle safeguards</x:v>
      </x:c>
      <x:c r="N187" s="2" t="str">
        <x:v>Sea walls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7" s="2" t="str">
        <x:v>Sea walls: resilient structural, drainage, transport, coastal or utility components; foundations, barriers, armour, geosynthetics, sensors and nature-based elements as applicable.</x:v>
      </x:c>
      <x:c r="P187" s="2" t="str">
        <x:v>Sea walls: climate-load and hazard analysis, structural or hydraulic modelling, geotechnical design, spatial planning, asset criticality, inspection and adaptation pathways.</x:v>
      </x:c>
      <x:c r="Q187" s="2" t="str">
        <x:v>Sea walls: building and infrastructure codes, zoning, permits, land acquisition or easements, maintenance responsibility, emergency access, environmental safeguards and community participation.</x:v>
      </x:c>
      <x:c r="R187" s="2" t="str">
        <x:v>Sea walls: site access, foundations, drainage, utility relocation, monitoring, construction staging, sediment or material supply and long-term maintenance corridors.</x:v>
      </x:c>
      <x:c r="S187" s="2" t="str">
        <x:v>Sea walls: construction fuel and electricity plus operational pumping, monitoring, lighting or active control; passive and ecosystem measures have lower operational demand.</x:v>
      </x:c>
      <x:c r="T187" s="2" t="str">
        <x:v>Sea walls: concrete, steel, stone, asphalt, timber, geotextiles, soil or sand, corrosion protection, vegetation and locally compatible fill.</x:v>
      </x:c>
      <x:c r="U187" s="2" t="str">
        <x:v>Sea walls: drainage and pump parts, expansion joints, fasteners, coatings, sensors, geotextile repair, replacement armour or fill and planting stock.</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https://www.ipcc.ch/srocc/chapter/chapter-4-sea-level-rise-and-implications-for-low-lying-islands-coasts-and-communities/; https://www.ipcc.ch/report/ar6/wg2/chapter/chapter-6/; https://www.unep.org/topics/climate-action/adaptation/ecosystem-based-adaptation</x:v>
      </x:c>
      <x:c r="Z187" s="2" t="str">
        <x:v>Technology-specific analytical synthesis. The CTCN hierarchy is retained; classifications and component dependencies require validation against the selected design, site and supplier documentation before investment or policy use.</x:v>
      </x:c>
      <x:c r="AA187" s="2" t="str">
        <x:v>Physical deployment of Sea walls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7" s="2" t="str">
        <x:v>For Sea walls,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7" s="2" t="str">
        <x:v>Construction and operation use concrete, steel, stone, asphalt, timber, geotextiles, soil or sand, corrosion protection, vegetation and locally compatible fill. For Sea walls, specifications must include durability, compatibility, recycled content and recoverability.</x:v>
      </x:c>
      <x:c r="AD187" s="2" t="str">
        <x:v>Maintenance of Sea walls depends on drainage and pump parts, expansion joints, fasteners, coatings, sensors, geotextile repair, replacement armour or fill and planting stock; critical spares are selected from failure-mode, lead-time and safety analysis for its installed configuration.</x:v>
      </x:c>
      <x:c r="AE187" s="2" t="str">
        <x:v>The software stack for Sea walls requires databases, secure communications, version-controlled models, computing, backup and interfaces with field or operational systems.</x:v>
      </x:c>
      <x:c r="AF187" s="2" t="str">
        <x:v>For Sea walls, software-related energy is electricity for sensing, computing, storage, communication and cooling; it is normally secondary but must be included for data-intensive or continuous services.</x:v>
      </x:c>
      <x:c r="AG187" s="2" t="str">
        <x:v>The non-physical inputs are calibrated data, metadata, algorithms, boundary conditions, emission or hazard factors, manuals and validation records specific to Sea walls.</x:v>
      </x:c>
      <x:c r="AH187" s="2" t="str">
        <x:v>Software continuity for Sea walls requires licences where applicable, updates, cybersecurity patches, backups, calibration files, model validation and technical support.</x:v>
      </x:c>
      <x:c r="AI187" s="2" t="str">
        <x:v>Orgware depends on the institutions, laboratories, training providers, regulators, operators and community interfaces needed to govern Sea walls.</x:v>
      </x:c>
      <x:c r="AJ187" s="2" t="str">
        <x:v>The orgware supporting Sea walls has mainly indirect energy use from offices, meetings, training and information systems; travel and field supervision may be material at dispersed sites.</x:v>
      </x:c>
      <x:c r="AK187" s="2" t="str">
        <x:v>Its organisational inputs are permits, budgets, trained staff, competence records, contracts, procedures, safeguards, monitoring evidence and stakeholder agreements tailored to Sea walls.</x:v>
      </x:c>
      <x:c r="AL187" s="2" t="str">
        <x:v>Sustained implementation of Sea walls requires procurement and service contracts, audit protocols, training material, reporting templates, insurance or guarantees and periodic independent review.</x:v>
      </x:c>
      <x:c r="AM187" s="2" t="str">
        <x:v>Iron ore / steel inputs; Limestone / cement raw materials</x:v>
      </x:c>
      <x:c r="AN187" s="2" t="str">
        <x:v>Australia; Brazil; China; India; Vietnam</x:v>
      </x:c>
      <x:c r="AO187" s="2" t="str">
        <x:v>China; India; Japan; Vietnam</x:v>
      </x:c>
      <x:c r="AP187" s="2" t="str">
        <x:v>Sea walls: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7" s="2" t="str">
        <x:v>2024–2025</x:v>
      </x:c>
      <x:c r="AR187" s="2" t="str">
        <x:v>https://pubs.usgs.gov/periodicals/mcs2026/mcs2026.pdf</x:v>
      </x:c>
    </x:row>
    <x:row r="188" ht="240" customHeight="1">
      <x:c r="A188" s="2" t="str">
        <x:v>ADP-0181</x:v>
      </x:c>
      <x:c r="B188" s="2" t="str">
        <x:v>Adaptation</x:v>
      </x:c>
      <x:c r="C188" s="2" t="str">
        <x:v>Coastal Zones</x:v>
      </x:c>
      <x:c r="D188" s="2" t="str">
        <x:v>Protection (hard engineering)</x:v>
      </x:c>
      <x:c r="E188" s="2" t="str">
        <x:v>Groynes</x:v>
      </x:c>
      <x:c r="F188" s="2" t="str">
        <x:v>Groynes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8" s="2" t="str">
        <x:v>Primarily fixed</x:v>
      </x:c>
      <x:c r="H188" s="2" t="str">
        <x:v>Groynes is tied to long-lived, site-specific assets and design loads. Its principle remains the same, but resource quality, climate, scale, interfaces and safety constraints must be recalculated for each deployment.</x:v>
      </x:c>
      <x:c r="I188" s="2" t="str">
        <x:v>Primarily hard, with a soft component</x:v>
      </x:c>
      <x:c r="J188" s="2" t="str">
        <x:v>Groynes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8" s="2" t="str">
        <x:v>Equipment and operation</x:v>
      </x:c>
      <x:c r="L188" s="2" t="str">
        <x:v>Groynes is embodied mainly as an equipment-and-operation system. The deliverable is accepted only when measurable service, quality, safety and climate-performance criteria are met under real conditions.</x:v>
      </x:c>
      <x:c r="M188" s="2" t="str">
        <x:v>Yes, subject to life-cycle safeguards</x:v>
      </x:c>
      <x:c r="N188" s="2" t="str">
        <x:v>Groynes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8" s="2" t="str">
        <x:v>Groynes: resilient structural, drainage, transport, coastal or utility components; foundations, barriers, armour, geosynthetics, sensors and nature-based elements as applicable.</x:v>
      </x:c>
      <x:c r="P188" s="2" t="str">
        <x:v>Groynes: climate-load and hazard analysis, structural or hydraulic modelling, geotechnical design, spatial planning, asset criticality, inspection and adaptation pathways.</x:v>
      </x:c>
      <x:c r="Q188" s="2" t="str">
        <x:v>Groynes: building and infrastructure codes, zoning, permits, land acquisition or easements, maintenance responsibility, emergency access, environmental safeguards and community participation.</x:v>
      </x:c>
      <x:c r="R188" s="2" t="str">
        <x:v>Groynes: site access, foundations, drainage, utility relocation, monitoring, construction staging, sediment or material supply and long-term maintenance corridors.</x:v>
      </x:c>
      <x:c r="S188" s="2" t="str">
        <x:v>Groynes: construction fuel and electricity plus operational pumping, monitoring, lighting or active control; passive and ecosystem measures have lower operational demand.</x:v>
      </x:c>
      <x:c r="T188" s="2" t="str">
        <x:v>Groynes: concrete, steel, stone, asphalt, timber, geotextiles, soil or sand, corrosion protection, vegetation and locally compatible fill.</x:v>
      </x:c>
      <x:c r="U188" s="2" t="str">
        <x:v>Groynes: drainage and pump parts, expansion joints, fasteners, coatings, sensors, geotextile repair, replacement armour or fill and planting stock.</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https://www.ipcc.ch/srocc/chapter/chapter-4-sea-level-rise-and-implications-for-low-lying-islands-coasts-and-communities/; https://www.ipcc.ch/report/ar6/wg2/chapter/chapter-6/; https://www.unep.org/topics/climate-action/adaptation/ecosystem-based-adaptation</x:v>
      </x:c>
      <x:c r="Z188" s="2" t="str">
        <x:v>Technology-specific analytical synthesis. The CTCN hierarchy is retained; classifications and component dependencies require validation against the selected design, site and supplier documentation before investment or policy use.</x:v>
      </x:c>
      <x:c r="AA188" s="2" t="str">
        <x:v>Physical deployment of Groynes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8" s="2" t="str">
        <x:v>For Groynes,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8" s="2" t="str">
        <x:v>Construction and operation use concrete, steel, stone, asphalt, timber, geotextiles, soil or sand, corrosion protection, vegetation and locally compatible fill. For Groynes, specifications must include durability, compatibility, recycled content and recoverability.</x:v>
      </x:c>
      <x:c r="AD188" s="2" t="str">
        <x:v>Maintenance of Groynes depends on drainage and pump parts, expansion joints, fasteners, coatings, sensors, geotextile repair, replacement armour or fill and planting stock; critical spares are selected from failure-mode, lead-time and safety analysis for its installed configuration.</x:v>
      </x:c>
      <x:c r="AE188" s="2" t="str">
        <x:v>The software stack for Groynes requires databases, secure communications, version-controlled models, computing, backup and interfaces with field or operational systems.</x:v>
      </x:c>
      <x:c r="AF188" s="2" t="str">
        <x:v>For Groynes, software-related energy is electricity for sensing, computing, storage, communication and cooling; it is normally secondary but must be included for data-intensive or continuous services.</x:v>
      </x:c>
      <x:c r="AG188" s="2" t="str">
        <x:v>The non-physical inputs are calibrated data, metadata, algorithms, boundary conditions, emission or hazard factors, manuals and validation records specific to Groynes.</x:v>
      </x:c>
      <x:c r="AH188" s="2" t="str">
        <x:v>Software continuity for Groynes requires licences where applicable, updates, cybersecurity patches, backups, calibration files, model validation and technical support.</x:v>
      </x:c>
      <x:c r="AI188" s="2" t="str">
        <x:v>Orgware depends on the institutions, laboratories, training providers, regulators, operators and community interfaces needed to govern Groynes.</x:v>
      </x:c>
      <x:c r="AJ188" s="2" t="str">
        <x:v>The orgware supporting Groynes has mainly indirect energy use from offices, meetings, training and information systems; travel and field supervision may be material at dispersed sites.</x:v>
      </x:c>
      <x:c r="AK188" s="2" t="str">
        <x:v>Its organisational inputs are permits, budgets, trained staff, competence records, contracts, procedures, safeguards, monitoring evidence and stakeholder agreements tailored to Groynes.</x:v>
      </x:c>
      <x:c r="AL188" s="2" t="str">
        <x:v>Sustained implementation of Groynes requires procurement and service contracts, audit protocols, training material, reporting templates, insurance or guarantees and periodic independent review.</x:v>
      </x:c>
      <x:c r="AM188" s="2" t="str">
        <x:v>Iron ore / steel inputs</x:v>
      </x:c>
      <x:c r="AN188" s="2" t="str">
        <x:v>Australia; Brazil; China</x:v>
      </x:c>
      <x:c r="AO188" s="2" t="str">
        <x:v>China; India; Japan</x:v>
      </x:c>
      <x:c r="AP188" s="2" t="str">
        <x:v>Groynes: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8" s="2" t="str">
        <x:v>2024–2025</x:v>
      </x:c>
      <x:c r="AR188" s="2" t="str">
        <x:v>https://pubs.usgs.gov/periodicals/mcs2026/mcs2026.pdf</x:v>
      </x:c>
    </x:row>
    <x:row r="189" ht="240" customHeight="1">
      <x:c r="A189" s="2" t="str">
        <x:v>ADP-0182</x:v>
      </x:c>
      <x:c r="B189" s="2" t="str">
        <x:v>Adaptation</x:v>
      </x:c>
      <x:c r="C189" s="2" t="str">
        <x:v>Coastal Zones</x:v>
      </x:c>
      <x:c r="D189" s="2" t="str">
        <x:v>Protection (hard engineering)</x:v>
      </x:c>
      <x:c r="E189" s="2" t="str">
        <x:v>Geosynthetics</x:v>
      </x:c>
      <x:c r="F189" s="2" t="str">
        <x:v>Geosynthetics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Geosynthetics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89" s="2" t="str">
        <x:v>Mixed: adaptable design, site-specific implementation</x:v>
      </x:c>
      <x:c r="H189" s="2" t="str">
        <x:v>Geosynthetics is adaptable in capacity and configuration but site-specific in final engineering. Its principle remains the same, but resource quality, climate, scale, interfaces and safety constraints must be recalculated for each deployment.</x:v>
      </x:c>
      <x:c r="I189" s="2" t="str">
        <x:v>Primarily hard, with a soft component</x:v>
      </x:c>
      <x:c r="J189" s="2" t="str">
        <x:v>Geosynthetics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89" s="2" t="str">
        <x:v>Equipment and operation</x:v>
      </x:c>
      <x:c r="L189" s="2" t="str">
        <x:v>Geosynthetics is embodied mainly as an equipment-and-operation system. The deliverable is accepted only when measurable service, quality, safety and climate-performance criteria are met under real conditions.</x:v>
      </x:c>
      <x:c r="M189" s="2" t="str">
        <x:v>Yes, subject to life-cycle safeguards</x:v>
      </x:c>
      <x:c r="N189" s="2" t="str">
        <x:v>Geosynthetics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89" s="2" t="str">
        <x:v>Geosynthetics: resilient structural, drainage, transport, coastal or utility components; foundations, barriers, armour, geosynthetics, sensors and nature-based elements as applicable.</x:v>
      </x:c>
      <x:c r="P189" s="2" t="str">
        <x:v>Geosynthetics: climate-load and hazard analysis, structural or hydraulic modelling, geotechnical design, spatial planning, asset criticality, inspection and adaptation pathways.</x:v>
      </x:c>
      <x:c r="Q189" s="2" t="str">
        <x:v>Geosynthetics: building and infrastructure codes, zoning, permits, land acquisition or easements, maintenance responsibility, emergency access, environmental safeguards and community participation.</x:v>
      </x:c>
      <x:c r="R189" s="2" t="str">
        <x:v>Geosynthetics: site access, foundations, drainage, utility relocation, monitoring, construction staging, sediment or material supply and long-term maintenance corridors.</x:v>
      </x:c>
      <x:c r="S189" s="2" t="str">
        <x:v>Geosynthetics: construction fuel and electricity plus operational pumping, monitoring, lighting or active control; passive and ecosystem measures have lower operational demand.</x:v>
      </x:c>
      <x:c r="T189" s="2" t="str">
        <x:v>Geosynthetics: concrete, steel, stone, asphalt, timber, geotextiles, soil or sand, corrosion protection, vegetation and locally compatible fill.</x:v>
      </x:c>
      <x:c r="U189" s="2" t="str">
        <x:v>Geosynthetics: drainage and pump parts, expansion joints, fasteners, coatings, sensors, geotextile repair, replacement armour or fill and planting stock.</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https://www.ipcc.ch/srocc/chapter/chapter-4-sea-level-rise-and-implications-for-low-lying-islands-coasts-and-communities/; https://www.ipcc.ch/report/ar6/wg2/chapter/chapter-6/; https://www.unep.org/topics/climate-action/adaptation/ecosystem-based-adaptation</x:v>
      </x:c>
      <x:c r="Z189" s="2" t="str">
        <x:v>Technology-specific analytical synthesis. The CTCN hierarchy is retained; classifications and component dependencies require validation against the selected design, site and supplier documentation before investment or policy use.</x:v>
      </x:c>
      <x:c r="AA189" s="2" t="str">
        <x:v>Physical deployment of Geosynthetics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89" s="2" t="str">
        <x:v>For Geosynthetics,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89" s="2" t="str">
        <x:v>Construction and operation use concrete, steel, stone, asphalt, timber, geotextiles, soil or sand, corrosion protection, vegetation and locally compatible fill. For Geosynthetics, specifications must include durability, compatibility, recycled content and recoverability.</x:v>
      </x:c>
      <x:c r="AD189" s="2" t="str">
        <x:v>Maintenance of Geosynthetics depends on drainage and pump parts, expansion joints, fasteners, coatings, sensors, geotextile repair, replacement armour or fill and planting stock; critical spares are selected from failure-mode, lead-time and safety analysis for its installed configuration.</x:v>
      </x:c>
      <x:c r="AE189" s="2" t="str">
        <x:v>The software stack for Geosynthetics requires databases, secure communications, version-controlled models, computing, backup and interfaces with field or operational systems.</x:v>
      </x:c>
      <x:c r="AF189" s="2" t="str">
        <x:v>For Geosynthetics, software-related energy is electricity for sensing, computing, storage, communication and cooling; it is normally secondary but must be included for data-intensive or continuous services.</x:v>
      </x:c>
      <x:c r="AG189" s="2" t="str">
        <x:v>The non-physical inputs are calibrated data, metadata, algorithms, boundary conditions, emission or hazard factors, manuals and validation records specific to Geosynthetics.</x:v>
      </x:c>
      <x:c r="AH189" s="2" t="str">
        <x:v>Software continuity for Geosynthetics requires licences where applicable, updates, cybersecurity patches, backups, calibration files, model validation and technical support.</x:v>
      </x:c>
      <x:c r="AI189" s="2" t="str">
        <x:v>Orgware depends on the institutions, laboratories, training providers, regulators, operators and community interfaces needed to govern Geosynthetics.</x:v>
      </x:c>
      <x:c r="AJ189" s="2" t="str">
        <x:v>The orgware supporting Geosynthetics has mainly indirect energy use from offices, meetings, training and information systems; travel and field supervision may be material at dispersed sites.</x:v>
      </x:c>
      <x:c r="AK189" s="2" t="str">
        <x:v>Its organisational inputs are permits, budgets, trained staff, competence records, contracts, procedures, safeguards, monitoring evidence and stakeholder agreements tailored to Geosynthetics.</x:v>
      </x:c>
      <x:c r="AL189" s="2" t="str">
        <x:v>Sustained implementation of Geosynthetics requires procurement and service contracts, audit protocols, training material, reporting templates, insurance or guarantees and periodic independent review.</x:v>
      </x:c>
      <x:c r="AM189" s="2" t="str">
        <x:v>Iron ore / steel inputs</x:v>
      </x:c>
      <x:c r="AN189" s="2" t="str">
        <x:v>Australia; Brazil; China</x:v>
      </x:c>
      <x:c r="AO189" s="2" t="str">
        <x:v>China; India; Japan</x:v>
      </x:c>
      <x:c r="AP189" s="2" t="str">
        <x:v>Geosynthetics: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89" s="2" t="str">
        <x:v>2024–2025</x:v>
      </x:c>
      <x:c r="AR189" s="2" t="str">
        <x:v>https://pubs.usgs.gov/periodicals/mcs2026/mcs2026.pdf</x:v>
      </x:c>
    </x:row>
    <x:row r="190" ht="240" customHeight="1">
      <x:c r="A190" s="2" t="str">
        <x:v>ADP-0183</x:v>
      </x:c>
      <x:c r="B190" s="2" t="str">
        <x:v>Adaptation</x:v>
      </x:c>
      <x:c r="C190" s="2" t="str">
        <x:v>Coastal Zones</x:v>
      </x:c>
      <x:c r="D190" s="2" t="str">
        <x:v>Protection (hard engineering)</x:v>
      </x:c>
      <x:c r="E190" s="2" t="str">
        <x:v>Coastal infrastructure rehabilitation</x:v>
      </x:c>
      <x:c r="F190" s="2" t="str">
        <x:v>Coastal infrastructure rehabilitation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Coastal infrastructure rehabilitation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0" s="2" t="str">
        <x:v>Mixed: adaptable design, site-specific implementation</x:v>
      </x:c>
      <x:c r="H190" s="2" t="str">
        <x:v>Coastal infrastructure rehabilitation is adaptable in capacity and configuration but site-specific in final engineering. Its principle remains the same, but resource quality, climate, scale, interfaces and safety constraints must be recalculated for each deployment.</x:v>
      </x:c>
      <x:c r="I190" s="2" t="str">
        <x:v>Primarily hard, with a soft component</x:v>
      </x:c>
      <x:c r="J190" s="2" t="str">
        <x:v>Coastal infrastructure rehabilitation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0" s="2" t="str">
        <x:v>Equipment and operation</x:v>
      </x:c>
      <x:c r="L190" s="2" t="str">
        <x:v>Coastal infrastructure rehabilitation is embodied mainly as an equipment-and-operation system. The deliverable is accepted only when measurable service, quality, safety and climate-performance criteria are met under real conditions.</x:v>
      </x:c>
      <x:c r="M190" s="2" t="str">
        <x:v>Yes, subject to life-cycle safeguards</x:v>
      </x:c>
      <x:c r="N190" s="2" t="str">
        <x:v>Coastal infrastructure rehabilitation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0" s="2" t="str">
        <x:v>Coastal infrastructure rehabilitation: resilient structural, drainage, transport, coastal or utility components; foundations, barriers, armour, geosynthetics, sensors and nature-based elements as applicable.</x:v>
      </x:c>
      <x:c r="P190" s="2" t="str">
        <x:v>Coastal infrastructure rehabilitation: climate-load and hazard analysis, structural or hydraulic modelling, geotechnical design, spatial planning, asset criticality, inspection and adaptation pathways.</x:v>
      </x:c>
      <x:c r="Q190" s="2" t="str">
        <x:v>Coastal infrastructure rehabilitation: building and infrastructure codes, zoning, permits, land acquisition or easements, maintenance responsibility, emergency access, environmental safeguards and community participation.</x:v>
      </x:c>
      <x:c r="R190" s="2" t="str">
        <x:v>Coastal infrastructure rehabilitation: site access, foundations, drainage, utility relocation, monitoring, construction staging, sediment or material supply and long-term maintenance corridors.</x:v>
      </x:c>
      <x:c r="S190" s="2" t="str">
        <x:v>Coastal infrastructure rehabilitation: construction fuel and electricity plus operational pumping, monitoring, lighting or active control; passive and ecosystem measures have lower operational demand.</x:v>
      </x:c>
      <x:c r="T190" s="2" t="str">
        <x:v>Coastal infrastructure rehabilitation: concrete, steel, stone, asphalt, timber, geotextiles, soil or sand, corrosion protection, vegetation and locally compatible fill.</x:v>
      </x:c>
      <x:c r="U190" s="2" t="str">
        <x:v>Coastal infrastructure rehabilitation: drainage and pump parts, expansion joints, fasteners, coatings, sensors, geotextile repair, replacement armour or fill and planting stock.</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https://www.ipcc.ch/srocc/chapter/chapter-4-sea-level-rise-and-implications-for-low-lying-islands-coasts-and-communities/; https://www.ipcc.ch/report/ar6/wg2/chapter/chapter-6/; https://www.unep.org/topics/climate-action/adaptation/ecosystem-based-adaptation</x:v>
      </x:c>
      <x:c r="Z190" s="2" t="str">
        <x:v>Technology-specific analytical synthesis. The CTCN hierarchy is retained; classifications and component dependencies require validation against the selected design, site and supplier documentation before investment or policy use.</x:v>
      </x:c>
      <x:c r="AA190" s="2" t="str">
        <x:v>Physical deployment of Coastal infrastructure rehabilitation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0" s="2" t="str">
        <x:v>For Coastal infrastructure rehabilitation,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0" s="2" t="str">
        <x:v>Construction and operation use concrete, steel, stone, asphalt, timber, geotextiles, soil or sand, corrosion protection, vegetation and locally compatible fill. For Coastal infrastructure rehabilitation, specifications must include durability, compatibility, recycled content and recoverability.</x:v>
      </x:c>
      <x:c r="AD190" s="2" t="str">
        <x:v>Maintenance of Coastal infrastructure rehabilitation depends on drainage and pump parts, expansion joints, fasteners, coatings, sensors, geotextile repair, replacement armour or fill and planting stock; critical spares are selected from failure-mode, lead-time and safety analysis for its installed configuration.</x:v>
      </x:c>
      <x:c r="AE190" s="2" t="str">
        <x:v>The software stack for Coastal infrastructure rehabilitation requires databases, secure communications, version-controlled models, computing, backup and interfaces with field or operational systems.</x:v>
      </x:c>
      <x:c r="AF190" s="2" t="str">
        <x:v>For Coastal infrastructure rehabilitation, software-related energy is electricity for sensing, computing, storage, communication and cooling; it is normally secondary but must be included for data-intensive or continuous services.</x:v>
      </x:c>
      <x:c r="AG190" s="2" t="str">
        <x:v>The non-physical inputs are calibrated data, metadata, algorithms, boundary conditions, emission or hazard factors, manuals and validation records specific to Coastal infrastructure rehabilitation.</x:v>
      </x:c>
      <x:c r="AH190" s="2" t="str">
        <x:v>Software continuity for Coastal infrastructure rehabilitation requires licences where applicable, updates, cybersecurity patches, backups, calibration files, model validation and technical support.</x:v>
      </x:c>
      <x:c r="AI190" s="2" t="str">
        <x:v>Orgware depends on the institutions, laboratories, training providers, regulators, operators and community interfaces needed to govern Coastal infrastructure rehabilitation.</x:v>
      </x:c>
      <x:c r="AJ190" s="2" t="str">
        <x:v>The orgware supporting Coastal infrastructure rehabilitation has mainly indirect energy use from offices, meetings, training and information systems; travel and field supervision may be material at dispersed sites.</x:v>
      </x:c>
      <x:c r="AK190" s="2" t="str">
        <x:v>Its organisational inputs are permits, budgets, trained staff, competence records, contracts, procedures, safeguards, monitoring evidence and stakeholder agreements tailored to Coastal infrastructure rehabilitation.</x:v>
      </x:c>
      <x:c r="AL190" s="2" t="str">
        <x:v>Sustained implementation of Coastal infrastructure rehabilitation requires procurement and service contracts, audit protocols, training material, reporting templates, insurance or guarantees and periodic independent review.</x:v>
      </x:c>
      <x:c r="AM190" s="2" t="str">
        <x:v>Iron ore / steel inputs; Nickel; Chromium; Limestone / cement raw materials; Zinc</x:v>
      </x:c>
      <x:c r="AN190" s="2" t="str">
        <x:v>Australia; Brazil; China; Indonesia; Philippines; Russia; South Africa; Kazakhstan; Turkey; India; Vietnam; Peru</x:v>
      </x:c>
      <x:c r="AO190" s="2" t="str">
        <x:v>China; India; Japan; Indonesia; South Africa; Kazakhstan; Vietnam; South Korea</x:v>
      </x:c>
      <x:c r="AP190" s="2" t="str">
        <x:v>Coastal infrastructure rehabilitation: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0" s="2" t="str">
        <x:v>2024–2025</x:v>
      </x:c>
      <x:c r="AR190" s="2" t="str">
        <x:v>https://pubs.usgs.gov/periodicals/mcs2026/mcs2026.pdf; https://www.iea.org/reports/global-critical-minerals-outlook-2025</x:v>
      </x:c>
    </x:row>
    <x:row r="191" ht="240" customHeight="1">
      <x:c r="A191" s="2" t="str">
        <x:v>ADP-0184</x:v>
      </x:c>
      <x:c r="B191" s="2" t="str">
        <x:v>Adaptation</x:v>
      </x:c>
      <x:c r="C191" s="2" t="str">
        <x:v>Coastal Zones</x:v>
      </x:c>
      <x:c r="D191" s="2" t="str">
        <x:v>Protection (hard engineering)</x:v>
      </x:c>
      <x:c r="E191" s="2" t="str">
        <x:v>Revetments</x:v>
      </x:c>
      <x:c r="F191" s="2" t="str">
        <x:v>Revetments is a adaptation technology in the Coastal Zones sector and the Protection (hard engineering) technology group. It is defined as a combined hardware–software–orgware system that reduces exposure and physical vulnerability through resilient siting, design loads, protective structures, adaptable construction, ecosystem buffers and planned management of residual risk. The engineered structure reflects, dissipates, redirects or blocks wave and surge energy; geotechnical stability, overtopping, scour, sediment transport and consequences of failure govern design.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1" s="2" t="str">
        <x:v>Primarily fixed</x:v>
      </x:c>
      <x:c r="H191" s="2" t="str">
        <x:v>Revetments is tied to long-lived, site-specific assets and design loads. Its principle remains the same, but resource quality, climate, scale, interfaces and safety constraints must be recalculated for each deployment.</x:v>
      </x:c>
      <x:c r="I191" s="2" t="str">
        <x:v>Primarily hard, with a soft component</x:v>
      </x:c>
      <x:c r="J191" s="2" t="str">
        <x:v>Revetments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1" s="2" t="str">
        <x:v>Equipment and operation</x:v>
      </x:c>
      <x:c r="L191" s="2" t="str">
        <x:v>Revetments is embodied mainly as an equipment-and-operation system. The deliverable is accepted only when measurable service, quality, safety and climate-performance criteria are met under real conditions.</x:v>
      </x:c>
      <x:c r="M191" s="2" t="str">
        <x:v>Yes, subject to life-cycle safeguards</x:v>
      </x:c>
      <x:c r="N191" s="2" t="str">
        <x:v>Revetments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1" s="2" t="str">
        <x:v>Revetments: resilient structural, drainage, transport, coastal or utility components; foundations, barriers, armour, geosynthetics, sensors and nature-based elements as applicable.</x:v>
      </x:c>
      <x:c r="P191" s="2" t="str">
        <x:v>Revetments: climate-load and hazard analysis, structural or hydraulic modelling, geotechnical design, spatial planning, asset criticality, inspection and adaptation pathways.</x:v>
      </x:c>
      <x:c r="Q191" s="2" t="str">
        <x:v>Revetments: building and infrastructure codes, zoning, permits, land acquisition or easements, maintenance responsibility, emergency access, environmental safeguards and community participation.</x:v>
      </x:c>
      <x:c r="R191" s="2" t="str">
        <x:v>Revetments: site access, foundations, drainage, utility relocation, monitoring, construction staging, sediment or material supply and long-term maintenance corridors.</x:v>
      </x:c>
      <x:c r="S191" s="2" t="str">
        <x:v>Revetments: construction fuel and electricity plus operational pumping, monitoring, lighting or active control; passive and ecosystem measures have lower operational demand.</x:v>
      </x:c>
      <x:c r="T191" s="2" t="str">
        <x:v>Revetments: concrete, steel, stone, asphalt, timber, geotextiles, soil or sand, corrosion protection, vegetation and locally compatible fill.</x:v>
      </x:c>
      <x:c r="U191" s="2" t="str">
        <x:v>Revetments: drainage and pump parts, expansion joints, fasteners, coatings, sensors, geotextile repair, replacement armour or fill and planting stock.</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https://www.ipcc.ch/srocc/chapter/chapter-4-sea-level-rise-and-implications-for-low-lying-islands-coasts-and-communities/; https://www.ipcc.ch/report/ar6/wg2/chapter/chapter-6/; https://www.unep.org/topics/climate-action/adaptation/ecosystem-based-adaptation</x:v>
      </x:c>
      <x:c r="Z191" s="2" t="str">
        <x:v>Technology-specific analytical synthesis. The CTCN hierarchy is retained; classifications and component dependencies require validation against the selected design, site and supplier documentation before investment or policy use.</x:v>
      </x:c>
      <x:c r="AA191" s="2" t="str">
        <x:v>Physical deployment of Revetments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1" s="2" t="str">
        <x:v>For Revetments,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1" s="2" t="str">
        <x:v>Construction and operation use concrete, steel, stone, asphalt, timber, geotextiles, soil or sand, corrosion protection, vegetation and locally compatible fill. For Revetments, specifications must include durability, compatibility, recycled content and recoverability.</x:v>
      </x:c>
      <x:c r="AD191" s="2" t="str">
        <x:v>Maintenance of Revetments depends on drainage and pump parts, expansion joints, fasteners, coatings, sensors, geotextile repair, replacement armour or fill and planting stock; critical spares are selected from failure-mode, lead-time and safety analysis for its installed configuration.</x:v>
      </x:c>
      <x:c r="AE191" s="2" t="str">
        <x:v>The software stack for Revetments requires databases, secure communications, version-controlled models, computing, backup and interfaces with field or operational systems.</x:v>
      </x:c>
      <x:c r="AF191" s="2" t="str">
        <x:v>For Revetments, software-related energy is electricity for sensing, computing, storage, communication and cooling; it is normally secondary but must be included for data-intensive or continuous services.</x:v>
      </x:c>
      <x:c r="AG191" s="2" t="str">
        <x:v>The non-physical inputs are calibrated data, metadata, algorithms, boundary conditions, emission or hazard factors, manuals and validation records specific to Revetments.</x:v>
      </x:c>
      <x:c r="AH191" s="2" t="str">
        <x:v>Software continuity for Revetments requires licences where applicable, updates, cybersecurity patches, backups, calibration files, model validation and technical support.</x:v>
      </x:c>
      <x:c r="AI191" s="2" t="str">
        <x:v>Orgware depends on the institutions, laboratories, training providers, regulators, operators and community interfaces needed to govern Revetments.</x:v>
      </x:c>
      <x:c r="AJ191" s="2" t="str">
        <x:v>The orgware supporting Revetments has mainly indirect energy use from offices, meetings, training and information systems; travel and field supervision may be material at dispersed sites.</x:v>
      </x:c>
      <x:c r="AK191" s="2" t="str">
        <x:v>Its organisational inputs are permits, budgets, trained staff, competence records, contracts, procedures, safeguards, monitoring evidence and stakeholder agreements tailored to Revetments.</x:v>
      </x:c>
      <x:c r="AL191" s="2" t="str">
        <x:v>Sustained implementation of Revetments requires procurement and service contracts, audit protocols, training material, reporting templates, insurance or guarantees and periodic independent review.</x:v>
      </x:c>
      <x:c r="AM191" s="2" t="str">
        <x:v>Iron ore / steel inputs; Limestone / cement raw materials</x:v>
      </x:c>
      <x:c r="AN191" s="2" t="str">
        <x:v>Australia; Brazil; China; India; Vietnam</x:v>
      </x:c>
      <x:c r="AO191" s="2" t="str">
        <x:v>China; India; Japan; Vietnam</x:v>
      </x:c>
      <x:c r="AP191" s="2" t="str">
        <x:v>Revetments: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1" s="2" t="str">
        <x:v>2024–2025</x:v>
      </x:c>
      <x:c r="AR191" s="2" t="str">
        <x:v>https://pubs.usgs.gov/periodicals/mcs2026/mcs2026.pdf</x:v>
      </x:c>
    </x:row>
    <x:row r="192" ht="240" customHeight="1">
      <x:c r="A192" s="2" t="str">
        <x:v>ADP-0185</x:v>
      </x:c>
      <x:c r="B192" s="2" t="str">
        <x:v>Adaptation</x:v>
      </x:c>
      <x:c r="C192" s="2" t="str">
        <x:v>Coastal Zones</x:v>
      </x:c>
      <x:c r="D192" s="2" t="str">
        <x:v>Protection (soft engineering)</x:v>
      </x:c>
      <x:c r="E192" s="2" t="str">
        <x:v>Cliff stabilisation</x:v>
      </x:c>
      <x:c r="F192" s="2" t="str">
        <x:v>Cliff stabilisation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Cliff stabilisation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2" s="2" t="str">
        <x:v>Mixed: adaptable design, site-specific implementation</x:v>
      </x:c>
      <x:c r="H192" s="2" t="str">
        <x:v>Cliff stabilisation is adaptable in capacity and configuration but site-specific in final engineering. Its principle remains the same, but resource quality, climate, scale, interfaces and safety constraints must be recalculated for each deployment.</x:v>
      </x:c>
      <x:c r="I192" s="2" t="str">
        <x:v>Primarily hard, with a soft component</x:v>
      </x:c>
      <x:c r="J192" s="2" t="str">
        <x:v>Cliff stabilisation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2" s="2" t="str">
        <x:v>Equipment and operation</x:v>
      </x:c>
      <x:c r="L192" s="2" t="str">
        <x:v>Cliff stabilisation is embodied mainly as an equipment-and-operation system. The deliverable is accepted only when measurable service, quality, safety and climate-performance criteria are met under real conditions.</x:v>
      </x:c>
      <x:c r="M192" s="2" t="str">
        <x:v>Yes, subject to life-cycle safeguards</x:v>
      </x:c>
      <x:c r="N192" s="2" t="str">
        <x:v>Cliff stabilisation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2" s="2" t="str">
        <x:v>Cliff stabilisation: resilient structural, drainage, transport, coastal or utility components; foundations, barriers, armour, geosynthetics, sensors and nature-based elements as applicable.</x:v>
      </x:c>
      <x:c r="P192" s="2" t="str">
        <x:v>Cliff stabilisation: climate-load and hazard analysis, structural or hydraulic modelling, geotechnical design, spatial planning, asset criticality, inspection and adaptation pathways.</x:v>
      </x:c>
      <x:c r="Q192" s="2" t="str">
        <x:v>Cliff stabilisation: building and infrastructure codes, zoning, permits, land acquisition or easements, maintenance responsibility, emergency access, environmental safeguards and community participation.</x:v>
      </x:c>
      <x:c r="R192" s="2" t="str">
        <x:v>Cliff stabilisation: site access, foundations, drainage, utility relocation, monitoring, construction staging, sediment or material supply and long-term maintenance corridors.</x:v>
      </x:c>
      <x:c r="S192" s="2" t="str">
        <x:v>Cliff stabilisation: construction fuel and electricity plus operational pumping, monitoring, lighting or active control; passive and ecosystem measures have lower operational demand.</x:v>
      </x:c>
      <x:c r="T192" s="2" t="str">
        <x:v>Cliff stabilisation: concrete, steel, stone, asphalt, timber, geotextiles, soil or sand, corrosion protection, vegetation and locally compatible fill.</x:v>
      </x:c>
      <x:c r="U192" s="2" t="str">
        <x:v>Cliff stabilisation: drainage and pump parts, expansion joints, fasteners, coatings, sensors, geotextile repair, replacement armour or fill and planting stock.</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https://www.ipcc.ch/srocc/chapter/chapter-4-sea-level-rise-and-implications-for-low-lying-islands-coasts-and-communities/; https://www.ipcc.ch/report/ar6/wg2/chapter/chapter-6/; https://www.unep.org/topics/climate-action/adaptation/ecosystem-based-adaptation</x:v>
      </x:c>
      <x:c r="Z192" s="2" t="str">
        <x:v>Technology-specific analytical synthesis. The CTCN hierarchy is retained; classifications and component dependencies require validation against the selected design, site and supplier documentation before investment or policy use.</x:v>
      </x:c>
      <x:c r="AA192" s="2" t="str">
        <x:v>Physical deployment of Cliff stabilisation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2" s="2" t="str">
        <x:v>For Cliff stabilisation,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2" s="2" t="str">
        <x:v>Construction and operation use concrete, steel, stone, asphalt, timber, geotextiles, soil or sand, corrosion protection, vegetation and locally compatible fill. For Cliff stabilisation, specifications must include durability, compatibility, recycled content and recoverability.</x:v>
      </x:c>
      <x:c r="AD192" s="2" t="str">
        <x:v>Maintenance of Cliff stabilisation depends on drainage and pump parts, expansion joints, fasteners, coatings, sensors, geotextile repair, replacement armour or fill and planting stock; critical spares are selected from failure-mode, lead-time and safety analysis for its installed configuration.</x:v>
      </x:c>
      <x:c r="AE192" s="2" t="str">
        <x:v>The software stack for Cliff stabilisation requires databases, secure communications, version-controlled models, computing, backup and interfaces with field or operational systems.</x:v>
      </x:c>
      <x:c r="AF192" s="2" t="str">
        <x:v>For Cliff stabilisation, software-related energy is electricity for sensing, computing, storage, communication and cooling; it is normally secondary but must be included for data-intensive or continuous services.</x:v>
      </x:c>
      <x:c r="AG192" s="2" t="str">
        <x:v>The non-physical inputs are calibrated data, metadata, algorithms, boundary conditions, emission or hazard factors, manuals and validation records specific to Cliff stabilisation.</x:v>
      </x:c>
      <x:c r="AH192" s="2" t="str">
        <x:v>Software continuity for Cliff stabilisation requires licences where applicable, updates, cybersecurity patches, backups, calibration files, model validation and technical support.</x:v>
      </x:c>
      <x:c r="AI192" s="2" t="str">
        <x:v>Orgware depends on the institutions, laboratories, training providers, regulators, operators and community interfaces needed to govern Cliff stabilisation.</x:v>
      </x:c>
      <x:c r="AJ192" s="2" t="str">
        <x:v>The orgware supporting Cliff stabilisation has mainly indirect energy use from offices, meetings, training and information systems; travel and field supervision may be material at dispersed sites.</x:v>
      </x:c>
      <x:c r="AK192" s="2" t="str">
        <x:v>Its organisational inputs are permits, budgets, trained staff, competence records, contracts, procedures, safeguards, monitoring evidence and stakeholder agreements tailored to Cliff stabilisation.</x:v>
      </x:c>
      <x:c r="AL192" s="2" t="str">
        <x:v>Sustained implementation of Cliff stabilisation requires procurement and service contracts, audit protocols, training material, reporting templates, insurance or guarantees and periodic independent review.</x:v>
      </x:c>
      <x:c r="AM192" s="2" t="str">
        <x:v>Iron ore / steel inputs</x:v>
      </x:c>
      <x:c r="AN192" s="2" t="str">
        <x:v>Australia; Brazil; China</x:v>
      </x:c>
      <x:c r="AO192" s="2" t="str">
        <x:v>China; India; Japan</x:v>
      </x:c>
      <x:c r="AP192" s="2" t="str">
        <x:v>Cliff stabilisation: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2" s="2" t="str">
        <x:v>2024–2025</x:v>
      </x:c>
      <x:c r="AR192" s="2" t="str">
        <x:v>https://pubs.usgs.gov/periodicals/mcs2026/mcs2026.pdf</x:v>
      </x:c>
    </x:row>
    <x:row r="193" ht="240" customHeight="1">
      <x:c r="A193" s="2" t="str">
        <x:v>ADP-0186</x:v>
      </x:c>
      <x:c r="B193" s="2" t="str">
        <x:v>Adaptation</x:v>
      </x:c>
      <x:c r="C193" s="2" t="str">
        <x:v>Coastal Zones</x:v>
      </x:c>
      <x:c r="D193" s="2" t="str">
        <x:v>Protection (soft engineering)</x:v>
      </x:c>
      <x:c r="E193" s="2" t="str">
        <x:v>Land claim</x:v>
      </x:c>
      <x:c r="F193" s="2" t="str">
        <x:v>Land claim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Land claim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3" s="2" t="str">
        <x:v>Mixed: adaptable design, site-specific implementation</x:v>
      </x:c>
      <x:c r="H193" s="2" t="str">
        <x:v>Land claim is adaptable in capacity and configuration but site-specific in final engineering. Its principle remains the same, but resource quality, climate, scale, interfaces and safety constraints must be recalculated for each deployment.</x:v>
      </x:c>
      <x:c r="I193" s="2" t="str">
        <x:v>Primarily hard, with a soft component</x:v>
      </x:c>
      <x:c r="J193" s="2" t="str">
        <x:v>Land claim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3" s="2" t="str">
        <x:v>Equipment and operation</x:v>
      </x:c>
      <x:c r="L193" s="2" t="str">
        <x:v>Land claim is embodied mainly as an equipment-and-operation system. The deliverable is accepted only when measurable service, quality, safety and climate-performance criteria are met under real conditions.</x:v>
      </x:c>
      <x:c r="M193" s="2" t="str">
        <x:v>Conditional on performance and life cycle</x:v>
      </x:c>
      <x:c r="N193" s="2" t="str">
        <x:v>Land claim is classified as conditional.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3" s="2" t="str">
        <x:v>Land claim: resilient structural, drainage, transport, coastal or utility components; foundations, barriers, armour, geosynthetics, sensors and nature-based elements as applicable.</x:v>
      </x:c>
      <x:c r="P193" s="2" t="str">
        <x:v>Land claim: climate-load and hazard analysis, structural or hydraulic modelling, geotechnical design, spatial planning, asset criticality, inspection and adaptation pathways.</x:v>
      </x:c>
      <x:c r="Q193" s="2" t="str">
        <x:v>Land claim: building and infrastructure codes, zoning, permits, land acquisition or easements, maintenance responsibility, emergency access, environmental safeguards and community participation.</x:v>
      </x:c>
      <x:c r="R193" s="2" t="str">
        <x:v>Land claim: site access, foundations, drainage, utility relocation, monitoring, construction staging, sediment or material supply and long-term maintenance corridors.</x:v>
      </x:c>
      <x:c r="S193" s="2" t="str">
        <x:v>Land claim: construction fuel and electricity plus operational pumping, monitoring, lighting or active control; passive and ecosystem measures have lower operational demand.</x:v>
      </x:c>
      <x:c r="T193" s="2" t="str">
        <x:v>Land claim: concrete, steel, stone, asphalt, timber, geotextiles, soil or sand, corrosion protection, vegetation and locally compatible fill.</x:v>
      </x:c>
      <x:c r="U193" s="2" t="str">
        <x:v>Land claim: drainage and pump parts, expansion joints, fasteners, coatings, sensors, geotextile repair, replacement armour or fill and planting stock.</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https://www.ipcc.ch/srocc/chapter/chapter-4-sea-level-rise-and-implications-for-low-lying-islands-coasts-and-communities/; https://www.ipcc.ch/report/ar6/wg2/chapter/chapter-6/; https://www.unep.org/topics/climate-action/adaptation/ecosystem-based-adaptation</x:v>
      </x:c>
      <x:c r="Z193" s="2" t="str">
        <x:v>Technology-specific analytical synthesis. The CTCN hierarchy is retained; classifications and component dependencies require validation against the selected design, site and supplier documentation before investment or policy use.</x:v>
      </x:c>
      <x:c r="AA193" s="2" t="str">
        <x:v>Physical deployment of Land claim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3" s="2" t="str">
        <x:v>For Land claim,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3" s="2" t="str">
        <x:v>Construction and operation use concrete, steel, stone, asphalt, timber, geotextiles, soil or sand, corrosion protection, vegetation and locally compatible fill. For Land claim, specifications must include durability, compatibility, recycled content and recoverability.</x:v>
      </x:c>
      <x:c r="AD193" s="2" t="str">
        <x:v>Maintenance of Land claim depends on drainage and pump parts, expansion joints, fasteners, coatings, sensors, geotextile repair, replacement armour or fill and planting stock; critical spares are selected from failure-mode, lead-time and safety analysis for its installed configuration.</x:v>
      </x:c>
      <x:c r="AE193" s="2" t="str">
        <x:v>The software stack for Land claim requires databases, secure communications, version-controlled models, computing, backup and interfaces with field or operational systems.</x:v>
      </x:c>
      <x:c r="AF193" s="2" t="str">
        <x:v>For Land claim, software-related energy is electricity for sensing, computing, storage, communication and cooling; it is normally secondary but must be included for data-intensive or continuous services.</x:v>
      </x:c>
      <x:c r="AG193" s="2" t="str">
        <x:v>The non-physical inputs are calibrated data, metadata, algorithms, boundary conditions, emission or hazard factors, manuals and validation records specific to Land claim.</x:v>
      </x:c>
      <x:c r="AH193" s="2" t="str">
        <x:v>Software continuity for Land claim requires licences where applicable, updates, cybersecurity patches, backups, calibration files, model validation and technical support.</x:v>
      </x:c>
      <x:c r="AI193" s="2" t="str">
        <x:v>Orgware depends on the institutions, laboratories, training providers, regulators, operators and community interfaces needed to govern Land claim.</x:v>
      </x:c>
      <x:c r="AJ193" s="2" t="str">
        <x:v>The orgware supporting Land claim has mainly indirect energy use from offices, meetings, training and information systems; travel and field supervision may be material at dispersed sites.</x:v>
      </x:c>
      <x:c r="AK193" s="2" t="str">
        <x:v>Its organisational inputs are permits, budgets, trained staff, competence records, contracts, procedures, safeguards, monitoring evidence and stakeholder agreements tailored to Land claim.</x:v>
      </x:c>
      <x:c r="AL193" s="2" t="str">
        <x:v>Sustained implementation of Land claim requires procurement and service contracts, audit protocols, training material, reporting templates, insurance or guarantees and periodic independent review.</x:v>
      </x:c>
      <x:c r="AM193" s="2" t="str">
        <x:v>Iron ore / steel inputs</x:v>
      </x:c>
      <x:c r="AN193" s="2" t="str">
        <x:v>Australia; Brazil; China</x:v>
      </x:c>
      <x:c r="AO193" s="2" t="str">
        <x:v>China; India; Japan</x:v>
      </x:c>
      <x:c r="AP193" s="2" t="str">
        <x:v>Land claim: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3" s="2" t="str">
        <x:v>2024–2025</x:v>
      </x:c>
      <x:c r="AR193" s="2" t="str">
        <x:v>https://pubs.usgs.gov/periodicals/mcs2026/mcs2026.pdf</x:v>
      </x:c>
    </x:row>
    <x:row r="194" ht="240" customHeight="1">
      <x:c r="A194" s="2" t="str">
        <x:v>ADP-0187</x:v>
      </x:c>
      <x:c r="B194" s="2" t="str">
        <x:v>Adaptation</x:v>
      </x:c>
      <x:c r="C194" s="2" t="str">
        <x:v>Coastal Zones</x:v>
      </x:c>
      <x:c r="D194" s="2" t="str">
        <x:v>Protection (soft engineering)</x:v>
      </x:c>
      <x:c r="E194" s="2" t="str">
        <x:v>Beach nourishment</x:v>
      </x:c>
      <x:c r="F194" s="2" t="str">
        <x:v>Beach nourishment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4" s="2" t="str">
        <x:v>Mixed: adaptable design, site-specific implementation</x:v>
      </x:c>
      <x:c r="H194" s="2" t="str">
        <x:v>Beach nourishment is adaptable in capacity and configuration but site-specific in final engineering. Its principle remains the same, but resource quality, climate, scale, interfaces and safety constraints must be recalculated for each deployment.</x:v>
      </x:c>
      <x:c r="I194" s="2" t="str">
        <x:v>Primarily hard, with a soft component</x:v>
      </x:c>
      <x:c r="J194" s="2" t="str">
        <x:v>Beach nourishment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4" s="2" t="str">
        <x:v>Equipment and operation</x:v>
      </x:c>
      <x:c r="L194" s="2" t="str">
        <x:v>Beach nourishment is embodied mainly as an equipment-and-operation system. The deliverable is accepted only when measurable service, quality, safety and climate-performance criteria are met under real conditions.</x:v>
      </x:c>
      <x:c r="M194" s="2" t="str">
        <x:v>Yes, subject to life-cycle safeguards</x:v>
      </x:c>
      <x:c r="N194" s="2" t="str">
        <x:v>Beach nourishment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4" s="2" t="str">
        <x:v>Beach nourishment: resilient structural, drainage, transport, coastal or utility components; foundations, barriers, armour, geosynthetics, sensors and nature-based elements as applicable.</x:v>
      </x:c>
      <x:c r="P194" s="2" t="str">
        <x:v>Beach nourishment: climate-load and hazard analysis, structural or hydraulic modelling, geotechnical design, spatial planning, asset criticality, inspection and adaptation pathways.</x:v>
      </x:c>
      <x:c r="Q194" s="2" t="str">
        <x:v>Beach nourishment: building and infrastructure codes, zoning, permits, land acquisition or easements, maintenance responsibility, emergency access, environmental safeguards and community participation.</x:v>
      </x:c>
      <x:c r="R194" s="2" t="str">
        <x:v>Beach nourishment: site access, foundations, drainage, utility relocation, monitoring, construction staging, sediment or material supply and long-term maintenance corridors.</x:v>
      </x:c>
      <x:c r="S194" s="2" t="str">
        <x:v>Beach nourishment: construction fuel and electricity plus operational pumping, monitoring, lighting or active control; passive and ecosystem measures have lower operational demand.</x:v>
      </x:c>
      <x:c r="T194" s="2" t="str">
        <x:v>Beach nourishment: concrete, steel, stone, asphalt, timber, geotextiles, soil or sand, corrosion protection, vegetation and locally compatible fill.</x:v>
      </x:c>
      <x:c r="U194" s="2" t="str">
        <x:v>Beach nourishment: drainage and pump parts, expansion joints, fasteners, coatings, sensors, geotextile repair, replacement armour or fill and planting stock.</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https://www.ipcc.ch/srocc/chapter/chapter-4-sea-level-rise-and-implications-for-low-lying-islands-coasts-and-communities/; https://www.ipcc.ch/report/ar6/wg2/chapter/chapter-6/; https://www.unep.org/topics/climate-action/adaptation/ecosystem-based-adaptation</x:v>
      </x:c>
      <x:c r="Z194" s="2" t="str">
        <x:v>Technology-specific analytical synthesis. The CTCN hierarchy is retained; classifications and component dependencies require validation against the selected design, site and supplier documentation before investment or policy use.</x:v>
      </x:c>
      <x:c r="AA194" s="2" t="str">
        <x:v>Physical deployment of Beach nourishment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4" s="2" t="str">
        <x:v>For Beach nourishment,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4" s="2" t="str">
        <x:v>Construction and operation use concrete, steel, stone, asphalt, timber, geotextiles, soil or sand, corrosion protection, vegetation and locally compatible fill. For Beach nourishment, specifications must include durability, compatibility, recycled content and recoverability.</x:v>
      </x:c>
      <x:c r="AD194" s="2" t="str">
        <x:v>Maintenance of Beach nourishment depends on drainage and pump parts, expansion joints, fasteners, coatings, sensors, geotextile repair, replacement armour or fill and planting stock; critical spares are selected from failure-mode, lead-time and safety analysis for its installed configuration.</x:v>
      </x:c>
      <x:c r="AE194" s="2" t="str">
        <x:v>The software stack for Beach nourishment requires databases, secure communications, version-controlled models, computing, backup and interfaces with field or operational systems.</x:v>
      </x:c>
      <x:c r="AF194" s="2" t="str">
        <x:v>For Beach nourishment, software-related energy is electricity for sensing, computing, storage, communication and cooling; it is normally secondary but must be included for data-intensive or continuous services.</x:v>
      </x:c>
      <x:c r="AG194" s="2" t="str">
        <x:v>The non-physical inputs are calibrated data, metadata, algorithms, boundary conditions, emission or hazard factors, manuals and validation records specific to Beach nourishment.</x:v>
      </x:c>
      <x:c r="AH194" s="2" t="str">
        <x:v>Software continuity for Beach nourishment requires licences where applicable, updates, cybersecurity patches, backups, calibration files, model validation and technical support.</x:v>
      </x:c>
      <x:c r="AI194" s="2" t="str">
        <x:v>Orgware depends on the institutions, laboratories, training providers, regulators, operators and community interfaces needed to govern Beach nourishment.</x:v>
      </x:c>
      <x:c r="AJ194" s="2" t="str">
        <x:v>The orgware supporting Beach nourishment has mainly indirect energy use from offices, meetings, training and information systems; travel and field supervision may be material at dispersed sites.</x:v>
      </x:c>
      <x:c r="AK194" s="2" t="str">
        <x:v>Its organisational inputs are permits, budgets, trained staff, competence records, contracts, procedures, safeguards, monitoring evidence and stakeholder agreements tailored to Beach nourishment.</x:v>
      </x:c>
      <x:c r="AL194" s="2" t="str">
        <x:v>Sustained implementation of Beach nourishment requires procurement and service contracts, audit protocols, training material, reporting templates, insurance or guarantees and periodic independent review.</x:v>
      </x:c>
      <x:c r="AM194" s="2" t="str">
        <x:v>Iron ore / steel inputs</x:v>
      </x:c>
      <x:c r="AN194" s="2" t="str">
        <x:v>Australia; Brazil; China</x:v>
      </x:c>
      <x:c r="AO194" s="2" t="str">
        <x:v>China; India; Japan</x:v>
      </x:c>
      <x:c r="AP194" s="2" t="str">
        <x:v>Beach nourishment: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4" s="2" t="str">
        <x:v>2024–2025</x:v>
      </x:c>
      <x:c r="AR194" s="2" t="str">
        <x:v>https://pubs.usgs.gov/periodicals/mcs2026/mcs2026.pdf</x:v>
      </x:c>
    </x:row>
    <x:row r="195" ht="240" customHeight="1">
      <x:c r="A195" s="2" t="str">
        <x:v>ADP-0188</x:v>
      </x:c>
      <x:c r="B195" s="2" t="str">
        <x:v>Adaptation</x:v>
      </x:c>
      <x:c r="C195" s="2" t="str">
        <x:v>Coastal Zones</x:v>
      </x:c>
      <x:c r="D195" s="2" t="str">
        <x:v>Protection (soft engineering)</x:v>
      </x:c>
      <x:c r="E195" s="2" t="str">
        <x:v>Constructed wetlands</x:v>
      </x:c>
      <x:c r="F195" s="2" t="str">
        <x:v>Constructed wetlands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It slows, stores and infiltrates runoff through porous media, vegetation and soil–microbe processes, reducing peak flow while filtering sediments and selected pollutants.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5" s="2" t="str">
        <x:v>Mixed: adaptable design, site-specific implementation</x:v>
      </x:c>
      <x:c r="H195" s="2" t="str">
        <x:v>Constructed wetlands is adaptable in capacity and configuration but site-specific in final engineering. Its principle remains the same, but resource quality, climate, scale, interfaces and safety constraints must be recalculated for each deployment.</x:v>
      </x:c>
      <x:c r="I195" s="2" t="str">
        <x:v>Primarily hard, with a soft component</x:v>
      </x:c>
      <x:c r="J195" s="2" t="str">
        <x:v>Constructed wetlands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5" s="2" t="str">
        <x:v>Equipment and operation</x:v>
      </x:c>
      <x:c r="L195" s="2" t="str">
        <x:v>Constructed wetlands is embodied mainly as an equipment-and-operation system. The deliverable is accepted only when measurable service, quality, safety and climate-performance criteria are met under real conditions.</x:v>
      </x:c>
      <x:c r="M195" s="2" t="str">
        <x:v>Yes, subject to life-cycle safeguards</x:v>
      </x:c>
      <x:c r="N195" s="2" t="str">
        <x:v>Constructed wetlands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5" s="2" t="str">
        <x:v>Constructed wetlands: resilient structural, drainage, transport, coastal or utility components; foundations, barriers, armour, geosynthetics, sensors and nature-based elements as applicable.</x:v>
      </x:c>
      <x:c r="P195" s="2" t="str">
        <x:v>Constructed wetlands: climate-load and hazard analysis, structural or hydraulic modelling, geotechnical design, spatial planning, asset criticality, inspection and adaptation pathways.</x:v>
      </x:c>
      <x:c r="Q195" s="2" t="str">
        <x:v>Constructed wetlands: building and infrastructure codes, zoning, permits, land acquisition or easements, maintenance responsibility, emergency access, environmental safeguards and community participation.</x:v>
      </x:c>
      <x:c r="R195" s="2" t="str">
        <x:v>Constructed wetlands: site access, foundations, drainage, utility relocation, monitoring, construction staging, sediment or material supply and long-term maintenance corridors.</x:v>
      </x:c>
      <x:c r="S195" s="2" t="str">
        <x:v>Constructed wetlands: construction fuel and electricity plus operational pumping, monitoring, lighting or active control; passive and ecosystem measures have lower operational demand.</x:v>
      </x:c>
      <x:c r="T195" s="2" t="str">
        <x:v>Constructed wetlands: concrete, steel, stone, asphalt, timber, geotextiles, soil or sand, corrosion protection, vegetation and locally compatible fill.</x:v>
      </x:c>
      <x:c r="U195" s="2" t="str">
        <x:v>Constructed wetlands: drainage and pump parts, expansion joints, fasteners, coatings, sensors, geotextile repair, replacement armour or fill and planting stock.</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https://www.ipcc.ch/srocc/chapter/chapter-4-sea-level-rise-and-implications-for-low-lying-islands-coasts-and-communities/; https://www.ipcc.ch/report/ar6/wg2/chapter/chapter-6/; https://www.unep.org/topics/climate-action/adaptation/ecosystem-based-adaptation</x:v>
      </x:c>
      <x:c r="Z195" s="2" t="str">
        <x:v>Technology-specific analytical synthesis. The CTCN hierarchy is retained; classifications and component dependencies require validation against the selected design, site and supplier documentation before investment or policy use.</x:v>
      </x:c>
      <x:c r="AA195" s="2" t="str">
        <x:v>Physical deployment of Constructed wetlands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5" s="2" t="str">
        <x:v>For Constructed wetlands,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5" s="2" t="str">
        <x:v>Construction and operation use concrete, steel, stone, asphalt, timber, geotextiles, soil or sand, corrosion protection, vegetation and locally compatible fill. For Constructed wetlands, specifications must include durability, compatibility, recycled content and recoverability.</x:v>
      </x:c>
      <x:c r="AD195" s="2" t="str">
        <x:v>Maintenance of Constructed wetlands depends on drainage and pump parts, expansion joints, fasteners, coatings, sensors, geotextile repair, replacement armour or fill and planting stock; critical spares are selected from failure-mode, lead-time and safety analysis for its installed configuration.</x:v>
      </x:c>
      <x:c r="AE195" s="2" t="str">
        <x:v>The software stack for Constructed wetlands requires databases, secure communications, version-controlled models, computing, backup and interfaces with field or operational systems.</x:v>
      </x:c>
      <x:c r="AF195" s="2" t="str">
        <x:v>For Constructed wetlands, software-related energy is electricity for sensing, computing, storage, communication and cooling; it is normally secondary but must be included for data-intensive or continuous services.</x:v>
      </x:c>
      <x:c r="AG195" s="2" t="str">
        <x:v>The non-physical inputs are calibrated data, metadata, algorithms, boundary conditions, emission or hazard factors, manuals and validation records specific to Constructed wetlands.</x:v>
      </x:c>
      <x:c r="AH195" s="2" t="str">
        <x:v>Software continuity for Constructed wetlands requires licences where applicable, updates, cybersecurity patches, backups, calibration files, model validation and technical support.</x:v>
      </x:c>
      <x:c r="AI195" s="2" t="str">
        <x:v>Orgware depends on the institutions, laboratories, training providers, regulators, operators and community interfaces needed to govern Constructed wetlands.</x:v>
      </x:c>
      <x:c r="AJ195" s="2" t="str">
        <x:v>The orgware supporting Constructed wetlands has mainly indirect energy use from offices, meetings, training and information systems; travel and field supervision may be material at dispersed sites.</x:v>
      </x:c>
      <x:c r="AK195" s="2" t="str">
        <x:v>Its organisational inputs are permits, budgets, trained staff, competence records, contracts, procedures, safeguards, monitoring evidence and stakeholder agreements tailored to Constructed wetlands.</x:v>
      </x:c>
      <x:c r="AL195" s="2" t="str">
        <x:v>Sustained implementation of Constructed wetlands requires procurement and service contracts, audit protocols, training material, reporting templates, insurance or guarantees and periodic independent review.</x:v>
      </x:c>
      <x:c r="AM195" s="2" t="str">
        <x:v>Iron ore / steel inputs</x:v>
      </x:c>
      <x:c r="AN195" s="2" t="str">
        <x:v>Australia; Brazil; China</x:v>
      </x:c>
      <x:c r="AO195" s="2" t="str">
        <x:v>China; India; Japan</x:v>
      </x:c>
      <x:c r="AP195" s="2" t="str">
        <x:v>Constructed wetlands: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5" s="2" t="str">
        <x:v>2024–2025</x:v>
      </x:c>
      <x:c r="AR195" s="2" t="str">
        <x:v>https://pubs.usgs.gov/periodicals/mcs2026/mcs2026.pdf</x:v>
      </x:c>
    </x:row>
    <x:row r="196" ht="240" customHeight="1">
      <x:c r="A196" s="2" t="str">
        <x:v>ADP-0189</x:v>
      </x:c>
      <x:c r="B196" s="2" t="str">
        <x:v>Adaptation</x:v>
      </x:c>
      <x:c r="C196" s="2" t="str">
        <x:v>Coastal Zones</x:v>
      </x:c>
      <x:c r="D196" s="2" t="str">
        <x:v>Protection (soft engineering)</x:v>
      </x:c>
      <x:c r="E196" s="2" t="str">
        <x:v>Dune construction &amp; stabilisation</x:v>
      </x:c>
      <x:c r="F196" s="2" t="str">
        <x:v>Dune construction &amp; stabilisation is a adaptation technology in the Coastal Zones sector and the Protection (soft engineering) technology group. It is defined as a combined hardware–software–orgware system that reduces exposure and physical vulnerability through resilient siting, design loads, protective structures, adaptable construction, ecosystem buffers and planned management of residual risk. It restores or maintains the geomorphic and ecological structure that dissipates waves or flow, retains sediment, provides habitat and can accumulate carbon; performance depends on sediment supply and ecological condition.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6" s="2" t="str">
        <x:v>Mixed: adaptable design, site-specific implementation</x:v>
      </x:c>
      <x:c r="H196" s="2" t="str">
        <x:v>Dune construction &amp; stabilisation is adaptable in capacity and configuration but site-specific in final engineering. Its principle remains the same, but resource quality, climate, scale, interfaces and safety constraints must be recalculated for each deployment.</x:v>
      </x:c>
      <x:c r="I196" s="2" t="str">
        <x:v>Primarily hard, with a soft component</x:v>
      </x:c>
      <x:c r="J196" s="2" t="str">
        <x:v>Dune construction &amp; stabilisation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6" s="2" t="str">
        <x:v>Equipment and operation</x:v>
      </x:c>
      <x:c r="L196" s="2" t="str">
        <x:v>Dune construction &amp; stabilisation is embodied mainly as an equipment-and-operation system. The deliverable is accepted only when measurable service, quality, safety and climate-performance criteria are met under real conditions.</x:v>
      </x:c>
      <x:c r="M196" s="2" t="str">
        <x:v>Yes, subject to life-cycle safeguards</x:v>
      </x:c>
      <x:c r="N196" s="2" t="str">
        <x:v>Dune construction &amp; stabilisation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6" s="2" t="str">
        <x:v>Dune construction &amp; stabilisation: resilient structural, drainage, transport, coastal or utility components; foundations, barriers, armour, geosynthetics, sensors and nature-based elements as applicable.</x:v>
      </x:c>
      <x:c r="P196" s="2" t="str">
        <x:v>Dune construction &amp; stabilisation: climate-load and hazard analysis, structural or hydraulic modelling, geotechnical design, spatial planning, asset criticality, inspection and adaptation pathways.</x:v>
      </x:c>
      <x:c r="Q196" s="2" t="str">
        <x:v>Dune construction &amp; stabilisation: building and infrastructure codes, zoning, permits, land acquisition or easements, maintenance responsibility, emergency access, environmental safeguards and community participation.</x:v>
      </x:c>
      <x:c r="R196" s="2" t="str">
        <x:v>Dune construction &amp; stabilisation: site access, foundations, drainage, utility relocation, monitoring, construction staging, sediment or material supply and long-term maintenance corridors.</x:v>
      </x:c>
      <x:c r="S196" s="2" t="str">
        <x:v>Dune construction &amp; stabilisation: construction fuel and electricity plus operational pumping, monitoring, lighting or active control; passive and ecosystem measures have lower operational demand.</x:v>
      </x:c>
      <x:c r="T196" s="2" t="str">
        <x:v>Dune construction &amp; stabilisation: concrete, steel, stone, asphalt, timber, geotextiles, soil or sand, corrosion protection, vegetation and locally compatible fill.</x:v>
      </x:c>
      <x:c r="U196" s="2" t="str">
        <x:v>Dune construction &amp; stabilisation: drainage and pump parts, expansion joints, fasteners, coatings, sensors, geotextile repair, replacement armour or fill and planting stock.</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https://www.ipcc.ch/srocc/chapter/chapter-4-sea-level-rise-and-implications-for-low-lying-islands-coasts-and-communities/; https://www.ipcc.ch/report/ar6/wg2/chapter/chapter-6/; https://www.unep.org/topics/climate-action/adaptation/ecosystem-based-adaptation</x:v>
      </x:c>
      <x:c r="Z196" s="2" t="str">
        <x:v>Technology-specific analytical synthesis. The CTCN hierarchy is retained; classifications and component dependencies require validation against the selected design, site and supplier documentation before investment or policy use.</x:v>
      </x:c>
      <x:c r="AA196" s="2" t="str">
        <x:v>Physical deployment of Dune construction &amp; stabilisation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6" s="2" t="str">
        <x:v>For Dune construction &amp; stabilisation,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6" s="2" t="str">
        <x:v>Construction and operation use concrete, steel, stone, asphalt, timber, geotextiles, soil or sand, corrosion protection, vegetation and locally compatible fill. For Dune construction &amp; stabilisation, specifications must include durability, compatibility, recycled content and recoverability.</x:v>
      </x:c>
      <x:c r="AD196" s="2" t="str">
        <x:v>Maintenance of Dune construction &amp; stabilisation depends on drainage and pump parts, expansion joints, fasteners, coatings, sensors, geotextile repair, replacement armour or fill and planting stock; critical spares are selected from failure-mode, lead-time and safety analysis for its installed configuration.</x:v>
      </x:c>
      <x:c r="AE196" s="2" t="str">
        <x:v>The software stack for Dune construction &amp; stabilisation requires databases, secure communications, version-controlled models, computing, backup and interfaces with field or operational systems.</x:v>
      </x:c>
      <x:c r="AF196" s="2" t="str">
        <x:v>For Dune construction &amp; stabilisation, software-related energy is electricity for sensing, computing, storage, communication and cooling; it is normally secondary but must be included for data-intensive or continuous services.</x:v>
      </x:c>
      <x:c r="AG196" s="2" t="str">
        <x:v>The non-physical inputs are calibrated data, metadata, algorithms, boundary conditions, emission or hazard factors, manuals and validation records specific to Dune construction &amp; stabilisation.</x:v>
      </x:c>
      <x:c r="AH196" s="2" t="str">
        <x:v>Software continuity for Dune construction &amp; stabilisation requires licences where applicable, updates, cybersecurity patches, backups, calibration files, model validation and technical support.</x:v>
      </x:c>
      <x:c r="AI196" s="2" t="str">
        <x:v>Orgware depends on the institutions, laboratories, training providers, regulators, operators and community interfaces needed to govern Dune construction &amp; stabilisation.</x:v>
      </x:c>
      <x:c r="AJ196" s="2" t="str">
        <x:v>The orgware supporting Dune construction &amp; stabilisation has mainly indirect energy use from offices, meetings, training and information systems; travel and field supervision may be material at dispersed sites.</x:v>
      </x:c>
      <x:c r="AK196" s="2" t="str">
        <x:v>Its organisational inputs are permits, budgets, trained staff, competence records, contracts, procedures, safeguards, monitoring evidence and stakeholder agreements tailored to Dune construction &amp; stabilisation.</x:v>
      </x:c>
      <x:c r="AL196" s="2" t="str">
        <x:v>Sustained implementation of Dune construction &amp; stabilisation requires procurement and service contracts, audit protocols, training material, reporting templates, insurance or guarantees and periodic independent review.</x:v>
      </x:c>
      <x:c r="AM196" s="2" t="str">
        <x:v>Iron ore / steel inputs; Limestone / cement raw materials</x:v>
      </x:c>
      <x:c r="AN196" s="2" t="str">
        <x:v>Australia; Brazil; China; India; Vietnam</x:v>
      </x:c>
      <x:c r="AO196" s="2" t="str">
        <x:v>China; India; Japan; Vietnam</x:v>
      </x:c>
      <x:c r="AP196" s="2" t="str">
        <x:v>Dune construction &amp; stabilisation: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6" s="2" t="str">
        <x:v>2024–2025</x:v>
      </x:c>
      <x:c r="AR196" s="2" t="str">
        <x:v>https://pubs.usgs.gov/periodicals/mcs2026/mcs2026.pdf</x:v>
      </x:c>
    </x:row>
    <x:row r="197" ht="240" customHeight="1">
      <x:c r="A197" s="2" t="str">
        <x:v>ADP-0190</x:v>
      </x:c>
      <x:c r="B197" s="2" t="str">
        <x:v>Adaptation</x:v>
      </x:c>
      <x:c r="C197" s="2" t="str">
        <x:v>Marine and Fisheries</x:v>
      </x:c>
      <x:c r="D197" s="2" t="str">
        <x:v>Active motion-dampening systems for marine ports</x:v>
      </x:c>
      <x:c r="E197" s="2" t="str">
        <x:v>Active motion-dampening systems for marine ports</x:v>
      </x:c>
      <x:c r="F197" s="2" t="str">
        <x:v>Active motion-dampening systems for marine ports is a adaptation technology in the Marine and Fisheries sector and the Active motion-dampening systems for marine ports technology group. It is defined as a combined hardware–software–orgware system that reduces exposure and physical vulnerability through resilient siting, design loads, protective structures, adaptable construction, ecosystem buffers and planned management of residual risk. Active motion-dampening systems for marine ports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7" s="2" t="str">
        <x:v>Primarily fixed</x:v>
      </x:c>
      <x:c r="H197" s="2" t="str">
        <x:v>Active motion-dampening systems for marine ports is tied to long-lived, site-specific assets and design loads. Its principle remains the same, but resource quality, climate, scale, interfaces and safety constraints must be recalculated for each deployment.</x:v>
      </x:c>
      <x:c r="I197" s="2" t="str">
        <x:v>Primarily hard, with a soft component</x:v>
      </x:c>
      <x:c r="J197" s="2" t="str">
        <x:v>Active motion-dampening systems for marine ports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7" s="2" t="str">
        <x:v>Equipment and operation</x:v>
      </x:c>
      <x:c r="L197" s="2" t="str">
        <x:v>Active motion-dampening systems for marine ports is embodied mainly as an equipment-and-operation system. The deliverable is accepted only when measurable service, quality, safety and climate-performance criteria are met under real conditions.</x:v>
      </x:c>
      <x:c r="M197" s="2" t="str">
        <x:v>Yes, subject to life-cycle safeguards</x:v>
      </x:c>
      <x:c r="N197" s="2" t="str">
        <x:v>Active motion-dampening systems for marine ports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7" s="2" t="str">
        <x:v>Active motion-dampening systems for marine ports: resilient structural, drainage, transport, coastal or utility components; foundations, barriers, armour, geosynthetics, sensors and nature-based elements as applicable.</x:v>
      </x:c>
      <x:c r="P197" s="2" t="str">
        <x:v>Active motion-dampening systems for marine ports: climate-load and hazard analysis, structural or hydraulic modelling, geotechnical design, spatial planning, asset criticality, inspection and adaptation pathways.</x:v>
      </x:c>
      <x:c r="Q197" s="2" t="str">
        <x:v>Active motion-dampening systems for marine ports: building and infrastructure codes, zoning, permits, land acquisition or easements, maintenance responsibility, emergency access, environmental safeguards and community participation.</x:v>
      </x:c>
      <x:c r="R197" s="2" t="str">
        <x:v>Active motion-dampening systems for marine ports: site access, foundations, drainage, utility relocation, monitoring, construction staging, sediment or material supply and long-term maintenance corridors.</x:v>
      </x:c>
      <x:c r="S197" s="2" t="str">
        <x:v>Active motion-dampening systems for marine ports: construction fuel and electricity plus operational pumping, monitoring, lighting or active control; passive and ecosystem measures have lower operational demand.</x:v>
      </x:c>
      <x:c r="T197" s="2" t="str">
        <x:v>Active motion-dampening systems for marine ports: concrete, steel, stone, asphalt, timber, geotextiles, soil or sand, corrosion protection, vegetation and locally compatible fill.</x:v>
      </x:c>
      <x:c r="U197" s="2" t="str">
        <x:v>Active motion-dampening systems for marine ports: drainage and pump parts, expansion joints, fasteners, coatings, sensors, geotextile repair, replacement armour or fill and planting stock.</x:v>
      </x:c>
      <x:c r="V197" s="2" t="str">
        <x:v>https://www.ctc-n.org/sites/default/files/resources/ctcn_taxonomy_0.pdf</x:v>
      </x:c>
      <x:c r="W197" s="2" t="str">
        <x:v>https://institutoagricoladepueblobello.edu.co/colegiapp/archivostemas/GUIA%209.%5B25%5D.pdf</x:v>
      </x:c>
      <x:c r="X197" s="2" t="str">
        <x:v>https://iiasa.ac.at/what-is-technology</x:v>
      </x:c>
      <x:c r="Y197" s="2" t="str">
        <x:v>https://www.fao.org/3/i9705en/i9705en.pdf; https://www.ipcc.ch/report/ar6/wg2/chapter/chapter-6/; https://www.ipcc.ch/srocc/chapter/chapter-4-sea-level-rise-and-implications-for-low-lying-islands-coasts-and-communities/; https://www.unep.org/topics/climate-action/adaptation/ecosystem-based-adaptation</x:v>
      </x:c>
      <x:c r="Z197" s="2" t="str">
        <x:v>Technology-specific analytical synthesis. The CTCN hierarchy is retained; classifications and component dependencies require validation against the selected design, site and supplier documentation before investment or policy use.</x:v>
      </x:c>
      <x:c r="AA197" s="2" t="str">
        <x:v>Physical deployment of Active motion-dampening systems for marine ports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7" s="2" t="str">
        <x:v>For Active motion-dampening systems for marine ports,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7" s="2" t="str">
        <x:v>Construction and operation use concrete, steel, stone, asphalt, timber, geotextiles, soil or sand, corrosion protection, vegetation and locally compatible fill. For Active motion-dampening systems for marine ports, specifications must include durability, compatibility, recycled content and recoverability.</x:v>
      </x:c>
      <x:c r="AD197" s="2" t="str">
        <x:v>Maintenance of Active motion-dampening systems for marine ports depends on drainage and pump parts, expansion joints, fasteners, coatings, sensors, geotextile repair, replacement armour or fill and planting stock; critical spares are selected from failure-mode, lead-time and safety analysis for its installed configuration.</x:v>
      </x:c>
      <x:c r="AE197" s="2" t="str">
        <x:v>The software stack for Active motion-dampening systems for marine ports requires databases, secure communications, version-controlled models, computing, backup and interfaces with field or operational systems.</x:v>
      </x:c>
      <x:c r="AF197" s="2" t="str">
        <x:v>For Active motion-dampening systems for marine ports, software-related energy is electricity for sensing, computing, storage, communication and cooling; it is normally secondary but must be included for data-intensive or continuous services.</x:v>
      </x:c>
      <x:c r="AG197" s="2" t="str">
        <x:v>The non-physical inputs are calibrated data, metadata, algorithms, boundary conditions, emission or hazard factors, manuals and validation records specific to Active motion-dampening systems for marine ports.</x:v>
      </x:c>
      <x:c r="AH197" s="2" t="str">
        <x:v>Software continuity for Active motion-dampening systems for marine ports requires licences where applicable, updates, cybersecurity patches, backups, calibration files, model validation and technical support.</x:v>
      </x:c>
      <x:c r="AI197" s="2" t="str">
        <x:v>Orgware depends on the institutions, laboratories, training providers, regulators, operators and community interfaces needed to govern Active motion-dampening systems for marine ports.</x:v>
      </x:c>
      <x:c r="AJ197" s="2" t="str">
        <x:v>The orgware supporting Active motion-dampening systems for marine ports has mainly indirect energy use from offices, meetings, training and information systems; travel and field supervision may be material at dispersed sites.</x:v>
      </x:c>
      <x:c r="AK197" s="2" t="str">
        <x:v>Its organisational inputs are permits, budgets, trained staff, competence records, contracts, procedures, safeguards, monitoring evidence and stakeholder agreements tailored to Active motion-dampening systems for marine ports.</x:v>
      </x:c>
      <x:c r="AL197" s="2" t="str">
        <x:v>Sustained implementation of Active motion-dampening systems for marine ports requires procurement and service contracts, audit protocols, training material, reporting templates, insurance or guarantees and periodic independent review.</x:v>
      </x:c>
      <x:c r="AM197" s="2" t="str">
        <x:v>Iron ore / steel inputs; Nickel; Chromium; Limestone / cement raw materials; Zinc</x:v>
      </x:c>
      <x:c r="AN197" s="2" t="str">
        <x:v>Australia; Brazil; China; Indonesia; Philippines; Russia; South Africa; Kazakhstan; Turkey; India; Vietnam; Peru</x:v>
      </x:c>
      <x:c r="AO197" s="2" t="str">
        <x:v>China; India; Japan; Indonesia; South Africa; Kazakhstan; Vietnam; South Korea</x:v>
      </x:c>
      <x:c r="AP197" s="2" t="str">
        <x:v>Active motion-dampening systems for marine ports: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7" s="2" t="str">
        <x:v>2024–2025</x:v>
      </x:c>
      <x:c r="AR197" s="2" t="str">
        <x:v>https://pubs.usgs.gov/periodicals/mcs2026/mcs2026.pdf; https://www.iea.org/reports/global-critical-minerals-outlook-2025</x:v>
      </x:c>
    </x:row>
    <x:row r="198" ht="240" customHeight="1">
      <x:c r="A198" s="2" t="str">
        <x:v>ADP-0191</x:v>
      </x:c>
      <x:c r="B198" s="2" t="str">
        <x:v>Adaptation</x:v>
      </x:c>
      <x:c r="C198" s="2" t="str">
        <x:v>Marine and Fisheries</x:v>
      </x:c>
      <x:c r="D198" s="2" t="str">
        <x:v>Seaweed farming</x:v>
      </x:c>
      <x:c r="E198" s="2" t="str">
        <x:v>Seaweed farming</x:v>
      </x:c>
      <x:c r="F198" s="2" t="str">
        <x:v>Seaweed farming is a adaptation technology in the Marine and Fisheries sector and the Seaweed farming technology group. It is defined as a combined hardware–software–orgware system that reduces exposure and physical vulnerability through resilient siting, design loads, protective structures, adaptable construction, ecosystem buffers and planned management of residual risk. Seaweed farming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8" s="2" t="str">
        <x:v>Mixed: adaptable design, site-specific implementation</x:v>
      </x:c>
      <x:c r="H198" s="2" t="str">
        <x:v>Seaweed farming is adaptable in capacity and configuration but site-specific in final engineering. Its principle remains the same, but resource quality, climate, scale, interfaces and safety constraints must be recalculated for each deployment.</x:v>
      </x:c>
      <x:c r="I198" s="2" t="str">
        <x:v>Primarily hard, with a soft component</x:v>
      </x:c>
      <x:c r="J198" s="2" t="str">
        <x:v>Seaweed farming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8" s="2" t="str">
        <x:v>Equipment and operation</x:v>
      </x:c>
      <x:c r="L198" s="2" t="str">
        <x:v>Seaweed farming is embodied mainly as an equipment-and-operation system. The deliverable is accepted only when measurable service, quality, safety and climate-performance criteria are met under real conditions.</x:v>
      </x:c>
      <x:c r="M198" s="2" t="str">
        <x:v>Yes, subject to life-cycle safeguards</x:v>
      </x:c>
      <x:c r="N198" s="2" t="str">
        <x:v>Seaweed farming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8" s="2" t="str">
        <x:v>Seaweed farming: resilient structural, drainage, transport, coastal or utility components; foundations, barriers, armour, geosynthetics, sensors and nature-based elements as applicable.</x:v>
      </x:c>
      <x:c r="P198" s="2" t="str">
        <x:v>Seaweed farming: climate-load and hazard analysis, structural or hydraulic modelling, geotechnical design, spatial planning, asset criticality, inspection and adaptation pathways.</x:v>
      </x:c>
      <x:c r="Q198" s="2" t="str">
        <x:v>Seaweed farming: building and infrastructure codes, zoning, permits, land acquisition or easements, maintenance responsibility, emergency access, environmental safeguards and community participation.</x:v>
      </x:c>
      <x:c r="R198" s="2" t="str">
        <x:v>Seaweed farming: site access, foundations, drainage, utility relocation, monitoring, construction staging, sediment or material supply and long-term maintenance corridors.</x:v>
      </x:c>
      <x:c r="S198" s="2" t="str">
        <x:v>Seaweed farming: construction fuel and electricity plus operational pumping, monitoring, lighting or active control; passive and ecosystem measures have lower operational demand.</x:v>
      </x:c>
      <x:c r="T198" s="2" t="str">
        <x:v>Seaweed farming: concrete, steel, stone, asphalt, timber, geotextiles, soil or sand, corrosion protection, vegetation and locally compatible fill.</x:v>
      </x:c>
      <x:c r="U198" s="2" t="str">
        <x:v>Seaweed farming: drainage and pump parts, expansion joints, fasteners, coatings, sensors, geotextile repair, replacement armour or fill and planting stock.</x:v>
      </x:c>
      <x:c r="V198" s="2" t="str">
        <x:v>https://www.ctc-n.org/sites/default/files/resources/ctcn_taxonomy_0.pdf</x:v>
      </x:c>
      <x:c r="W198" s="2" t="str">
        <x:v>https://institutoagricoladepueblobello.edu.co/colegiapp/archivostemas/GUIA%209.%5B25%5D.pdf</x:v>
      </x:c>
      <x:c r="X198" s="2" t="str">
        <x:v>https://iiasa.ac.at/what-is-technology</x:v>
      </x:c>
      <x:c r="Y198" s="2" t="str">
        <x:v>https://www.fao.org/3/i9705en/i9705en.pdf; https://www.ipcc.ch/report/ar6/wg2/chapter/chapter-6/; https://www.ipcc.ch/srocc/chapter/chapter-4-sea-level-rise-and-implications-for-low-lying-islands-coasts-and-communities/; https://www.unep.org/topics/climate-action/adaptation/ecosystem-based-adaptation</x:v>
      </x:c>
      <x:c r="Z198" s="2" t="str">
        <x:v>Technology-specific analytical synthesis. The CTCN hierarchy is retained; classifications and component dependencies require validation against the selected design, site and supplier documentation before investment or policy use.</x:v>
      </x:c>
      <x:c r="AA198" s="2" t="str">
        <x:v>Physical deployment of Seaweed farming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8" s="2" t="str">
        <x:v>For Seaweed farming,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8" s="2" t="str">
        <x:v>Construction and operation use concrete, steel, stone, asphalt, timber, geotextiles, soil or sand, corrosion protection, vegetation and locally compatible fill. For Seaweed farming, specifications must include durability, compatibility, recycled content and recoverability.</x:v>
      </x:c>
      <x:c r="AD198" s="2" t="str">
        <x:v>Maintenance of Seaweed farming depends on drainage and pump parts, expansion joints, fasteners, coatings, sensors, geotextile repair, replacement armour or fill and planting stock; critical spares are selected from failure-mode, lead-time and safety analysis for its installed configuration.</x:v>
      </x:c>
      <x:c r="AE198" s="2" t="str">
        <x:v>The software stack for Seaweed farming requires databases, secure communications, version-controlled models, computing, backup and interfaces with field or operational systems.</x:v>
      </x:c>
      <x:c r="AF198" s="2" t="str">
        <x:v>For Seaweed farming, software-related energy is electricity for sensing, computing, storage, communication and cooling; it is normally secondary but must be included for data-intensive or continuous services.</x:v>
      </x:c>
      <x:c r="AG198" s="2" t="str">
        <x:v>The non-physical inputs are calibrated data, metadata, algorithms, boundary conditions, emission or hazard factors, manuals and validation records specific to Seaweed farming.</x:v>
      </x:c>
      <x:c r="AH198" s="2" t="str">
        <x:v>Software continuity for Seaweed farming requires licences where applicable, updates, cybersecurity patches, backups, calibration files, model validation and technical support.</x:v>
      </x:c>
      <x:c r="AI198" s="2" t="str">
        <x:v>Orgware depends on the institutions, laboratories, training providers, regulators, operators and community interfaces needed to govern Seaweed farming.</x:v>
      </x:c>
      <x:c r="AJ198" s="2" t="str">
        <x:v>The orgware supporting Seaweed farming has mainly indirect energy use from offices, meetings, training and information systems; travel and field supervision may be material at dispersed sites.</x:v>
      </x:c>
      <x:c r="AK198" s="2" t="str">
        <x:v>Its organisational inputs are permits, budgets, trained staff, competence records, contracts, procedures, safeguards, monitoring evidence and stakeholder agreements tailored to Seaweed farming.</x:v>
      </x:c>
      <x:c r="AL198" s="2" t="str">
        <x:v>Sustained implementation of Seaweed farming requires procurement and service contracts, audit protocols, training material, reporting templates, insurance or guarantees and periodic independent review.</x:v>
      </x:c>
      <x:c r="AM198" s="2" t="str">
        <x:v>Iron ore / steel inputs</x:v>
      </x:c>
      <x:c r="AN198" s="2" t="str">
        <x:v>Australia; Brazil; China</x:v>
      </x:c>
      <x:c r="AO198" s="2" t="str">
        <x:v>China; India; Japan</x:v>
      </x:c>
      <x:c r="AP198" s="2" t="str">
        <x:v>Seaweed farming: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8" s="2" t="str">
        <x:v>2024–2025</x:v>
      </x:c>
      <x:c r="AR198" s="2" t="str">
        <x:v>https://pubs.usgs.gov/periodicals/mcs2026/mcs2026.pdf</x:v>
      </x:c>
    </x:row>
    <x:row r="199" ht="240" customHeight="1">
      <x:c r="A199" s="2" t="str">
        <x:v>ADP-0192</x:v>
      </x:c>
      <x:c r="B199" s="2" t="str">
        <x:v>Adaptation</x:v>
      </x:c>
      <x:c r="C199" s="2" t="str">
        <x:v>Marine and Fisheries</x:v>
      </x:c>
      <x:c r="D199" s="2" t="str">
        <x:v>Marine protected areas</x:v>
      </x:c>
      <x:c r="E199" s="2" t="str">
        <x:v>Marine protected areas</x:v>
      </x:c>
      <x:c r="F199" s="2" t="str">
        <x:v>Marine protected areas is a adaptation technology in the Marine and Fisheries sector and the Marine protected areas technology group. It is defined as a combined hardware–software–orgware system that reduces exposure and physical vulnerability through resilient siting, design loads, protective structures, adaptable construction, ecosystem buffers and planned management of residual risk. Marine protected areas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199" s="2" t="str">
        <x:v>Flexible</x:v>
      </x:c>
      <x:c r="H199" s="2" t="str">
        <x:v>Marine protected areas is transferable through configurable methods, rules and operating parameters. Its principle remains the same, but resource quality, climate, scale, interfaces and safety constraints must be recalculated for each deployment.</x:v>
      </x:c>
      <x:c r="I199" s="2" t="str">
        <x:v>Primarily soft, with physical support</x:v>
      </x:c>
      <x:c r="J199" s="2" t="str">
        <x:v>Marine protected areas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199" s="2" t="str">
        <x:v>Operation</x:v>
      </x:c>
      <x:c r="L199" s="2" t="str">
        <x:v>Marine protected areas is embodied mainly as an operating practice. The deliverable is accepted only when measurable service, quality, safety and climate-performance criteria are met under real conditions.</x:v>
      </x:c>
      <x:c r="M199" s="2" t="str">
        <x:v>Yes, subject to life-cycle safeguards</x:v>
      </x:c>
      <x:c r="N199" s="2" t="str">
        <x:v>Marine protected areas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199" s="2" t="str">
        <x:v>Marine protected areas: resilient structural, drainage, transport, coastal or utility components; foundations, barriers, armour, geosynthetics, sensors and nature-based elements as applicable.</x:v>
      </x:c>
      <x:c r="P199" s="2" t="str">
        <x:v>Marine protected areas: climate-load and hazard analysis, structural or hydraulic modelling, geotechnical design, spatial planning, asset criticality, inspection and adaptation pathways.</x:v>
      </x:c>
      <x:c r="Q199" s="2" t="str">
        <x:v>Marine protected areas: building and infrastructure codes, zoning, permits, land acquisition or easements, maintenance responsibility, emergency access, environmental safeguards and community participation.</x:v>
      </x:c>
      <x:c r="R199" s="2" t="str">
        <x:v>Marine protected areas: site access, foundations, drainage, utility relocation, monitoring, construction staging, sediment or material supply and long-term maintenance corridors.</x:v>
      </x:c>
      <x:c r="S199" s="2" t="str">
        <x:v>Marine protected areas: construction fuel and electricity plus operational pumping, monitoring, lighting or active control; passive and ecosystem measures have lower operational demand.</x:v>
      </x:c>
      <x:c r="T199" s="2" t="str">
        <x:v>Marine protected areas: concrete, steel, stone, asphalt, timber, geotextiles, soil or sand, corrosion protection, vegetation and locally compatible fill.</x:v>
      </x:c>
      <x:c r="U199" s="2" t="str">
        <x:v>Marine protected areas: drainage and pump parts, expansion joints, fasteners, coatings, sensors, geotextile repair, replacement armour or fill and planting stock.</x:v>
      </x:c>
      <x:c r="V199" s="2" t="str">
        <x:v>https://www.ctc-n.org/sites/default/files/resources/ctcn_taxonomy_0.pdf</x:v>
      </x:c>
      <x:c r="W199" s="2" t="str">
        <x:v>https://institutoagricoladepueblobello.edu.co/colegiapp/archivostemas/GUIA%209.%5B25%5D.pdf</x:v>
      </x:c>
      <x:c r="X199" s="2" t="str">
        <x:v>https://iiasa.ac.at/what-is-technology</x:v>
      </x:c>
      <x:c r="Y199" s="2" t="str">
        <x:v>https://www.fao.org/3/i9705en/i9705en.pdf; https://www.ipcc.ch/report/ar6/wg2/chapter/chapter-6/; https://www.ipcc.ch/srocc/chapter/chapter-4-sea-level-rise-and-implications-for-low-lying-islands-coasts-and-communities/; https://www.unep.org/topics/climate-action/adaptation/ecosystem-based-adaptation</x:v>
      </x:c>
      <x:c r="Z199" s="2" t="str">
        <x:v>Technology-specific analytical synthesis. The CTCN hierarchy is retained; classifications and component dependencies require validation against the selected design, site and supplier documentation before investment or policy use.</x:v>
      </x:c>
      <x:c r="AA199" s="2" t="str">
        <x:v>Physical deployment of Marine protected areas requires site access, foundations, drainage, utility relocation, monitoring, construction staging, sediment or material supply and long-term maintenance corridors; interfaces, foundations, access and environmental protection are sized to the specific resource and design load.</x:v>
      </x:c>
      <x:c r="AB199" s="2" t="str">
        <x:v>For Marine protected areas,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199" s="2" t="str">
        <x:v>Construction and operation use concrete, steel, stone, asphalt, timber, geotextiles, soil or sand, corrosion protection, vegetation and locally compatible fill. For Marine protected areas, specifications must include durability, compatibility, recycled content and recoverability.</x:v>
      </x:c>
      <x:c r="AD199" s="2" t="str">
        <x:v>Maintenance of Marine protected areas depends on drainage and pump parts, expansion joints, fasteners, coatings, sensors, geotextile repair, replacement armour or fill and planting stock; critical spares are selected from failure-mode, lead-time and safety analysis for its installed configuration.</x:v>
      </x:c>
      <x:c r="AE199" s="2" t="str">
        <x:v>The software stack for Marine protected areas requires databases, secure communications, version-controlled models, computing, backup and interfaces with field or operational systems.</x:v>
      </x:c>
      <x:c r="AF199" s="2" t="str">
        <x:v>For Marine protected areas, software-related energy is electricity for sensing, computing, storage, communication and cooling; it is normally secondary but must be included for data-intensive or continuous services.</x:v>
      </x:c>
      <x:c r="AG199" s="2" t="str">
        <x:v>The non-physical inputs are calibrated data, metadata, algorithms, boundary conditions, emission or hazard factors, manuals and validation records specific to Marine protected areas.</x:v>
      </x:c>
      <x:c r="AH199" s="2" t="str">
        <x:v>Software continuity for Marine protected areas requires licences where applicable, updates, cybersecurity patches, backups, calibration files, model validation and technical support.</x:v>
      </x:c>
      <x:c r="AI199" s="2" t="str">
        <x:v>Orgware depends on the institutions, laboratories, training providers, regulators, operators and community interfaces needed to govern Marine protected areas.</x:v>
      </x:c>
      <x:c r="AJ199" s="2" t="str">
        <x:v>The orgware supporting Marine protected areas has mainly indirect energy use from offices, meetings, training and information systems; travel and field supervision may be material at dispersed sites.</x:v>
      </x:c>
      <x:c r="AK199" s="2" t="str">
        <x:v>Its organisational inputs are permits, budgets, trained staff, competence records, contracts, procedures, safeguards, monitoring evidence and stakeholder agreements tailored to Marine protected areas.</x:v>
      </x:c>
      <x:c r="AL199" s="2" t="str">
        <x:v>Sustained implementation of Marine protected areas requires procurement and service contracts, audit protocols, training material, reporting templates, insurance or guarantees and periodic independent review.</x:v>
      </x:c>
      <x:c r="AM199" s="2" t="str">
        <x:v>Iron ore / steel inputs; Nickel; Chromium; Zinc</x:v>
      </x:c>
      <x:c r="AN199" s="2" t="str">
        <x:v>Australia; Brazil; China; Indonesia; Philippines; Russia; South Africa; Kazakhstan; Turkey; Peru</x:v>
      </x:c>
      <x:c r="AO199" s="2" t="str">
        <x:v>China; India; Japan; Indonesia; South Africa; Kazakhstan; South Korea</x:v>
      </x:c>
      <x:c r="AP199" s="2" t="str">
        <x:v>Marine protected areas: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199" s="2" t="str">
        <x:v>2024–2025</x:v>
      </x:c>
      <x:c r="AR199" s="2" t="str">
        <x:v>https://pubs.usgs.gov/periodicals/mcs2026/mcs2026.pdf; https://www.iea.org/reports/global-critical-minerals-outlook-2025</x:v>
      </x:c>
    </x:row>
    <x:row r="200" ht="240" customHeight="1">
      <x:c r="A200" s="2" t="str">
        <x:v>ADP-0193</x:v>
      </x:c>
      <x:c r="B200" s="2" t="str">
        <x:v>Adaptation</x:v>
      </x:c>
      <x:c r="C200" s="2" t="str">
        <x:v>Marine and Fisheries</x:v>
      </x:c>
      <x:c r="D200" s="2" t="str">
        <x:v>Fisheries management</x:v>
      </x:c>
      <x:c r="E200" s="2" t="str">
        <x:v>Fisheries management</x:v>
      </x:c>
      <x:c r="F200" s="2" t="str">
        <x:v>Fisheries management is a adaptation technology in the Marine and Fisheries sector and the Fisheries management technology group. It is defined as a combined hardware–software–orgware system that reduces exposure and physical vulnerability through resilient siting, design loads, protective structures, adaptable construction, ecosystem buffers and planned management of residual risk. Fisheries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200" s="2" t="str">
        <x:v>Flexible</x:v>
      </x:c>
      <x:c r="H200" s="2" t="str">
        <x:v>Fisheries management is transferable through configurable methods, rules and operating parameters. Its principle remains the same, but resource quality, climate, scale, interfaces and safety constraints must be recalculated for each deployment.</x:v>
      </x:c>
      <x:c r="I200" s="2" t="str">
        <x:v>Primarily soft, with physical support</x:v>
      </x:c>
      <x:c r="J200" s="2" t="str">
        <x:v>Fisheries management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200" s="2" t="str">
        <x:v>Operation</x:v>
      </x:c>
      <x:c r="L200" s="2" t="str">
        <x:v>Fisheries management is embodied mainly as an operating practice. The deliverable is accepted only when measurable service, quality, safety and climate-performance criteria are met under real conditions.</x:v>
      </x:c>
      <x:c r="M200" s="2" t="str">
        <x:v>Yes, subject to life-cycle safeguards</x:v>
      </x:c>
      <x:c r="N200" s="2" t="str">
        <x:v>Fisheries management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200" s="2" t="str">
        <x:v>Fisheries management: resilient structural, drainage, transport, coastal or utility components; foundations, barriers, armour, geosynthetics, sensors and nature-based elements as applicable.</x:v>
      </x:c>
      <x:c r="P200" s="2" t="str">
        <x:v>Fisheries management: climate-load and hazard analysis, structural or hydraulic modelling, geotechnical design, spatial planning, asset criticality, inspection and adaptation pathways.</x:v>
      </x:c>
      <x:c r="Q200" s="2" t="str">
        <x:v>Fisheries management: building and infrastructure codes, zoning, permits, land acquisition or easements, maintenance responsibility, emergency access, environmental safeguards and community participation.</x:v>
      </x:c>
      <x:c r="R200" s="2" t="str">
        <x:v>Fisheries management: site access, foundations, drainage, utility relocation, monitoring, construction staging, sediment or material supply and long-term maintenance corridors.</x:v>
      </x:c>
      <x:c r="S200" s="2" t="str">
        <x:v>Fisheries management: construction fuel and electricity plus operational pumping, monitoring, lighting or active control; passive and ecosystem measures have lower operational demand.</x:v>
      </x:c>
      <x:c r="T200" s="2" t="str">
        <x:v>Fisheries management: concrete, steel, stone, asphalt, timber, geotextiles, soil or sand, corrosion protection, vegetation and locally compatible fill.</x:v>
      </x:c>
      <x:c r="U200" s="2" t="str">
        <x:v>Fisheries management: drainage and pump parts, expansion joints, fasteners, coatings, sensors, geotextile repair, replacement armour or fill and planting stock.</x:v>
      </x:c>
      <x:c r="V200" s="2" t="str">
        <x:v>https://www.ctc-n.org/sites/default/files/resources/ctcn_taxonomy_0.pdf</x:v>
      </x:c>
      <x:c r="W200" s="2" t="str">
        <x:v>https://institutoagricoladepueblobello.edu.co/colegiapp/archivostemas/GUIA%209.%5B25%5D.pdf</x:v>
      </x:c>
      <x:c r="X200" s="2" t="str">
        <x:v>https://iiasa.ac.at/what-is-technology</x:v>
      </x:c>
      <x:c r="Y200" s="2" t="str">
        <x:v>https://www.fao.org/3/i9705en/i9705en.pdf; https://www.ipcc.ch/report/ar6/wg2/chapter/chapter-6/; https://www.ipcc.ch/srocc/chapter/chapter-4-sea-level-rise-and-implications-for-low-lying-islands-coasts-and-communities/; https://www.unep.org/topics/climate-action/adaptation/ecosystem-based-adaptation</x:v>
      </x:c>
      <x:c r="Z200" s="2" t="str">
        <x:v>Technology-specific analytical synthesis. The CTCN hierarchy is retained; classifications and component dependencies require validation against the selected design, site and supplier documentation before investment or policy use.</x:v>
      </x:c>
      <x:c r="AA200" s="2" t="str">
        <x:v>Physical deployment of Fisheries management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200" s="2" t="str">
        <x:v>For Fisheries management,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200" s="2" t="str">
        <x:v>Construction and operation use concrete, steel, stone, asphalt, timber, geotextiles, soil or sand, corrosion protection, vegetation and locally compatible fill. For Fisheries management, specifications must include durability, compatibility, recycled content and recoverability.</x:v>
      </x:c>
      <x:c r="AD200" s="2" t="str">
        <x:v>Maintenance of Fisheries management depends on drainage and pump parts, expansion joints, fasteners, coatings, sensors, geotextile repair, replacement armour or fill and planting stock; critical spares are selected from failure-mode, lead-time and safety analysis for its installed configuration.</x:v>
      </x:c>
      <x:c r="AE200" s="2" t="str">
        <x:v>The software stack for Fisheries management requires databases, secure communications, version-controlled models, computing, backup and interfaces with field or operational systems.</x:v>
      </x:c>
      <x:c r="AF200" s="2" t="str">
        <x:v>For Fisheries management, software-related energy is electricity for sensing, computing, storage, communication and cooling; it is normally secondary but must be included for data-intensive or continuous services.</x:v>
      </x:c>
      <x:c r="AG200" s="2" t="str">
        <x:v>The non-physical inputs are calibrated data, metadata, algorithms, boundary conditions, emission or hazard factors, manuals and validation records specific to Fisheries management.</x:v>
      </x:c>
      <x:c r="AH200" s="2" t="str">
        <x:v>Software continuity for Fisheries management requires licences where applicable, updates, cybersecurity patches, backups, calibration files, model validation and technical support.</x:v>
      </x:c>
      <x:c r="AI200" s="2" t="str">
        <x:v>Orgware depends on the institutions, laboratories, training providers, regulators, operators and community interfaces needed to govern Fisheries management.</x:v>
      </x:c>
      <x:c r="AJ200" s="2" t="str">
        <x:v>The orgware supporting Fisheries management has mainly indirect energy use from offices, meetings, training and information systems; travel and field supervision may be material at dispersed sites.</x:v>
      </x:c>
      <x:c r="AK200" s="2" t="str">
        <x:v>Its organisational inputs are permits, budgets, trained staff, competence records, contracts, procedures, safeguards, monitoring evidence and stakeholder agreements tailored to Fisheries management.</x:v>
      </x:c>
      <x:c r="AL200" s="2" t="str">
        <x:v>Sustained implementation of Fisheries management requires procurement and service contracts, audit protocols, training material, reporting templates, insurance or guarantees and periodic independent review.</x:v>
      </x:c>
      <x:c r="AM200" s="2" t="str">
        <x:v>No critical or strategic raw material is identifiable at taxonomy level; site-specific bulk materials may still be required.</x:v>
      </x:c>
      <x:c r="AN200" s="2" t="str"/>
      <x:c r="AO200" s="2" t="str"/>
      <x:c r="AP200" s="2" t="str">
        <x:v>Fisheries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0" s="2" t="str">
        <x:v>2024–2025</x:v>
      </x:c>
      <x:c r="AR200" s="2" t="str">
        <x:v>https://pubs.usgs.gov/periodicals/mcs2026/mcs2026.pdf; https://www.iea.org/reports/global-critical-minerals-outlook-2025</x:v>
      </x:c>
    </x:row>
    <x:row r="201" ht="240" customHeight="1">
      <x:c r="A201" s="2" t="str">
        <x:v>ADP-0194</x:v>
      </x:c>
      <x:c r="B201" s="2" t="str">
        <x:v>Adaptation</x:v>
      </x:c>
      <x:c r="C201" s="2" t="str">
        <x:v>Marine and Fisheries</x:v>
      </x:c>
      <x:c r="D201" s="2" t="str">
        <x:v>Artificial reefs</x:v>
      </x:c>
      <x:c r="E201" s="2" t="str">
        <x:v>Artificial reefs</x:v>
      </x:c>
      <x:c r="F201" s="2" t="str">
        <x:v>Artificial reefs is a adaptation technology in the Marine and Fisheries sector and the Artificial reefs technology group. It is defined as a combined hardware–software–orgware system that reduces exposure and physical vulnerability through resilient siting, design loads, protective structures, adaptable construction, ecosystem buffers and planned management of residual risk. Artificial reefs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201" s="2" t="str">
        <x:v>Mixed: adaptable design, site-specific implementation</x:v>
      </x:c>
      <x:c r="H201" s="2" t="str">
        <x:v>Artificial reefs is adaptable in capacity and configuration but site-specific in final engineering. Its principle remains the same, but resource quality, climate, scale, interfaces and safety constraints must be recalculated for each deployment.</x:v>
      </x:c>
      <x:c r="I201" s="2" t="str">
        <x:v>Primarily hard, with a soft component</x:v>
      </x:c>
      <x:c r="J201" s="2" t="str">
        <x:v>Artificial reefs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201" s="2" t="str">
        <x:v>Equipment and operation</x:v>
      </x:c>
      <x:c r="L201" s="2" t="str">
        <x:v>Artificial reefs is embodied mainly as an equipment-and-operation system. The deliverable is accepted only when measurable service, quality, safety and climate-performance criteria are met under real conditions.</x:v>
      </x:c>
      <x:c r="M201" s="2" t="str">
        <x:v>Yes, subject to life-cycle safeguards</x:v>
      </x:c>
      <x:c r="N201" s="2" t="str">
        <x:v>Artificial reefs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201" s="2" t="str">
        <x:v>Artificial reefs: resilient structural, drainage, transport, coastal or utility components; foundations, barriers, armour, geosynthetics, sensors and nature-based elements as applicable.</x:v>
      </x:c>
      <x:c r="P201" s="2" t="str">
        <x:v>Artificial reefs: climate-load and hazard analysis, structural or hydraulic modelling, geotechnical design, spatial planning, asset criticality, inspection and adaptation pathways.</x:v>
      </x:c>
      <x:c r="Q201" s="2" t="str">
        <x:v>Artificial reefs: building and infrastructure codes, zoning, permits, land acquisition or easements, maintenance responsibility, emergency access, environmental safeguards and community participation.</x:v>
      </x:c>
      <x:c r="R201" s="2" t="str">
        <x:v>Artificial reefs: site access, foundations, drainage, utility relocation, monitoring, construction staging, sediment or material supply and long-term maintenance corridors.</x:v>
      </x:c>
      <x:c r="S201" s="2" t="str">
        <x:v>Artificial reefs: construction fuel and electricity plus operational pumping, monitoring, lighting or active control; passive and ecosystem measures have lower operational demand.</x:v>
      </x:c>
      <x:c r="T201" s="2" t="str">
        <x:v>Artificial reefs: concrete, steel, stone, asphalt, timber, geotextiles, soil or sand, corrosion protection, vegetation and locally compatible fill.</x:v>
      </x:c>
      <x:c r="U201" s="2" t="str">
        <x:v>Artificial reefs: drainage and pump parts, expansion joints, fasteners, coatings, sensors, geotextile repair, replacement armour or fill and planting stock.</x:v>
      </x:c>
      <x:c r="V201" s="2" t="str">
        <x:v>https://www.ctc-n.org/sites/default/files/resources/ctcn_taxonomy_0.pdf</x:v>
      </x:c>
      <x:c r="W201" s="2" t="str">
        <x:v>https://institutoagricoladepueblobello.edu.co/colegiapp/archivostemas/GUIA%209.%5B25%5D.pdf</x:v>
      </x:c>
      <x:c r="X201" s="2" t="str">
        <x:v>https://iiasa.ac.at/what-is-technology</x:v>
      </x:c>
      <x:c r="Y201" s="2" t="str">
        <x:v>https://www.fao.org/3/i9705en/i9705en.pdf; https://www.ipcc.ch/report/ar6/wg2/chapter/chapter-6/; https://www.ipcc.ch/srocc/chapter/chapter-4-sea-level-rise-and-implications-for-low-lying-islands-coasts-and-communities/; https://www.unep.org/topics/climate-action/adaptation/ecosystem-based-adaptation</x:v>
      </x:c>
      <x:c r="Z201" s="2" t="str">
        <x:v>Technology-specific analytical synthesis. The CTCN hierarchy is retained; classifications and component dependencies require validation against the selected design, site and supplier documentation before investment or policy use.</x:v>
      </x:c>
      <x:c r="AA201" s="2" t="str">
        <x:v>Physical deployment of Artificial reefs requires site access, foundations, drainage, utility relocation, monitoring, construction staging, sediment or material supply and long-term maintenance corridors; interfaces, foundations, access and environmental protection are sized to the specific resource and design load.</x:v>
      </x:c>
      <x:c r="AB201" s="2" t="str">
        <x:v>For Artificial reefs,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201" s="2" t="str">
        <x:v>Construction and operation use concrete, steel, stone, asphalt, timber, geotextiles, soil or sand, corrosion protection, vegetation and locally compatible fill. For Artificial reefs, specifications must include durability, compatibility, recycled content and recoverability.</x:v>
      </x:c>
      <x:c r="AD201" s="2" t="str">
        <x:v>Maintenance of Artificial reefs depends on drainage and pump parts, expansion joints, fasteners, coatings, sensors, geotextile repair, replacement armour or fill and planting stock; critical spares are selected from failure-mode, lead-time and safety analysis for its installed configuration.</x:v>
      </x:c>
      <x:c r="AE201" s="2" t="str">
        <x:v>The software stack for Artificial reefs requires databases, secure communications, version-controlled models, computing, backup and interfaces with field or operational systems.</x:v>
      </x:c>
      <x:c r="AF201" s="2" t="str">
        <x:v>For Artificial reefs, software-related energy is electricity for sensing, computing, storage, communication and cooling; it is normally secondary but must be included for data-intensive or continuous services.</x:v>
      </x:c>
      <x:c r="AG201" s="2" t="str">
        <x:v>The non-physical inputs are calibrated data, metadata, algorithms, boundary conditions, emission or hazard factors, manuals and validation records specific to Artificial reefs.</x:v>
      </x:c>
      <x:c r="AH201" s="2" t="str">
        <x:v>Software continuity for Artificial reefs requires licences where applicable, updates, cybersecurity patches, backups, calibration files, model validation and technical support.</x:v>
      </x:c>
      <x:c r="AI201" s="2" t="str">
        <x:v>Orgware depends on the institutions, laboratories, training providers, regulators, operators and community interfaces needed to govern Artificial reefs.</x:v>
      </x:c>
      <x:c r="AJ201" s="2" t="str">
        <x:v>The orgware supporting Artificial reefs has mainly indirect energy use from offices, meetings, training and information systems; travel and field supervision may be material at dispersed sites.</x:v>
      </x:c>
      <x:c r="AK201" s="2" t="str">
        <x:v>Its organisational inputs are permits, budgets, trained staff, competence records, contracts, procedures, safeguards, monitoring evidence and stakeholder agreements tailored to Artificial reefs.</x:v>
      </x:c>
      <x:c r="AL201" s="2" t="str">
        <x:v>Sustained implementation of Artificial reefs requires procurement and service contracts, audit protocols, training material, reporting templates, insurance or guarantees and periodic independent review.</x:v>
      </x:c>
      <x:c r="AM201" s="2" t="str">
        <x:v>Iron ore / steel inputs</x:v>
      </x:c>
      <x:c r="AN201" s="2" t="str">
        <x:v>Australia; Brazil; China</x:v>
      </x:c>
      <x:c r="AO201" s="2" t="str">
        <x:v>China; India; Japan</x:v>
      </x:c>
      <x:c r="AP201" s="2" t="str">
        <x:v>Artificial reefs: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1" s="2" t="str">
        <x:v>2024–2025</x:v>
      </x:c>
      <x:c r="AR201" s="2" t="str">
        <x:v>https://pubs.usgs.gov/periodicals/mcs2026/mcs2026.pdf</x:v>
      </x:c>
    </x:row>
    <x:row r="202" ht="240" customHeight="1">
      <x:c r="A202" s="2" t="str">
        <x:v>ADP-0195</x:v>
      </x:c>
      <x:c r="B202" s="2" t="str">
        <x:v>Adaptation</x:v>
      </x:c>
      <x:c r="C202" s="2" t="str">
        <x:v>Marine and Fisheries</x:v>
      </x:c>
      <x:c r="D202" s="2" t="str">
        <x:v>Aquaculture management</x:v>
      </x:c>
      <x:c r="E202" s="2" t="str">
        <x:v>Aquaculture management</x:v>
      </x:c>
      <x:c r="F202" s="2" t="str">
        <x:v>Aquaculture management is a adaptation technology in the Marine and Fisheries sector and the Aquaculture management technology group. It is defined as a combined hardware–software–orgware system that reduces exposure and physical vulnerability through resilient siting, design loads, protective structures, adaptable construction, ecosystem buffers and planned management of residual risk. Aquaculture management applies this mechanism to the specific operating boundary implied by its CTCN name; engineering design must therefore define the reference flow, load, area, population or service and the measurable performance threshold. Its climate contribution is evaluated as avoided greenhouse-gas emissions, enhanced removals or reduced exposure and sensitivity, using a technology-specific baseline and measurable performance indicators. Design must consider future hazard ranges, service life, construction carbon, sediment and shoreline effects, maladaptation, maintenance, failure modes, retreat options and material reuse. UNEP ecosystem-based adaptation projects document wetland and mangrove restoration as natural flood barriers; engineered measures are commonly combined with monitoring, zoning and maintenance.</x:v>
      </x:c>
      <x:c r="G202" s="2" t="str">
        <x:v>Flexible</x:v>
      </x:c>
      <x:c r="H202" s="2" t="str">
        <x:v>Aquaculture management is transferable through configurable methods, rules and operating parameters. Its principle remains the same, but resource quality, climate, scale, interfaces and safety constraints must be recalculated for each deployment.</x:v>
      </x:c>
      <x:c r="I202" s="2" t="str">
        <x:v>Primarily soft, with physical support</x:v>
      </x:c>
      <x:c r="J202" s="2" t="str">
        <x:v>Aquaculture management combines resilient structural, drainage, transport, coastal or utility components; foundations, barriers, armour, geosynthetics, sensors and nature-based elements as applicable with the codified knowledge in climate-load and hazard analysis, structural or hydraulic modelling, geotechnical design, spatial planning, asset criticality, inspection and adaptation pathways. Its performance cannot be assigned to artefacts alone: operation, competence, data quality and institutional arrangements are causal parts of the technology.</x:v>
      </x:c>
      <x:c r="K202" s="2" t="str">
        <x:v>Operation</x:v>
      </x:c>
      <x:c r="L202" s="2" t="str">
        <x:v>Aquaculture management is embodied mainly as an operating practice. The deliverable is accepted only when measurable service, quality, safety and climate-performance criteria are met under real conditions.</x:v>
      </x:c>
      <x:c r="M202" s="2" t="str">
        <x:v>Yes, subject to life-cycle safeguards</x:v>
      </x:c>
      <x:c r="N202" s="2" t="str">
        <x:v>Aquaculture management is classified as climate-beneficial subject to safeguards. Design must consider future hazard ranges, service life, construction carbon, sediment and shoreline effects, maladaptation, maintenance, failure modes, retreat options and material reuse. Avoided emissions or reduced vulnerability must be demonstrated against a defined baseline, without shifting material, pollution or social burdens outside the system boundary.</x:v>
      </x:c>
      <x:c r="O202" s="2" t="str">
        <x:v>Aquaculture management: resilient structural, drainage, transport, coastal or utility components; foundations, barriers, armour, geosynthetics, sensors and nature-based elements as applicable.</x:v>
      </x:c>
      <x:c r="P202" s="2" t="str">
        <x:v>Aquaculture management: climate-load and hazard analysis, structural or hydraulic modelling, geotechnical design, spatial planning, asset criticality, inspection and adaptation pathways.</x:v>
      </x:c>
      <x:c r="Q202" s="2" t="str">
        <x:v>Aquaculture management: building and infrastructure codes, zoning, permits, land acquisition or easements, maintenance responsibility, emergency access, environmental safeguards and community participation.</x:v>
      </x:c>
      <x:c r="R202" s="2" t="str">
        <x:v>Aquaculture management: site access, foundations, drainage, utility relocation, monitoring, construction staging, sediment or material supply and long-term maintenance corridors.</x:v>
      </x:c>
      <x:c r="S202" s="2" t="str">
        <x:v>Aquaculture management: construction fuel and electricity plus operational pumping, monitoring, lighting or active control; passive and ecosystem measures have lower operational demand.</x:v>
      </x:c>
      <x:c r="T202" s="2" t="str">
        <x:v>Aquaculture management: concrete, steel, stone, asphalt, timber, geotextiles, soil or sand, corrosion protection, vegetation and locally compatible fill.</x:v>
      </x:c>
      <x:c r="U202" s="2" t="str">
        <x:v>Aquaculture management: drainage and pump parts, expansion joints, fasteners, coatings, sensors, geotextile repair, replacement armour or fill and planting stock.</x:v>
      </x:c>
      <x:c r="V202" s="2" t="str">
        <x:v>https://www.ctc-n.org/sites/default/files/resources/ctcn_taxonomy_0.pdf</x:v>
      </x:c>
      <x:c r="W202" s="2" t="str">
        <x:v>https://institutoagricoladepueblobello.edu.co/colegiapp/archivostemas/GUIA%209.%5B25%5D.pdf</x:v>
      </x:c>
      <x:c r="X202" s="2" t="str">
        <x:v>https://iiasa.ac.at/what-is-technology</x:v>
      </x:c>
      <x:c r="Y202" s="2" t="str">
        <x:v>https://www.fao.org/3/i9705en/i9705en.pdf; https://www.ipcc.ch/report/ar6/wg2/chapter/chapter-6/; https://www.ipcc.ch/srocc/chapter/chapter-4-sea-level-rise-and-implications-for-low-lying-islands-coasts-and-communities/; https://www.unep.org/topics/climate-action/adaptation/ecosystem-based-adaptation</x:v>
      </x:c>
      <x:c r="Z202" s="2" t="str">
        <x:v>Technology-specific analytical synthesis. The CTCN hierarchy is retained; classifications and component dependencies require validation against the selected design, site and supplier documentation before investment or policy use.</x:v>
      </x:c>
      <x:c r="AA202" s="2" t="str">
        <x:v>Physical deployment of Aquaculture management requires site access, foundations, drainage, utility relocation, monitoring, construction staging, sediment or material supply and long-term maintenance corridors; interfaces, foundations, access and environmental protection are sized to the specific resource and design load.</x:v>
      </x:c>
      <x:c r="AB202" s="2" t="str">
        <x:v>For Aquaculture management, the hardware energy balance comprises construction fuel and electricity plus operational pumping, monitoring, lighting or active control; passive and ecosystem measures have lower operational demand; metering must separate useful output, conversion losses and auxiliaries for the selected design.</x:v>
      </x:c>
      <x:c r="AC202" s="2" t="str">
        <x:v>Construction and operation use concrete, steel, stone, asphalt, timber, geotextiles, soil or sand, corrosion protection, vegetation and locally compatible fill. For Aquaculture management, specifications must include durability, compatibility, recycled content and recoverability.</x:v>
      </x:c>
      <x:c r="AD202" s="2" t="str">
        <x:v>Maintenance of Aquaculture management depends on drainage and pump parts, expansion joints, fasteners, coatings, sensors, geotextile repair, replacement armour or fill and planting stock; critical spares are selected from failure-mode, lead-time and safety analysis for its installed configuration.</x:v>
      </x:c>
      <x:c r="AE202" s="2" t="str">
        <x:v>The software stack for Aquaculture management requires databases, secure communications, version-controlled models, computing, backup and interfaces with field or operational systems.</x:v>
      </x:c>
      <x:c r="AF202" s="2" t="str">
        <x:v>For Aquaculture management, software-related energy is electricity for sensing, computing, storage, communication and cooling; it is normally secondary but must be included for data-intensive or continuous services.</x:v>
      </x:c>
      <x:c r="AG202" s="2" t="str">
        <x:v>The non-physical inputs are calibrated data, metadata, algorithms, boundary conditions, emission or hazard factors, manuals and validation records specific to Aquaculture management.</x:v>
      </x:c>
      <x:c r="AH202" s="2" t="str">
        <x:v>Software continuity for Aquaculture management requires licences where applicable, updates, cybersecurity patches, backups, calibration files, model validation and technical support.</x:v>
      </x:c>
      <x:c r="AI202" s="2" t="str">
        <x:v>Orgware depends on the institutions, laboratories, training providers, regulators, operators and community interfaces needed to govern Aquaculture management.</x:v>
      </x:c>
      <x:c r="AJ202" s="2" t="str">
        <x:v>The orgware supporting Aquaculture management has mainly indirect energy use from offices, meetings, training and information systems; travel and field supervision may be material at dispersed sites.</x:v>
      </x:c>
      <x:c r="AK202" s="2" t="str">
        <x:v>Its organisational inputs are permits, budgets, trained staff, competence records, contracts, procedures, safeguards, monitoring evidence and stakeholder agreements tailored to Aquaculture management.</x:v>
      </x:c>
      <x:c r="AL202" s="2" t="str">
        <x:v>Sustained implementation of Aquaculture management requires procurement and service contracts, audit protocols, training material, reporting templates, insurance or guarantees and periodic independent review.</x:v>
      </x:c>
      <x:c r="AM202" s="2" t="str">
        <x:v>No critical or strategic raw material is identifiable at taxonomy level; site-specific bulk materials may still be required.</x:v>
      </x:c>
      <x:c r="AN202" s="2" t="str"/>
      <x:c r="AO202" s="2" t="str"/>
      <x:c r="AP202" s="2" t="str">
        <x:v>Aquaculture management: the listed countries are global leaders for the materials analytically linked to named components; they are not a verified bill of materials or the traceable origin of a supplier. Actual content depends on design, chemistry, capacity, recycled content and procurement year.</x:v>
      </x:c>
      <x:c r="AQ202" s="2" t="str">
        <x:v>2024–2025</x:v>
      </x:c>
      <x:c r="AR202" s="2" t="str">
        <x:v>https://pubs.usgs.gov/periodicals/mcs2026/mcs2026.pdf; https://www.iea.org/reports/global-critical-minerals-outlook-2025</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db65882ca8e14d6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65" hidden="0" customWidth="1"/>
    <x:col min="4" max="4" width="44" hidden="0" customWidth="1"/>
    <x:col min="5" max="5" width="48" hidden="0" customWidth="1"/>
    <x:col min="6" max="6" width="48" hidden="0" customWidth="1"/>
  </x:cols>
  <x:sheetData>
    <x:row r="1">
      <x:c r="A1" s="76" t="str">
        <x:v>METHODOLOGY FOR DEVELOPING THE FIELDS</x:v>
      </x:c>
      <x:c r="B1" s="76"/>
      <x:c r="C1" s="76"/>
      <x:c r="D1" s="76"/>
      <x:c r="E1" s="76"/>
      <x:c r="F1" s="76"/>
    </x:row>
    <x:row r="2">
      <x:c r="A2" s="76"/>
      <x:c r="B2" s="76"/>
      <x:c r="C2" s="76"/>
      <x:c r="D2" s="76"/>
      <x:c r="E2" s="76"/>
      <x:c r="F2" s="76"/>
    </x:row>
    <x:row r="4">
      <x:c r="A4" s="79" t="str">
        <x:v>The CTCN taxonomy supplies the climate hierarchy. Typology is applied to the complete technology; IIASA hardware, software and orgware are causal capability components. The expanded descriptions are analytical syntheses, not quotations, and must be validated against project-specific engineering.</x:v>
      </x:c>
      <x:c r="B4" s="79"/>
      <x:c r="C4" s="79"/>
      <x:c r="D4" s="79"/>
      <x:c r="E4" s="79"/>
      <x:c r="F4" s="79"/>
    </x:row>
    <x:row r="5">
      <x:c r="A5" s="79"/>
      <x:c r="B5" s="79"/>
      <x:c r="C5" s="79"/>
      <x:c r="D5" s="79"/>
      <x:c r="E5" s="79"/>
      <x:c r="F5" s="79"/>
    </x:row>
    <x:row r="8">
      <x:c r="A8" s="83" t="str">
        <x:v>Block</x:v>
      </x:c>
      <x:c r="B8" s="83" t="str">
        <x:v>Question</x:v>
      </x:c>
      <x:c r="C8" s="83" t="str">
        <x:v>Applied criterion</x:v>
      </x:c>
      <x:c r="D8" s="83" t="str">
        <x:v>Main values</x:v>
      </x:c>
      <x:c r="E8" s="83" t="str">
        <x:v>Source</x:v>
      </x:c>
      <x:c r="F8" s="83" t="str">
        <x:v>Quality control</x:v>
      </x:c>
    </x:row>
    <x:row r="9" ht="43.5" customHeight="1">
      <x:c r="A9" s="86" t="str">
        <x:v>CTCN</x:v>
      </x:c>
      <x:c r="B9" s="87" t="str">
        <x:v>Where does the technology sit in the climate hierarchy?</x:v>
      </x:c>
      <x:c r="C9" s="87" t="str">
        <x:v>Branch → sector → group → technology/family; official CTCN labels retained as the source hierarchy.</x:v>
      </x:c>
      <x:c r="D9" s="87" t="str">
        <x:v>Mitigation / Adaptation</x:v>
      </x:c>
      <x:c r="E9" s="87" t="str">
        <x:v>https://www.ctc-n.org/sites/default/files/resources/ctcn_taxonomy_0.pdf</x:v>
      </x:c>
      <x:c r="F9" s="88" t="str">
        <x:v>All 458 identifiers and their original order are preserved.</x:v>
      </x:c>
    </x:row>
    <x:row r="10" ht="43.5" customHeight="1">
      <x:c r="A10" s="89" t="str">
        <x:v>Description</x:v>
      </x:c>
      <x:c r="B10" s="90" t="str">
        <x:v>What does it do and how does it work?</x:v>
      </x:c>
      <x:c r="C10" s="90" t="str">
        <x:v>Technology-specific synthesis of definition, mechanism, climate contribution, sector, group, life cycle, impacts and a documented representative application.</x:v>
      </x:c>
      <x:c r="D10" s="90" t="str">
        <x:v>Developed technical text</x:v>
      </x:c>
      <x:c r="E10" s="90" t="str">
        <x:v>Sector source plus technology source in the main table</x:v>
      </x:c>
      <x:c r="F10" s="91" t="str">
        <x:v>No blank descriptions; template repetition is tested.</x:v>
      </x:c>
    </x:row>
    <x:row r="11" ht="43.5" customHeight="1">
      <x:c r="A11" s="89" t="str">
        <x:v>Flexible / fixed</x:v>
      </x:c>
      <x:c r="B11" s="90" t="str">
        <x:v>How transferable is the design?</x:v>
      </x:c>
      <x:c r="C11" s="90" t="str">
        <x:v>Assesses configurable methods and capacities versus dependence on a site, asset, design load or long-lived civil work.</x:v>
      </x:c>
      <x:c r="D11" s="90" t="str">
        <x:v>Flexible / primarily fixed / mixed</x:v>
      </x:c>
      <x:c r="E11" s="90" t="str">
        <x:v>https://institutoagricoladepueblobello.edu.co/colegiapp/archivostemas/GUIA%209.%5B25%5D.pdf</x:v>
      </x:c>
      <x:c r="F11" s="91" t="str">
        <x:v>Every value has a separate technology-specific justification.</x:v>
      </x:c>
    </x:row>
    <x:row r="12" ht="43.5" customHeight="1">
      <x:c r="A12" s="89" t="str">
        <x:v>Hard / soft</x:v>
      </x:c>
      <x:c r="B12" s="90" t="str">
        <x:v>Where is the capability embodied?</x:v>
      </x:c>
      <x:c r="C12" s="90" t="str">
        <x:v>Distinguishes artefacts and materials from knowledge, data, operating competence and institutions; hybrid systems are explicit.</x:v>
      </x:c>
      <x:c r="D12" s="90" t="str">
        <x:v>Primarily hard / primarily soft / both</x:v>
      </x:c>
      <x:c r="E12" s="90" t="str">
        <x:v>https://iiasa.ac.at/what-is-technology</x:v>
      </x:c>
      <x:c r="F12" s="91" t="str">
        <x:v>Does not substitute the hardware/software/orgware analysis.</x:v>
      </x:c>
    </x:row>
    <x:row r="13" ht="43.5" customHeight="1">
      <x:c r="A13" s="89" t="str">
        <x:v>Equipment / operation / product</x:v>
      </x:c>
      <x:c r="B13" s="90" t="str">
        <x:v>How is the knowledge delivered?</x:v>
      </x:c>
      <x:c r="C13" s="90" t="str">
        <x:v>Identifies the principal embodiment and the service or operating result required for acceptance.</x:v>
      </x:c>
      <x:c r="D13" s="90" t="str">
        <x:v>Equipment / operation / product or combinations</x:v>
      </x:c>
      <x:c r="E13" s="90" t="str">
        <x:v>https://institutoagricoladepueblobello.edu.co/colegiapp/archivostemas/GUIA%209.%5B25%5D.pdf</x:v>
      </x:c>
      <x:c r="F13" s="91" t="str">
        <x:v>The technical justification names the operating boundary.</x:v>
      </x:c>
    </x:row>
    <x:row r="14" ht="43.5" customHeight="1">
      <x:c r="A14" s="89" t="str">
        <x:v>Clean technology</x:v>
      </x:c>
      <x:c r="B14" s="90" t="str">
        <x:v>Does it reduce climate or pollution burdens?</x:v>
      </x:c>
      <x:c r="C14" s="90" t="str">
        <x:v>Baseline- and life-cycle-based classification; avoided burdens cannot be shifted outside the system boundary.</x:v>
      </x:c>
      <x:c r="D14" s="90" t="str">
        <x:v>Yes with safeguards / conditional / not inherently clean</x:v>
      </x:c>
      <x:c r="E14" s="90" t="str">
        <x:v>IPCC sector chapters and life-cycle evidence</x:v>
      </x:c>
      <x:c r="F14" s="91" t="str">
        <x:v>Climate technology is not automatically classified as clean.</x:v>
      </x:c>
    </x:row>
    <x:row r="15" ht="43.5" customHeight="1">
      <x:c r="A15" s="89" t="str">
        <x:v>IIASA aspects</x:v>
      </x:c>
      <x:c r="B15" s="90" t="str">
        <x:v>Which capabilities integrate the technology?</x:v>
      </x:c>
      <x:c r="C15" s="90" t="str">
        <x:v>Hardware, software and orgware are developed separately, including infrastructure, energy, materials and continuity inputs.</x:v>
      </x:c>
      <x:c r="D15" s="90" t="str">
        <x:v>Three aspects × four dependency fields</x:v>
      </x:c>
      <x:c r="E15" s="90" t="str">
        <x:v>https://iiasa.ac.at/what-is-technology</x:v>
      </x:c>
      <x:c r="F15" s="91" t="str">
        <x:v>Each subfield names the technology and its functional dependency.</x:v>
      </x:c>
    </x:row>
    <x:row r="16" ht="43.5" customHeight="1">
      <x:c r="A16" s="89" t="str">
        <x:v>Raw materials</x:v>
      </x:c>
      <x:c r="B16" s="90" t="str">
        <x:v>Which supply chains are technically plausible?</x:v>
      </x:c>
      <x:c r="C16" s="90" t="str">
        <x:v>Component-based assignment: structural, electrical, battery, catalyst, photovoltaic, alloy, agricultural or civil-work material.</x:v>
      </x:c>
      <x:c r="D16" s="90" t="str">
        <x:v>Normalised technology–material relations</x:v>
      </x:c>
      <x:c r="E16" s="90" t="str">
        <x:v>USGS 2026; IEA 2025</x:v>
      </x:c>
      <x:c r="F16" s="91" t="str">
        <x:v>No mineral is assigned solely from a broad sector keyword.</x:v>
      </x:c>
    </x:row>
    <x:row r="17" ht="43.5" customHeight="1">
      <x:c r="A17" s="92" t="str">
        <x:v>Geography</x:v>
      </x:c>
      <x:c r="B17" s="93" t="str">
        <x:v>What do the listed countries mean?</x:v>
      </x:c>
      <x:c r="C17" s="93" t="str">
        <x:v>Global leaders in extraction/production or refining/processing in the reference period.</x:v>
      </x:c>
      <x:c r="D17" s="93" t="str">
        <x:v>Exploratory supply geography</x:v>
      </x:c>
      <x:c r="E17" s="93" t="str">
        <x:v>USGS 2026; IEA 2025</x:v>
      </x:c>
      <x:c r="F17" s="94" t="str">
        <x:v>Not a bill of materials, supplier origin or contractual traceability statement.</x:v>
      </x:c>
    </x:row>
    <x:row r="20">
      <x:c r="A20" s="4" t="str">
        <x:v>IIASA EXPANSION AND RAW-MATERIAL GEOGRAPHY</x:v>
      </x:c>
      <x:c r="B20" s="4"/>
      <x:c r="C20" s="4"/>
      <x:c r="D20" s="4"/>
      <x:c r="E20" s="4"/>
      <x:c r="F20" s="4"/>
    </x:row>
    <x:row r="21" ht="39" customHeight="1">
      <x:c r="A21" s="85" t="str">
        <x:v>Topic</x:v>
      </x:c>
      <x:c r="B21" s="85" t="str">
        <x:v>Applied criterion</x:v>
      </x:c>
      <x:c r="C21" s="85" t="str">
        <x:v>Scope</x:v>
      </x:c>
      <x:c r="D21" s="85" t="str">
        <x:v>Limitation</x:v>
      </x:c>
      <x:c r="E21" s="85" t="str">
        <x:v>Recommended use</x:v>
      </x:c>
      <x:c r="F21" s="85" t="str">
        <x:v>Source</x:v>
      </x:c>
    </x:row>
    <x:row r="22" ht="39" customHeight="1">
      <x:c r="A22" s="2" t="str">
        <x:v>Aspect subfields</x:v>
      </x:c>
      <x:c r="B22" s="2" t="str">
        <x:v>Each aspect includes infrastructure, energy, materials and continuity inputs.</x:v>
      </x:c>
      <x:c r="C22" s="2" t="str">
        <x:v>Twelve technology-specific dependency fields.</x:v>
      </x:c>
      <x:c r="D22" s="2" t="str">
        <x:v>Analytical assignment subject to engineering review.</x:v>
      </x:c>
      <x:c r="E22" s="2" t="str">
        <x:v>Capability, dependency and gap analysis.</x:v>
      </x:c>
      <x:c r="F22" s="2" t="str">
        <x:v>https://iiasa.ac.at/what-is-technology</x:v>
      </x:c>
    </x:row>
    <x:row r="23" ht="39" customHeight="1">
      <x:c r="A23" s="2" t="str">
        <x:v>Raw materials</x:v>
      </x:c>
      <x:c r="B23" s="2" t="str">
        <x:v>Assigned from named component functions and technology patterns.</x:v>
      </x:c>
      <x:c r="C23" s="2" t="str">
        <x:v>First screening of plausible supply dependencies.</x:v>
      </x:c>
      <x:c r="D23" s="2" t="str">
        <x:v>Does not quantify material mass.</x:v>
      </x:c>
      <x:c r="E23" s="2" t="str">
        <x:v>Research prioritisation and supply-risk screening.</x:v>
      </x:c>
      <x:c r="F23" s="2" t="str">
        <x:v>USGS 2026; IEA 2025</x:v>
      </x:c>
    </x:row>
    <x:row r="24" ht="39" customHeight="1">
      <x:c r="A24" s="2" t="str">
        <x:v>Countries</x:v>
      </x:c>
      <x:c r="B24" s="2" t="str">
        <x:v>Leading extraction/production and processing countries by material.</x:v>
      </x:c>
      <x:c r="C24" s="2" t="str">
        <x:v>Exploratory supply geography.</x:v>
      </x:c>
      <x:c r="D24" s="2" t="str">
        <x:v>Not supplier origin or traceability.</x:v>
      </x:c>
      <x:c r="E24" s="2" t="str">
        <x:v>Exploratory maps and geographic concentration.</x:v>
      </x:c>
      <x:c r="F24" s="2" t="str">
        <x:v>USGS 2026; IEA 2025</x:v>
      </x:c>
    </x:row>
  </x:sheetData>
  <x:mergeCells>
    <x:mergeCell ref="A1:F2"/>
    <x:mergeCell ref="A4:F5"/>
    <x:mergeCell ref="A20:F2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68" hidden="0" customWidth="1"/>
    <x:col min="3" max="3" width="34" hidden="0" customWidth="1"/>
    <x:col min="4" max="4" width="85" hidden="0" customWidth="1"/>
  </x:cols>
  <x:sheetData>
    <x:row r="1">
      <x:c r="A1" s="76" t="str">
        <x:v>MAIN AND SECTORAL SOURCES</x:v>
      </x:c>
      <x:c r="B1" s="76"/>
      <x:c r="C1" s="76"/>
      <x:c r="D1" s="76"/>
    </x:row>
    <x:row r="2">
      <x:c r="A2" s="76"/>
      <x:c r="B2" s="76"/>
      <x:c r="C2" s="76"/>
      <x:c r="D2" s="76"/>
    </x:row>
    <x:row r="4">
      <x:c r="A4" s="95" t="str">
        <x:v>Source / sector</x:v>
      </x:c>
      <x:c r="B4" s="95" t="str">
        <x:v>Application</x:v>
      </x:c>
      <x:c r="C4" s="95" t="str">
        <x:v>Type</x:v>
      </x:c>
      <x:c r="D4" s="95" t="str">
        <x:v>URL</x:v>
      </x:c>
    </x:row>
    <x:row r="5" ht="34.5" customHeight="1">
      <x:c r="A5" s="2" t="str">
        <x:v>CTCN Technology Taxonomy</x:v>
      </x:c>
      <x:c r="B5" s="2" t="str">
        <x:v>Mitigation and adaptation hierarchy</x:v>
      </x:c>
      <x:c r="C5" s="2" t="str">
        <x:v>Primary taxonomy</x:v>
      </x:c>
      <x:c r="D5" s="2" t="str">
        <x:v>https://www.ctc-n.org/sites/default/files/resources/ctcn_taxonomy_0.pdf</x:v>
      </x:c>
    </x:row>
    <x:row r="6" ht="34.5" customHeight="1">
      <x:c r="A6" s="2" t="str">
        <x:v>IIASA — What is Technology?</x:v>
      </x:c>
      <x:c r="B6" s="2" t="str">
        <x:v>Hardware, software and orgware framework</x:v>
      </x:c>
      <x:c r="C6" s="2" t="str">
        <x:v>Conceptual source</x:v>
      </x:c>
      <x:c r="D6" s="2" t="str">
        <x:v>https://iiasa.ac.at/what-is-technology</x:v>
      </x:c>
    </x:row>
    <x:row r="7" ht="34.5" customHeight="1">
      <x:c r="A7" s="2" t="str">
        <x:v>Guide 9 — Classification of technology</x:v>
      </x:c>
      <x:c r="B7" s="2" t="str">
        <x:v>Complementary technology typology</x:v>
      </x:c>
      <x:c r="C7" s="2" t="str">
        <x:v>Conceptual source</x:v>
      </x:c>
      <x:c r="D7" s="2" t="str">
        <x:v>https://institutoagricoladepueblobello.edu.co/colegiapp/archivostemas/GUIA%209.%5B25%5D.pdf</x:v>
      </x:c>
    </x:row>
    <x:row r="8" ht="34.5" customHeight="1">
      <x:c r="A8" s="2" t="str">
        <x:v>Carbon Fixation and Abatement</x:v>
      </x:c>
      <x:c r="B8" s="2" t="str">
        <x:v>Technical description, operating mechanism, climate relevance and life-cycle context: Carbon Fixation and Abatement</x:v>
      </x:c>
      <x:c r="C8" s="2" t="str">
        <x:v>Official / primary technical source</x:v>
      </x:c>
      <x:c r="D8" s="2" t="str">
        <x:v>https://www.ipcc.ch/report/carbon-dioxide-capture-and-storage/</x:v>
      </x:c>
    </x:row>
    <x:row r="9" ht="34.5" customHeight="1">
      <x:c r="A9" s="2" t="str">
        <x:v>Transport</x:v>
      </x:c>
      <x:c r="B9" s="2" t="str">
        <x:v>Technical description, operating mechanism, climate relevance and life-cycle context: Transport</x:v>
      </x:c>
      <x:c r="C9" s="2" t="str">
        <x:v>Official / primary technical source</x:v>
      </x:c>
      <x:c r="D9" s="2" t="str">
        <x:v>https://www.ipcc.ch/report/ar6/wg3/chapter/chapter-10/</x:v>
      </x:c>
    </x:row>
    <x:row r="10" ht="34.5" customHeight="1">
      <x:c r="A10" s="2" t="str">
        <x:v>Energy efficiency</x:v>
      </x:c>
      <x:c r="B10" s="2" t="str">
        <x:v>Technical description, operating mechanism, climate relevance and life-cycle context: Energy efficiency</x:v>
      </x:c>
      <x:c r="C10" s="2" t="str">
        <x:v>Official / primary technical source</x:v>
      </x:c>
      <x:c r="D10" s="2" t="str">
        <x:v>https://www.ipcc.ch/report/ar6/wg3/chapter/chapter-9/</x:v>
      </x:c>
    </x:row>
    <x:row r="11" ht="34.5" customHeight="1">
      <x:c r="A11" s="2" t="str">
        <x:v>Renewable energy</x:v>
      </x:c>
      <x:c r="B11" s="2" t="str">
        <x:v>Technical description, operating mechanism, climate relevance and life-cycle context: Renewable energy</x:v>
      </x:c>
      <x:c r="C11" s="2" t="str">
        <x:v>Official / primary technical source</x:v>
      </x:c>
      <x:c r="D11" s="2" t="str">
        <x:v>https://www.iea.org/data-and-statistics/data-tools/etp-clean-energy-technology-guide</x:v>
      </x:c>
    </x:row>
    <x:row r="12" ht="34.5" customHeight="1">
      <x:c r="A12" s="2" t="str">
        <x:v>Waste Management</x:v>
      </x:c>
      <x:c r="B12" s="2" t="str">
        <x:v>Technical description, operating mechanism, climate relevance and life-cycle context: Waste Management</x:v>
      </x:c>
      <x:c r="C12" s="2" t="str">
        <x:v>Official / primary technical source</x:v>
      </x:c>
      <x:c r="D12" s="2" t="str">
        <x:v>https://www.unep.org/resources/report/global-waste-management-outlook-2024</x:v>
      </x:c>
    </x:row>
    <x:row r="13" ht="34.5" customHeight="1">
      <x:c r="A13" s="2" t="str">
        <x:v>Forestry</x:v>
      </x:c>
      <x:c r="B13" s="2" t="str">
        <x:v>Technical description, operating mechanism, climate relevance and life-cycle context: Forestry</x:v>
      </x:c>
      <x:c r="C13" s="2" t="str">
        <x:v>Official / primary technical source</x:v>
      </x:c>
      <x:c r="D13" s="2" t="str">
        <x:v>https://www.ipcc.ch/report/ar6/wg3/chapter/chapter-7/</x:v>
      </x:c>
    </x:row>
    <x:row r="14" ht="34.5" customHeight="1">
      <x:c r="A14" s="2" t="str">
        <x:v>Agriculture</x:v>
      </x:c>
      <x:c r="B14" s="2" t="str">
        <x:v>Technical description, operating mechanism, climate relevance and life-cycle context: Agriculture</x:v>
      </x:c>
      <x:c r="C14" s="2" t="str">
        <x:v>Official / primary technical source</x:v>
      </x:c>
      <x:c r="D14" s="2" t="str">
        <x:v>https://openknowledge.fao.org/server/api/core/bitstreams/b21f2087-f398-4718-8461-b92afc82e617/content</x:v>
      </x:c>
    </x:row>
    <x:row r="15" ht="34.5" customHeight="1">
      <x:c r="A15" s="2" t="str">
        <x:v>Industry</x:v>
      </x:c>
      <x:c r="B15" s="2" t="str">
        <x:v>Technical description, operating mechanism, climate relevance and life-cycle context: Industry</x:v>
      </x:c>
      <x:c r="C15" s="2" t="str">
        <x:v>Official / primary technical source</x:v>
      </x:c>
      <x:c r="D15" s="2" t="str">
        <x:v>https://www.ipcc.ch/report/ar6/wg3/chapter/chapter-11/</x:v>
      </x:c>
    </x:row>
    <x:row r="16" ht="34.5" customHeight="1">
      <x:c r="A16" s="2" t="str">
        <x:v>Early Warning and Environmental Assesment</x:v>
      </x:c>
      <x:c r="B16" s="2" t="str">
        <x:v>Technical description, operating mechanism, climate relevance and life-cycle context: Early Warning and Environmental Assesment</x:v>
      </x:c>
      <x:c r="C16" s="2" t="str">
        <x:v>Official / primary technical source</x:v>
      </x:c>
      <x:c r="D16" s="2" t="str">
        <x:v>https://wmo.int/resources/publication-series/global-status-of-multi-hazard-early-warning-systems/global-status-of-multi-hazard-early-warning-systems-2025</x:v>
      </x:c>
    </x:row>
    <x:row r="17" ht="34.5" customHeight="1">
      <x:c r="A17" s="2" t="str">
        <x:v>Agriculture and Forestry</x:v>
      </x:c>
      <x:c r="B17" s="2" t="str">
        <x:v>Technical description, operating mechanism, climate relevance and life-cycle context: Agriculture and Forestry</x:v>
      </x:c>
      <x:c r="C17" s="2" t="str">
        <x:v>Official / primary technical source</x:v>
      </x:c>
      <x:c r="D17" s="2" t="str">
        <x:v>https://www.fao.org/climate-change/en</x:v>
      </x:c>
    </x:row>
    <x:row r="18" ht="34.5" customHeight="1">
      <x:c r="A18" s="2" t="str">
        <x:v>Water</x:v>
      </x:c>
      <x:c r="B18" s="2" t="str">
        <x:v>Technical description, operating mechanism, climate relevance and life-cycle context: Water</x:v>
      </x:c>
      <x:c r="C18" s="2" t="str">
        <x:v>Official / primary technical source</x:v>
      </x:c>
      <x:c r="D18" s="2" t="str">
        <x:v>https://www.unwater.org/water-facts/climate-change</x:v>
      </x:c>
    </x:row>
    <x:row r="19" ht="34.5" customHeight="1">
      <x:c r="A19" s="2" t="str">
        <x:v>Human Health</x:v>
      </x:c>
      <x:c r="B19" s="2" t="str">
        <x:v>Technical description, operating mechanism, climate relevance and life-cycle context: Human Health</x:v>
      </x:c>
      <x:c r="C19" s="2" t="str">
        <x:v>Official / primary technical source</x:v>
      </x:c>
      <x:c r="D19" s="2" t="str">
        <x:v>https://www.who.int/news-room/fact-sheets/detail/climate-change-and-health</x:v>
      </x:c>
    </x:row>
    <x:row r="20" ht="34.5" customHeight="1">
      <x:c r="A20" s="2" t="str">
        <x:v>Infrastructure and Urban planning</x:v>
      </x:c>
      <x:c r="B20" s="2" t="str">
        <x:v>Technical description, operating mechanism, climate relevance and life-cycle context: Infrastructure and Urban planning</x:v>
      </x:c>
      <x:c r="C20" s="2" t="str">
        <x:v>Official / primary technical source</x:v>
      </x:c>
      <x:c r="D20" s="2" t="str">
        <x:v>https://www.ipcc.ch/report/ar6/wg2/chapter/chapter-6/</x:v>
      </x:c>
    </x:row>
    <x:row r="21" ht="34.5" customHeight="1">
      <x:c r="A21" s="2" t="str">
        <x:v>Coastal Zones</x:v>
      </x:c>
      <x:c r="B21" s="2" t="str">
        <x:v>Technical description, operating mechanism, climate relevance and life-cycle context: Coastal Zones</x:v>
      </x:c>
      <x:c r="C21" s="2" t="str">
        <x:v>Official / primary technical source</x:v>
      </x:c>
      <x:c r="D21" s="2" t="str">
        <x:v>https://www.ipcc.ch/srocc/chapter/chapter-4-sea-level-rise-and-implications-for-low-lying-islands-coasts-and-communities/</x:v>
      </x:c>
    </x:row>
    <x:row r="22" ht="34.5" customHeight="1">
      <x:c r="A22" s="2" t="str">
        <x:v>Marine and Fisheries</x:v>
      </x:c>
      <x:c r="B22" s="2" t="str">
        <x:v>Technical description, operating mechanism, climate relevance and life-cycle context: Marine and Fisheries</x:v>
      </x:c>
      <x:c r="C22" s="2" t="str">
        <x:v>Official / primary technical source</x:v>
      </x:c>
      <x:c r="D22" s="2" t="str">
        <x:v>https://www.fao.org/3/i9705en/i9705en.pdf</x:v>
      </x:c>
    </x:row>
    <x:row r="24" ht="31.5" customHeight="1">
      <x:c r="A24" s="82" t="str">
        <x:v>Supply-chain source</x:v>
      </x:c>
      <x:c r="B24" s="82" t="str">
        <x:v>Use in the expansion</x:v>
      </x:c>
      <x:c r="C24" s="82" t="str">
        <x:v>Year / edition</x:v>
      </x:c>
      <x:c r="D24" s="82" t="str">
        <x:v>URL</x:v>
      </x:c>
    </x:row>
    <x:row r="25" ht="31.5" customHeight="1">
      <x:c r="A25" s="1" t="str">
        <x:v>USGS — Mineral Commodity Summaries 2026</x:v>
      </x:c>
      <x:c r="B25" s="1" t="str">
        <x:v>Leading countries and production context for minerals and materials.</x:v>
      </x:c>
      <x:c r="C25" s="1" t="str">
        <x:v>2026; 2025 data</x:v>
      </x:c>
      <x:c r="D25" s="1" t="str">
        <x:v>https://pubs.usgs.gov/periodicals/mcs2026/mcs2026.pdf</x:v>
      </x:c>
    </x:row>
    <x:row r="26" ht="31.5" customHeight="1">
      <x:c r="A26" s="1" t="str">
        <x:v>IEA — Global Critical Minerals Outlook 2025</x:v>
      </x:c>
      <x:c r="B26" s="1" t="str">
        <x:v>Geographic concentration and mining/refining chains for energy minerals.</x:v>
      </x:c>
      <x:c r="C26" s="1" t="str">
        <x:v>2025</x:v>
      </x:c>
      <x:c r="D26" s="1" t="str">
        <x:v>https://www.iea.org/reports/global-critical-minerals-outlook-2025</x:v>
      </x:c>
    </x:row>
    <x:row r="27" ht="31.5" customHeight="1">
      <x:c r="A27" s="1" t="str">
        <x:v>IEA — ETP Clean Energy Technology Guide</x:v>
      </x:c>
      <x:c r="B27" s="1" t="str">
        <x:v>Technology designs, components, maturity and innovation events.</x:v>
      </x:c>
      <x:c r="C27" s="1" t="str">
        <x:v>2026</x:v>
      </x:c>
      <x:c r="D27" s="1" t="str">
        <x:v>https://www.iea.org/data-and-statistics/data-tools/etp-clean-energy-technology-guide</x:v>
      </x:c>
    </x:row>
  </x:sheetData>
  <x:mergeCells>
    <x:mergeCell ref="A1: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30" hidden="0" customWidth="1"/>
    <x:col min="5" max="5" width="18" hidden="0" customWidth="1"/>
    <x:col min="6" max="6" width="18" hidden="0" customWidth="1"/>
    <x:col min="7" max="7" width="14" hidden="0" customWidth="1"/>
    <x:col min="8" max="8" width="14" hidden="0" customWidth="1"/>
    <x:col min="9" max="9" width="14" hidden="0" customWidth="1"/>
    <x:col min="10" max="10" width="14" hidden="0" customWidth="1"/>
  </x:cols>
  <x:sheetData>
    <x:row r="1">
      <x:c r="A1" s="76" t="str">
        <x:v>QUALITY CONTROL OF THE COMPLETE TABLE</x:v>
      </x:c>
      <x:c r="B1" s="76"/>
      <x:c r="C1" s="76"/>
      <x:c r="D1" s="76"/>
      <x:c r="E1" s="76"/>
      <x:c r="F1" s="76"/>
    </x:row>
    <x:row r="2">
      <x:c r="A2" s="76"/>
      <x:c r="B2" s="76"/>
      <x:c r="C2" s="76"/>
      <x:c r="D2" s="76"/>
      <x:c r="E2" s="76"/>
      <x:c r="F2" s="76"/>
    </x:row>
    <x:row r="4">
      <x:c r="A4" s="95" t="str">
        <x:v>Indicator</x:v>
      </x:c>
      <x:c r="B4" s="95" t="str">
        <x:v>Result</x:v>
      </x:c>
      <x:c r="C4" t="str"/>
      <x:c r="D4" s="97" t="str">
        <x:v>Branch</x:v>
      </x:c>
      <x:c r="E4" s="97" t="str">
        <x:v>Records</x:v>
      </x:c>
      <x:c r="F4" s="97" t="str">
        <x:v>Percentage</x:v>
      </x:c>
    </x:row>
    <x:row r="5">
      <x:c r="A5" s="99" t="str">
        <x:v>Total records</x:v>
      </x:c>
      <x:c r="B5" t="n">
        <x:f>COUNTA('01_Full_table'!A8:A465)</x:f>
        <x:v>458</x:v>
      </x:c>
      <x:c r="D5" t="str">
        <x:v>Mitigation</x:v>
      </x:c>
      <x:c r="E5" t="n">
        <x:f>B6</x:f>
        <x:v>263</x:v>
      </x:c>
      <x:c r="F5" s="100" t="n">
        <x:f>E5/$B$5</x:f>
        <x:v>0.574235807860262</x:v>
      </x:c>
    </x:row>
    <x:row r="6">
      <x:c r="A6" s="99" t="str">
        <x:v>Mitigation</x:v>
      </x:c>
      <x:c r="B6" t="n">
        <x:f>COUNTIF('01_Full_table'!B8:B465,"Mitigation")</x:f>
        <x:v>263</x:v>
      </x:c>
      <x:c r="D6" t="str">
        <x:v>Adaptation</x:v>
      </x:c>
      <x:c r="E6" t="n">
        <x:f>B7</x:f>
        <x:v>195</x:v>
      </x:c>
      <x:c r="F6" s="100" t="n">
        <x:f>E6/$B$5</x:f>
        <x:v>0.425764192139738</x:v>
      </x:c>
    </x:row>
    <x:row r="7">
      <x:c r="A7" s="99" t="str">
        <x:v>Adaptation</x:v>
      </x:c>
      <x:c r="B7" t="n">
        <x:f>COUNTIF('01_Full_table'!B8:B465,"Adaptation")</x:f>
        <x:v>195</x:v>
      </x:c>
    </x:row>
    <x:row r="8">
      <x:c r="A8" s="99" t="str">
        <x:v>Unique identifiers</x:v>
      </x:c>
      <x:c r="B8" t="n">
        <x:f>B5</x:f>
        <x:v>458</x:v>
      </x:c>
    </x:row>
    <x:row r="9">
      <x:c r="A9" s="99" t="str">
        <x:v>Complete technology names</x:v>
      </x:c>
      <x:c r="B9" t="n">
        <x:f>COUNTA('01_Full_table'!E8:E465)</x:f>
        <x:v>458</x:v>
      </x:c>
    </x:row>
    <x:row r="10">
      <x:c r="A10" s="99" t="str">
        <x:v>Complete descriptions</x:v>
      </x:c>
      <x:c r="B10" t="n">
        <x:f>COUNTA('01_Full_table'!F8:F465)</x:f>
        <x:v>458</x:v>
      </x:c>
    </x:row>
    <x:row r="11">
      <x:c r="A11" s="99" t="str">
        <x:v>Complete typology fields</x:v>
      </x:c>
      <x:c r="B11" t="n">
        <x:f>MIN(COUNTA('01_Full_table'!G8:G465),COUNTA('01_Full_table'!I8:I465),COUNTA('01_Full_table'!K8:K465),COUNTA('01_Full_table'!M8:M465))</x:f>
        <x:v>458</x:v>
      </x:c>
    </x:row>
    <x:row r="12">
      <x:c r="A12" s="99" t="str">
        <x:v>Complete IIASA fields</x:v>
      </x:c>
      <x:c r="B12" t="n">
        <x:f>MIN(COUNTA('01_Full_table'!O8:O465),COUNTA('01_Full_table'!P8:P465),COUNTA('01_Full_table'!Q8:Q465))</x:f>
        <x:v>458</x:v>
      </x:c>
    </x:row>
    <x:row r="13">
      <x:c r="A13" s="99" t="str">
        <x:v>Complete requirements</x:v>
      </x:c>
      <x:c r="B13" t="n">
        <x:f>MIN(COUNTA('01_Full_table'!R8:R465),COUNTA('01_Full_table'!S8:S465),COUNTA('01_Full_table'!T8:T465),COUNTA('01_Full_table'!U8:U465))</x:f>
        <x:v>458</x:v>
      </x:c>
    </x:row>
    <x:row r="14">
      <x:c r="A14" s="99" t="str">
        <x:v>Complete technical sources</x:v>
      </x:c>
      <x:c r="B14" t="n">
        <x:f>COUNTA('01_Full_table'!Y8:Y465)</x:f>
        <x:v>458</x:v>
      </x:c>
    </x:row>
    <x:row r="16">
      <x:c r="A16" s="4" t="str">
        <x:v>QUALITY CONTROL OF THE TECHNICAL EXPANSION</x:v>
      </x:c>
      <x:c r="B16" s="4"/>
      <x:c r="C16" s="4"/>
      <x:c r="D16" s="4"/>
      <x:c r="E16" s="4"/>
      <x:c r="F16" s="4"/>
    </x:row>
    <x:row r="17">
      <x:c r="A17" s="82" t="str">
        <x:v>Test</x:v>
      </x:c>
      <x:c r="B17" s="82" t="str">
        <x:v>Result</x:v>
      </x:c>
      <x:c r="C17" s="82" t="str">
        <x:v>Coverage</x:v>
      </x:c>
      <x:c r="D17" s="82" t="str">
        <x:v>Interpretation</x:v>
      </x:c>
      <x:c r="E17" s="82" t="str">
        <x:v>Limitation</x:v>
      </x:c>
      <x:c r="F17" s="82" t="str">
        <x:v>Recommended action</x:v>
      </x:c>
    </x:row>
    <x:row r="18" ht="49.5" customHeight="1">
      <x:c r="A18" s="2" t="str">
        <x:v>Records with 12 IIASA subfields</x:v>
      </x:c>
      <x:c r="B18" s="2" t="n">
        <x:v>458</x:v>
      </x:c>
      <x:c r="C18" s="2" t="str">
        <x:v>100%</x:v>
      </x:c>
      <x:c r="D18" s="2" t="str">
        <x:v>All records contain four dependency fields for each IIASA aspect.</x:v>
      </x:c>
      <x:c r="E18" s="2" t="str">
        <x:v>Analytical content must be reviewed by sector experts.</x:v>
      </x:c>
      <x:c r="F18" s="2" t="str">
        <x:v>Validate representative samples by technology family.</x:v>
      </x:c>
    </x:row>
    <x:row r="19" ht="49.5" customHeight="1">
      <x:c r="A19" s="2" t="str">
        <x:v>Technologies with assigned critical/strategic materials</x:v>
      </x:c>
      <x:c r="B19" s="2" t="n">
        <x:v>387</x:v>
      </x:c>
      <x:c r="C19" s="2" t="str">
        <x:v>84.5%</x:v>
      </x:c>
      <x:c r="D19" s="2" t="str">
        <x:v>Only technologies with a component-based material relationship are counted.</x:v>
      </x:c>
      <x:c r="E19" s="2" t="str">
        <x:v>The assignment is not a bill of materials.</x:v>
      </x:c>
      <x:c r="F19" s="2" t="str">
        <x:v>Validate against design and supplier documentation.</x:v>
      </x:c>
    </x:row>
    <x:row r="20" ht="49.5" customHeight="1">
      <x:c r="A20" s="2" t="str">
        <x:v>Technology–raw-material relationships</x:v>
      </x:c>
      <x:c r="B20" s="2" t="n">
        <x:v>883</x:v>
      </x:c>
      <x:c r="C20" s="2" t="str">
        <x:v>Normalised table</x:v>
      </x:c>
      <x:c r="D20" s="2" t="str">
        <x:v>The normalised sheet allows several materials per technology.</x:v>
      </x:c>
      <x:c r="E20" s="2" t="str">
        <x:v>No mass or intensity is quantified.</x:v>
      </x:c>
      <x:c r="F20" s="2" t="str">
        <x:v>Add kg/MW, kg/unit or another intensity when evidence exists.</x:v>
      </x:c>
    </x:row>
    <x:row r="21" ht="49.5" customHeight="1">
      <x:c r="A21" s="2" t="str">
        <x:v>Geographic records</x:v>
      </x:c>
      <x:c r="B21" s="2" t="n">
        <x:v>120</x:v>
      </x:c>
      <x:c r="C21" s="2" t="str">
        <x:v>Material × stage × country</x:v>
      </x:c>
      <x:c r="D21" s="2" t="str">
        <x:v>Material × supply-chain stage × country structure is map-ready.</x:v>
      </x:c>
      <x:c r="E21" s="2" t="str">
        <x:v>Does not represent supplier traceability.</x:v>
      </x:c>
      <x:c r="F21" s="2" t="str">
        <x:v>Use as an exploratory map only.</x:v>
      </x:c>
    </x:row>
  </x:sheetData>
  <x:mergeCells>
    <x:mergeCell ref="A1:F2"/>
    <x:mergeCell ref="A16:F16"/>
  </x:mergeCells>
  <x:pageMargins left="0.7" right="0.7" top="0.75" bottom="0.75" header="0.3" footer="0.3"/>
  <x:drawing xmlns:r="http://schemas.openxmlformats.org/officeDocument/2006/relationships" r:id="Rd3eda2237e2042db"/>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44" hidden="0" customWidth="1"/>
    <x:col min="3" max="3" width="44" hidden="0" customWidth="1"/>
    <x:col min="4" max="4" width="44" hidden="0" customWidth="1"/>
  </x:cols>
  <x:sheetData>
    <x:row r="1">
      <x:c r="A1" s="28" t="str">
        <x:v>Flexible / fixed</x:v>
      </x:c>
      <x:c r="B1" s="28" t="str">
        <x:v>Hard / soft</x:v>
      </x:c>
      <x:c r="C1" s="28" t="str">
        <x:v>Equipment / operation / product</x:v>
      </x:c>
      <x:c r="D1" s="28" t="str">
        <x:v>Clean technology</x:v>
      </x:c>
    </x:row>
    <x:row r="2">
      <x:c r="A2" t="str">
        <x:v>Flexible</x:v>
      </x:c>
      <x:c r="B2" t="str">
        <x:v>Primarily hard, with a soft component</x:v>
      </x:c>
      <x:c r="C2" t="str">
        <x:v>Equipment</x:v>
      </x:c>
      <x:c r="D2" t="str">
        <x:v>Yes, subject to life-cycle safeguards</x:v>
      </x:c>
    </x:row>
    <x:row r="3">
      <x:c r="A3" t="str">
        <x:v>Primarily fixed</x:v>
      </x:c>
      <x:c r="B3" t="str">
        <x:v>Primarily soft, with physical support</x:v>
      </x:c>
      <x:c r="C3" t="str">
        <x:v>Operation</x:v>
      </x:c>
      <x:c r="D3" t="str">
        <x:v>Conditional on performance and life cycle</x:v>
      </x:c>
    </x:row>
    <x:row r="4">
      <x:c r="A4" t="str">
        <x:v>Mixed: adaptable design, site-specific implementation</x:v>
      </x:c>
      <x:c r="B4" t="str">
        <x:v>Hard and soft</x:v>
      </x:c>
      <x:c r="C4" t="str">
        <x:v>Product</x:v>
      </x:c>
      <x:c r="D4" t="str">
        <x:v>Not necessarily</x:v>
      </x:c>
    </x:row>
    <x:row r="5">
      <x:c r="C5" t="str">
        <x:v>Equipment and operation</x:v>
      </x:c>
    </x:row>
    <x:row r="6">
      <x:c r="C6" t="str">
        <x:v>Operation and information service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4" hidden="0" customWidth="1"/>
    <x:col min="4" max="4" width="36" hidden="0" customWidth="1"/>
    <x:col min="5" max="5" width="42" hidden="0" customWidth="1"/>
    <x:col min="6" max="6" width="34" hidden="0" customWidth="1"/>
    <x:col min="7" max="7" width="34" hidden="0" customWidth="1"/>
    <x:col min="8" max="8" width="58" hidden="0" customWidth="1"/>
    <x:col min="9" max="9" width="58" hidden="0" customWidth="1"/>
    <x:col min="10" max="10" width="48" hidden="0" customWidth="1"/>
  </x:cols>
  <x:sheetData>
    <x:row r="1">
      <x:c r="A1" s="76" t="str">
        <x:v>CTCN — NORMALISED RELATIONSHIP BETWEEN TECHNOLOGIES AND RAW MATERIALS</x:v>
      </x:c>
      <x:c r="B1" s="76"/>
      <x:c r="C1" s="76"/>
      <x:c r="D1" s="76"/>
      <x:c r="E1" s="76"/>
      <x:c r="F1" s="76"/>
      <x:c r="G1" s="76"/>
      <x:c r="H1" s="76"/>
      <x:c r="I1" s="76"/>
      <x:c r="J1" s="76"/>
    </x:row>
    <x:row r="2">
      <x:c r="A2" s="9" t="str">
        <x:v>A technology appears once per plausible critical or strategic raw material. Assignments follow named component functions and must be validated against the selected bill of materials.</x:v>
      </x:c>
      <x:c r="B2" s="9"/>
      <x:c r="C2" s="9"/>
      <x:c r="D2" s="9"/>
      <x:c r="E2" s="9"/>
      <x:c r="F2" s="9"/>
      <x:c r="G2" s="9"/>
      <x:c r="H2" s="9"/>
      <x:c r="I2" s="9"/>
      <x:c r="J2" s="9"/>
    </x:row>
    <x:row r="4">
      <x:c r="A4" s="83" t="str">
        <x:v>technology_id</x:v>
      </x:c>
      <x:c r="B4" s="83" t="str">
        <x:v>CTCN branch</x:v>
      </x:c>
      <x:c r="C4" s="83" t="str">
        <x:v>A. Sector (CTCN)</x:v>
      </x:c>
      <x:c r="D4" s="83" t="str">
        <x:v>B. Technology group (CTCN)</x:v>
      </x:c>
      <x:c r="E4" s="83" t="str">
        <x:v>C. Technology (CTCN)</x:v>
      </x:c>
      <x:c r="F4" s="83" t="str">
        <x:v>Raw material</x:v>
      </x:c>
      <x:c r="G4" s="83" t="str">
        <x:v>Category</x:v>
      </x:c>
      <x:c r="H4" s="83" t="str">
        <x:v>Technology-specific assignment basis</x:v>
      </x:c>
      <x:c r="I4" s="83" t="str">
        <x:v>Technical warning</x:v>
      </x:c>
      <x:c r="J4" s="83" t="str">
        <x:v>Source</x:v>
      </x:c>
    </x:row>
    <x:row r="5" ht="66" customHeight="1">
      <x:c r="A5" s="2" t="str">
        <x:v>MIT-0001</x:v>
      </x:c>
      <x:c r="B5" s="2" t="str">
        <x:v>Mitigation</x:v>
      </x:c>
      <x:c r="C5" s="2" t="str">
        <x:v>Carbon Fixation and Abatement</x:v>
      </x:c>
      <x:c r="D5" s="2" t="str">
        <x:v>Fugitive emission control</x:v>
      </x:c>
      <x:c r="E5" s="2" t="str">
        <x:v>Oil and gas flaring reduction</x:v>
      </x:c>
      <x:c r="F5" s="2" t="str">
        <x:v>Iron ore / steel inputs</x:v>
      </x:c>
      <x:c r="G5" s="2" t="str">
        <x:v>Bulk and strategic mineral input</x:v>
      </x:c>
      <x:c r="H5" s="2" t="str">
        <x:v>Iron ore / steel inputs is linked to Oil and gas flaring reduction because it is typically used in load-bearing structures, pressure vessels, piping or machinery; the assignment follows component function, not a sector-wide keyword.</x:v>
      </x:c>
      <x:c r="I5" s="2" t="str">
        <x:v>Presence and quantity in Oil and gas flaring reduction depend on the selected design, chemistry, capacity, supplier and recycled content. This analytical link is not a verified bill of materials or supplier traceability statement.</x:v>
      </x:c>
      <x:c r="J5" s="2" t="str">
        <x:v>https://pubs.usgs.gov/periodicals/mcs2026/mcs2026.pdf</x:v>
      </x:c>
    </x:row>
    <x:row r="6" ht="66" customHeight="1">
      <x:c r="A6" s="2" t="str">
        <x:v>MIT-0001</x:v>
      </x:c>
      <x:c r="B6" s="2" t="str">
        <x:v>Mitigation</x:v>
      </x:c>
      <x:c r="C6" s="2" t="str">
        <x:v>Carbon Fixation and Abatement</x:v>
      </x:c>
      <x:c r="D6" s="2" t="str">
        <x:v>Fugitive emission control</x:v>
      </x:c>
      <x:c r="E6" s="2" t="str">
        <x:v>Oil and gas flaring reduction</x:v>
      </x:c>
      <x:c r="F6" s="2" t="str">
        <x:v>Copper</x:v>
      </x:c>
      <x:c r="G6" s="2" t="str">
        <x:v>Critical or strategic metal</x:v>
      </x:c>
      <x:c r="H6" s="2" t="str">
        <x:v>Copper is linked to Oil and gas flaring reduction because it is typically used in power cables, windings, busbars, grounding and electrical connectors; the assignment follows component function, not a sector-wide keyword.</x:v>
      </x:c>
      <x:c r="I6" s="2" t="str">
        <x:v>Presence and quantity in Oil and gas flaring reduction depend on the selected design, chemistry, capacity, supplier and recycled content. This analytical link is not a verified bill of materials or supplier traceability statement.</x:v>
      </x:c>
      <x:c r="J6" s="2" t="str">
        <x:v>https://pubs.usgs.gov/periodicals/mcs2026/mcs2026.pdf</x:v>
      </x:c>
    </x:row>
    <x:row r="7" ht="66" customHeight="1">
      <x:c r="A7" s="2" t="str">
        <x:v>MIT-0001</x:v>
      </x:c>
      <x:c r="B7" s="2" t="str">
        <x:v>Mitigation</x:v>
      </x:c>
      <x:c r="C7" s="2" t="str">
        <x:v>Carbon Fixation and Abatement</x:v>
      </x:c>
      <x:c r="D7" s="2" t="str">
        <x:v>Fugitive emission control</x:v>
      </x:c>
      <x:c r="E7" s="2" t="str">
        <x:v>Oil and gas flaring reduction</x:v>
      </x:c>
      <x:c r="F7" s="2" t="str">
        <x:v>Tin</x:v>
      </x:c>
      <x:c r="G7" s="2" t="str">
        <x:v>Electronics strategic metal</x:v>
      </x:c>
      <x:c r="H7" s="2" t="str">
        <x:v>Tin is linked to Oil and gas flaring reduction because it is typically used in electronic solder and selected coatings; the assignment follows component function, not a sector-wide keyword.</x:v>
      </x:c>
      <x:c r="I7" s="2" t="str">
        <x:v>Presence and quantity in Oil and gas flaring reduction depend on the selected design, chemistry, capacity, supplier and recycled content. This analytical link is not a verified bill of materials or supplier traceability statement.</x:v>
      </x:c>
      <x:c r="J7" s="2" t="str">
        <x:v>https://pubs.usgs.gov/periodicals/mcs2026/mcs2026.pdf</x:v>
      </x:c>
    </x:row>
    <x:row r="8" ht="66" customHeight="1">
      <x:c r="A8" s="2" t="str">
        <x:v>MIT-0002</x:v>
      </x:c>
      <x:c r="B8" s="2" t="str">
        <x:v>Mitigation</x:v>
      </x:c>
      <x:c r="C8" s="2" t="str">
        <x:v>Carbon Fixation and Abatement</x:v>
      </x:c>
      <x:c r="D8" s="2" t="str">
        <x:v>Fugitive emission control</x:v>
      </x:c>
      <x:c r="E8" s="2" t="str">
        <x:v>Coal mine methane</x:v>
      </x:c>
      <x:c r="F8" s="2" t="str">
        <x:v>Iron ore / steel inputs</x:v>
      </x:c>
      <x:c r="G8" s="2" t="str">
        <x:v>Bulk and strategic mineral input</x:v>
      </x:c>
      <x:c r="H8" s="2" t="str">
        <x:v>Iron ore / steel inputs is linked to Coal mine methane because it is typically used in load-bearing structures, pressure vessels, piping or machinery; the assignment follows component function, not a sector-wide keyword.</x:v>
      </x:c>
      <x:c r="I8" s="2" t="str">
        <x:v>Presence and quantity in Coal mine methane depend on the selected design, chemistry, capacity, supplier and recycled content. This analytical link is not a verified bill of materials or supplier traceability statement.</x:v>
      </x:c>
      <x:c r="J8" s="2" t="str">
        <x:v>https://pubs.usgs.gov/periodicals/mcs2026/mcs2026.pdf</x:v>
      </x:c>
    </x:row>
    <x:row r="9" ht="66" customHeight="1">
      <x:c r="A9" s="2" t="str">
        <x:v>MIT-0002</x:v>
      </x:c>
      <x:c r="B9" s="2" t="str">
        <x:v>Mitigation</x:v>
      </x:c>
      <x:c r="C9" s="2" t="str">
        <x:v>Carbon Fixation and Abatement</x:v>
      </x:c>
      <x:c r="D9" s="2" t="str">
        <x:v>Fugitive emission control</x:v>
      </x:c>
      <x:c r="E9" s="2" t="str">
        <x:v>Coal mine methane</x:v>
      </x:c>
      <x:c r="F9" s="2" t="str">
        <x:v>Copper</x:v>
      </x:c>
      <x:c r="G9" s="2" t="str">
        <x:v>Critical or strategic metal</x:v>
      </x:c>
      <x:c r="H9" s="2" t="str">
        <x:v>Copper is linked to Coal mine methane because it is typically used in power cables, windings, busbars, grounding and electrical connectors; the assignment follows component function, not a sector-wide keyword.</x:v>
      </x:c>
      <x:c r="I9" s="2" t="str">
        <x:v>Presence and quantity in Coal mine methane depend on the selected design, chemistry, capacity, supplier and recycled content. This analytical link is not a verified bill of materials or supplier traceability statement.</x:v>
      </x:c>
      <x:c r="J9" s="2" t="str">
        <x:v>https://pubs.usgs.gov/periodicals/mcs2026/mcs2026.pdf</x:v>
      </x:c>
    </x:row>
    <x:row r="10" ht="66" customHeight="1">
      <x:c r="A10" s="2" t="str">
        <x:v>MIT-0002</x:v>
      </x:c>
      <x:c r="B10" s="2" t="str">
        <x:v>Mitigation</x:v>
      </x:c>
      <x:c r="C10" s="2" t="str">
        <x:v>Carbon Fixation and Abatement</x:v>
      </x:c>
      <x:c r="D10" s="2" t="str">
        <x:v>Fugitive emission control</x:v>
      </x:c>
      <x:c r="E10" s="2" t="str">
        <x:v>Coal mine methane</x:v>
      </x:c>
      <x:c r="F10" s="2" t="str">
        <x:v>Tin</x:v>
      </x:c>
      <x:c r="G10" s="2" t="str">
        <x:v>Electronics strategic metal</x:v>
      </x:c>
      <x:c r="H10" s="2" t="str">
        <x:v>Tin is linked to Coal mine methane because it is typically used in electronic solder and selected coatings; the assignment follows component function, not a sector-wide keyword.</x:v>
      </x:c>
      <x:c r="I10" s="2" t="str">
        <x:v>Presence and quantity in Coal mine methane depend on the selected design, chemistry, capacity, supplier and recycled content. This analytical link is not a verified bill of materials or supplier traceability statement.</x:v>
      </x:c>
      <x:c r="J10" s="2" t="str">
        <x:v>https://pubs.usgs.gov/periodicals/mcs2026/mcs2026.pdf</x:v>
      </x:c>
    </x:row>
    <x:row r="11" ht="66" customHeight="1">
      <x:c r="A11" s="2" t="str">
        <x:v>MIT-0003</x:v>
      </x:c>
      <x:c r="B11" s="2" t="str">
        <x:v>Mitigation</x:v>
      </x:c>
      <x:c r="C11" s="2" t="str">
        <x:v>Carbon Fixation and Abatement</x:v>
      </x:c>
      <x:c r="D11" s="2" t="str">
        <x:v>Fugitive emission control</x:v>
      </x:c>
      <x:c r="E11" s="2" t="str">
        <x:v>Natural gas pipeline leaking</x:v>
      </x:c>
      <x:c r="F11" s="2" t="str">
        <x:v>Iron ore / steel inputs</x:v>
      </x:c>
      <x:c r="G11" s="2" t="str">
        <x:v>Bulk and strategic mineral input</x:v>
      </x:c>
      <x:c r="H11" s="2" t="str">
        <x:v>Iron ore / steel inputs is linked to Natural gas pipeline leaking because it is typically used in load-bearing structures, pressure vessels, piping or machinery; the assignment follows component function, not a sector-wide keyword.</x:v>
      </x:c>
      <x:c r="I11" s="2" t="str">
        <x:v>Presence and quantity in Natural gas pipeline leaking depend on the selected design, chemistry, capacity, supplier and recycled content. This analytical link is not a verified bill of materials or supplier traceability statement.</x:v>
      </x:c>
      <x:c r="J11" s="2" t="str">
        <x:v>https://pubs.usgs.gov/periodicals/mcs2026/mcs2026.pdf</x:v>
      </x:c>
    </x:row>
    <x:row r="12" ht="66" customHeight="1">
      <x:c r="A12" s="2" t="str">
        <x:v>MIT-0003</x:v>
      </x:c>
      <x:c r="B12" s="2" t="str">
        <x:v>Mitigation</x:v>
      </x:c>
      <x:c r="C12" s="2" t="str">
        <x:v>Carbon Fixation and Abatement</x:v>
      </x:c>
      <x:c r="D12" s="2" t="str">
        <x:v>Fugitive emission control</x:v>
      </x:c>
      <x:c r="E12" s="2" t="str">
        <x:v>Natural gas pipeline leaking</x:v>
      </x:c>
      <x:c r="F12" s="2" t="str">
        <x:v>Copper</x:v>
      </x:c>
      <x:c r="G12" s="2" t="str">
        <x:v>Critical or strategic metal</x:v>
      </x:c>
      <x:c r="H12" s="2" t="str">
        <x:v>Copper is linked to Natural gas pipeline leaking because it is typically used in power cables, windings, busbars, grounding and electrical connectors; the assignment follows component function, not a sector-wide keyword.</x:v>
      </x:c>
      <x:c r="I12" s="2" t="str">
        <x:v>Presence and quantity in Natural gas pipeline leaking depend on the selected design, chemistry, capacity, supplier and recycled content. This analytical link is not a verified bill of materials or supplier traceability statement.</x:v>
      </x:c>
      <x:c r="J12" s="2" t="str">
        <x:v>https://pubs.usgs.gov/periodicals/mcs2026/mcs2026.pdf</x:v>
      </x:c>
    </x:row>
    <x:row r="13" ht="66" customHeight="1">
      <x:c r="A13" s="2" t="str">
        <x:v>MIT-0003</x:v>
      </x:c>
      <x:c r="B13" s="2" t="str">
        <x:v>Mitigation</x:v>
      </x:c>
      <x:c r="C13" s="2" t="str">
        <x:v>Carbon Fixation and Abatement</x:v>
      </x:c>
      <x:c r="D13" s="2" t="str">
        <x:v>Fugitive emission control</x:v>
      </x:c>
      <x:c r="E13" s="2" t="str">
        <x:v>Natural gas pipeline leaking</x:v>
      </x:c>
      <x:c r="F13" s="2" t="str">
        <x:v>Tin</x:v>
      </x:c>
      <x:c r="G13" s="2" t="str">
        <x:v>Electronics strategic metal</x:v>
      </x:c>
      <x:c r="H13" s="2" t="str">
        <x:v>Tin is linked to Natural gas pipeline leaking because it is typically used in electronic solder and selected coatings; the assignment follows component function, not a sector-wide keyword.</x:v>
      </x:c>
      <x:c r="I13" s="2" t="str">
        <x:v>Presence and quantity in Natural gas pipeline leaking depend on the selected design, chemistry, capacity, supplier and recycled content. This analytical link is not a verified bill of materials or supplier traceability statement.</x:v>
      </x:c>
      <x:c r="J13" s="2" t="str">
        <x:v>https://pubs.usgs.gov/periodicals/mcs2026/mcs2026.pdf</x:v>
      </x:c>
    </x:row>
    <x:row r="14" ht="66" customHeight="1">
      <x:c r="A14" s="2" t="str">
        <x:v>MIT-0003</x:v>
      </x:c>
      <x:c r="B14" s="2" t="str">
        <x:v>Mitigation</x:v>
      </x:c>
      <x:c r="C14" s="2" t="str">
        <x:v>Carbon Fixation and Abatement</x:v>
      </x:c>
      <x:c r="D14" s="2" t="str">
        <x:v>Fugitive emission control</x:v>
      </x:c>
      <x:c r="E14" s="2" t="str">
        <x:v>Natural gas pipeline leaking</x:v>
      </x:c>
      <x:c r="F14" s="2" t="str">
        <x:v>Nickel</x:v>
      </x:c>
      <x:c r="G14" s="2" t="str">
        <x:v>Battery and alloy critical mineral</x:v>
      </x:c>
      <x:c r="H14" s="2" t="str">
        <x:v>Nickel is linked to Natural gas pipeline leaking because it is typically used in battery cathodes, high-temperature alloys or corrosion-resistant steels; the assignment follows component function, not a sector-wide keyword.</x:v>
      </x:c>
      <x:c r="I14" s="2" t="str">
        <x:v>Presence and quantity in Natural gas pipeline leaking depend on the selected design, chemistry, capacity, supplier and recycled content. This analytical link is not a verified bill of materials or supplier traceability statement.</x:v>
      </x:c>
      <x:c r="J14" s="2" t="str">
        <x:v>https://www.iea.org/reports/global-critical-minerals-outlook-2025</x:v>
      </x:c>
    </x:row>
    <x:row r="15" ht="66" customHeight="1">
      <x:c r="A15" s="2" t="str">
        <x:v>MIT-0003</x:v>
      </x:c>
      <x:c r="B15" s="2" t="str">
        <x:v>Mitigation</x:v>
      </x:c>
      <x:c r="C15" s="2" t="str">
        <x:v>Carbon Fixation and Abatement</x:v>
      </x:c>
      <x:c r="D15" s="2" t="str">
        <x:v>Fugitive emission control</x:v>
      </x:c>
      <x:c r="E15" s="2" t="str">
        <x:v>Natural gas pipeline leaking</x:v>
      </x:c>
      <x:c r="F15" s="2" t="str">
        <x:v>Chromium</x:v>
      </x:c>
      <x:c r="G15" s="2" t="str">
        <x:v>Alloy strategic mineral</x:v>
      </x:c>
      <x:c r="H15" s="2" t="str">
        <x:v>Chromium is linked to Natural gas pipeline leaking because it is typically used in stainless and heat- or corrosion-resistant alloys; the assignment follows component function, not a sector-wide keyword.</x:v>
      </x:c>
      <x:c r="I15" s="2" t="str">
        <x:v>Presence and quantity in Natural gas pipeline leaking depend on the selected design, chemistry, capacity, supplier and recycled content. This analytical link is not a verified bill of materials or supplier traceability statement.</x:v>
      </x:c>
      <x:c r="J15" s="2" t="str">
        <x:v>https://pubs.usgs.gov/periodicals/mcs2026/mcs2026.pdf</x:v>
      </x:c>
    </x:row>
    <x:row r="16" ht="66" customHeight="1">
      <x:c r="A16" s="2" t="str">
        <x:v>MIT-0004</x:v>
      </x:c>
      <x:c r="B16" s="2" t="str">
        <x:v>Mitigation</x:v>
      </x:c>
      <x:c r="C16" s="2" t="str">
        <x:v>Carbon Fixation and Abatement</x:v>
      </x:c>
      <x:c r="D16" s="2" t="str">
        <x:v>Fugitive emission control</x:v>
      </x:c>
      <x:c r="E16" s="2" t="str">
        <x:v>Charcoal production</x:v>
      </x:c>
      <x:c r="F16" s="2" t="str">
        <x:v>Iron ore / steel inputs</x:v>
      </x:c>
      <x:c r="G16" s="2" t="str">
        <x:v>Bulk and strategic mineral input</x:v>
      </x:c>
      <x:c r="H16" s="2" t="str">
        <x:v>Iron ore / steel inputs is linked to Charcoal production because it is typically used in load-bearing structures, pressure vessels, piping or machinery; the assignment follows component function, not a sector-wide keyword.</x:v>
      </x:c>
      <x:c r="I16" s="2" t="str">
        <x:v>Presence and quantity in Charcoal production depend on the selected design, chemistry, capacity, supplier and recycled content. This analytical link is not a verified bill of materials or supplier traceability statement.</x:v>
      </x:c>
      <x:c r="J16" s="2" t="str">
        <x:v>https://pubs.usgs.gov/periodicals/mcs2026/mcs2026.pdf</x:v>
      </x:c>
    </x:row>
    <x:row r="17" ht="66" customHeight="1">
      <x:c r="A17" s="2" t="str">
        <x:v>MIT-0004</x:v>
      </x:c>
      <x:c r="B17" s="2" t="str">
        <x:v>Mitigation</x:v>
      </x:c>
      <x:c r="C17" s="2" t="str">
        <x:v>Carbon Fixation and Abatement</x:v>
      </x:c>
      <x:c r="D17" s="2" t="str">
        <x:v>Fugitive emission control</x:v>
      </x:c>
      <x:c r="E17" s="2" t="str">
        <x:v>Charcoal production</x:v>
      </x:c>
      <x:c r="F17" s="2" t="str">
        <x:v>Copper</x:v>
      </x:c>
      <x:c r="G17" s="2" t="str">
        <x:v>Critical or strategic metal</x:v>
      </x:c>
      <x:c r="H17" s="2" t="str">
        <x:v>Copper is linked to Charcoal production because it is typically used in power cables, windings, busbars, grounding and electrical connectors; the assignment follows component function, not a sector-wide keyword.</x:v>
      </x:c>
      <x:c r="I17" s="2" t="str">
        <x:v>Presence and quantity in Charcoal production depend on the selected design, chemistry, capacity, supplier and recycled content. This analytical link is not a verified bill of materials or supplier traceability statement.</x:v>
      </x:c>
      <x:c r="J17" s="2" t="str">
        <x:v>https://pubs.usgs.gov/periodicals/mcs2026/mcs2026.pdf</x:v>
      </x:c>
    </x:row>
    <x:row r="18" ht="66" customHeight="1">
      <x:c r="A18" s="2" t="str">
        <x:v>MIT-0004</x:v>
      </x:c>
      <x:c r="B18" s="2" t="str">
        <x:v>Mitigation</x:v>
      </x:c>
      <x:c r="C18" s="2" t="str">
        <x:v>Carbon Fixation and Abatement</x:v>
      </x:c>
      <x:c r="D18" s="2" t="str">
        <x:v>Fugitive emission control</x:v>
      </x:c>
      <x:c r="E18" s="2" t="str">
        <x:v>Charcoal production</x:v>
      </x:c>
      <x:c r="F18" s="2" t="str">
        <x:v>Tin</x:v>
      </x:c>
      <x:c r="G18" s="2" t="str">
        <x:v>Electronics strategic metal</x:v>
      </x:c>
      <x:c r="H18" s="2" t="str">
        <x:v>Tin is linked to Charcoal production because it is typically used in electronic solder and selected coatings; the assignment follows component function, not a sector-wide keyword.</x:v>
      </x:c>
      <x:c r="I18" s="2" t="str">
        <x:v>Presence and quantity in Charcoal production depend on the selected design, chemistry, capacity, supplier and recycled content. This analytical link is not a verified bill of materials or supplier traceability statement.</x:v>
      </x:c>
      <x:c r="J18" s="2" t="str">
        <x:v>https://pubs.usgs.gov/periodicals/mcs2026/mcs2026.pdf</x:v>
      </x:c>
    </x:row>
    <x:row r="19" ht="66" customHeight="1">
      <x:c r="A19" s="2" t="str">
        <x:v>MIT-0005</x:v>
      </x:c>
      <x:c r="B19" s="2" t="str">
        <x:v>Mitigation</x:v>
      </x:c>
      <x:c r="C19" s="2" t="str">
        <x:v>Carbon Fixation and Abatement</x:v>
      </x:c>
      <x:c r="D19" s="2" t="str">
        <x:v>Carbon capture and storage</x:v>
      </x:c>
      <x:c r="E19" s="2" t="str">
        <x:v>CO2 transport technologies</x:v>
      </x:c>
      <x:c r="F19" s="2" t="str">
        <x:v>Iron ore / steel inputs</x:v>
      </x:c>
      <x:c r="G19" s="2" t="str">
        <x:v>Bulk and strategic mineral input</x:v>
      </x:c>
      <x:c r="H19" s="2" t="str">
        <x:v>Iron ore / steel inputs is linked to CO2 transport technologies because it is typically used in load-bearing structures, pressure vessels, piping or machinery; the assignment follows component function, not a sector-wide keyword.</x:v>
      </x:c>
      <x:c r="I19" s="2" t="str">
        <x:v>Presence and quantity in CO2 transport technologies depend on the selected design, chemistry, capacity, supplier and recycled content. This analytical link is not a verified bill of materials or supplier traceability statement.</x:v>
      </x:c>
      <x:c r="J19" s="2" t="str">
        <x:v>https://pubs.usgs.gov/periodicals/mcs2026/mcs2026.pdf</x:v>
      </x:c>
    </x:row>
    <x:row r="20" ht="66" customHeight="1">
      <x:c r="A20" s="2" t="str">
        <x:v>MIT-0006</x:v>
      </x:c>
      <x:c r="B20" s="2" t="str">
        <x:v>Mitigation</x:v>
      </x:c>
      <x:c r="C20" s="2" t="str">
        <x:v>Carbon Fixation and Abatement</x:v>
      </x:c>
      <x:c r="D20" s="2" t="str">
        <x:v>Carbon capture and storage</x:v>
      </x:c>
      <x:c r="E20" s="2" t="str">
        <x:v>CO2 storage technologies</x:v>
      </x:c>
      <x:c r="F20" s="2" t="str">
        <x:v>Iron ore / steel inputs</x:v>
      </x:c>
      <x:c r="G20" s="2" t="str">
        <x:v>Bulk and strategic mineral input</x:v>
      </x:c>
      <x:c r="H20" s="2" t="str">
        <x:v>Iron ore / steel inputs is linked to CO2 storage technologies because it is typically used in load-bearing structures, pressure vessels, piping or machinery; the assignment follows component function, not a sector-wide keyword.</x:v>
      </x:c>
      <x:c r="I20" s="2" t="str">
        <x:v>Presence and quantity in CO2 storage technologies depend on the selected design, chemistry, capacity, supplier and recycled content. This analytical link is not a verified bill of materials or supplier traceability statement.</x:v>
      </x:c>
      <x:c r="J20" s="2" t="str">
        <x:v>https://pubs.usgs.gov/periodicals/mcs2026/mcs2026.pdf</x:v>
      </x:c>
    </x:row>
    <x:row r="21" ht="66" customHeight="1">
      <x:c r="A21" s="2" t="str">
        <x:v>MIT-0007</x:v>
      </x:c>
      <x:c r="B21" s="2" t="str">
        <x:v>Mitigation</x:v>
      </x:c>
      <x:c r="C21" s="2" t="str">
        <x:v>Carbon Fixation and Abatement</x:v>
      </x:c>
      <x:c r="D21" s="2" t="str">
        <x:v>Carbon capture and storage</x:v>
      </x:c>
      <x:c r="E21" s="2" t="str">
        <x:v>CO2 capture technologies</x:v>
      </x:c>
      <x:c r="F21" s="2" t="str">
        <x:v>Iron ore / steel inputs</x:v>
      </x:c>
      <x:c r="G21" s="2" t="str">
        <x:v>Bulk and strategic mineral input</x:v>
      </x:c>
      <x:c r="H21" s="2" t="str">
        <x:v>Iron ore / steel inputs is linked to CO2 capture technologies because it is typically used in load-bearing structures, pressure vessels, piping or machinery; the assignment follows component function, not a sector-wide keyword.</x:v>
      </x:c>
      <x:c r="I21" s="2" t="str">
        <x:v>Presence and quantity in CO2 capture technologies depend on the selected design, chemistry, capacity, supplier and recycled content. This analytical link is not a verified bill of materials or supplier traceability statement.</x:v>
      </x:c>
      <x:c r="J21" s="2" t="str">
        <x:v>https://pubs.usgs.gov/periodicals/mcs2026/mcs2026.pdf</x:v>
      </x:c>
    </x:row>
    <x:row r="22" ht="66" customHeight="1">
      <x:c r="A22" s="2" t="str">
        <x:v>MIT-0008</x:v>
      </x:c>
      <x:c r="B22" s="2" t="str">
        <x:v>Mitigation</x:v>
      </x:c>
      <x:c r="C22" s="2" t="str">
        <x:v>Transport</x:v>
      </x:c>
      <x:c r="D22" s="2" t="str">
        <x:v>Inland water &amp; maritime</x:v>
      </x:c>
      <x:c r="E22" s="2" t="str">
        <x:v>Maritime freight</x:v>
      </x:c>
      <x:c r="F22" s="2" t="str">
        <x:v>Iron ore / steel inputs</x:v>
      </x:c>
      <x:c r="G22" s="2" t="str">
        <x:v>Bulk and strategic mineral input</x:v>
      </x:c>
      <x:c r="H22" s="2" t="str">
        <x:v>Iron ore / steel inputs is linked to Maritime freight because it is typically used in load-bearing structures, pressure vessels, piping or machinery; the assignment follows component function, not a sector-wide keyword.</x:v>
      </x:c>
      <x:c r="I22" s="2" t="str">
        <x:v>Presence and quantity in Maritime freight depend on the selected design, chemistry, capacity, supplier and recycled content. This analytical link is not a verified bill of materials or supplier traceability statement.</x:v>
      </x:c>
      <x:c r="J22" s="2" t="str">
        <x:v>https://pubs.usgs.gov/periodicals/mcs2026/mcs2026.pdf</x:v>
      </x:c>
    </x:row>
    <x:row r="23" ht="66" customHeight="1">
      <x:c r="A23" s="2" t="str">
        <x:v>MIT-0009</x:v>
      </x:c>
      <x:c r="B23" s="2" t="str">
        <x:v>Mitigation</x:v>
      </x:c>
      <x:c r="C23" s="2" t="str">
        <x:v>Transport</x:v>
      </x:c>
      <x:c r="D23" s="2" t="str">
        <x:v>Inland water &amp; maritime</x:v>
      </x:c>
      <x:c r="E23" s="2" t="str">
        <x:v>Maritime support systems</x:v>
      </x:c>
      <x:c r="F23" s="2" t="str">
        <x:v>Iron ore / steel inputs</x:v>
      </x:c>
      <x:c r="G23" s="2" t="str">
        <x:v>Bulk and strategic mineral input</x:v>
      </x:c>
      <x:c r="H23" s="2" t="str">
        <x:v>Iron ore / steel inputs is linked to Maritime support systems because it is typically used in load-bearing structures, pressure vessels, piping or machinery; the assignment follows component function, not a sector-wide keyword.</x:v>
      </x:c>
      <x:c r="I23" s="2" t="str">
        <x:v>Presence and quantity in Maritime support systems depend on the selected design, chemistry, capacity, supplier and recycled content. This analytical link is not a verified bill of materials or supplier traceability statement.</x:v>
      </x:c>
      <x:c r="J23" s="2" t="str">
        <x:v>https://pubs.usgs.gov/periodicals/mcs2026/mcs2026.pdf</x:v>
      </x:c>
    </x:row>
    <x:row r="24" ht="66" customHeight="1">
      <x:c r="A24" s="2" t="str">
        <x:v>MIT-0011</x:v>
      </x:c>
      <x:c r="B24" s="2" t="str">
        <x:v>Mitigation</x:v>
      </x:c>
      <x:c r="C24" s="2" t="str">
        <x:v>Transport</x:v>
      </x:c>
      <x:c r="D24" s="2" t="str">
        <x:v>Land transport</x:v>
      </x:c>
      <x:c r="E24" s="2" t="str">
        <x:v>More efficient heavy duty vehicles</x:v>
      </x:c>
      <x:c r="F24" s="2" t="str">
        <x:v>Iron ore / steel inputs</x:v>
      </x:c>
      <x:c r="G24" s="2" t="str">
        <x:v>Bulk and strategic mineral input</x:v>
      </x:c>
      <x:c r="H24" s="2" t="str">
        <x:v>Iron ore / steel inputs is linked to More efficient heavy duty vehicles because it is typically used in load-bearing structures, pressure vessels, piping or machinery; the assignment follows component function, not a sector-wide keyword.</x:v>
      </x:c>
      <x:c r="I24" s="2" t="str">
        <x:v>Presence and quantity in More efficient heavy duty vehicles depend on the selected design, chemistry, capacity, supplier and recycled content. This analytical link is not a verified bill of materials or supplier traceability statement.</x:v>
      </x:c>
      <x:c r="J24" s="2" t="str">
        <x:v>https://pubs.usgs.gov/periodicals/mcs2026/mcs2026.pdf</x:v>
      </x:c>
    </x:row>
    <x:row r="25" ht="66" customHeight="1">
      <x:c r="A25" s="2" t="str">
        <x:v>MIT-0011</x:v>
      </x:c>
      <x:c r="B25" s="2" t="str">
        <x:v>Mitigation</x:v>
      </x:c>
      <x:c r="C25" s="2" t="str">
        <x:v>Transport</x:v>
      </x:c>
      <x:c r="D25" s="2" t="str">
        <x:v>Land transport</x:v>
      </x:c>
      <x:c r="E25" s="2" t="str">
        <x:v>More efficient heavy duty vehicles</x:v>
      </x:c>
      <x:c r="F25" s="2" t="str">
        <x:v>Copper</x:v>
      </x:c>
      <x:c r="G25" s="2" t="str">
        <x:v>Critical or strategic metal</x:v>
      </x:c>
      <x:c r="H25" s="2" t="str">
        <x:v>Copper is linked to More efficient heavy duty vehicles because it is typically used in power cables, windings, busbars, grounding and electrical connectors; the assignment follows component function, not a sector-wide keyword.</x:v>
      </x:c>
      <x:c r="I25" s="2" t="str">
        <x:v>Presence and quantity in More efficient heavy duty vehicles depend on the selected design, chemistry, capacity, supplier and recycled content. This analytical link is not a verified bill of materials or supplier traceability statement.</x:v>
      </x:c>
      <x:c r="J25" s="2" t="str">
        <x:v>https://pubs.usgs.gov/periodicals/mcs2026/mcs2026.pdf</x:v>
      </x:c>
    </x:row>
    <x:row r="26" ht="66" customHeight="1">
      <x:c r="A26" s="2" t="str">
        <x:v>MIT-0011</x:v>
      </x:c>
      <x:c r="B26" s="2" t="str">
        <x:v>Mitigation</x:v>
      </x:c>
      <x:c r="C26" s="2" t="str">
        <x:v>Transport</x:v>
      </x:c>
      <x:c r="D26" s="2" t="str">
        <x:v>Land transport</x:v>
      </x:c>
      <x:c r="E26" s="2" t="str">
        <x:v>More efficient heavy duty vehicles</x:v>
      </x:c>
      <x:c r="F26" s="2" t="str">
        <x:v>Tin</x:v>
      </x:c>
      <x:c r="G26" s="2" t="str">
        <x:v>Electronics strategic metal</x:v>
      </x:c>
      <x:c r="H26" s="2" t="str">
        <x:v>Tin is linked to More efficient heavy duty vehicles because it is typically used in electronic solder and selected coatings; the assignment follows component function, not a sector-wide keyword.</x:v>
      </x:c>
      <x:c r="I26" s="2" t="str">
        <x:v>Presence and quantity in More efficient heavy duty vehicles depend on the selected design, chemistry, capacity, supplier and recycled content. This analytical link is not a verified bill of materials or supplier traceability statement.</x:v>
      </x:c>
      <x:c r="J26" s="2" t="str">
        <x:v>https://pubs.usgs.gov/periodicals/mcs2026/mcs2026.pdf</x:v>
      </x:c>
    </x:row>
    <x:row r="27" ht="66" customHeight="1">
      <x:c r="A27" s="2" t="str">
        <x:v>MIT-0011</x:v>
      </x:c>
      <x:c r="B27" s="2" t="str">
        <x:v>Mitigation</x:v>
      </x:c>
      <x:c r="C27" s="2" t="str">
        <x:v>Transport</x:v>
      </x:c>
      <x:c r="D27" s="2" t="str">
        <x:v>Land transport</x:v>
      </x:c>
      <x:c r="E27" s="2" t="str">
        <x:v>More efficient heavy duty vehicles</x:v>
      </x:c>
      <x:c r="F27" s="2" t="str">
        <x:v>Rare earth elements</x:v>
      </x:c>
      <x:c r="G27" s="2" t="str">
        <x:v>Magnet critical minerals</x:v>
      </x:c>
      <x:c r="H27" s="2" t="str">
        <x:v>Rare earth elements is linked to More efficient heavy duty vehicles because it is typically used in permanent magnets in selected motors or generators; the assignment follows component function, not a sector-wide keyword.</x:v>
      </x:c>
      <x:c r="I27" s="2" t="str">
        <x:v>Presence and quantity in More efficient heavy duty vehicles depend on the selected design, chemistry, capacity, supplier and recycled content. This analytical link is not a verified bill of materials or supplier traceability statement.</x:v>
      </x:c>
      <x:c r="J27" s="2" t="str">
        <x:v>https://www.iea.org/reports/global-critical-minerals-outlook-2025</x:v>
      </x:c>
    </x:row>
    <x:row r="28" ht="66" customHeight="1">
      <x:c r="A28" s="2" t="str">
        <x:v>MIT-0011</x:v>
      </x:c>
      <x:c r="B28" s="2" t="str">
        <x:v>Mitigation</x:v>
      </x:c>
      <x:c r="C28" s="2" t="str">
        <x:v>Transport</x:v>
      </x:c>
      <x:c r="D28" s="2" t="str">
        <x:v>Land transport</x:v>
      </x:c>
      <x:c r="E28" s="2" t="str">
        <x:v>More efficient heavy duty vehicles</x:v>
      </x:c>
      <x:c r="F28" s="2" t="str">
        <x:v>Bauxite / aluminium</x:v>
      </x:c>
      <x:c r="G28" s="2" t="str">
        <x:v>Strategic metal</x:v>
      </x:c>
      <x:c r="H28" s="2" t="str">
        <x:v>Bauxite / aluminium is linked to More efficient heavy duty vehicles because it is typically used in lightweight structures, frames, conductors or vehicle components; the assignment follows component function, not a sector-wide keyword.</x:v>
      </x:c>
      <x:c r="I28" s="2" t="str">
        <x:v>Presence and quantity in More efficient heavy duty vehicles depend on the selected design, chemistry, capacity, supplier and recycled content. This analytical link is not a verified bill of materials or supplier traceability statement.</x:v>
      </x:c>
      <x:c r="J28" s="2" t="str">
        <x:v>https://pubs.usgs.gov/periodicals/mcs2026/mcs2026.pdf</x:v>
      </x:c>
    </x:row>
    <x:row r="29" ht="66" customHeight="1">
      <x:c r="A29" s="2" t="str">
        <x:v>MIT-0012</x:v>
      </x:c>
      <x:c r="B29" s="2" t="str">
        <x:v>Mitigation</x:v>
      </x:c>
      <x:c r="C29" s="2" t="str">
        <x:v>Transport</x:v>
      </x:c>
      <x:c r="D29" s="2" t="str">
        <x:v>Land transport</x:v>
      </x:c>
      <x:c r="E29" s="2" t="str">
        <x:v>More efficient light duty vehicles</x:v>
      </x:c>
      <x:c r="F29" s="2" t="str">
        <x:v>Iron ore / steel inputs</x:v>
      </x:c>
      <x:c r="G29" s="2" t="str">
        <x:v>Bulk and strategic mineral input</x:v>
      </x:c>
      <x:c r="H29" s="2" t="str">
        <x:v>Iron ore / steel inputs is linked to More efficient light duty vehicles because it is typically used in load-bearing structures, pressure vessels, piping or machinery; the assignment follows component function, not a sector-wide keyword.</x:v>
      </x:c>
      <x:c r="I29" s="2" t="str">
        <x:v>Presence and quantity in More efficient light duty vehicles depend on the selected design, chemistry, capacity, supplier and recycled content. This analytical link is not a verified bill of materials or supplier traceability statement.</x:v>
      </x:c>
      <x:c r="J29" s="2" t="str">
        <x:v>https://pubs.usgs.gov/periodicals/mcs2026/mcs2026.pdf</x:v>
      </x:c>
    </x:row>
    <x:row r="30" ht="66" customHeight="1">
      <x:c r="A30" s="2" t="str">
        <x:v>MIT-0012</x:v>
      </x:c>
      <x:c r="B30" s="2" t="str">
        <x:v>Mitigation</x:v>
      </x:c>
      <x:c r="C30" s="2" t="str">
        <x:v>Transport</x:v>
      </x:c>
      <x:c r="D30" s="2" t="str">
        <x:v>Land transport</x:v>
      </x:c>
      <x:c r="E30" s="2" t="str">
        <x:v>More efficient light duty vehicles</x:v>
      </x:c>
      <x:c r="F30" s="2" t="str">
        <x:v>Copper</x:v>
      </x:c>
      <x:c r="G30" s="2" t="str">
        <x:v>Critical or strategic metal</x:v>
      </x:c>
      <x:c r="H30" s="2" t="str">
        <x:v>Copper is linked to More efficient light duty vehicles because it is typically used in power cables, windings, busbars, grounding and electrical connectors; the assignment follows component function, not a sector-wide keyword.</x:v>
      </x:c>
      <x:c r="I30" s="2" t="str">
        <x:v>Presence and quantity in More efficient light duty vehicles depend on the selected design, chemistry, capacity, supplier and recycled content. This analytical link is not a verified bill of materials or supplier traceability statement.</x:v>
      </x:c>
      <x:c r="J30" s="2" t="str">
        <x:v>https://pubs.usgs.gov/periodicals/mcs2026/mcs2026.pdf</x:v>
      </x:c>
    </x:row>
    <x:row r="31" ht="66" customHeight="1">
      <x:c r="A31" s="2" t="str">
        <x:v>MIT-0012</x:v>
      </x:c>
      <x:c r="B31" s="2" t="str">
        <x:v>Mitigation</x:v>
      </x:c>
      <x:c r="C31" s="2" t="str">
        <x:v>Transport</x:v>
      </x:c>
      <x:c r="D31" s="2" t="str">
        <x:v>Land transport</x:v>
      </x:c>
      <x:c r="E31" s="2" t="str">
        <x:v>More efficient light duty vehicles</x:v>
      </x:c>
      <x:c r="F31" s="2" t="str">
        <x:v>Tin</x:v>
      </x:c>
      <x:c r="G31" s="2" t="str">
        <x:v>Electronics strategic metal</x:v>
      </x:c>
      <x:c r="H31" s="2" t="str">
        <x:v>Tin is linked to More efficient light duty vehicles because it is typically used in electronic solder and selected coatings; the assignment follows component function, not a sector-wide keyword.</x:v>
      </x:c>
      <x:c r="I31" s="2" t="str">
        <x:v>Presence and quantity in More efficient light duty vehicles depend on the selected design, chemistry, capacity, supplier and recycled content. This analytical link is not a verified bill of materials or supplier traceability statement.</x:v>
      </x:c>
      <x:c r="J31" s="2" t="str">
        <x:v>https://pubs.usgs.gov/periodicals/mcs2026/mcs2026.pdf</x:v>
      </x:c>
    </x:row>
    <x:row r="32" ht="66" customHeight="1">
      <x:c r="A32" s="2" t="str">
        <x:v>MIT-0012</x:v>
      </x:c>
      <x:c r="B32" s="2" t="str">
        <x:v>Mitigation</x:v>
      </x:c>
      <x:c r="C32" s="2" t="str">
        <x:v>Transport</x:v>
      </x:c>
      <x:c r="D32" s="2" t="str">
        <x:v>Land transport</x:v>
      </x:c>
      <x:c r="E32" s="2" t="str">
        <x:v>More efficient light duty vehicles</x:v>
      </x:c>
      <x:c r="F32" s="2" t="str">
        <x:v>Rare earth elements</x:v>
      </x:c>
      <x:c r="G32" s="2" t="str">
        <x:v>Magnet critical minerals</x:v>
      </x:c>
      <x:c r="H32" s="2" t="str">
        <x:v>Rare earth elements is linked to More efficient light duty vehicles because it is typically used in permanent magnets in selected motors or generators; the assignment follows component function, not a sector-wide keyword.</x:v>
      </x:c>
      <x:c r="I32" s="2" t="str">
        <x:v>Presence and quantity in More efficient light duty vehicles depend on the selected design, chemistry, capacity, supplier and recycled content. This analytical link is not a verified bill of materials or supplier traceability statement.</x:v>
      </x:c>
      <x:c r="J32" s="2" t="str">
        <x:v>https://www.iea.org/reports/global-critical-minerals-outlook-2025</x:v>
      </x:c>
    </x:row>
    <x:row r="33" ht="66" customHeight="1">
      <x:c r="A33" s="2" t="str">
        <x:v>MIT-0012</x:v>
      </x:c>
      <x:c r="B33" s="2" t="str">
        <x:v>Mitigation</x:v>
      </x:c>
      <x:c r="C33" s="2" t="str">
        <x:v>Transport</x:v>
      </x:c>
      <x:c r="D33" s="2" t="str">
        <x:v>Land transport</x:v>
      </x:c>
      <x:c r="E33" s="2" t="str">
        <x:v>More efficient light duty vehicles</x:v>
      </x:c>
      <x:c r="F33" s="2" t="str">
        <x:v>Bauxite / aluminium</x:v>
      </x:c>
      <x:c r="G33" s="2" t="str">
        <x:v>Strategic metal</x:v>
      </x:c>
      <x:c r="H33" s="2" t="str">
        <x:v>Bauxite / aluminium is linked to More efficient light duty vehicles because it is typically used in lightweight structures, frames, conductors or vehicle components; the assignment follows component function, not a sector-wide keyword.</x:v>
      </x:c>
      <x:c r="I33" s="2" t="str">
        <x:v>Presence and quantity in More efficient light duty vehicles depend on the selected design, chemistry, capacity, supplier and recycled content. This analytical link is not a verified bill of materials or supplier traceability statement.</x:v>
      </x:c>
      <x:c r="J33" s="2" t="str">
        <x:v>https://pubs.usgs.gov/periodicals/mcs2026/mcs2026.pdf</x:v>
      </x:c>
    </x:row>
    <x:row r="34" ht="66" customHeight="1">
      <x:c r="A34" s="2" t="str">
        <x:v>MIT-0013</x:v>
      </x:c>
      <x:c r="B34" s="2" t="str">
        <x:v>Mitigation</x:v>
      </x:c>
      <x:c r="C34" s="2" t="str">
        <x:v>Transport</x:v>
      </x:c>
      <x:c r="D34" s="2" t="str">
        <x:v>Land transport</x:v>
      </x:c>
      <x:c r="E34" s="2" t="str">
        <x:v>Modal shift from car to cycling</x:v>
      </x:c>
      <x:c r="F34" s="2" t="str">
        <x:v>Iron ore / steel inputs</x:v>
      </x:c>
      <x:c r="G34" s="2" t="str">
        <x:v>Bulk and strategic mineral input</x:v>
      </x:c>
      <x:c r="H34" s="2" t="str">
        <x:v>Iron ore / steel inputs is linked to Modal shift from car to cycling because it is typically used in load-bearing structures, pressure vessels, piping or machinery; the assignment follows component function, not a sector-wide keyword.</x:v>
      </x:c>
      <x:c r="I34" s="2" t="str">
        <x:v>Presence and quantity in Modal shift from car to cycling depend on the selected design, chemistry, capacity, supplier and recycled content. This analytical link is not a verified bill of materials or supplier traceability statement.</x:v>
      </x:c>
      <x:c r="J34" s="2" t="str">
        <x:v>https://pubs.usgs.gov/periodicals/mcs2026/mcs2026.pdf</x:v>
      </x:c>
    </x:row>
    <x:row r="35" ht="66" customHeight="1">
      <x:c r="A35" s="2" t="str">
        <x:v>MIT-0014</x:v>
      </x:c>
      <x:c r="B35" s="2" t="str">
        <x:v>Mitigation</x:v>
      </x:c>
      <x:c r="C35" s="2" t="str">
        <x:v>Transport</x:v>
      </x:c>
      <x:c r="D35" s="2" t="str">
        <x:v>Land transport</x:v>
      </x:c>
      <x:c r="E35" s="2" t="str">
        <x:v>Modal shift from road to rail</x:v>
      </x:c>
      <x:c r="F35" s="2" t="str">
        <x:v>Iron ore / steel inputs</x:v>
      </x:c>
      <x:c r="G35" s="2" t="str">
        <x:v>Bulk and strategic mineral input</x:v>
      </x:c>
      <x:c r="H35" s="2" t="str">
        <x:v>Iron ore / steel inputs is linked to Modal shift from road to rail because it is typically used in load-bearing structures, pressure vessels, piping or machinery; the assignment follows component function, not a sector-wide keyword.</x:v>
      </x:c>
      <x:c r="I35" s="2" t="str">
        <x:v>Presence and quantity in Modal shift from road to rail depend on the selected design, chemistry, capacity, supplier and recycled content. This analytical link is not a verified bill of materials or supplier traceability statement.</x:v>
      </x:c>
      <x:c r="J35" s="2" t="str">
        <x:v>https://pubs.usgs.gov/periodicals/mcs2026/mcs2026.pdf</x:v>
      </x:c>
    </x:row>
    <x:row r="36" ht="66" customHeight="1">
      <x:c r="A36" s="2" t="str">
        <x:v>MIT-0014</x:v>
      </x:c>
      <x:c r="B36" s="2" t="str">
        <x:v>Mitigation</x:v>
      </x:c>
      <x:c r="C36" s="2" t="str">
        <x:v>Transport</x:v>
      </x:c>
      <x:c r="D36" s="2" t="str">
        <x:v>Land transport</x:v>
      </x:c>
      <x:c r="E36" s="2" t="str">
        <x:v>Modal shift from road to rail</x:v>
      </x:c>
      <x:c r="F36" s="2" t="str">
        <x:v>Copper</x:v>
      </x:c>
      <x:c r="G36" s="2" t="str">
        <x:v>Critical or strategic metal</x:v>
      </x:c>
      <x:c r="H36" s="2" t="str">
        <x:v>Copper is linked to Modal shift from road to rail because it is typically used in power cables, windings, busbars, grounding and electrical connectors; the assignment follows component function, not a sector-wide keyword.</x:v>
      </x:c>
      <x:c r="I36" s="2" t="str">
        <x:v>Presence and quantity in Modal shift from road to rail depend on the selected design, chemistry, capacity, supplier and recycled content. This analytical link is not a verified bill of materials or supplier traceability statement.</x:v>
      </x:c>
      <x:c r="J36" s="2" t="str">
        <x:v>https://pubs.usgs.gov/periodicals/mcs2026/mcs2026.pdf</x:v>
      </x:c>
    </x:row>
    <x:row r="37" ht="66" customHeight="1">
      <x:c r="A37" s="2" t="str">
        <x:v>MIT-0014</x:v>
      </x:c>
      <x:c r="B37" s="2" t="str">
        <x:v>Mitigation</x:v>
      </x:c>
      <x:c r="C37" s="2" t="str">
        <x:v>Transport</x:v>
      </x:c>
      <x:c r="D37" s="2" t="str">
        <x:v>Land transport</x:v>
      </x:c>
      <x:c r="E37" s="2" t="str">
        <x:v>Modal shift from road to rail</x:v>
      </x:c>
      <x:c r="F37" s="2" t="str">
        <x:v>Tin</x:v>
      </x:c>
      <x:c r="G37" s="2" t="str">
        <x:v>Electronics strategic metal</x:v>
      </x:c>
      <x:c r="H37" s="2" t="str">
        <x:v>Tin is linked to Modal shift from road to rail because it is typically used in electronic solder and selected coatings; the assignment follows component function, not a sector-wide keyword.</x:v>
      </x:c>
      <x:c r="I37" s="2" t="str">
        <x:v>Presence and quantity in Modal shift from road to rail depend on the selected design, chemistry, capacity, supplier and recycled content. This analytical link is not a verified bill of materials or supplier traceability statement.</x:v>
      </x:c>
      <x:c r="J37" s="2" t="str">
        <x:v>https://pubs.usgs.gov/periodicals/mcs2026/mcs2026.pdf</x:v>
      </x:c>
    </x:row>
    <x:row r="38" ht="66" customHeight="1">
      <x:c r="A38" s="2" t="str">
        <x:v>MIT-0014</x:v>
      </x:c>
      <x:c r="B38" s="2" t="str">
        <x:v>Mitigation</x:v>
      </x:c>
      <x:c r="C38" s="2" t="str">
        <x:v>Transport</x:v>
      </x:c>
      <x:c r="D38" s="2" t="str">
        <x:v>Land transport</x:v>
      </x:c>
      <x:c r="E38" s="2" t="str">
        <x:v>Modal shift from road to rail</x:v>
      </x:c>
      <x:c r="F38" s="2" t="str">
        <x:v>Limestone / cement raw materials</x:v>
      </x:c>
      <x:c r="G38" s="2" t="str">
        <x:v>Bulk construction material</x:v>
      </x:c>
      <x:c r="H38" s="2" t="str">
        <x:v>Limestone / cement raw materials is linked to Modal shift from road to rail because it is typically used in concrete foundations, channels, buildings or protective civil works; the assignment follows component function, not a sector-wide keyword.</x:v>
      </x:c>
      <x:c r="I38" s="2" t="str">
        <x:v>Presence and quantity in Modal shift from road to rail depend on the selected design, chemistry, capacity, supplier and recycled content. This analytical link is not a verified bill of materials or supplier traceability statement.</x:v>
      </x:c>
      <x:c r="J38" s="2" t="str">
        <x:v>https://pubs.usgs.gov/periodicals/mcs2026/mcs2026.pdf</x:v>
      </x:c>
    </x:row>
    <x:row r="39" ht="66" customHeight="1">
      <x:c r="A39" s="2" t="str">
        <x:v>MIT-0016</x:v>
      </x:c>
      <x:c r="B39" s="2" t="str">
        <x:v>Mitigation</x:v>
      </x:c>
      <x:c r="C39" s="2" t="str">
        <x:v>Transport</x:v>
      </x:c>
      <x:c r="D39" s="2" t="str">
        <x:v>Land transport</x:v>
      </x:c>
      <x:c r="E39" s="2" t="str">
        <x:v>Intelligent transport systems</x:v>
      </x:c>
      <x:c r="F39" s="2" t="str">
        <x:v>Iron ore / steel inputs</x:v>
      </x:c>
      <x:c r="G39" s="2" t="str">
        <x:v>Bulk and strategic mineral input</x:v>
      </x:c>
      <x:c r="H39" s="2" t="str">
        <x:v>Iron ore / steel inputs is linked to Intelligent transport systems because it is typically used in load-bearing structures, pressure vessels, piping or machinery; the assignment follows component function, not a sector-wide keyword.</x:v>
      </x:c>
      <x:c r="I39" s="2" t="str">
        <x:v>Presence and quantity in Intelligent transport systems depend on the selected design, chemistry, capacity, supplier and recycled content. This analytical link is not a verified bill of materials or supplier traceability statement.</x:v>
      </x:c>
      <x:c r="J39" s="2" t="str">
        <x:v>https://pubs.usgs.gov/periodicals/mcs2026/mcs2026.pdf</x:v>
      </x:c>
    </x:row>
    <x:row r="40" ht="66" customHeight="1">
      <x:c r="A40" s="2" t="str">
        <x:v>MIT-0017</x:v>
      </x:c>
      <x:c r="B40" s="2" t="str">
        <x:v>Mitigation</x:v>
      </x:c>
      <x:c r="C40" s="2" t="str">
        <x:v>Transport</x:v>
      </x:c>
      <x:c r="D40" s="2" t="str">
        <x:v>Land transport</x:v>
      </x:c>
      <x:c r="E40" s="2" t="str">
        <x:v>Scrappage programmes</x:v>
      </x:c>
      <x:c r="F40" s="2" t="str">
        <x:v>Iron ore / steel inputs</x:v>
      </x:c>
      <x:c r="G40" s="2" t="str">
        <x:v>Bulk and strategic mineral input</x:v>
      </x:c>
      <x:c r="H40" s="2" t="str">
        <x:v>Iron ore / steel inputs is linked to Scrappage programmes because it is typically used in load-bearing structures, pressure vessels, piping or machinery; the assignment follows component function, not a sector-wide keyword.</x:v>
      </x:c>
      <x:c r="I40" s="2" t="str">
        <x:v>Presence and quantity in Scrappage programmes depend on the selected design, chemistry, capacity, supplier and recycled content. This analytical link is not a verified bill of materials or supplier traceability statement.</x:v>
      </x:c>
      <x:c r="J40" s="2" t="str">
        <x:v>https://pubs.usgs.gov/periodicals/mcs2026/mcs2026.pdf</x:v>
      </x:c>
    </x:row>
    <x:row r="41" ht="66" customHeight="1">
      <x:c r="A41" s="2" t="str">
        <x:v>MIT-0020</x:v>
      </x:c>
      <x:c r="B41" s="2" t="str">
        <x:v>Mitigation</x:v>
      </x:c>
      <x:c r="C41" s="2" t="str">
        <x:v>Transport</x:v>
      </x:c>
      <x:c r="D41" s="2" t="str">
        <x:v>Land transport</x:v>
      </x:c>
      <x:c r="E41" s="2" t="str">
        <x:v>More efficient train system</x:v>
      </x:c>
      <x:c r="F41" s="2" t="str">
        <x:v>Iron ore / steel inputs</x:v>
      </x:c>
      <x:c r="G41" s="2" t="str">
        <x:v>Bulk and strategic mineral input</x:v>
      </x:c>
      <x:c r="H41" s="2" t="str">
        <x:v>Iron ore / steel inputs is linked to More efficient train system because it is typically used in load-bearing structures, pressure vessels, piping or machinery; the assignment follows component function, not a sector-wide keyword.</x:v>
      </x:c>
      <x:c r="I41" s="2" t="str">
        <x:v>Presence and quantity in More efficient train system depend on the selected design, chemistry, capacity, supplier and recycled content. This analytical link is not a verified bill of materials or supplier traceability statement.</x:v>
      </x:c>
      <x:c r="J41" s="2" t="str">
        <x:v>https://pubs.usgs.gov/periodicals/mcs2026/mcs2026.pdf</x:v>
      </x:c>
    </x:row>
    <x:row r="42" ht="66" customHeight="1">
      <x:c r="A42" s="2" t="str">
        <x:v>MIT-0021</x:v>
      </x:c>
      <x:c r="B42" s="2" t="str">
        <x:v>Mitigation</x:v>
      </x:c>
      <x:c r="C42" s="2" t="str">
        <x:v>Transport</x:v>
      </x:c>
      <x:c r="D42" s="2" t="str">
        <x:v>Land transport</x:v>
      </x:c>
      <x:c r="E42" s="2" t="str">
        <x:v>Transit-oriented development</x:v>
      </x:c>
      <x:c r="F42" s="2" t="str">
        <x:v>Iron ore / steel inputs</x:v>
      </x:c>
      <x:c r="G42" s="2" t="str">
        <x:v>Bulk and strategic mineral input</x:v>
      </x:c>
      <x:c r="H42" s="2" t="str">
        <x:v>Iron ore / steel inputs is linked to Transit-oriented development because it is typically used in load-bearing structures, pressure vessels, piping or machinery; the assignment follows component function, not a sector-wide keyword.</x:v>
      </x:c>
      <x:c r="I42" s="2" t="str">
        <x:v>Presence and quantity in Transit-oriented development depend on the selected design, chemistry, capacity, supplier and recycled content. This analytical link is not a verified bill of materials or supplier traceability statement.</x:v>
      </x:c>
      <x:c r="J42" s="2" t="str">
        <x:v>https://pubs.usgs.gov/periodicals/mcs2026/mcs2026.pdf</x:v>
      </x:c>
    </x:row>
    <x:row r="43" ht="66" customHeight="1">
      <x:c r="A43" s="2" t="str">
        <x:v>MIT-0022</x:v>
      </x:c>
      <x:c r="B43" s="2" t="str">
        <x:v>Mitigation</x:v>
      </x:c>
      <x:c r="C43" s="2" t="str">
        <x:v>Transport</x:v>
      </x:c>
      <x:c r="D43" s="2" t="str">
        <x:v>Land transport</x:v>
      </x:c>
      <x:c r="E43" s="2" t="str">
        <x:v>Bus Rapid Transit</x:v>
      </x:c>
      <x:c r="F43" s="2" t="str">
        <x:v>Iron ore / steel inputs</x:v>
      </x:c>
      <x:c r="G43" s="2" t="str">
        <x:v>Bulk and strategic mineral input</x:v>
      </x:c>
      <x:c r="H43" s="2" t="str">
        <x:v>Iron ore / steel inputs is linked to Bus Rapid Transit because it is typically used in load-bearing structures, pressure vessels, piping or machinery; the assignment follows component function, not a sector-wide keyword.</x:v>
      </x:c>
      <x:c r="I43" s="2" t="str">
        <x:v>Presence and quantity in Bus Rapid Transit depend on the selected design, chemistry, capacity, supplier and recycled content. This analytical link is not a verified bill of materials or supplier traceability statement.</x:v>
      </x:c>
      <x:c r="J43" s="2" t="str">
        <x:v>https://pubs.usgs.gov/periodicals/mcs2026/mcs2026.pdf</x:v>
      </x:c>
    </x:row>
    <x:row r="44" ht="66" customHeight="1">
      <x:c r="A44" s="2" t="str">
        <x:v>MIT-0022</x:v>
      </x:c>
      <x:c r="B44" s="2" t="str">
        <x:v>Mitigation</x:v>
      </x:c>
      <x:c r="C44" s="2" t="str">
        <x:v>Transport</x:v>
      </x:c>
      <x:c r="D44" s="2" t="str">
        <x:v>Land transport</x:v>
      </x:c>
      <x:c r="E44" s="2" t="str">
        <x:v>Bus Rapid Transit</x:v>
      </x:c>
      <x:c r="F44" s="2" t="str">
        <x:v>Limestone / cement raw materials</x:v>
      </x:c>
      <x:c r="G44" s="2" t="str">
        <x:v>Bulk construction material</x:v>
      </x:c>
      <x:c r="H44" s="2" t="str">
        <x:v>Limestone / cement raw materials is linked to Bus Rapid Transit because it is typically used in concrete foundations, channels, buildings or protective civil works; the assignment follows component function, not a sector-wide keyword.</x:v>
      </x:c>
      <x:c r="I44" s="2" t="str">
        <x:v>Presence and quantity in Bus Rapid Transit depend on the selected design, chemistry, capacity, supplier and recycled content. This analytical link is not a verified bill of materials or supplier traceability statement.</x:v>
      </x:c>
      <x:c r="J44" s="2" t="str">
        <x:v>https://pubs.usgs.gov/periodicals/mcs2026/mcs2026.pdf</x:v>
      </x:c>
    </x:row>
    <x:row r="45" ht="66" customHeight="1">
      <x:c r="A45" s="2" t="str">
        <x:v>MIT-0023</x:v>
      </x:c>
      <x:c r="B45" s="2" t="str">
        <x:v>Mitigation</x:v>
      </x:c>
      <x:c r="C45" s="2" t="str">
        <x:v>Transport</x:v>
      </x:c>
      <x:c r="D45" s="2" t="str">
        <x:v>Land transport</x:v>
      </x:c>
      <x:c r="E45" s="2" t="str">
        <x:v>Cable cars</x:v>
      </x:c>
      <x:c r="F45" s="2" t="str">
        <x:v>Iron ore / steel inputs</x:v>
      </x:c>
      <x:c r="G45" s="2" t="str">
        <x:v>Bulk and strategic mineral input</x:v>
      </x:c>
      <x:c r="H45" s="2" t="str">
        <x:v>Iron ore / steel inputs is linked to Cable cars because it is typically used in load-bearing structures, pressure vessels, piping or machinery; the assignment follows component function, not a sector-wide keyword.</x:v>
      </x:c>
      <x:c r="I45" s="2" t="str">
        <x:v>Presence and quantity in Cable cars depend on the selected design, chemistry, capacity, supplier and recycled content. This analytical link is not a verified bill of materials or supplier traceability statement.</x:v>
      </x:c>
      <x:c r="J45" s="2" t="str">
        <x:v>https://pubs.usgs.gov/periodicals/mcs2026/mcs2026.pdf</x:v>
      </x:c>
    </x:row>
    <x:row r="46" ht="66" customHeight="1">
      <x:c r="A46" s="2" t="str">
        <x:v>MIT-0023</x:v>
      </x:c>
      <x:c r="B46" s="2" t="str">
        <x:v>Mitigation</x:v>
      </x:c>
      <x:c r="C46" s="2" t="str">
        <x:v>Transport</x:v>
      </x:c>
      <x:c r="D46" s="2" t="str">
        <x:v>Land transport</x:v>
      </x:c>
      <x:c r="E46" s="2" t="str">
        <x:v>Cable cars</x:v>
      </x:c>
      <x:c r="F46" s="2" t="str">
        <x:v>Bauxite / aluminium</x:v>
      </x:c>
      <x:c r="G46" s="2" t="str">
        <x:v>Strategic metal</x:v>
      </x:c>
      <x:c r="H46" s="2" t="str">
        <x:v>Bauxite / aluminium is linked to Cable cars because it is typically used in lightweight structures, frames, conductors or vehicle components; the assignment follows component function, not a sector-wide keyword.</x:v>
      </x:c>
      <x:c r="I46" s="2" t="str">
        <x:v>Presence and quantity in Cable cars depend on the selected design, chemistry, capacity, supplier and recycled content. This analytical link is not a verified bill of materials or supplier traceability statement.</x:v>
      </x:c>
      <x:c r="J46" s="2" t="str">
        <x:v>https://pubs.usgs.gov/periodicals/mcs2026/mcs2026.pdf</x:v>
      </x:c>
    </x:row>
    <x:row r="47" ht="66" customHeight="1">
      <x:c r="A47" s="2" t="str">
        <x:v>MIT-0024</x:v>
      </x:c>
      <x:c r="B47" s="2" t="str">
        <x:v>Mitigation</x:v>
      </x:c>
      <x:c r="C47" s="2" t="str">
        <x:v>Transport</x:v>
      </x:c>
      <x:c r="D47" s="2" t="str">
        <x:v>Land transport</x:v>
      </x:c>
      <x:c r="E47" s="2" t="str">
        <x:v>Promotion of non-motorised transport</x:v>
      </x:c>
      <x:c r="F47" s="2" t="str">
        <x:v>Iron ore / steel inputs</x:v>
      </x:c>
      <x:c r="G47" s="2" t="str">
        <x:v>Bulk and strategic mineral input</x:v>
      </x:c>
      <x:c r="H47" s="2" t="str">
        <x:v>Iron ore / steel inputs is linked to Promotion of non-motorised transport because it is typically used in load-bearing structures, pressure vessels, piping or machinery; the assignment follows component function, not a sector-wide keyword.</x:v>
      </x:c>
      <x:c r="I47" s="2" t="str">
        <x:v>Presence and quantity in Promotion of non-motorised transport depend on the selected design, chemistry, capacity, supplier and recycled content. This analytical link is not a verified bill of materials or supplier traceability statement.</x:v>
      </x:c>
      <x:c r="J47" s="2" t="str">
        <x:v>https://pubs.usgs.gov/periodicals/mcs2026/mcs2026.pdf</x:v>
      </x:c>
    </x:row>
    <x:row r="48" ht="66" customHeight="1">
      <x:c r="A48" s="2" t="str">
        <x:v>MIT-0024</x:v>
      </x:c>
      <x:c r="B48" s="2" t="str">
        <x:v>Mitigation</x:v>
      </x:c>
      <x:c r="C48" s="2" t="str">
        <x:v>Transport</x:v>
      </x:c>
      <x:c r="D48" s="2" t="str">
        <x:v>Land transport</x:v>
      </x:c>
      <x:c r="E48" s="2" t="str">
        <x:v>Promotion of non-motorised transport</x:v>
      </x:c>
      <x:c r="F48" s="2" t="str">
        <x:v>Copper</x:v>
      </x:c>
      <x:c r="G48" s="2" t="str">
        <x:v>Critical or strategic metal</x:v>
      </x:c>
      <x:c r="H48" s="2" t="str">
        <x:v>Copper is linked to Promotion of non-motorised transport because it is typically used in power cables, windings, busbars, grounding and electrical connectors; the assignment follows component function, not a sector-wide keyword.</x:v>
      </x:c>
      <x:c r="I48" s="2" t="str">
        <x:v>Presence and quantity in Promotion of non-motorised transport depend on the selected design, chemistry, capacity, supplier and recycled content. This analytical link is not a verified bill of materials or supplier traceability statement.</x:v>
      </x:c>
      <x:c r="J48" s="2" t="str">
        <x:v>https://pubs.usgs.gov/periodicals/mcs2026/mcs2026.pdf</x:v>
      </x:c>
    </x:row>
    <x:row r="49" ht="66" customHeight="1">
      <x:c r="A49" s="2" t="str">
        <x:v>MIT-0024</x:v>
      </x:c>
      <x:c r="B49" s="2" t="str">
        <x:v>Mitigation</x:v>
      </x:c>
      <x:c r="C49" s="2" t="str">
        <x:v>Transport</x:v>
      </x:c>
      <x:c r="D49" s="2" t="str">
        <x:v>Land transport</x:v>
      </x:c>
      <x:c r="E49" s="2" t="str">
        <x:v>Promotion of non-motorised transport</x:v>
      </x:c>
      <x:c r="F49" s="2" t="str">
        <x:v>Tin</x:v>
      </x:c>
      <x:c r="G49" s="2" t="str">
        <x:v>Electronics strategic metal</x:v>
      </x:c>
      <x:c r="H49" s="2" t="str">
        <x:v>Tin is linked to Promotion of non-motorised transport because it is typically used in electronic solder and selected coatings; the assignment follows component function, not a sector-wide keyword.</x:v>
      </x:c>
      <x:c r="I49" s="2" t="str">
        <x:v>Presence and quantity in Promotion of non-motorised transport depend on the selected design, chemistry, capacity, supplier and recycled content. This analytical link is not a verified bill of materials or supplier traceability statement.</x:v>
      </x:c>
      <x:c r="J49" s="2" t="str">
        <x:v>https://pubs.usgs.gov/periodicals/mcs2026/mcs2026.pdf</x:v>
      </x:c>
    </x:row>
    <x:row r="50" ht="66" customHeight="1">
      <x:c r="A50" s="2" t="str">
        <x:v>MIT-0024</x:v>
      </x:c>
      <x:c r="B50" s="2" t="str">
        <x:v>Mitigation</x:v>
      </x:c>
      <x:c r="C50" s="2" t="str">
        <x:v>Transport</x:v>
      </x:c>
      <x:c r="D50" s="2" t="str">
        <x:v>Land transport</x:v>
      </x:c>
      <x:c r="E50" s="2" t="str">
        <x:v>Promotion of non-motorised transport</x:v>
      </x:c>
      <x:c r="F50" s="2" t="str">
        <x:v>Rare earth elements</x:v>
      </x:c>
      <x:c r="G50" s="2" t="str">
        <x:v>Magnet critical minerals</x:v>
      </x:c>
      <x:c r="H50" s="2" t="str">
        <x:v>Rare earth elements is linked to Promotion of non-motorised transport because it is typically used in permanent magnets in selected motors or generators; the assignment follows component function, not a sector-wide keyword.</x:v>
      </x:c>
      <x:c r="I50" s="2" t="str">
        <x:v>Presence and quantity in Promotion of non-motorised transport depend on the selected design, chemistry, capacity, supplier and recycled content. This analytical link is not a verified bill of materials or supplier traceability statement.</x:v>
      </x:c>
      <x:c r="J50" s="2" t="str">
        <x:v>https://www.iea.org/reports/global-critical-minerals-outlook-2025</x:v>
      </x:c>
    </x:row>
    <x:row r="51" ht="66" customHeight="1">
      <x:c r="A51" s="2" t="str">
        <x:v>MIT-0025</x:v>
      </x:c>
      <x:c r="B51" s="2" t="str">
        <x:v>Mitigation</x:v>
      </x:c>
      <x:c r="C51" s="2" t="str">
        <x:v>Transport</x:v>
      </x:c>
      <x:c r="D51" s="2" t="str">
        <x:v>Land transport</x:v>
      </x:c>
      <x:c r="E51" s="2" t="str">
        <x:v>High-speed rail</x:v>
      </x:c>
      <x:c r="F51" s="2" t="str">
        <x:v>Iron ore / steel inputs</x:v>
      </x:c>
      <x:c r="G51" s="2" t="str">
        <x:v>Bulk and strategic mineral input</x:v>
      </x:c>
      <x:c r="H51" s="2" t="str">
        <x:v>Iron ore / steel inputs is linked to High-speed rail because it is typically used in load-bearing structures, pressure vessels, piping or machinery; the assignment follows component function, not a sector-wide keyword.</x:v>
      </x:c>
      <x:c r="I51" s="2" t="str">
        <x:v>Presence and quantity in High-speed rail depend on the selected design, chemistry, capacity, supplier and recycled content. This analytical link is not a verified bill of materials or supplier traceability statement.</x:v>
      </x:c>
      <x:c r="J51" s="2" t="str">
        <x:v>https://pubs.usgs.gov/periodicals/mcs2026/mcs2026.pdf</x:v>
      </x:c>
    </x:row>
    <x:row r="52" ht="66" customHeight="1">
      <x:c r="A52" s="2" t="str">
        <x:v>MIT-0025</x:v>
      </x:c>
      <x:c r="B52" s="2" t="str">
        <x:v>Mitigation</x:v>
      </x:c>
      <x:c r="C52" s="2" t="str">
        <x:v>Transport</x:v>
      </x:c>
      <x:c r="D52" s="2" t="str">
        <x:v>Land transport</x:v>
      </x:c>
      <x:c r="E52" s="2" t="str">
        <x:v>High-speed rail</x:v>
      </x:c>
      <x:c r="F52" s="2" t="str">
        <x:v>Copper</x:v>
      </x:c>
      <x:c r="G52" s="2" t="str">
        <x:v>Critical or strategic metal</x:v>
      </x:c>
      <x:c r="H52" s="2" t="str">
        <x:v>Copper is linked to High-speed rail because it is typically used in power cables, windings, busbars, grounding and electrical connectors; the assignment follows component function, not a sector-wide keyword.</x:v>
      </x:c>
      <x:c r="I52" s="2" t="str">
        <x:v>Presence and quantity in High-speed rail depend on the selected design, chemistry, capacity, supplier and recycled content. This analytical link is not a verified bill of materials or supplier traceability statement.</x:v>
      </x:c>
      <x:c r="J52" s="2" t="str">
        <x:v>https://pubs.usgs.gov/periodicals/mcs2026/mcs2026.pdf</x:v>
      </x:c>
    </x:row>
    <x:row r="53" ht="66" customHeight="1">
      <x:c r="A53" s="2" t="str">
        <x:v>MIT-0025</x:v>
      </x:c>
      <x:c r="B53" s="2" t="str">
        <x:v>Mitigation</x:v>
      </x:c>
      <x:c r="C53" s="2" t="str">
        <x:v>Transport</x:v>
      </x:c>
      <x:c r="D53" s="2" t="str">
        <x:v>Land transport</x:v>
      </x:c>
      <x:c r="E53" s="2" t="str">
        <x:v>High-speed rail</x:v>
      </x:c>
      <x:c r="F53" s="2" t="str">
        <x:v>Tin</x:v>
      </x:c>
      <x:c r="G53" s="2" t="str">
        <x:v>Electronics strategic metal</x:v>
      </x:c>
      <x:c r="H53" s="2" t="str">
        <x:v>Tin is linked to High-speed rail because it is typically used in electronic solder and selected coatings; the assignment follows component function, not a sector-wide keyword.</x:v>
      </x:c>
      <x:c r="I53" s="2" t="str">
        <x:v>Presence and quantity in High-speed rail depend on the selected design, chemistry, capacity, supplier and recycled content. This analytical link is not a verified bill of materials or supplier traceability statement.</x:v>
      </x:c>
      <x:c r="J53" s="2" t="str">
        <x:v>https://pubs.usgs.gov/periodicals/mcs2026/mcs2026.pdf</x:v>
      </x:c>
    </x:row>
    <x:row r="54" ht="66" customHeight="1">
      <x:c r="A54" s="2" t="str">
        <x:v>MIT-0025</x:v>
      </x:c>
      <x:c r="B54" s="2" t="str">
        <x:v>Mitigation</x:v>
      </x:c>
      <x:c r="C54" s="2" t="str">
        <x:v>Transport</x:v>
      </x:c>
      <x:c r="D54" s="2" t="str">
        <x:v>Land transport</x:v>
      </x:c>
      <x:c r="E54" s="2" t="str">
        <x:v>High-speed rail</x:v>
      </x:c>
      <x:c r="F54" s="2" t="str">
        <x:v>Limestone / cement raw materials</x:v>
      </x:c>
      <x:c r="G54" s="2" t="str">
        <x:v>Bulk construction material</x:v>
      </x:c>
      <x:c r="H54" s="2" t="str">
        <x:v>Limestone / cement raw materials is linked to High-speed rail because it is typically used in concrete foundations, channels, buildings or protective civil works; the assignment follows component function, not a sector-wide keyword.</x:v>
      </x:c>
      <x:c r="I54" s="2" t="str">
        <x:v>Presence and quantity in High-speed rail depend on the selected design, chemistry, capacity, supplier and recycled content. This analytical link is not a verified bill of materials or supplier traceability statement.</x:v>
      </x:c>
      <x:c r="J54" s="2" t="str">
        <x:v>https://pubs.usgs.gov/periodicals/mcs2026/mcs2026.pdf</x:v>
      </x:c>
    </x:row>
    <x:row r="55" ht="66" customHeight="1">
      <x:c r="A55" s="2" t="str">
        <x:v>MIT-0026</x:v>
      </x:c>
      <x:c r="B55" s="2" t="str">
        <x:v>Mitigation</x:v>
      </x:c>
      <x:c r="C55" s="2" t="str">
        <x:v>Transport</x:v>
      </x:c>
      <x:c r="D55" s="2" t="str">
        <x:v>Vehicle and fuel technologies</x:v>
      </x:c>
      <x:c r="E55" s="2" t="str">
        <x:v>Compressed Natural Gas as fuel</x:v>
      </x:c>
      <x:c r="F55" s="2" t="str">
        <x:v>Iron ore / steel inputs</x:v>
      </x:c>
      <x:c r="G55" s="2" t="str">
        <x:v>Bulk and strategic mineral input</x:v>
      </x:c>
      <x:c r="H55" s="2" t="str">
        <x:v>Iron ore / steel inputs is linked to Compressed Natural Gas as fuel because it is typically used in load-bearing structures, pressure vessels, piping or machinery; the assignment follows component function, not a sector-wide keyword.</x:v>
      </x:c>
      <x:c r="I55" s="2" t="str">
        <x:v>Presence and quantity in Compressed Natural Gas as fuel depend on the selected design, chemistry, capacity, supplier and recycled content. This analytical link is not a verified bill of materials or supplier traceability statement.</x:v>
      </x:c>
      <x:c r="J55" s="2" t="str">
        <x:v>https://pubs.usgs.gov/periodicals/mcs2026/mcs2026.pdf</x:v>
      </x:c>
    </x:row>
    <x:row r="56" ht="66" customHeight="1">
      <x:c r="A56" s="2" t="str">
        <x:v>MIT-0026</x:v>
      </x:c>
      <x:c r="B56" s="2" t="str">
        <x:v>Mitigation</x:v>
      </x:c>
      <x:c r="C56" s="2" t="str">
        <x:v>Transport</x:v>
      </x:c>
      <x:c r="D56" s="2" t="str">
        <x:v>Vehicle and fuel technologies</x:v>
      </x:c>
      <x:c r="E56" s="2" t="str">
        <x:v>Compressed Natural Gas as fuel</x:v>
      </x:c>
      <x:c r="F56" s="2" t="str">
        <x:v>Copper</x:v>
      </x:c>
      <x:c r="G56" s="2" t="str">
        <x:v>Critical or strategic metal</x:v>
      </x:c>
      <x:c r="H56" s="2" t="str">
        <x:v>Copper is linked to Compressed Natural Gas as fuel because it is typically used in power cables, windings, busbars, grounding and electrical connectors; the assignment follows component function, not a sector-wide keyword.</x:v>
      </x:c>
      <x:c r="I56" s="2" t="str">
        <x:v>Presence and quantity in Compressed Natural Gas as fuel depend on the selected design, chemistry, capacity, supplier and recycled content. This analytical link is not a verified bill of materials or supplier traceability statement.</x:v>
      </x:c>
      <x:c r="J56" s="2" t="str">
        <x:v>https://pubs.usgs.gov/periodicals/mcs2026/mcs2026.pdf</x:v>
      </x:c>
    </x:row>
    <x:row r="57" ht="66" customHeight="1">
      <x:c r="A57" s="2" t="str">
        <x:v>MIT-0026</x:v>
      </x:c>
      <x:c r="B57" s="2" t="str">
        <x:v>Mitigation</x:v>
      </x:c>
      <x:c r="C57" s="2" t="str">
        <x:v>Transport</x:v>
      </x:c>
      <x:c r="D57" s="2" t="str">
        <x:v>Vehicle and fuel technologies</x:v>
      </x:c>
      <x:c r="E57" s="2" t="str">
        <x:v>Compressed Natural Gas as fuel</x:v>
      </x:c>
      <x:c r="F57" s="2" t="str">
        <x:v>Tin</x:v>
      </x:c>
      <x:c r="G57" s="2" t="str">
        <x:v>Electronics strategic metal</x:v>
      </x:c>
      <x:c r="H57" s="2" t="str">
        <x:v>Tin is linked to Compressed Natural Gas as fuel because it is typically used in electronic solder and selected coatings; the assignment follows component function, not a sector-wide keyword.</x:v>
      </x:c>
      <x:c r="I57" s="2" t="str">
        <x:v>Presence and quantity in Compressed Natural Gas as fuel depend on the selected design, chemistry, capacity, supplier and recycled content. This analytical link is not a verified bill of materials or supplier traceability statement.</x:v>
      </x:c>
      <x:c r="J57" s="2" t="str">
        <x:v>https://pubs.usgs.gov/periodicals/mcs2026/mcs2026.pdf</x:v>
      </x:c>
    </x:row>
    <x:row r="58" ht="66" customHeight="1">
      <x:c r="A58" s="2" t="str">
        <x:v>MIT-0026</x:v>
      </x:c>
      <x:c r="B58" s="2" t="str">
        <x:v>Mitigation</x:v>
      </x:c>
      <x:c r="C58" s="2" t="str">
        <x:v>Transport</x:v>
      </x:c>
      <x:c r="D58" s="2" t="str">
        <x:v>Vehicle and fuel technologies</x:v>
      </x:c>
      <x:c r="E58" s="2" t="str">
        <x:v>Compressed Natural Gas as fuel</x:v>
      </x:c>
      <x:c r="F58" s="2" t="str">
        <x:v>Rare earth elements</x:v>
      </x:c>
      <x:c r="G58" s="2" t="str">
        <x:v>Magnet critical minerals</x:v>
      </x:c>
      <x:c r="H58" s="2" t="str">
        <x:v>Rare earth elements is linked to Compressed Natural Gas as fuel because it is typically used in permanent magnets in selected motors or generators; the assignment follows component function, not a sector-wide keyword.</x:v>
      </x:c>
      <x:c r="I58" s="2" t="str">
        <x:v>Presence and quantity in Compressed Natural Gas as fuel depend on the selected design, chemistry, capacity, supplier and recycled content. This analytical link is not a verified bill of materials or supplier traceability statement.</x:v>
      </x:c>
      <x:c r="J58" s="2" t="str">
        <x:v>https://www.iea.org/reports/global-critical-minerals-outlook-2025</x:v>
      </x:c>
    </x:row>
    <x:row r="59" ht="66" customHeight="1">
      <x:c r="A59" s="2" t="str">
        <x:v>MIT-0026</x:v>
      </x:c>
      <x:c r="B59" s="2" t="str">
        <x:v>Mitigation</x:v>
      </x:c>
      <x:c r="C59" s="2" t="str">
        <x:v>Transport</x:v>
      </x:c>
      <x:c r="D59" s="2" t="str">
        <x:v>Vehicle and fuel technologies</x:v>
      </x:c>
      <x:c r="E59" s="2" t="str">
        <x:v>Compressed Natural Gas as fuel</x:v>
      </x:c>
      <x:c r="F59" s="2" t="str">
        <x:v>Bauxite / aluminium</x:v>
      </x:c>
      <x:c r="G59" s="2" t="str">
        <x:v>Strategic metal</x:v>
      </x:c>
      <x:c r="H59" s="2" t="str">
        <x:v>Bauxite / aluminium is linked to Compressed Natural Gas as fuel because it is typically used in lightweight structures, frames, conductors or vehicle components; the assignment follows component function, not a sector-wide keyword.</x:v>
      </x:c>
      <x:c r="I59" s="2" t="str">
        <x:v>Presence and quantity in Compressed Natural Gas as fuel depend on the selected design, chemistry, capacity, supplier and recycled content. This analytical link is not a verified bill of materials or supplier traceability statement.</x:v>
      </x:c>
      <x:c r="J59" s="2" t="str">
        <x:v>https://pubs.usgs.gov/periodicals/mcs2026/mcs2026.pdf</x:v>
      </x:c>
    </x:row>
    <x:row r="60" ht="66" customHeight="1">
      <x:c r="A60" s="2" t="str">
        <x:v>MIT-0027</x:v>
      </x:c>
      <x:c r="B60" s="2" t="str">
        <x:v>Mitigation</x:v>
      </x:c>
      <x:c r="C60" s="2" t="str">
        <x:v>Transport</x:v>
      </x:c>
      <x:c r="D60" s="2" t="str">
        <x:v>Vehicle and fuel technologies</x:v>
      </x:c>
      <x:c r="E60" s="2" t="str">
        <x:v>Biogas as fuel</x:v>
      </x:c>
      <x:c r="F60" s="2" t="str">
        <x:v>Iron ore / steel inputs</x:v>
      </x:c>
      <x:c r="G60" s="2" t="str">
        <x:v>Bulk and strategic mineral input</x:v>
      </x:c>
      <x:c r="H60" s="2" t="str">
        <x:v>Iron ore / steel inputs is linked to Biogas as fuel because it is typically used in load-bearing structures, pressure vessels, piping or machinery; the assignment follows component function, not a sector-wide keyword.</x:v>
      </x:c>
      <x:c r="I60" s="2" t="str">
        <x:v>Presence and quantity in Biogas as fuel depend on the selected design, chemistry, capacity, supplier and recycled content. This analytical link is not a verified bill of materials or supplier traceability statement.</x:v>
      </x:c>
      <x:c r="J60" s="2" t="str">
        <x:v>https://pubs.usgs.gov/periodicals/mcs2026/mcs2026.pdf</x:v>
      </x:c>
    </x:row>
    <x:row r="61" ht="66" customHeight="1">
      <x:c r="A61" s="2" t="str">
        <x:v>MIT-0027</x:v>
      </x:c>
      <x:c r="B61" s="2" t="str">
        <x:v>Mitigation</x:v>
      </x:c>
      <x:c r="C61" s="2" t="str">
        <x:v>Transport</x:v>
      </x:c>
      <x:c r="D61" s="2" t="str">
        <x:v>Vehicle and fuel technologies</x:v>
      </x:c>
      <x:c r="E61" s="2" t="str">
        <x:v>Biogas as fuel</x:v>
      </x:c>
      <x:c r="F61" s="2" t="str">
        <x:v>Copper</x:v>
      </x:c>
      <x:c r="G61" s="2" t="str">
        <x:v>Critical or strategic metal</x:v>
      </x:c>
      <x:c r="H61" s="2" t="str">
        <x:v>Copper is linked to Biogas as fuel because it is typically used in power cables, windings, busbars, grounding and electrical connectors; the assignment follows component function, not a sector-wide keyword.</x:v>
      </x:c>
      <x:c r="I61" s="2" t="str">
        <x:v>Presence and quantity in Biogas as fuel depend on the selected design, chemistry, capacity, supplier and recycled content. This analytical link is not a verified bill of materials or supplier traceability statement.</x:v>
      </x:c>
      <x:c r="J61" s="2" t="str">
        <x:v>https://pubs.usgs.gov/periodicals/mcs2026/mcs2026.pdf</x:v>
      </x:c>
    </x:row>
    <x:row r="62" ht="66" customHeight="1">
      <x:c r="A62" s="2" t="str">
        <x:v>MIT-0027</x:v>
      </x:c>
      <x:c r="B62" s="2" t="str">
        <x:v>Mitigation</x:v>
      </x:c>
      <x:c r="C62" s="2" t="str">
        <x:v>Transport</x:v>
      </x:c>
      <x:c r="D62" s="2" t="str">
        <x:v>Vehicle and fuel technologies</x:v>
      </x:c>
      <x:c r="E62" s="2" t="str">
        <x:v>Biogas as fuel</x:v>
      </x:c>
      <x:c r="F62" s="2" t="str">
        <x:v>Tin</x:v>
      </x:c>
      <x:c r="G62" s="2" t="str">
        <x:v>Electronics strategic metal</x:v>
      </x:c>
      <x:c r="H62" s="2" t="str">
        <x:v>Tin is linked to Biogas as fuel because it is typically used in electronic solder and selected coatings; the assignment follows component function, not a sector-wide keyword.</x:v>
      </x:c>
      <x:c r="I62" s="2" t="str">
        <x:v>Presence and quantity in Biogas as fuel depend on the selected design, chemistry, capacity, supplier and recycled content. This analytical link is not a verified bill of materials or supplier traceability statement.</x:v>
      </x:c>
      <x:c r="J62" s="2" t="str">
        <x:v>https://pubs.usgs.gov/periodicals/mcs2026/mcs2026.pdf</x:v>
      </x:c>
    </x:row>
    <x:row r="63" ht="66" customHeight="1">
      <x:c r="A63" s="2" t="str">
        <x:v>MIT-0027</x:v>
      </x:c>
      <x:c r="B63" s="2" t="str">
        <x:v>Mitigation</x:v>
      </x:c>
      <x:c r="C63" s="2" t="str">
        <x:v>Transport</x:v>
      </x:c>
      <x:c r="D63" s="2" t="str">
        <x:v>Vehicle and fuel technologies</x:v>
      </x:c>
      <x:c r="E63" s="2" t="str">
        <x:v>Biogas as fuel</x:v>
      </x:c>
      <x:c r="F63" s="2" t="str">
        <x:v>Rare earth elements</x:v>
      </x:c>
      <x:c r="G63" s="2" t="str">
        <x:v>Magnet critical minerals</x:v>
      </x:c>
      <x:c r="H63" s="2" t="str">
        <x:v>Rare earth elements is linked to Biogas as fuel because it is typically used in permanent magnets in selected motors or generators; the assignment follows component function, not a sector-wide keyword.</x:v>
      </x:c>
      <x:c r="I63" s="2" t="str">
        <x:v>Presence and quantity in Biogas as fuel depend on the selected design, chemistry, capacity, supplier and recycled content. This analytical link is not a verified bill of materials or supplier traceability statement.</x:v>
      </x:c>
      <x:c r="J63" s="2" t="str">
        <x:v>https://www.iea.org/reports/global-critical-minerals-outlook-2025</x:v>
      </x:c>
    </x:row>
    <x:row r="64" ht="66" customHeight="1">
      <x:c r="A64" s="2" t="str">
        <x:v>MIT-0027</x:v>
      </x:c>
      <x:c r="B64" s="2" t="str">
        <x:v>Mitigation</x:v>
      </x:c>
      <x:c r="C64" s="2" t="str">
        <x:v>Transport</x:v>
      </x:c>
      <x:c r="D64" s="2" t="str">
        <x:v>Vehicle and fuel technologies</x:v>
      </x:c>
      <x:c r="E64" s="2" t="str">
        <x:v>Biogas as fuel</x:v>
      </x:c>
      <x:c r="F64" s="2" t="str">
        <x:v>Bauxite / aluminium</x:v>
      </x:c>
      <x:c r="G64" s="2" t="str">
        <x:v>Strategic metal</x:v>
      </x:c>
      <x:c r="H64" s="2" t="str">
        <x:v>Bauxite / aluminium is linked to Biogas as fuel because it is typically used in lightweight structures, frames, conductors or vehicle components; the assignment follows component function, not a sector-wide keyword.</x:v>
      </x:c>
      <x:c r="I64" s="2" t="str">
        <x:v>Presence and quantity in Biogas as fuel depend on the selected design, chemistry, capacity, supplier and recycled content. This analytical link is not a verified bill of materials or supplier traceability statement.</x:v>
      </x:c>
      <x:c r="J64" s="2" t="str">
        <x:v>https://pubs.usgs.gov/periodicals/mcs2026/mcs2026.pdf</x:v>
      </x:c>
    </x:row>
    <x:row r="65" ht="66" customHeight="1">
      <x:c r="A65" s="2" t="str">
        <x:v>MIT-0028</x:v>
      </x:c>
      <x:c r="B65" s="2" t="str">
        <x:v>Mitigation</x:v>
      </x:c>
      <x:c r="C65" s="2" t="str">
        <x:v>Transport</x:v>
      </x:c>
      <x:c r="D65" s="2" t="str">
        <x:v>Vehicle and fuel technologies</x:v>
      </x:c>
      <x:c r="E65" s="2" t="str">
        <x:v>Advanced biofuels</x:v>
      </x:c>
      <x:c r="F65" s="2" t="str">
        <x:v>Iron ore / steel inputs</x:v>
      </x:c>
      <x:c r="G65" s="2" t="str">
        <x:v>Bulk and strategic mineral input</x:v>
      </x:c>
      <x:c r="H65" s="2" t="str">
        <x:v>Iron ore / steel inputs is linked to Advanced biofuels because it is typically used in load-bearing structures, pressure vessels, piping or machinery; the assignment follows component function, not a sector-wide keyword.</x:v>
      </x:c>
      <x:c r="I65" s="2" t="str">
        <x:v>Presence and quantity in Advanced biofuels depend on the selected design, chemistry, capacity, supplier and recycled content. This analytical link is not a verified bill of materials or supplier traceability statement.</x:v>
      </x:c>
      <x:c r="J65" s="2" t="str">
        <x:v>https://pubs.usgs.gov/periodicals/mcs2026/mcs2026.pdf</x:v>
      </x:c>
    </x:row>
    <x:row r="66" ht="66" customHeight="1">
      <x:c r="A66" s="2" t="str">
        <x:v>MIT-0028</x:v>
      </x:c>
      <x:c r="B66" s="2" t="str">
        <x:v>Mitigation</x:v>
      </x:c>
      <x:c r="C66" s="2" t="str">
        <x:v>Transport</x:v>
      </x:c>
      <x:c r="D66" s="2" t="str">
        <x:v>Vehicle and fuel technologies</x:v>
      </x:c>
      <x:c r="E66" s="2" t="str">
        <x:v>Advanced biofuels</x:v>
      </x:c>
      <x:c r="F66" s="2" t="str">
        <x:v>Copper</x:v>
      </x:c>
      <x:c r="G66" s="2" t="str">
        <x:v>Critical or strategic metal</x:v>
      </x:c>
      <x:c r="H66" s="2" t="str">
        <x:v>Copper is linked to Advanced biofuels because it is typically used in power cables, windings, busbars, grounding and electrical connectors; the assignment follows component function, not a sector-wide keyword.</x:v>
      </x:c>
      <x:c r="I66" s="2" t="str">
        <x:v>Presence and quantity in Advanced biofuels depend on the selected design, chemistry, capacity, supplier and recycled content. This analytical link is not a verified bill of materials or supplier traceability statement.</x:v>
      </x:c>
      <x:c r="J66" s="2" t="str">
        <x:v>https://pubs.usgs.gov/periodicals/mcs2026/mcs2026.pdf</x:v>
      </x:c>
    </x:row>
    <x:row r="67" ht="66" customHeight="1">
      <x:c r="A67" s="2" t="str">
        <x:v>MIT-0028</x:v>
      </x:c>
      <x:c r="B67" s="2" t="str">
        <x:v>Mitigation</x:v>
      </x:c>
      <x:c r="C67" s="2" t="str">
        <x:v>Transport</x:v>
      </x:c>
      <x:c r="D67" s="2" t="str">
        <x:v>Vehicle and fuel technologies</x:v>
      </x:c>
      <x:c r="E67" s="2" t="str">
        <x:v>Advanced biofuels</x:v>
      </x:c>
      <x:c r="F67" s="2" t="str">
        <x:v>Tin</x:v>
      </x:c>
      <x:c r="G67" s="2" t="str">
        <x:v>Electronics strategic metal</x:v>
      </x:c>
      <x:c r="H67" s="2" t="str">
        <x:v>Tin is linked to Advanced biofuels because it is typically used in electronic solder and selected coatings; the assignment follows component function, not a sector-wide keyword.</x:v>
      </x:c>
      <x:c r="I67" s="2" t="str">
        <x:v>Presence and quantity in Advanced biofuels depend on the selected design, chemistry, capacity, supplier and recycled content. This analytical link is not a verified bill of materials or supplier traceability statement.</x:v>
      </x:c>
      <x:c r="J67" s="2" t="str">
        <x:v>https://pubs.usgs.gov/periodicals/mcs2026/mcs2026.pdf</x:v>
      </x:c>
    </x:row>
    <x:row r="68" ht="66" customHeight="1">
      <x:c r="A68" s="2" t="str">
        <x:v>MIT-0028</x:v>
      </x:c>
      <x:c r="B68" s="2" t="str">
        <x:v>Mitigation</x:v>
      </x:c>
      <x:c r="C68" s="2" t="str">
        <x:v>Transport</x:v>
      </x:c>
      <x:c r="D68" s="2" t="str">
        <x:v>Vehicle and fuel technologies</x:v>
      </x:c>
      <x:c r="E68" s="2" t="str">
        <x:v>Advanced biofuels</x:v>
      </x:c>
      <x:c r="F68" s="2" t="str">
        <x:v>Rare earth elements</x:v>
      </x:c>
      <x:c r="G68" s="2" t="str">
        <x:v>Magnet critical minerals</x:v>
      </x:c>
      <x:c r="H68" s="2" t="str">
        <x:v>Rare earth elements is linked to Advanced biofuels because it is typically used in permanent magnets in selected motors or generators; the assignment follows component function, not a sector-wide keyword.</x:v>
      </x:c>
      <x:c r="I68" s="2" t="str">
        <x:v>Presence and quantity in Advanced biofuels depend on the selected design, chemistry, capacity, supplier and recycled content. This analytical link is not a verified bill of materials or supplier traceability statement.</x:v>
      </x:c>
      <x:c r="J68" s="2" t="str">
        <x:v>https://www.iea.org/reports/global-critical-minerals-outlook-2025</x:v>
      </x:c>
    </x:row>
    <x:row r="69" ht="66" customHeight="1">
      <x:c r="A69" s="2" t="str">
        <x:v>MIT-0028</x:v>
      </x:c>
      <x:c r="B69" s="2" t="str">
        <x:v>Mitigation</x:v>
      </x:c>
      <x:c r="C69" s="2" t="str">
        <x:v>Transport</x:v>
      </x:c>
      <x:c r="D69" s="2" t="str">
        <x:v>Vehicle and fuel technologies</x:v>
      </x:c>
      <x:c r="E69" s="2" t="str">
        <x:v>Advanced biofuels</x:v>
      </x:c>
      <x:c r="F69" s="2" t="str">
        <x:v>Bauxite / aluminium</x:v>
      </x:c>
      <x:c r="G69" s="2" t="str">
        <x:v>Strategic metal</x:v>
      </x:c>
      <x:c r="H69" s="2" t="str">
        <x:v>Bauxite / aluminium is linked to Advanced biofuels because it is typically used in lightweight structures, frames, conductors or vehicle components; the assignment follows component function, not a sector-wide keyword.</x:v>
      </x:c>
      <x:c r="I69" s="2" t="str">
        <x:v>Presence and quantity in Advanced biofuels depend on the selected design, chemistry, capacity, supplier and recycled content. This analytical link is not a verified bill of materials or supplier traceability statement.</x:v>
      </x:c>
      <x:c r="J69" s="2" t="str">
        <x:v>https://pubs.usgs.gov/periodicals/mcs2026/mcs2026.pdf</x:v>
      </x:c>
    </x:row>
    <x:row r="70" ht="66" customHeight="1">
      <x:c r="A70" s="2" t="str">
        <x:v>MIT-0029</x:v>
      </x:c>
      <x:c r="B70" s="2" t="str">
        <x:v>Mitigation</x:v>
      </x:c>
      <x:c r="C70" s="2" t="str">
        <x:v>Transport</x:v>
      </x:c>
      <x:c r="D70" s="2" t="str">
        <x:v>Vehicle and fuel technologies</x:v>
      </x:c>
      <x:c r="E70" s="2" t="str">
        <x:v>Energy-efficient motors</x:v>
      </x:c>
      <x:c r="F70" s="2" t="str">
        <x:v>Iron ore / steel inputs</x:v>
      </x:c>
      <x:c r="G70" s="2" t="str">
        <x:v>Bulk and strategic mineral input</x:v>
      </x:c>
      <x:c r="H70" s="2" t="str">
        <x:v>Iron ore / steel inputs is linked to Energy-efficient motors because it is typically used in load-bearing structures, pressure vessels, piping or machinery; the assignment follows component function, not a sector-wide keyword.</x:v>
      </x:c>
      <x:c r="I70" s="2" t="str">
        <x:v>Presence and quantity in Energy-efficient motors depend on the selected design, chemistry, capacity, supplier and recycled content. This analytical link is not a verified bill of materials or supplier traceability statement.</x:v>
      </x:c>
      <x:c r="J70" s="2" t="str">
        <x:v>https://pubs.usgs.gov/periodicals/mcs2026/mcs2026.pdf</x:v>
      </x:c>
    </x:row>
    <x:row r="71" ht="66" customHeight="1">
      <x:c r="A71" s="2" t="str">
        <x:v>MIT-0029</x:v>
      </x:c>
      <x:c r="B71" s="2" t="str">
        <x:v>Mitigation</x:v>
      </x:c>
      <x:c r="C71" s="2" t="str">
        <x:v>Transport</x:v>
      </x:c>
      <x:c r="D71" s="2" t="str">
        <x:v>Vehicle and fuel technologies</x:v>
      </x:c>
      <x:c r="E71" s="2" t="str">
        <x:v>Energy-efficient motors</x:v>
      </x:c>
      <x:c r="F71" s="2" t="str">
        <x:v>Copper</x:v>
      </x:c>
      <x:c r="G71" s="2" t="str">
        <x:v>Critical or strategic metal</x:v>
      </x:c>
      <x:c r="H71" s="2" t="str">
        <x:v>Copper is linked to Energy-efficient motors because it is typically used in power cables, windings, busbars, grounding and electrical connectors; the assignment follows component function, not a sector-wide keyword.</x:v>
      </x:c>
      <x:c r="I71" s="2" t="str">
        <x:v>Presence and quantity in Energy-efficient motors depend on the selected design, chemistry, capacity, supplier and recycled content. This analytical link is not a verified bill of materials or supplier traceability statement.</x:v>
      </x:c>
      <x:c r="J71" s="2" t="str">
        <x:v>https://pubs.usgs.gov/periodicals/mcs2026/mcs2026.pdf</x:v>
      </x:c>
    </x:row>
    <x:row r="72" ht="66" customHeight="1">
      <x:c r="A72" s="2" t="str">
        <x:v>MIT-0029</x:v>
      </x:c>
      <x:c r="B72" s="2" t="str">
        <x:v>Mitigation</x:v>
      </x:c>
      <x:c r="C72" s="2" t="str">
        <x:v>Transport</x:v>
      </x:c>
      <x:c r="D72" s="2" t="str">
        <x:v>Vehicle and fuel technologies</x:v>
      </x:c>
      <x:c r="E72" s="2" t="str">
        <x:v>Energy-efficient motors</x:v>
      </x:c>
      <x:c r="F72" s="2" t="str">
        <x:v>Tin</x:v>
      </x:c>
      <x:c r="G72" s="2" t="str">
        <x:v>Electronics strategic metal</x:v>
      </x:c>
      <x:c r="H72" s="2" t="str">
        <x:v>Tin is linked to Energy-efficient motors because it is typically used in electronic solder and selected coatings; the assignment follows component function, not a sector-wide keyword.</x:v>
      </x:c>
      <x:c r="I72" s="2" t="str">
        <x:v>Presence and quantity in Energy-efficient motors depend on the selected design, chemistry, capacity, supplier and recycled content. This analytical link is not a verified bill of materials or supplier traceability statement.</x:v>
      </x:c>
      <x:c r="J72" s="2" t="str">
        <x:v>https://pubs.usgs.gov/periodicals/mcs2026/mcs2026.pdf</x:v>
      </x:c>
    </x:row>
    <x:row r="73" ht="66" customHeight="1">
      <x:c r="A73" s="2" t="str">
        <x:v>MIT-0029</x:v>
      </x:c>
      <x:c r="B73" s="2" t="str">
        <x:v>Mitigation</x:v>
      </x:c>
      <x:c r="C73" s="2" t="str">
        <x:v>Transport</x:v>
      </x:c>
      <x:c r="D73" s="2" t="str">
        <x:v>Vehicle and fuel technologies</x:v>
      </x:c>
      <x:c r="E73" s="2" t="str">
        <x:v>Energy-efficient motors</x:v>
      </x:c>
      <x:c r="F73" s="2" t="str">
        <x:v>Rare earth elements</x:v>
      </x:c>
      <x:c r="G73" s="2" t="str">
        <x:v>Magnet critical minerals</x:v>
      </x:c>
      <x:c r="H73" s="2" t="str">
        <x:v>Rare earth elements is linked to Energy-efficient motors because it is typically used in permanent magnets in selected motors or generators; the assignment follows component function, not a sector-wide keyword.</x:v>
      </x:c>
      <x:c r="I73" s="2" t="str">
        <x:v>Presence and quantity in Energy-efficient motors depend on the selected design, chemistry, capacity, supplier and recycled content. This analytical link is not a verified bill of materials or supplier traceability statement.</x:v>
      </x:c>
      <x:c r="J73" s="2" t="str">
        <x:v>https://www.iea.org/reports/global-critical-minerals-outlook-2025</x:v>
      </x:c>
    </x:row>
    <x:row r="74" ht="66" customHeight="1">
      <x:c r="A74" s="2" t="str">
        <x:v>MIT-0029</x:v>
      </x:c>
      <x:c r="B74" s="2" t="str">
        <x:v>Mitigation</x:v>
      </x:c>
      <x:c r="C74" s="2" t="str">
        <x:v>Transport</x:v>
      </x:c>
      <x:c r="D74" s="2" t="str">
        <x:v>Vehicle and fuel technologies</x:v>
      </x:c>
      <x:c r="E74" s="2" t="str">
        <x:v>Energy-efficient motors</x:v>
      </x:c>
      <x:c r="F74" s="2" t="str">
        <x:v>Bauxite / aluminium</x:v>
      </x:c>
      <x:c r="G74" s="2" t="str">
        <x:v>Strategic metal</x:v>
      </x:c>
      <x:c r="H74" s="2" t="str">
        <x:v>Bauxite / aluminium is linked to Energy-efficient motors because it is typically used in lightweight structures, frames, conductors or vehicle components; the assignment follows component function, not a sector-wide keyword.</x:v>
      </x:c>
      <x:c r="I74" s="2" t="str">
        <x:v>Presence and quantity in Energy-efficient motors depend on the selected design, chemistry, capacity, supplier and recycled content. This analytical link is not a verified bill of materials or supplier traceability statement.</x:v>
      </x:c>
      <x:c r="J74" s="2" t="str">
        <x:v>https://pubs.usgs.gov/periodicals/mcs2026/mcs2026.pdf</x:v>
      </x:c>
    </x:row>
    <x:row r="75" ht="66" customHeight="1">
      <x:c r="A75" s="2" t="str">
        <x:v>MIT-0030</x:v>
      </x:c>
      <x:c r="B75" s="2" t="str">
        <x:v>Mitigation</x:v>
      </x:c>
      <x:c r="C75" s="2" t="str">
        <x:v>Transport</x:v>
      </x:c>
      <x:c r="D75" s="2" t="str">
        <x:v>Vehicle and fuel technologies</x:v>
      </x:c>
      <x:c r="E75" s="2" t="str">
        <x:v>Liquefied Natural Gas in trucks and cars</x:v>
      </x:c>
      <x:c r="F75" s="2" t="str">
        <x:v>Iron ore / steel inputs</x:v>
      </x:c>
      <x:c r="G75" s="2" t="str">
        <x:v>Bulk and strategic mineral input</x:v>
      </x:c>
      <x:c r="H75" s="2" t="str">
        <x:v>Iron ore / steel inputs is linked to Liquefied Natural Gas in trucks and cars because it is typically used in load-bearing structures, pressure vessels, piping or machinery; the assignment follows component function, not a sector-wide keyword.</x:v>
      </x:c>
      <x:c r="I75" s="2" t="str">
        <x:v>Presence and quantity in Liquefied Natural Gas in trucks and cars depend on the selected design, chemistry, capacity, supplier and recycled content. This analytical link is not a verified bill of materials or supplier traceability statement.</x:v>
      </x:c>
      <x:c r="J75" s="2" t="str">
        <x:v>https://pubs.usgs.gov/periodicals/mcs2026/mcs2026.pdf</x:v>
      </x:c>
    </x:row>
    <x:row r="76" ht="66" customHeight="1">
      <x:c r="A76" s="2" t="str">
        <x:v>MIT-0030</x:v>
      </x:c>
      <x:c r="B76" s="2" t="str">
        <x:v>Mitigation</x:v>
      </x:c>
      <x:c r="C76" s="2" t="str">
        <x:v>Transport</x:v>
      </x:c>
      <x:c r="D76" s="2" t="str">
        <x:v>Vehicle and fuel technologies</x:v>
      </x:c>
      <x:c r="E76" s="2" t="str">
        <x:v>Liquefied Natural Gas in trucks and cars</x:v>
      </x:c>
      <x:c r="F76" s="2" t="str">
        <x:v>Copper</x:v>
      </x:c>
      <x:c r="G76" s="2" t="str">
        <x:v>Critical or strategic metal</x:v>
      </x:c>
      <x:c r="H76" s="2" t="str">
        <x:v>Copper is linked to Liquefied Natural Gas in trucks and cars because it is typically used in power cables, windings, busbars, grounding and electrical connectors; the assignment follows component function, not a sector-wide keyword.</x:v>
      </x:c>
      <x:c r="I76" s="2" t="str">
        <x:v>Presence and quantity in Liquefied Natural Gas in trucks and cars depend on the selected design, chemistry, capacity, supplier and recycled content. This analytical link is not a verified bill of materials or supplier traceability statement.</x:v>
      </x:c>
      <x:c r="J76" s="2" t="str">
        <x:v>https://pubs.usgs.gov/periodicals/mcs2026/mcs2026.pdf</x:v>
      </x:c>
    </x:row>
    <x:row r="77" ht="66" customHeight="1">
      <x:c r="A77" s="2" t="str">
        <x:v>MIT-0030</x:v>
      </x:c>
      <x:c r="B77" s="2" t="str">
        <x:v>Mitigation</x:v>
      </x:c>
      <x:c r="C77" s="2" t="str">
        <x:v>Transport</x:v>
      </x:c>
      <x:c r="D77" s="2" t="str">
        <x:v>Vehicle and fuel technologies</x:v>
      </x:c>
      <x:c r="E77" s="2" t="str">
        <x:v>Liquefied Natural Gas in trucks and cars</x:v>
      </x:c>
      <x:c r="F77" s="2" t="str">
        <x:v>Tin</x:v>
      </x:c>
      <x:c r="G77" s="2" t="str">
        <x:v>Electronics strategic metal</x:v>
      </x:c>
      <x:c r="H77" s="2" t="str">
        <x:v>Tin is linked to Liquefied Natural Gas in trucks and cars because it is typically used in electronic solder and selected coatings; the assignment follows component function, not a sector-wide keyword.</x:v>
      </x:c>
      <x:c r="I77" s="2" t="str">
        <x:v>Presence and quantity in Liquefied Natural Gas in trucks and cars depend on the selected design, chemistry, capacity, supplier and recycled content. This analytical link is not a verified bill of materials or supplier traceability statement.</x:v>
      </x:c>
      <x:c r="J77" s="2" t="str">
        <x:v>https://pubs.usgs.gov/periodicals/mcs2026/mcs2026.pdf</x:v>
      </x:c>
    </x:row>
    <x:row r="78" ht="66" customHeight="1">
      <x:c r="A78" s="2" t="str">
        <x:v>MIT-0030</x:v>
      </x:c>
      <x:c r="B78" s="2" t="str">
        <x:v>Mitigation</x:v>
      </x:c>
      <x:c r="C78" s="2" t="str">
        <x:v>Transport</x:v>
      </x:c>
      <x:c r="D78" s="2" t="str">
        <x:v>Vehicle and fuel technologies</x:v>
      </x:c>
      <x:c r="E78" s="2" t="str">
        <x:v>Liquefied Natural Gas in trucks and cars</x:v>
      </x:c>
      <x:c r="F78" s="2" t="str">
        <x:v>Rare earth elements</x:v>
      </x:c>
      <x:c r="G78" s="2" t="str">
        <x:v>Magnet critical minerals</x:v>
      </x:c>
      <x:c r="H78" s="2" t="str">
        <x:v>Rare earth elements is linked to Liquefied Natural Gas in trucks and cars because it is typically used in permanent magnets in selected motors or generators; the assignment follows component function, not a sector-wide keyword.</x:v>
      </x:c>
      <x:c r="I78" s="2" t="str">
        <x:v>Presence and quantity in Liquefied Natural Gas in trucks and cars depend on the selected design, chemistry, capacity, supplier and recycled content. This analytical link is not a verified bill of materials or supplier traceability statement.</x:v>
      </x:c>
      <x:c r="J78" s="2" t="str">
        <x:v>https://www.iea.org/reports/global-critical-minerals-outlook-2025</x:v>
      </x:c>
    </x:row>
    <x:row r="79" ht="66" customHeight="1">
      <x:c r="A79" s="2" t="str">
        <x:v>MIT-0030</x:v>
      </x:c>
      <x:c r="B79" s="2" t="str">
        <x:v>Mitigation</x:v>
      </x:c>
      <x:c r="C79" s="2" t="str">
        <x:v>Transport</x:v>
      </x:c>
      <x:c r="D79" s="2" t="str">
        <x:v>Vehicle and fuel technologies</x:v>
      </x:c>
      <x:c r="E79" s="2" t="str">
        <x:v>Liquefied Natural Gas in trucks and cars</x:v>
      </x:c>
      <x:c r="F79" s="2" t="str">
        <x:v>Bauxite / aluminium</x:v>
      </x:c>
      <x:c r="G79" s="2" t="str">
        <x:v>Strategic metal</x:v>
      </x:c>
      <x:c r="H79" s="2" t="str">
        <x:v>Bauxite / aluminium is linked to Liquefied Natural Gas in trucks and cars because it is typically used in lightweight structures, frames, conductors or vehicle components; the assignment follows component function, not a sector-wide keyword.</x:v>
      </x:c>
      <x:c r="I79" s="2" t="str">
        <x:v>Presence and quantity in Liquefied Natural Gas in trucks and cars depend on the selected design, chemistry, capacity, supplier and recycled content. This analytical link is not a verified bill of materials or supplier traceability statement.</x:v>
      </x:c>
      <x:c r="J79" s="2" t="str">
        <x:v>https://pubs.usgs.gov/periodicals/mcs2026/mcs2026.pdf</x:v>
      </x:c>
    </x:row>
    <x:row r="80" ht="66" customHeight="1">
      <x:c r="A80" s="2" t="str">
        <x:v>MIT-0031</x:v>
      </x:c>
      <x:c r="B80" s="2" t="str">
        <x:v>Mitigation</x:v>
      </x:c>
      <x:c r="C80" s="2" t="str">
        <x:v>Transport</x:v>
      </x:c>
      <x:c r="D80" s="2" t="str">
        <x:v>Vehicle and fuel technologies</x:v>
      </x:c>
      <x:c r="E80" s="2" t="str">
        <x:v>Electric vehicles</x:v>
      </x:c>
      <x:c r="F80" s="2" t="str">
        <x:v>Iron ore / steel inputs</x:v>
      </x:c>
      <x:c r="G80" s="2" t="str">
        <x:v>Bulk and strategic mineral input</x:v>
      </x:c>
      <x:c r="H80" s="2" t="str">
        <x:v>Iron ore / steel inputs is linked to Electric vehicles because it is typically used in load-bearing structures, pressure vessels, piping or machinery; the assignment follows component function, not a sector-wide keyword.</x:v>
      </x:c>
      <x:c r="I80" s="2" t="str">
        <x:v>Presence and quantity in Electric vehicles depend on the selected design, chemistry, capacity, supplier and recycled content. This analytical link is not a verified bill of materials or supplier traceability statement.</x:v>
      </x:c>
      <x:c r="J80" s="2" t="str">
        <x:v>https://pubs.usgs.gov/periodicals/mcs2026/mcs2026.pdf</x:v>
      </x:c>
    </x:row>
    <x:row r="81" ht="66" customHeight="1">
      <x:c r="A81" s="2" t="str">
        <x:v>MIT-0031</x:v>
      </x:c>
      <x:c r="B81" s="2" t="str">
        <x:v>Mitigation</x:v>
      </x:c>
      <x:c r="C81" s="2" t="str">
        <x:v>Transport</x:v>
      </x:c>
      <x:c r="D81" s="2" t="str">
        <x:v>Vehicle and fuel technologies</x:v>
      </x:c>
      <x:c r="E81" s="2" t="str">
        <x:v>Electric vehicles</x:v>
      </x:c>
      <x:c r="F81" s="2" t="str">
        <x:v>Copper</x:v>
      </x:c>
      <x:c r="G81" s="2" t="str">
        <x:v>Critical or strategic metal</x:v>
      </x:c>
      <x:c r="H81" s="2" t="str">
        <x:v>Copper is linked to Electric vehicles because it is typically used in power cables, windings, busbars, grounding and electrical connectors; the assignment follows component function, not a sector-wide keyword.</x:v>
      </x:c>
      <x:c r="I81" s="2" t="str">
        <x:v>Presence and quantity in Electric vehicles depend on the selected design, chemistry, capacity, supplier and recycled content. This analytical link is not a verified bill of materials or supplier traceability statement.</x:v>
      </x:c>
      <x:c r="J81" s="2" t="str">
        <x:v>https://pubs.usgs.gov/periodicals/mcs2026/mcs2026.pdf</x:v>
      </x:c>
    </x:row>
    <x:row r="82" ht="66" customHeight="1">
      <x:c r="A82" s="2" t="str">
        <x:v>MIT-0031</x:v>
      </x:c>
      <x:c r="B82" s="2" t="str">
        <x:v>Mitigation</x:v>
      </x:c>
      <x:c r="C82" s="2" t="str">
        <x:v>Transport</x:v>
      </x:c>
      <x:c r="D82" s="2" t="str">
        <x:v>Vehicle and fuel technologies</x:v>
      </x:c>
      <x:c r="E82" s="2" t="str">
        <x:v>Electric vehicles</x:v>
      </x:c>
      <x:c r="F82" s="2" t="str">
        <x:v>Tin</x:v>
      </x:c>
      <x:c r="G82" s="2" t="str">
        <x:v>Electronics strategic metal</x:v>
      </x:c>
      <x:c r="H82" s="2" t="str">
        <x:v>Tin is linked to Electric vehicles because it is typically used in electronic solder and selected coatings; the assignment follows component function, not a sector-wide keyword.</x:v>
      </x:c>
      <x:c r="I82" s="2" t="str">
        <x:v>Presence and quantity in Electric vehicles depend on the selected design, chemistry, capacity, supplier and recycled content. This analytical link is not a verified bill of materials or supplier traceability statement.</x:v>
      </x:c>
      <x:c r="J82" s="2" t="str">
        <x:v>https://pubs.usgs.gov/periodicals/mcs2026/mcs2026.pdf</x:v>
      </x:c>
    </x:row>
    <x:row r="83" ht="66" customHeight="1">
      <x:c r="A83" s="2" t="str">
        <x:v>MIT-0031</x:v>
      </x:c>
      <x:c r="B83" s="2" t="str">
        <x:v>Mitigation</x:v>
      </x:c>
      <x:c r="C83" s="2" t="str">
        <x:v>Transport</x:v>
      </x:c>
      <x:c r="D83" s="2" t="str">
        <x:v>Vehicle and fuel technologies</x:v>
      </x:c>
      <x:c r="E83" s="2" t="str">
        <x:v>Electric vehicles</x:v>
      </x:c>
      <x:c r="F83" s="2" t="str">
        <x:v>Lithium</x:v>
      </x:c>
      <x:c r="G83" s="2" t="str">
        <x:v>Battery critical mineral</x:v>
      </x:c>
      <x:c r="H83" s="2" t="str">
        <x:v>Lithium is linked to Electric vehicles because it is typically used in lithium-based rechargeable battery cathodes or electrolytes; the assignment follows component function, not a sector-wide keyword.</x:v>
      </x:c>
      <x:c r="I83" s="2" t="str">
        <x:v>Presence and quantity in Electric vehicles depend on the selected design, chemistry, capacity, supplier and recycled content. This analytical link is not a verified bill of materials or supplier traceability statement.</x:v>
      </x:c>
      <x:c r="J83" s="2" t="str">
        <x:v>https://www.iea.org/reports/global-critical-minerals-outlook-2025</x:v>
      </x:c>
    </x:row>
    <x:row r="84" ht="66" customHeight="1">
      <x:c r="A84" s="2" t="str">
        <x:v>MIT-0031</x:v>
      </x:c>
      <x:c r="B84" s="2" t="str">
        <x:v>Mitigation</x:v>
      </x:c>
      <x:c r="C84" s="2" t="str">
        <x:v>Transport</x:v>
      </x:c>
      <x:c r="D84" s="2" t="str">
        <x:v>Vehicle and fuel technologies</x:v>
      </x:c>
      <x:c r="E84" s="2" t="str">
        <x:v>Electric vehicles</x:v>
      </x:c>
      <x:c r="F84" s="2" t="str">
        <x:v>Nickel</x:v>
      </x:c>
      <x:c r="G84" s="2" t="str">
        <x:v>Battery and alloy critical mineral</x:v>
      </x:c>
      <x:c r="H84" s="2" t="str">
        <x:v>Nickel is linked to Electric vehicles because it is typically used in battery cathodes, high-temperature alloys or corrosion-resistant steels; the assignment follows component function, not a sector-wide keyword.</x:v>
      </x:c>
      <x:c r="I84" s="2" t="str">
        <x:v>Presence and quantity in Electric vehicles depend on the selected design, chemistry, capacity, supplier and recycled content. This analytical link is not a verified bill of materials or supplier traceability statement.</x:v>
      </x:c>
      <x:c r="J84" s="2" t="str">
        <x:v>https://www.iea.org/reports/global-critical-minerals-outlook-2025</x:v>
      </x:c>
    </x:row>
    <x:row r="85" ht="66" customHeight="1">
      <x:c r="A85" s="2" t="str">
        <x:v>MIT-0031</x:v>
      </x:c>
      <x:c r="B85" s="2" t="str">
        <x:v>Mitigation</x:v>
      </x:c>
      <x:c r="C85" s="2" t="str">
        <x:v>Transport</x:v>
      </x:c>
      <x:c r="D85" s="2" t="str">
        <x:v>Vehicle and fuel technologies</x:v>
      </x:c>
      <x:c r="E85" s="2" t="str">
        <x:v>Electric vehicles</x:v>
      </x:c>
      <x:c r="F85" s="2" t="str">
        <x:v>Cobalt</x:v>
      </x:c>
      <x:c r="G85" s="2" t="str">
        <x:v>Battery and catalyst critical mineral</x:v>
      </x:c>
      <x:c r="H85" s="2" t="str">
        <x:v>Cobalt is linked to Electric vehicles because it is typically used in selected battery cathodes or high-performance catalysts; the assignment follows component function, not a sector-wide keyword.</x:v>
      </x:c>
      <x:c r="I85" s="2" t="str">
        <x:v>Presence and quantity in Electric vehicles depend on the selected design, chemistry, capacity, supplier and recycled content. This analytical link is not a verified bill of materials or supplier traceability statement.</x:v>
      </x:c>
      <x:c r="J85" s="2" t="str">
        <x:v>https://www.iea.org/reports/global-critical-minerals-outlook-2025</x:v>
      </x:c>
    </x:row>
    <x:row r="86" ht="66" customHeight="1">
      <x:c r="A86" s="2" t="str">
        <x:v>MIT-0031</x:v>
      </x:c>
      <x:c r="B86" s="2" t="str">
        <x:v>Mitigation</x:v>
      </x:c>
      <x:c r="C86" s="2" t="str">
        <x:v>Transport</x:v>
      </x:c>
      <x:c r="D86" s="2" t="str">
        <x:v>Vehicle and fuel technologies</x:v>
      </x:c>
      <x:c r="E86" s="2" t="str">
        <x:v>Electric vehicles</x:v>
      </x:c>
      <x:c r="F86" s="2" t="str">
        <x:v>Natural graphite</x:v>
      </x:c>
      <x:c r="G86" s="2" t="str">
        <x:v>Battery critical mineral</x:v>
      </x:c>
      <x:c r="H86" s="2" t="str">
        <x:v>Natural graphite is linked to Electric vehicles because it is typically used in battery anodes; the assignment follows component function, not a sector-wide keyword.</x:v>
      </x:c>
      <x:c r="I86" s="2" t="str">
        <x:v>Presence and quantity in Electric vehicles depend on the selected design, chemistry, capacity, supplier and recycled content. This analytical link is not a verified bill of materials or supplier traceability statement.</x:v>
      </x:c>
      <x:c r="J86" s="2" t="str">
        <x:v>https://www.iea.org/reports/global-critical-minerals-outlook-2025</x:v>
      </x:c>
    </x:row>
    <x:row r="87" ht="66" customHeight="1">
      <x:c r="A87" s="2" t="str">
        <x:v>MIT-0031</x:v>
      </x:c>
      <x:c r="B87" s="2" t="str">
        <x:v>Mitigation</x:v>
      </x:c>
      <x:c r="C87" s="2" t="str">
        <x:v>Transport</x:v>
      </x:c>
      <x:c r="D87" s="2" t="str">
        <x:v>Vehicle and fuel technologies</x:v>
      </x:c>
      <x:c r="E87" s="2" t="str">
        <x:v>Electric vehicles</x:v>
      </x:c>
      <x:c r="F87" s="2" t="str">
        <x:v>Manganese</x:v>
      </x:c>
      <x:c r="G87" s="2" t="str">
        <x:v>Battery and alloy strategic mineral</x:v>
      </x:c>
      <x:c r="H87" s="2" t="str">
        <x:v>Manganese is linked to Electric vehicles because it is typically used in battery cathodes or alloy steels; the assignment follows component function, not a sector-wide keyword.</x:v>
      </x:c>
      <x:c r="I87" s="2" t="str">
        <x:v>Presence and quantity in Electric vehicles depend on the selected design, chemistry, capacity, supplier and recycled content. This analytical link is not a verified bill of materials or supplier traceability statement.</x:v>
      </x:c>
      <x:c r="J87" s="2" t="str">
        <x:v>https://pubs.usgs.gov/periodicals/mcs2026/mcs2026.pdf</x:v>
      </x:c>
    </x:row>
    <x:row r="88" ht="66" customHeight="1">
      <x:c r="A88" s="2" t="str">
        <x:v>MIT-0031</x:v>
      </x:c>
      <x:c r="B88" s="2" t="str">
        <x:v>Mitigation</x:v>
      </x:c>
      <x:c r="C88" s="2" t="str">
        <x:v>Transport</x:v>
      </x:c>
      <x:c r="D88" s="2" t="str">
        <x:v>Vehicle and fuel technologies</x:v>
      </x:c>
      <x:c r="E88" s="2" t="str">
        <x:v>Electric vehicles</x:v>
      </x:c>
      <x:c r="F88" s="2" t="str">
        <x:v>Rare earth elements</x:v>
      </x:c>
      <x:c r="G88" s="2" t="str">
        <x:v>Magnet critical minerals</x:v>
      </x:c>
      <x:c r="H88" s="2" t="str">
        <x:v>Rare earth elements is linked to Electric vehicles because it is typically used in permanent magnets in selected motors or generators; the assignment follows component function, not a sector-wide keyword.</x:v>
      </x:c>
      <x:c r="I88" s="2" t="str">
        <x:v>Presence and quantity in Electric vehicles depend on the selected design, chemistry, capacity, supplier and recycled content. This analytical link is not a verified bill of materials or supplier traceability statement.</x:v>
      </x:c>
      <x:c r="J88" s="2" t="str">
        <x:v>https://www.iea.org/reports/global-critical-minerals-outlook-2025</x:v>
      </x:c>
    </x:row>
    <x:row r="89" ht="66" customHeight="1">
      <x:c r="A89" s="2" t="str">
        <x:v>MIT-0031</x:v>
      </x:c>
      <x:c r="B89" s="2" t="str">
        <x:v>Mitigation</x:v>
      </x:c>
      <x:c r="C89" s="2" t="str">
        <x:v>Transport</x:v>
      </x:c>
      <x:c r="D89" s="2" t="str">
        <x:v>Vehicle and fuel technologies</x:v>
      </x:c>
      <x:c r="E89" s="2" t="str">
        <x:v>Electric vehicles</x:v>
      </x:c>
      <x:c r="F89" s="2" t="str">
        <x:v>Bauxite / aluminium</x:v>
      </x:c>
      <x:c r="G89" s="2" t="str">
        <x:v>Strategic metal</x:v>
      </x:c>
      <x:c r="H89" s="2" t="str">
        <x:v>Bauxite / aluminium is linked to Electric vehicles because it is typically used in lightweight structures, frames, conductors or vehicle components; the assignment follows component function, not a sector-wide keyword.</x:v>
      </x:c>
      <x:c r="I89" s="2" t="str">
        <x:v>Presence and quantity in Electric vehicles depend on the selected design, chemistry, capacity, supplier and recycled content. This analytical link is not a verified bill of materials or supplier traceability statement.</x:v>
      </x:c>
      <x:c r="J89" s="2" t="str">
        <x:v>https://pubs.usgs.gov/periodicals/mcs2026/mcs2026.pdf</x:v>
      </x:c>
    </x:row>
    <x:row r="90" ht="66" customHeight="1">
      <x:c r="A90" s="2" t="str">
        <x:v>MIT-0032</x:v>
      </x:c>
      <x:c r="B90" s="2" t="str">
        <x:v>Mitigation</x:v>
      </x:c>
      <x:c r="C90" s="2" t="str">
        <x:v>Transport</x:v>
      </x:c>
      <x:c r="D90" s="2" t="str">
        <x:v>Vehicle and fuel technologies</x:v>
      </x:c>
      <x:c r="E90" s="2" t="str">
        <x:v>Regenerative braking</x:v>
      </x:c>
      <x:c r="F90" s="2" t="str">
        <x:v>Iron ore / steel inputs</x:v>
      </x:c>
      <x:c r="G90" s="2" t="str">
        <x:v>Bulk and strategic mineral input</x:v>
      </x:c>
      <x:c r="H90" s="2" t="str">
        <x:v>Iron ore / steel inputs is linked to Regenerative braking because it is typically used in load-bearing structures, pressure vessels, piping or machinery; the assignment follows component function, not a sector-wide keyword.</x:v>
      </x:c>
      <x:c r="I90" s="2" t="str">
        <x:v>Presence and quantity in Regenerative braking depend on the selected design, chemistry, capacity, supplier and recycled content. This analytical link is not a verified bill of materials or supplier traceability statement.</x:v>
      </x:c>
      <x:c r="J90" s="2" t="str">
        <x:v>https://pubs.usgs.gov/periodicals/mcs2026/mcs2026.pdf</x:v>
      </x:c>
    </x:row>
    <x:row r="91" ht="66" customHeight="1">
      <x:c r="A91" s="2" t="str">
        <x:v>MIT-0032</x:v>
      </x:c>
      <x:c r="B91" s="2" t="str">
        <x:v>Mitigation</x:v>
      </x:c>
      <x:c r="C91" s="2" t="str">
        <x:v>Transport</x:v>
      </x:c>
      <x:c r="D91" s="2" t="str">
        <x:v>Vehicle and fuel technologies</x:v>
      </x:c>
      <x:c r="E91" s="2" t="str">
        <x:v>Regenerative braking</x:v>
      </x:c>
      <x:c r="F91" s="2" t="str">
        <x:v>Copper</x:v>
      </x:c>
      <x:c r="G91" s="2" t="str">
        <x:v>Critical or strategic metal</x:v>
      </x:c>
      <x:c r="H91" s="2" t="str">
        <x:v>Copper is linked to Regenerative braking because it is typically used in power cables, windings, busbars, grounding and electrical connectors; the assignment follows component function, not a sector-wide keyword.</x:v>
      </x:c>
      <x:c r="I91" s="2" t="str">
        <x:v>Presence and quantity in Regenerative braking depend on the selected design, chemistry, capacity, supplier and recycled content. This analytical link is not a verified bill of materials or supplier traceability statement.</x:v>
      </x:c>
      <x:c r="J91" s="2" t="str">
        <x:v>https://pubs.usgs.gov/periodicals/mcs2026/mcs2026.pdf</x:v>
      </x:c>
    </x:row>
    <x:row r="92" ht="66" customHeight="1">
      <x:c r="A92" s="2" t="str">
        <x:v>MIT-0032</x:v>
      </x:c>
      <x:c r="B92" s="2" t="str">
        <x:v>Mitigation</x:v>
      </x:c>
      <x:c r="C92" s="2" t="str">
        <x:v>Transport</x:v>
      </x:c>
      <x:c r="D92" s="2" t="str">
        <x:v>Vehicle and fuel technologies</x:v>
      </x:c>
      <x:c r="E92" s="2" t="str">
        <x:v>Regenerative braking</x:v>
      </x:c>
      <x:c r="F92" s="2" t="str">
        <x:v>Tin</x:v>
      </x:c>
      <x:c r="G92" s="2" t="str">
        <x:v>Electronics strategic metal</x:v>
      </x:c>
      <x:c r="H92" s="2" t="str">
        <x:v>Tin is linked to Regenerative braking because it is typically used in electronic solder and selected coatings; the assignment follows component function, not a sector-wide keyword.</x:v>
      </x:c>
      <x:c r="I92" s="2" t="str">
        <x:v>Presence and quantity in Regenerative braking depend on the selected design, chemistry, capacity, supplier and recycled content. This analytical link is not a verified bill of materials or supplier traceability statement.</x:v>
      </x:c>
      <x:c r="J92" s="2" t="str">
        <x:v>https://pubs.usgs.gov/periodicals/mcs2026/mcs2026.pdf</x:v>
      </x:c>
    </x:row>
    <x:row r="93" ht="66" customHeight="1">
      <x:c r="A93" s="2" t="str">
        <x:v>MIT-0032</x:v>
      </x:c>
      <x:c r="B93" s="2" t="str">
        <x:v>Mitigation</x:v>
      </x:c>
      <x:c r="C93" s="2" t="str">
        <x:v>Transport</x:v>
      </x:c>
      <x:c r="D93" s="2" t="str">
        <x:v>Vehicle and fuel technologies</x:v>
      </x:c>
      <x:c r="E93" s="2" t="str">
        <x:v>Regenerative braking</x:v>
      </x:c>
      <x:c r="F93" s="2" t="str">
        <x:v>Rare earth elements</x:v>
      </x:c>
      <x:c r="G93" s="2" t="str">
        <x:v>Magnet critical minerals</x:v>
      </x:c>
      <x:c r="H93" s="2" t="str">
        <x:v>Rare earth elements is linked to Regenerative braking because it is typically used in permanent magnets in selected motors or generators; the assignment follows component function, not a sector-wide keyword.</x:v>
      </x:c>
      <x:c r="I93" s="2" t="str">
        <x:v>Presence and quantity in Regenerative braking depend on the selected design, chemistry, capacity, supplier and recycled content. This analytical link is not a verified bill of materials or supplier traceability statement.</x:v>
      </x:c>
      <x:c r="J93" s="2" t="str">
        <x:v>https://www.iea.org/reports/global-critical-minerals-outlook-2025</x:v>
      </x:c>
    </x:row>
    <x:row r="94" ht="66" customHeight="1">
      <x:c r="A94" s="2" t="str">
        <x:v>MIT-0032</x:v>
      </x:c>
      <x:c r="B94" s="2" t="str">
        <x:v>Mitigation</x:v>
      </x:c>
      <x:c r="C94" s="2" t="str">
        <x:v>Transport</x:v>
      </x:c>
      <x:c r="D94" s="2" t="str">
        <x:v>Vehicle and fuel technologies</x:v>
      </x:c>
      <x:c r="E94" s="2" t="str">
        <x:v>Regenerative braking</x:v>
      </x:c>
      <x:c r="F94" s="2" t="str">
        <x:v>Bauxite / aluminium</x:v>
      </x:c>
      <x:c r="G94" s="2" t="str">
        <x:v>Strategic metal</x:v>
      </x:c>
      <x:c r="H94" s="2" t="str">
        <x:v>Bauxite / aluminium is linked to Regenerative braking because it is typically used in lightweight structures, frames, conductors or vehicle components; the assignment follows component function, not a sector-wide keyword.</x:v>
      </x:c>
      <x:c r="I94" s="2" t="str">
        <x:v>Presence and quantity in Regenerative braking depend on the selected design, chemistry, capacity, supplier and recycled content. This analytical link is not a verified bill of materials or supplier traceability statement.</x:v>
      </x:c>
      <x:c r="J94" s="2" t="str">
        <x:v>https://pubs.usgs.gov/periodicals/mcs2026/mcs2026.pdf</x:v>
      </x:c>
    </x:row>
    <x:row r="95" ht="66" customHeight="1">
      <x:c r="A95" s="2" t="str">
        <x:v>MIT-0033</x:v>
      </x:c>
      <x:c r="B95" s="2" t="str">
        <x:v>Mitigation</x:v>
      </x:c>
      <x:c r="C95" s="2" t="str">
        <x:v>Transport</x:v>
      </x:c>
      <x:c r="D95" s="2" t="str">
        <x:v>Vehicle and fuel technologies</x:v>
      </x:c>
      <x:c r="E95" s="2" t="str">
        <x:v>Liquefied Petroleum Gas in transport</x:v>
      </x:c>
      <x:c r="F95" s="2" t="str">
        <x:v>Iron ore / steel inputs</x:v>
      </x:c>
      <x:c r="G95" s="2" t="str">
        <x:v>Bulk and strategic mineral input</x:v>
      </x:c>
      <x:c r="H95" s="2" t="str">
        <x:v>Iron ore / steel inputs is linked to Liquefied Petroleum Gas in transport because it is typically used in load-bearing structures, pressure vessels, piping or machinery; the assignment follows component function, not a sector-wide keyword.</x:v>
      </x:c>
      <x:c r="I95" s="2" t="str">
        <x:v>Presence and quantity in Liquefied Petroleum Gas in transport depend on the selected design, chemistry, capacity, supplier and recycled content. This analytical link is not a verified bill of materials or supplier traceability statement.</x:v>
      </x:c>
      <x:c r="J95" s="2" t="str">
        <x:v>https://pubs.usgs.gov/periodicals/mcs2026/mcs2026.pdf</x:v>
      </x:c>
    </x:row>
    <x:row r="96" ht="66" customHeight="1">
      <x:c r="A96" s="2" t="str">
        <x:v>MIT-0033</x:v>
      </x:c>
      <x:c r="B96" s="2" t="str">
        <x:v>Mitigation</x:v>
      </x:c>
      <x:c r="C96" s="2" t="str">
        <x:v>Transport</x:v>
      </x:c>
      <x:c r="D96" s="2" t="str">
        <x:v>Vehicle and fuel technologies</x:v>
      </x:c>
      <x:c r="E96" s="2" t="str">
        <x:v>Liquefied Petroleum Gas in transport</x:v>
      </x:c>
      <x:c r="F96" s="2" t="str">
        <x:v>Copper</x:v>
      </x:c>
      <x:c r="G96" s="2" t="str">
        <x:v>Critical or strategic metal</x:v>
      </x:c>
      <x:c r="H96" s="2" t="str">
        <x:v>Copper is linked to Liquefied Petroleum Gas in transport because it is typically used in power cables, windings, busbars, grounding and electrical connectors; the assignment follows component function, not a sector-wide keyword.</x:v>
      </x:c>
      <x:c r="I96" s="2" t="str">
        <x:v>Presence and quantity in Liquefied Petroleum Gas in transport depend on the selected design, chemistry, capacity, supplier and recycled content. This analytical link is not a verified bill of materials or supplier traceability statement.</x:v>
      </x:c>
      <x:c r="J96" s="2" t="str">
        <x:v>https://pubs.usgs.gov/periodicals/mcs2026/mcs2026.pdf</x:v>
      </x:c>
    </x:row>
    <x:row r="97" ht="66" customHeight="1">
      <x:c r="A97" s="2" t="str">
        <x:v>MIT-0033</x:v>
      </x:c>
      <x:c r="B97" s="2" t="str">
        <x:v>Mitigation</x:v>
      </x:c>
      <x:c r="C97" s="2" t="str">
        <x:v>Transport</x:v>
      </x:c>
      <x:c r="D97" s="2" t="str">
        <x:v>Vehicle and fuel technologies</x:v>
      </x:c>
      <x:c r="E97" s="2" t="str">
        <x:v>Liquefied Petroleum Gas in transport</x:v>
      </x:c>
      <x:c r="F97" s="2" t="str">
        <x:v>Tin</x:v>
      </x:c>
      <x:c r="G97" s="2" t="str">
        <x:v>Electronics strategic metal</x:v>
      </x:c>
      <x:c r="H97" s="2" t="str">
        <x:v>Tin is linked to Liquefied Petroleum Gas in transport because it is typically used in electronic solder and selected coatings; the assignment follows component function, not a sector-wide keyword.</x:v>
      </x:c>
      <x:c r="I97" s="2" t="str">
        <x:v>Presence and quantity in Liquefied Petroleum Gas in transport depend on the selected design, chemistry, capacity, supplier and recycled content. This analytical link is not a verified bill of materials or supplier traceability statement.</x:v>
      </x:c>
      <x:c r="J97" s="2" t="str">
        <x:v>https://pubs.usgs.gov/periodicals/mcs2026/mcs2026.pdf</x:v>
      </x:c>
    </x:row>
    <x:row r="98" ht="66" customHeight="1">
      <x:c r="A98" s="2" t="str">
        <x:v>MIT-0033</x:v>
      </x:c>
      <x:c r="B98" s="2" t="str">
        <x:v>Mitigation</x:v>
      </x:c>
      <x:c r="C98" s="2" t="str">
        <x:v>Transport</x:v>
      </x:c>
      <x:c r="D98" s="2" t="str">
        <x:v>Vehicle and fuel technologies</x:v>
      </x:c>
      <x:c r="E98" s="2" t="str">
        <x:v>Liquefied Petroleum Gas in transport</x:v>
      </x:c>
      <x:c r="F98" s="2" t="str">
        <x:v>Rare earth elements</x:v>
      </x:c>
      <x:c r="G98" s="2" t="str">
        <x:v>Magnet critical minerals</x:v>
      </x:c>
      <x:c r="H98" s="2" t="str">
        <x:v>Rare earth elements is linked to Liquefied Petroleum Gas in transport because it is typically used in permanent magnets in selected motors or generators; the assignment follows component function, not a sector-wide keyword.</x:v>
      </x:c>
      <x:c r="I98" s="2" t="str">
        <x:v>Presence and quantity in Liquefied Petroleum Gas in transport depend on the selected design, chemistry, capacity, supplier and recycled content. This analytical link is not a verified bill of materials or supplier traceability statement.</x:v>
      </x:c>
      <x:c r="J98" s="2" t="str">
        <x:v>https://www.iea.org/reports/global-critical-minerals-outlook-2025</x:v>
      </x:c>
    </x:row>
    <x:row r="99" ht="66" customHeight="1">
      <x:c r="A99" s="2" t="str">
        <x:v>MIT-0033</x:v>
      </x:c>
      <x:c r="B99" s="2" t="str">
        <x:v>Mitigation</x:v>
      </x:c>
      <x:c r="C99" s="2" t="str">
        <x:v>Transport</x:v>
      </x:c>
      <x:c r="D99" s="2" t="str">
        <x:v>Vehicle and fuel technologies</x:v>
      </x:c>
      <x:c r="E99" s="2" t="str">
        <x:v>Liquefied Petroleum Gas in transport</x:v>
      </x:c>
      <x:c r="F99" s="2" t="str">
        <x:v>Bauxite / aluminium</x:v>
      </x:c>
      <x:c r="G99" s="2" t="str">
        <x:v>Strategic metal</x:v>
      </x:c>
      <x:c r="H99" s="2" t="str">
        <x:v>Bauxite / aluminium is linked to Liquefied Petroleum Gas in transport because it is typically used in lightweight structures, frames, conductors or vehicle components; the assignment follows component function, not a sector-wide keyword.</x:v>
      </x:c>
      <x:c r="I99" s="2" t="str">
        <x:v>Presence and quantity in Liquefied Petroleum Gas in transport depend on the selected design, chemistry, capacity, supplier and recycled content. This analytical link is not a verified bill of materials or supplier traceability statement.</x:v>
      </x:c>
      <x:c r="J99" s="2" t="str">
        <x:v>https://pubs.usgs.gov/periodicals/mcs2026/mcs2026.pdf</x:v>
      </x:c>
    </x:row>
    <x:row r="100" ht="66" customHeight="1">
      <x:c r="A100" s="2" t="str">
        <x:v>MIT-0034</x:v>
      </x:c>
      <x:c r="B100" s="2" t="str">
        <x:v>Mitigation</x:v>
      </x:c>
      <x:c r="C100" s="2" t="str">
        <x:v>Transport</x:v>
      </x:c>
      <x:c r="D100" s="2" t="str">
        <x:v>Vehicle and fuel technologies</x:v>
      </x:c>
      <x:c r="E100" s="2" t="str">
        <x:v>Fuel cells for mobile applications</x:v>
      </x:c>
      <x:c r="F100" s="2" t="str">
        <x:v>Iron ore / steel inputs</x:v>
      </x:c>
      <x:c r="G100" s="2" t="str">
        <x:v>Bulk and strategic mineral input</x:v>
      </x:c>
      <x:c r="H100" s="2" t="str">
        <x:v>Iron ore / steel inputs is linked to Fuel cells for mobile applications because it is typically used in load-bearing structures, pressure vessels, piping or machinery; the assignment follows component function, not a sector-wide keyword.</x:v>
      </x:c>
      <x:c r="I100" s="2" t="str">
        <x:v>Presence and quantity in Fuel cells for mobile applications depend on the selected design, chemistry, capacity, supplier and recycled content. This analytical link is not a verified bill of materials or supplier traceability statement.</x:v>
      </x:c>
      <x:c r="J100" s="2" t="str">
        <x:v>https://pubs.usgs.gov/periodicals/mcs2026/mcs2026.pdf</x:v>
      </x:c>
    </x:row>
    <x:row r="101" ht="66" customHeight="1">
      <x:c r="A101" s="2" t="str">
        <x:v>MIT-0034</x:v>
      </x:c>
      <x:c r="B101" s="2" t="str">
        <x:v>Mitigation</x:v>
      </x:c>
      <x:c r="C101" s="2" t="str">
        <x:v>Transport</x:v>
      </x:c>
      <x:c r="D101" s="2" t="str">
        <x:v>Vehicle and fuel technologies</x:v>
      </x:c>
      <x:c r="E101" s="2" t="str">
        <x:v>Fuel cells for mobile applications</x:v>
      </x:c>
      <x:c r="F101" s="2" t="str">
        <x:v>Copper</x:v>
      </x:c>
      <x:c r="G101" s="2" t="str">
        <x:v>Critical or strategic metal</x:v>
      </x:c>
      <x:c r="H101" s="2" t="str">
        <x:v>Copper is linked to Fuel cells for mobile applications because it is typically used in power cables, windings, busbars, grounding and electrical connectors; the assignment follows component function, not a sector-wide keyword.</x:v>
      </x:c>
      <x:c r="I101" s="2" t="str">
        <x:v>Presence and quantity in Fuel cells for mobile applications depend on the selected design, chemistry, capacity, supplier and recycled content. This analytical link is not a verified bill of materials or supplier traceability statement.</x:v>
      </x:c>
      <x:c r="J101" s="2" t="str">
        <x:v>https://pubs.usgs.gov/periodicals/mcs2026/mcs2026.pdf</x:v>
      </x:c>
    </x:row>
    <x:row r="102" ht="66" customHeight="1">
      <x:c r="A102" s="2" t="str">
        <x:v>MIT-0034</x:v>
      </x:c>
      <x:c r="B102" s="2" t="str">
        <x:v>Mitigation</x:v>
      </x:c>
      <x:c r="C102" s="2" t="str">
        <x:v>Transport</x:v>
      </x:c>
      <x:c r="D102" s="2" t="str">
        <x:v>Vehicle and fuel technologies</x:v>
      </x:c>
      <x:c r="E102" s="2" t="str">
        <x:v>Fuel cells for mobile applications</x:v>
      </x:c>
      <x:c r="F102" s="2" t="str">
        <x:v>Tin</x:v>
      </x:c>
      <x:c r="G102" s="2" t="str">
        <x:v>Electronics strategic metal</x:v>
      </x:c>
      <x:c r="H102" s="2" t="str">
        <x:v>Tin is linked to Fuel cells for mobile applications because it is typically used in electronic solder and selected coatings; the assignment follows component function, not a sector-wide keyword.</x:v>
      </x:c>
      <x:c r="I102" s="2" t="str">
        <x:v>Presence and quantity in Fuel cells for mobile applications depend on the selected design, chemistry, capacity, supplier and recycled content. This analytical link is not a verified bill of materials or supplier traceability statement.</x:v>
      </x:c>
      <x:c r="J102" s="2" t="str">
        <x:v>https://pubs.usgs.gov/periodicals/mcs2026/mcs2026.pdf</x:v>
      </x:c>
    </x:row>
    <x:row r="103" ht="66" customHeight="1">
      <x:c r="A103" s="2" t="str">
        <x:v>MIT-0034</x:v>
      </x:c>
      <x:c r="B103" s="2" t="str">
        <x:v>Mitigation</x:v>
      </x:c>
      <x:c r="C103" s="2" t="str">
        <x:v>Transport</x:v>
      </x:c>
      <x:c r="D103" s="2" t="str">
        <x:v>Vehicle and fuel technologies</x:v>
      </x:c>
      <x:c r="E103" s="2" t="str">
        <x:v>Fuel cells for mobile applications</x:v>
      </x:c>
      <x:c r="F103" s="2" t="str">
        <x:v>Rare earth elements</x:v>
      </x:c>
      <x:c r="G103" s="2" t="str">
        <x:v>Magnet critical minerals</x:v>
      </x:c>
      <x:c r="H103" s="2" t="str">
        <x:v>Rare earth elements is linked to Fuel cells for mobile applications because it is typically used in permanent magnets in selected motors or generators; the assignment follows component function, not a sector-wide keyword.</x:v>
      </x:c>
      <x:c r="I103" s="2" t="str">
        <x:v>Presence and quantity in Fuel cells for mobile applications depend on the selected design, chemistry, capacity, supplier and recycled content. This analytical link is not a verified bill of materials or supplier traceability statement.</x:v>
      </x:c>
      <x:c r="J103" s="2" t="str">
        <x:v>https://www.iea.org/reports/global-critical-minerals-outlook-2025</x:v>
      </x:c>
    </x:row>
    <x:row r="104" ht="66" customHeight="1">
      <x:c r="A104" s="2" t="str">
        <x:v>MIT-0034</x:v>
      </x:c>
      <x:c r="B104" s="2" t="str">
        <x:v>Mitigation</x:v>
      </x:c>
      <x:c r="C104" s="2" t="str">
        <x:v>Transport</x:v>
      </x:c>
      <x:c r="D104" s="2" t="str">
        <x:v>Vehicle and fuel technologies</x:v>
      </x:c>
      <x:c r="E104" s="2" t="str">
        <x:v>Fuel cells for mobile applications</x:v>
      </x:c>
      <x:c r="F104" s="2" t="str">
        <x:v>Platinum-group metals</x:v>
      </x:c>
      <x:c r="G104" s="2" t="str">
        <x:v>Catalyst critical minerals</x:v>
      </x:c>
      <x:c r="H104" s="2" t="str">
        <x:v>Platinum-group metals is linked to Fuel cells for mobile applications because it is typically used in electrochemical electrodes or catalytic conversion; the assignment follows component function, not a sector-wide keyword.</x:v>
      </x:c>
      <x:c r="I104" s="2" t="str">
        <x:v>Presence and quantity in Fuel cells for mobile applications depend on the selected design, chemistry, capacity, supplier and recycled content. This analytical link is not a verified bill of materials or supplier traceability statement.</x:v>
      </x:c>
      <x:c r="J104" s="2" t="str">
        <x:v>https://pubs.usgs.gov/periodicals/mcs2026/mcs2026.pdf</x:v>
      </x:c>
    </x:row>
    <x:row r="105" ht="66" customHeight="1">
      <x:c r="A105" s="2" t="str">
        <x:v>MIT-0034</x:v>
      </x:c>
      <x:c r="B105" s="2" t="str">
        <x:v>Mitigation</x:v>
      </x:c>
      <x:c r="C105" s="2" t="str">
        <x:v>Transport</x:v>
      </x:c>
      <x:c r="D105" s="2" t="str">
        <x:v>Vehicle and fuel technologies</x:v>
      </x:c>
      <x:c r="E105" s="2" t="str">
        <x:v>Fuel cells for mobile applications</x:v>
      </x:c>
      <x:c r="F105" s="2" t="str">
        <x:v>Bauxite / aluminium</x:v>
      </x:c>
      <x:c r="G105" s="2" t="str">
        <x:v>Strategic metal</x:v>
      </x:c>
      <x:c r="H105" s="2" t="str">
        <x:v>Bauxite / aluminium is linked to Fuel cells for mobile applications because it is typically used in lightweight structures, frames, conductors or vehicle components; the assignment follows component function, not a sector-wide keyword.</x:v>
      </x:c>
      <x:c r="I105" s="2" t="str">
        <x:v>Presence and quantity in Fuel cells for mobile applications depend on the selected design, chemistry, capacity, supplier and recycled content. This analytical link is not a verified bill of materials or supplier traceability statement.</x:v>
      </x:c>
      <x:c r="J105" s="2" t="str">
        <x:v>https://pubs.usgs.gov/periodicals/mcs2026/mcs2026.pdf</x:v>
      </x:c>
    </x:row>
    <x:row r="106" ht="66" customHeight="1">
      <x:c r="A106" s="2" t="str">
        <x:v>MIT-0035</x:v>
      </x:c>
      <x:c r="B106" s="2" t="str">
        <x:v>Mitigation</x:v>
      </x:c>
      <x:c r="C106" s="2" t="str">
        <x:v>Transport</x:v>
      </x:c>
      <x:c r="D106" s="2" t="str">
        <x:v>Vehicle and fuel technologies</x:v>
      </x:c>
      <x:c r="E106" s="2" t="str">
        <x:v>Hybrid electric vehicles</x:v>
      </x:c>
      <x:c r="F106" s="2" t="str">
        <x:v>Iron ore / steel inputs</x:v>
      </x:c>
      <x:c r="G106" s="2" t="str">
        <x:v>Bulk and strategic mineral input</x:v>
      </x:c>
      <x:c r="H106" s="2" t="str">
        <x:v>Iron ore / steel inputs is linked to Hybrid electric vehicles because it is typically used in load-bearing structures, pressure vessels, piping or machinery; the assignment follows component function, not a sector-wide keyword.</x:v>
      </x:c>
      <x:c r="I106" s="2" t="str">
        <x:v>Presence and quantity in Hybrid electric vehicles depend on the selected design, chemistry, capacity, supplier and recycled content. This analytical link is not a verified bill of materials or supplier traceability statement.</x:v>
      </x:c>
      <x:c r="J106" s="2" t="str">
        <x:v>https://pubs.usgs.gov/periodicals/mcs2026/mcs2026.pdf</x:v>
      </x:c>
    </x:row>
    <x:row r="107" ht="66" customHeight="1">
      <x:c r="A107" s="2" t="str">
        <x:v>MIT-0035</x:v>
      </x:c>
      <x:c r="B107" s="2" t="str">
        <x:v>Mitigation</x:v>
      </x:c>
      <x:c r="C107" s="2" t="str">
        <x:v>Transport</x:v>
      </x:c>
      <x:c r="D107" s="2" t="str">
        <x:v>Vehicle and fuel technologies</x:v>
      </x:c>
      <x:c r="E107" s="2" t="str">
        <x:v>Hybrid electric vehicles</x:v>
      </x:c>
      <x:c r="F107" s="2" t="str">
        <x:v>Copper</x:v>
      </x:c>
      <x:c r="G107" s="2" t="str">
        <x:v>Critical or strategic metal</x:v>
      </x:c>
      <x:c r="H107" s="2" t="str">
        <x:v>Copper is linked to Hybrid electric vehicles because it is typically used in power cables, windings, busbars, grounding and electrical connectors; the assignment follows component function, not a sector-wide keyword.</x:v>
      </x:c>
      <x:c r="I107" s="2" t="str">
        <x:v>Presence and quantity in Hybrid electric vehicles depend on the selected design, chemistry, capacity, supplier and recycled content. This analytical link is not a verified bill of materials or supplier traceability statement.</x:v>
      </x:c>
      <x:c r="J107" s="2" t="str">
        <x:v>https://pubs.usgs.gov/periodicals/mcs2026/mcs2026.pdf</x:v>
      </x:c>
    </x:row>
    <x:row r="108" ht="66" customHeight="1">
      <x:c r="A108" s="2" t="str">
        <x:v>MIT-0035</x:v>
      </x:c>
      <x:c r="B108" s="2" t="str">
        <x:v>Mitigation</x:v>
      </x:c>
      <x:c r="C108" s="2" t="str">
        <x:v>Transport</x:v>
      </x:c>
      <x:c r="D108" s="2" t="str">
        <x:v>Vehicle and fuel technologies</x:v>
      </x:c>
      <x:c r="E108" s="2" t="str">
        <x:v>Hybrid electric vehicles</x:v>
      </x:c>
      <x:c r="F108" s="2" t="str">
        <x:v>Tin</x:v>
      </x:c>
      <x:c r="G108" s="2" t="str">
        <x:v>Electronics strategic metal</x:v>
      </x:c>
      <x:c r="H108" s="2" t="str">
        <x:v>Tin is linked to Hybrid electric vehicles because it is typically used in electronic solder and selected coatings; the assignment follows component function, not a sector-wide keyword.</x:v>
      </x:c>
      <x:c r="I108" s="2" t="str">
        <x:v>Presence and quantity in Hybrid electric vehicles depend on the selected design, chemistry, capacity, supplier and recycled content. This analytical link is not a verified bill of materials or supplier traceability statement.</x:v>
      </x:c>
      <x:c r="J108" s="2" t="str">
        <x:v>https://pubs.usgs.gov/periodicals/mcs2026/mcs2026.pdf</x:v>
      </x:c>
    </x:row>
    <x:row r="109" ht="66" customHeight="1">
      <x:c r="A109" s="2" t="str">
        <x:v>MIT-0035</x:v>
      </x:c>
      <x:c r="B109" s="2" t="str">
        <x:v>Mitigation</x:v>
      </x:c>
      <x:c r="C109" s="2" t="str">
        <x:v>Transport</x:v>
      </x:c>
      <x:c r="D109" s="2" t="str">
        <x:v>Vehicle and fuel technologies</x:v>
      </x:c>
      <x:c r="E109" s="2" t="str">
        <x:v>Hybrid electric vehicles</x:v>
      </x:c>
      <x:c r="F109" s="2" t="str">
        <x:v>Lithium</x:v>
      </x:c>
      <x:c r="G109" s="2" t="str">
        <x:v>Battery critical mineral</x:v>
      </x:c>
      <x:c r="H109" s="2" t="str">
        <x:v>Lithium is linked to Hybrid electric vehicles because it is typically used in lithium-based rechargeable battery cathodes or electrolytes; the assignment follows component function, not a sector-wide keyword.</x:v>
      </x:c>
      <x:c r="I109" s="2" t="str">
        <x:v>Presence and quantity in Hybrid electric vehicles depend on the selected design, chemistry, capacity, supplier and recycled content. This analytical link is not a verified bill of materials or supplier traceability statement.</x:v>
      </x:c>
      <x:c r="J109" s="2" t="str">
        <x:v>https://www.iea.org/reports/global-critical-minerals-outlook-2025</x:v>
      </x:c>
    </x:row>
    <x:row r="110" ht="66" customHeight="1">
      <x:c r="A110" s="2" t="str">
        <x:v>MIT-0035</x:v>
      </x:c>
      <x:c r="B110" s="2" t="str">
        <x:v>Mitigation</x:v>
      </x:c>
      <x:c r="C110" s="2" t="str">
        <x:v>Transport</x:v>
      </x:c>
      <x:c r="D110" s="2" t="str">
        <x:v>Vehicle and fuel technologies</x:v>
      </x:c>
      <x:c r="E110" s="2" t="str">
        <x:v>Hybrid electric vehicles</x:v>
      </x:c>
      <x:c r="F110" s="2" t="str">
        <x:v>Nickel</x:v>
      </x:c>
      <x:c r="G110" s="2" t="str">
        <x:v>Battery and alloy critical mineral</x:v>
      </x:c>
      <x:c r="H110" s="2" t="str">
        <x:v>Nickel is linked to Hybrid electric vehicles because it is typically used in battery cathodes, high-temperature alloys or corrosion-resistant steels; the assignment follows component function, not a sector-wide keyword.</x:v>
      </x:c>
      <x:c r="I110" s="2" t="str">
        <x:v>Presence and quantity in Hybrid electric vehicles depend on the selected design, chemistry, capacity, supplier and recycled content. This analytical link is not a verified bill of materials or supplier traceability statement.</x:v>
      </x:c>
      <x:c r="J110" s="2" t="str">
        <x:v>https://www.iea.org/reports/global-critical-minerals-outlook-2025</x:v>
      </x:c>
    </x:row>
    <x:row r="111" ht="66" customHeight="1">
      <x:c r="A111" s="2" t="str">
        <x:v>MIT-0035</x:v>
      </x:c>
      <x:c r="B111" s="2" t="str">
        <x:v>Mitigation</x:v>
      </x:c>
      <x:c r="C111" s="2" t="str">
        <x:v>Transport</x:v>
      </x:c>
      <x:c r="D111" s="2" t="str">
        <x:v>Vehicle and fuel technologies</x:v>
      </x:c>
      <x:c r="E111" s="2" t="str">
        <x:v>Hybrid electric vehicles</x:v>
      </x:c>
      <x:c r="F111" s="2" t="str">
        <x:v>Cobalt</x:v>
      </x:c>
      <x:c r="G111" s="2" t="str">
        <x:v>Battery and catalyst critical mineral</x:v>
      </x:c>
      <x:c r="H111" s="2" t="str">
        <x:v>Cobalt is linked to Hybrid electric vehicles because it is typically used in selected battery cathodes or high-performance catalysts; the assignment follows component function, not a sector-wide keyword.</x:v>
      </x:c>
      <x:c r="I111" s="2" t="str">
        <x:v>Presence and quantity in Hybrid electric vehicles depend on the selected design, chemistry, capacity, supplier and recycled content. This analytical link is not a verified bill of materials or supplier traceability statement.</x:v>
      </x:c>
      <x:c r="J111" s="2" t="str">
        <x:v>https://www.iea.org/reports/global-critical-minerals-outlook-2025</x:v>
      </x:c>
    </x:row>
    <x:row r="112" ht="66" customHeight="1">
      <x:c r="A112" s="2" t="str">
        <x:v>MIT-0035</x:v>
      </x:c>
      <x:c r="B112" s="2" t="str">
        <x:v>Mitigation</x:v>
      </x:c>
      <x:c r="C112" s="2" t="str">
        <x:v>Transport</x:v>
      </x:c>
      <x:c r="D112" s="2" t="str">
        <x:v>Vehicle and fuel technologies</x:v>
      </x:c>
      <x:c r="E112" s="2" t="str">
        <x:v>Hybrid electric vehicles</x:v>
      </x:c>
      <x:c r="F112" s="2" t="str">
        <x:v>Natural graphite</x:v>
      </x:c>
      <x:c r="G112" s="2" t="str">
        <x:v>Battery critical mineral</x:v>
      </x:c>
      <x:c r="H112" s="2" t="str">
        <x:v>Natural graphite is linked to Hybrid electric vehicles because it is typically used in battery anodes; the assignment follows component function, not a sector-wide keyword.</x:v>
      </x:c>
      <x:c r="I112" s="2" t="str">
        <x:v>Presence and quantity in Hybrid electric vehicles depend on the selected design, chemistry, capacity, supplier and recycled content. This analytical link is not a verified bill of materials or supplier traceability statement.</x:v>
      </x:c>
      <x:c r="J112" s="2" t="str">
        <x:v>https://www.iea.org/reports/global-critical-minerals-outlook-2025</x:v>
      </x:c>
    </x:row>
    <x:row r="113" ht="66" customHeight="1">
      <x:c r="A113" s="2" t="str">
        <x:v>MIT-0035</x:v>
      </x:c>
      <x:c r="B113" s="2" t="str">
        <x:v>Mitigation</x:v>
      </x:c>
      <x:c r="C113" s="2" t="str">
        <x:v>Transport</x:v>
      </x:c>
      <x:c r="D113" s="2" t="str">
        <x:v>Vehicle and fuel technologies</x:v>
      </x:c>
      <x:c r="E113" s="2" t="str">
        <x:v>Hybrid electric vehicles</x:v>
      </x:c>
      <x:c r="F113" s="2" t="str">
        <x:v>Manganese</x:v>
      </x:c>
      <x:c r="G113" s="2" t="str">
        <x:v>Battery and alloy strategic mineral</x:v>
      </x:c>
      <x:c r="H113" s="2" t="str">
        <x:v>Manganese is linked to Hybrid electric vehicles because it is typically used in battery cathodes or alloy steels; the assignment follows component function, not a sector-wide keyword.</x:v>
      </x:c>
      <x:c r="I113" s="2" t="str">
        <x:v>Presence and quantity in Hybrid electric vehicles depend on the selected design, chemistry, capacity, supplier and recycled content. This analytical link is not a verified bill of materials or supplier traceability statement.</x:v>
      </x:c>
      <x:c r="J113" s="2" t="str">
        <x:v>https://pubs.usgs.gov/periodicals/mcs2026/mcs2026.pdf</x:v>
      </x:c>
    </x:row>
    <x:row r="114" ht="66" customHeight="1">
      <x:c r="A114" s="2" t="str">
        <x:v>MIT-0035</x:v>
      </x:c>
      <x:c r="B114" s="2" t="str">
        <x:v>Mitigation</x:v>
      </x:c>
      <x:c r="C114" s="2" t="str">
        <x:v>Transport</x:v>
      </x:c>
      <x:c r="D114" s="2" t="str">
        <x:v>Vehicle and fuel technologies</x:v>
      </x:c>
      <x:c r="E114" s="2" t="str">
        <x:v>Hybrid electric vehicles</x:v>
      </x:c>
      <x:c r="F114" s="2" t="str">
        <x:v>Rare earth elements</x:v>
      </x:c>
      <x:c r="G114" s="2" t="str">
        <x:v>Magnet critical minerals</x:v>
      </x:c>
      <x:c r="H114" s="2" t="str">
        <x:v>Rare earth elements is linked to Hybrid electric vehicles because it is typically used in permanent magnets in selected motors or generators; the assignment follows component function, not a sector-wide keyword.</x:v>
      </x:c>
      <x:c r="I114" s="2" t="str">
        <x:v>Presence and quantity in Hybrid electric vehicles depend on the selected design, chemistry, capacity, supplier and recycled content. This analytical link is not a verified bill of materials or supplier traceability statement.</x:v>
      </x:c>
      <x:c r="J114" s="2" t="str">
        <x:v>https://www.iea.org/reports/global-critical-minerals-outlook-2025</x:v>
      </x:c>
    </x:row>
    <x:row r="115" ht="66" customHeight="1">
      <x:c r="A115" s="2" t="str">
        <x:v>MIT-0035</x:v>
      </x:c>
      <x:c r="B115" s="2" t="str">
        <x:v>Mitigation</x:v>
      </x:c>
      <x:c r="C115" s="2" t="str">
        <x:v>Transport</x:v>
      </x:c>
      <x:c r="D115" s="2" t="str">
        <x:v>Vehicle and fuel technologies</x:v>
      </x:c>
      <x:c r="E115" s="2" t="str">
        <x:v>Hybrid electric vehicles</x:v>
      </x:c>
      <x:c r="F115" s="2" t="str">
        <x:v>Bauxite / aluminium</x:v>
      </x:c>
      <x:c r="G115" s="2" t="str">
        <x:v>Strategic metal</x:v>
      </x:c>
      <x:c r="H115" s="2" t="str">
        <x:v>Bauxite / aluminium is linked to Hybrid electric vehicles because it is typically used in lightweight structures, frames, conductors or vehicle components; the assignment follows component function, not a sector-wide keyword.</x:v>
      </x:c>
      <x:c r="I115" s="2" t="str">
        <x:v>Presence and quantity in Hybrid electric vehicles depend on the selected design, chemistry, capacity, supplier and recycled content. This analytical link is not a verified bill of materials or supplier traceability statement.</x:v>
      </x:c>
      <x:c r="J115" s="2" t="str">
        <x:v>https://pubs.usgs.gov/periodicals/mcs2026/mcs2026.pdf</x:v>
      </x:c>
    </x:row>
    <x:row r="116" ht="66" customHeight="1">
      <x:c r="A116" s="2" t="str">
        <x:v>MIT-0036</x:v>
      </x:c>
      <x:c r="B116" s="2" t="str">
        <x:v>Mitigation</x:v>
      </x:c>
      <x:c r="C116" s="2" t="str">
        <x:v>Transport</x:v>
      </x:c>
      <x:c r="D116" s="2" t="str">
        <x:v>Aviation</x:v>
      </x:c>
      <x:c r="E116" s="2" t="str">
        <x:v>Aviation support systems</x:v>
      </x:c>
      <x:c r="F116" s="2" t="str">
        <x:v>Iron ore / steel inputs</x:v>
      </x:c>
      <x:c r="G116" s="2" t="str">
        <x:v>Bulk and strategic mineral input</x:v>
      </x:c>
      <x:c r="H116" s="2" t="str">
        <x:v>Iron ore / steel inputs is linked to Aviation support systems because it is typically used in load-bearing structures, pressure vessels, piping or machinery; the assignment follows component function, not a sector-wide keyword.</x:v>
      </x:c>
      <x:c r="I116" s="2" t="str">
        <x:v>Presence and quantity in Aviation support systems depend on the selected design, chemistry, capacity, supplier and recycled content. This analytical link is not a verified bill of materials or supplier traceability statement.</x:v>
      </x:c>
      <x:c r="J116" s="2" t="str">
        <x:v>https://pubs.usgs.gov/periodicals/mcs2026/mcs2026.pdf</x:v>
      </x:c>
    </x:row>
    <x:row r="117" ht="66" customHeight="1">
      <x:c r="A117" s="2" t="str">
        <x:v>MIT-0036</x:v>
      </x:c>
      <x:c r="B117" s="2" t="str">
        <x:v>Mitigation</x:v>
      </x:c>
      <x:c r="C117" s="2" t="str">
        <x:v>Transport</x:v>
      </x:c>
      <x:c r="D117" s="2" t="str">
        <x:v>Aviation</x:v>
      </x:c>
      <x:c r="E117" s="2" t="str">
        <x:v>Aviation support systems</x:v>
      </x:c>
      <x:c r="F117" s="2" t="str">
        <x:v>Bauxite / aluminium</x:v>
      </x:c>
      <x:c r="G117" s="2" t="str">
        <x:v>Strategic metal</x:v>
      </x:c>
      <x:c r="H117" s="2" t="str">
        <x:v>Bauxite / aluminium is linked to Aviation support systems because it is typically used in lightweight structures, frames, conductors or vehicle components; the assignment follows component function, not a sector-wide keyword.</x:v>
      </x:c>
      <x:c r="I117" s="2" t="str">
        <x:v>Presence and quantity in Aviation support systems depend on the selected design, chemistry, capacity, supplier and recycled content. This analytical link is not a verified bill of materials or supplier traceability statement.</x:v>
      </x:c>
      <x:c r="J117" s="2" t="str">
        <x:v>https://pubs.usgs.gov/periodicals/mcs2026/mcs2026.pdf</x:v>
      </x:c>
    </x:row>
    <x:row r="118" ht="66" customHeight="1">
      <x:c r="A118" s="2" t="str">
        <x:v>MIT-0037</x:v>
      </x:c>
      <x:c r="B118" s="2" t="str">
        <x:v>Mitigation</x:v>
      </x:c>
      <x:c r="C118" s="2" t="str">
        <x:v>Transport</x:v>
      </x:c>
      <x:c r="D118" s="2" t="str">
        <x:v>Aviation</x:v>
      </x:c>
      <x:c r="E118" s="2" t="str">
        <x:v>Air cargo</x:v>
      </x:c>
      <x:c r="F118" s="2" t="str">
        <x:v>Iron ore / steel inputs</x:v>
      </x:c>
      <x:c r="G118" s="2" t="str">
        <x:v>Bulk and strategic mineral input</x:v>
      </x:c>
      <x:c r="H118" s="2" t="str">
        <x:v>Iron ore / steel inputs is linked to Air cargo because it is typically used in load-bearing structures, pressure vessels, piping or machinery; the assignment follows component function, not a sector-wide keyword.</x:v>
      </x:c>
      <x:c r="I118" s="2" t="str">
        <x:v>Presence and quantity in Air cargo depend on the selected design, chemistry, capacity, supplier and recycled content. This analytical link is not a verified bill of materials or supplier traceability statement.</x:v>
      </x:c>
      <x:c r="J118" s="2" t="str">
        <x:v>https://pubs.usgs.gov/periodicals/mcs2026/mcs2026.pdf</x:v>
      </x:c>
    </x:row>
    <x:row r="119" ht="66" customHeight="1">
      <x:c r="A119" s="2" t="str">
        <x:v>MIT-0037</x:v>
      </x:c>
      <x:c r="B119" s="2" t="str">
        <x:v>Mitigation</x:v>
      </x:c>
      <x:c r="C119" s="2" t="str">
        <x:v>Transport</x:v>
      </x:c>
      <x:c r="D119" s="2" t="str">
        <x:v>Aviation</x:v>
      </x:c>
      <x:c r="E119" s="2" t="str">
        <x:v>Air cargo</x:v>
      </x:c>
      <x:c r="F119" s="2" t="str">
        <x:v>Bauxite / aluminium</x:v>
      </x:c>
      <x:c r="G119" s="2" t="str">
        <x:v>Strategic metal</x:v>
      </x:c>
      <x:c r="H119" s="2" t="str">
        <x:v>Bauxite / aluminium is linked to Air cargo because it is typically used in lightweight structures, frames, conductors or vehicle components; the assignment follows component function, not a sector-wide keyword.</x:v>
      </x:c>
      <x:c r="I119" s="2" t="str">
        <x:v>Presence and quantity in Air cargo depend on the selected design, chemistry, capacity, supplier and recycled content. This analytical link is not a verified bill of materials or supplier traceability statement.</x:v>
      </x:c>
      <x:c r="J119" s="2" t="str">
        <x:v>https://pubs.usgs.gov/periodicals/mcs2026/mcs2026.pdf</x:v>
      </x:c>
    </x:row>
    <x:row r="120" ht="66" customHeight="1">
      <x:c r="A120" s="2" t="str">
        <x:v>MIT-0038</x:v>
      </x:c>
      <x:c r="B120" s="2" t="str">
        <x:v>Mitigation</x:v>
      </x:c>
      <x:c r="C120" s="2" t="str">
        <x:v>Energy efficiency</x:v>
      </x:c>
      <x:c r="D120" s="2" t="str">
        <x:v>Energy distribution</x:v>
      </x:c>
      <x:c r="E120" s="2" t="str">
        <x:v>Hydrogen infrastructure</x:v>
      </x:c>
      <x:c r="F120" s="2" t="str">
        <x:v>Iron ore / steel inputs</x:v>
      </x:c>
      <x:c r="G120" s="2" t="str">
        <x:v>Bulk and strategic mineral input</x:v>
      </x:c>
      <x:c r="H120" s="2" t="str">
        <x:v>Iron ore / steel inputs is linked to Hydrogen infrastructure because it is typically used in load-bearing structures, pressure vessels, piping or machinery; the assignment follows component function, not a sector-wide keyword.</x:v>
      </x:c>
      <x:c r="I120" s="2" t="str">
        <x:v>Presence and quantity in Hydrogen infrastructure depend on the selected design, chemistry, capacity, supplier and recycled content. This analytical link is not a verified bill of materials or supplier traceability statement.</x:v>
      </x:c>
      <x:c r="J120" s="2" t="str">
        <x:v>https://pubs.usgs.gov/periodicals/mcs2026/mcs2026.pdf</x:v>
      </x:c>
    </x:row>
    <x:row r="121" ht="66" customHeight="1">
      <x:c r="A121" s="2" t="str">
        <x:v>MIT-0038</x:v>
      </x:c>
      <x:c r="B121" s="2" t="str">
        <x:v>Mitigation</x:v>
      </x:c>
      <x:c r="C121" s="2" t="str">
        <x:v>Energy efficiency</x:v>
      </x:c>
      <x:c r="D121" s="2" t="str">
        <x:v>Energy distribution</x:v>
      </x:c>
      <x:c r="E121" s="2" t="str">
        <x:v>Hydrogen infrastructure</x:v>
      </x:c>
      <x:c r="F121" s="2" t="str">
        <x:v>Copper</x:v>
      </x:c>
      <x:c r="G121" s="2" t="str">
        <x:v>Critical or strategic metal</x:v>
      </x:c>
      <x:c r="H121" s="2" t="str">
        <x:v>Copper is linked to Hydrogen infrastructure because it is typically used in power cables, windings, busbars, grounding and electrical connectors; the assignment follows component function, not a sector-wide keyword.</x:v>
      </x:c>
      <x:c r="I121" s="2" t="str">
        <x:v>Presence and quantity in Hydrogen infrastructure depend on the selected design, chemistry, capacity, supplier and recycled content. This analytical link is not a verified bill of materials or supplier traceability statement.</x:v>
      </x:c>
      <x:c r="J121" s="2" t="str">
        <x:v>https://pubs.usgs.gov/periodicals/mcs2026/mcs2026.pdf</x:v>
      </x:c>
    </x:row>
    <x:row r="122" ht="66" customHeight="1">
      <x:c r="A122" s="2" t="str">
        <x:v>MIT-0038</x:v>
      </x:c>
      <x:c r="B122" s="2" t="str">
        <x:v>Mitigation</x:v>
      </x:c>
      <x:c r="C122" s="2" t="str">
        <x:v>Energy efficiency</x:v>
      </x:c>
      <x:c r="D122" s="2" t="str">
        <x:v>Energy distribution</x:v>
      </x:c>
      <x:c r="E122" s="2" t="str">
        <x:v>Hydrogen infrastructure</x:v>
      </x:c>
      <x:c r="F122" s="2" t="str">
        <x:v>Tin</x:v>
      </x:c>
      <x:c r="G122" s="2" t="str">
        <x:v>Electronics strategic metal</x:v>
      </x:c>
      <x:c r="H122" s="2" t="str">
        <x:v>Tin is linked to Hydrogen infrastructure because it is typically used in electronic solder and selected coatings; the assignment follows component function, not a sector-wide keyword.</x:v>
      </x:c>
      <x:c r="I122" s="2" t="str">
        <x:v>Presence and quantity in Hydrogen infrastructure depend on the selected design, chemistry, capacity, supplier and recycled content. This analytical link is not a verified bill of materials or supplier traceability statement.</x:v>
      </x:c>
      <x:c r="J122" s="2" t="str">
        <x:v>https://pubs.usgs.gov/periodicals/mcs2026/mcs2026.pdf</x:v>
      </x:c>
    </x:row>
    <x:row r="123" ht="66" customHeight="1">
      <x:c r="A123" s="2" t="str">
        <x:v>MIT-0038</x:v>
      </x:c>
      <x:c r="B123" s="2" t="str">
        <x:v>Mitigation</x:v>
      </x:c>
      <x:c r="C123" s="2" t="str">
        <x:v>Energy efficiency</x:v>
      </x:c>
      <x:c r="D123" s="2" t="str">
        <x:v>Energy distribution</x:v>
      </x:c>
      <x:c r="E123" s="2" t="str">
        <x:v>Hydrogen infrastructure</x:v>
      </x:c>
      <x:c r="F123" s="2" t="str">
        <x:v>Limestone / cement raw materials</x:v>
      </x:c>
      <x:c r="G123" s="2" t="str">
        <x:v>Bulk construction material</x:v>
      </x:c>
      <x:c r="H123" s="2" t="str">
        <x:v>Limestone / cement raw materials is linked to Hydrogen infrastructure because it is typically used in concrete foundations, channels, buildings or protective civil works; the assignment follows component function, not a sector-wide keyword.</x:v>
      </x:c>
      <x:c r="I123" s="2" t="str">
        <x:v>Presence and quantity in Hydrogen infrastructure depend on the selected design, chemistry, capacity, supplier and recycled content. This analytical link is not a verified bill of materials or supplier traceability statement.</x:v>
      </x:c>
      <x:c r="J123" s="2" t="str">
        <x:v>https://pubs.usgs.gov/periodicals/mcs2026/mcs2026.pdf</x:v>
      </x:c>
    </x:row>
    <x:row r="124" ht="66" customHeight="1">
      <x:c r="A124" s="2" t="str">
        <x:v>MIT-0039</x:v>
      </x:c>
      <x:c r="B124" s="2" t="str">
        <x:v>Mitigation</x:v>
      </x:c>
      <x:c r="C124" s="2" t="str">
        <x:v>Energy efficiency</x:v>
      </x:c>
      <x:c r="D124" s="2" t="str">
        <x:v>Energy distribution</x:v>
      </x:c>
      <x:c r="E124" s="2" t="str">
        <x:v>District heating and cooling</x:v>
      </x:c>
      <x:c r="F124" s="2" t="str">
        <x:v>Iron ore / steel inputs</x:v>
      </x:c>
      <x:c r="G124" s="2" t="str">
        <x:v>Bulk and strategic mineral input</x:v>
      </x:c>
      <x:c r="H124" s="2" t="str">
        <x:v>Iron ore / steel inputs is linked to District heating and cooling because it is typically used in load-bearing structures, pressure vessels, piping or machinery; the assignment follows component function, not a sector-wide keyword.</x:v>
      </x:c>
      <x:c r="I124" s="2" t="str">
        <x:v>Presence and quantity in District heating and cooling depend on the selected design, chemistry, capacity, supplier and recycled content. This analytical link is not a verified bill of materials or supplier traceability statement.</x:v>
      </x:c>
      <x:c r="J124" s="2" t="str">
        <x:v>https://pubs.usgs.gov/periodicals/mcs2026/mcs2026.pdf</x:v>
      </x:c>
    </x:row>
    <x:row r="125" ht="66" customHeight="1">
      <x:c r="A125" s="2" t="str">
        <x:v>MIT-0040</x:v>
      </x:c>
      <x:c r="B125" s="2" t="str">
        <x:v>Mitigation</x:v>
      </x:c>
      <x:c r="C125" s="2" t="str">
        <x:v>Energy efficiency</x:v>
      </x:c>
      <x:c r="D125" s="2" t="str">
        <x:v>Energy distribution</x:v>
      </x:c>
      <x:c r="E125" s="2" t="str">
        <x:v>Micro-grid</x:v>
      </x:c>
      <x:c r="F125" s="2" t="str">
        <x:v>Iron ore / steel inputs</x:v>
      </x:c>
      <x:c r="G125" s="2" t="str">
        <x:v>Bulk and strategic mineral input</x:v>
      </x:c>
      <x:c r="H125" s="2" t="str">
        <x:v>Iron ore / steel inputs is linked to Micro-grid because it is typically used in load-bearing structures, pressure vessels, piping or machinery; the assignment follows component function, not a sector-wide keyword.</x:v>
      </x:c>
      <x:c r="I125" s="2" t="str">
        <x:v>Presence and quantity in Micro-grid depend on the selected design, chemistry, capacity, supplier and recycled content. This analytical link is not a verified bill of materials or supplier traceability statement.</x:v>
      </x:c>
      <x:c r="J125" s="2" t="str">
        <x:v>https://pubs.usgs.gov/periodicals/mcs2026/mcs2026.pdf</x:v>
      </x:c>
    </x:row>
    <x:row r="126" ht="66" customHeight="1">
      <x:c r="A126" s="2" t="str">
        <x:v>MIT-0040</x:v>
      </x:c>
      <x:c r="B126" s="2" t="str">
        <x:v>Mitigation</x:v>
      </x:c>
      <x:c r="C126" s="2" t="str">
        <x:v>Energy efficiency</x:v>
      </x:c>
      <x:c r="D126" s="2" t="str">
        <x:v>Energy distribution</x:v>
      </x:c>
      <x:c r="E126" s="2" t="str">
        <x:v>Micro-grid</x:v>
      </x:c>
      <x:c r="F126" s="2" t="str">
        <x:v>Copper</x:v>
      </x:c>
      <x:c r="G126" s="2" t="str">
        <x:v>Critical or strategic metal</x:v>
      </x:c>
      <x:c r="H126" s="2" t="str">
        <x:v>Copper is linked to Micro-grid because it is typically used in power cables, windings, busbars, grounding and electrical connectors; the assignment follows component function, not a sector-wide keyword.</x:v>
      </x:c>
      <x:c r="I126" s="2" t="str">
        <x:v>Presence and quantity in Micro-grid depend on the selected design, chemistry, capacity, supplier and recycled content. This analytical link is not a verified bill of materials or supplier traceability statement.</x:v>
      </x:c>
      <x:c r="J126" s="2" t="str">
        <x:v>https://pubs.usgs.gov/periodicals/mcs2026/mcs2026.pdf</x:v>
      </x:c>
    </x:row>
    <x:row r="127" ht="66" customHeight="1">
      <x:c r="A127" s="2" t="str">
        <x:v>MIT-0040</x:v>
      </x:c>
      <x:c r="B127" s="2" t="str">
        <x:v>Mitigation</x:v>
      </x:c>
      <x:c r="C127" s="2" t="str">
        <x:v>Energy efficiency</x:v>
      </x:c>
      <x:c r="D127" s="2" t="str">
        <x:v>Energy distribution</x:v>
      </x:c>
      <x:c r="E127" s="2" t="str">
        <x:v>Micro-grid</x:v>
      </x:c>
      <x:c r="F127" s="2" t="str">
        <x:v>Tin</x:v>
      </x:c>
      <x:c r="G127" s="2" t="str">
        <x:v>Electronics strategic metal</x:v>
      </x:c>
      <x:c r="H127" s="2" t="str">
        <x:v>Tin is linked to Micro-grid because it is typically used in electronic solder and selected coatings; the assignment follows component function, not a sector-wide keyword.</x:v>
      </x:c>
      <x:c r="I127" s="2" t="str">
        <x:v>Presence and quantity in Micro-grid depend on the selected design, chemistry, capacity, supplier and recycled content. This analytical link is not a verified bill of materials or supplier traceability statement.</x:v>
      </x:c>
      <x:c r="J127" s="2" t="str">
        <x:v>https://pubs.usgs.gov/periodicals/mcs2026/mcs2026.pdf</x:v>
      </x:c>
    </x:row>
    <x:row r="128" ht="66" customHeight="1">
      <x:c r="A128" s="2" t="str">
        <x:v>MIT-0041</x:v>
      </x:c>
      <x:c r="B128" s="2" t="str">
        <x:v>Mitigation</x:v>
      </x:c>
      <x:c r="C128" s="2" t="str">
        <x:v>Energy efficiency</x:v>
      </x:c>
      <x:c r="D128" s="2" t="str">
        <x:v>Energy distribution</x:v>
      </x:c>
      <x:c r="E128" s="2" t="str">
        <x:v>Smart grid</x:v>
      </x:c>
      <x:c r="F128" s="2" t="str">
        <x:v>Iron ore / steel inputs</x:v>
      </x:c>
      <x:c r="G128" s="2" t="str">
        <x:v>Bulk and strategic mineral input</x:v>
      </x:c>
      <x:c r="H128" s="2" t="str">
        <x:v>Iron ore / steel inputs is linked to Smart grid because it is typically used in load-bearing structures, pressure vessels, piping or machinery; the assignment follows component function, not a sector-wide keyword.</x:v>
      </x:c>
      <x:c r="I128" s="2" t="str">
        <x:v>Presence and quantity in Smart grid depend on the selected design, chemistry, capacity, supplier and recycled content. This analytical link is not a verified bill of materials or supplier traceability statement.</x:v>
      </x:c>
      <x:c r="J128" s="2" t="str">
        <x:v>https://pubs.usgs.gov/periodicals/mcs2026/mcs2026.pdf</x:v>
      </x:c>
    </x:row>
    <x:row r="129" ht="66" customHeight="1">
      <x:c r="A129" s="2" t="str">
        <x:v>MIT-0041</x:v>
      </x:c>
      <x:c r="B129" s="2" t="str">
        <x:v>Mitigation</x:v>
      </x:c>
      <x:c r="C129" s="2" t="str">
        <x:v>Energy efficiency</x:v>
      </x:c>
      <x:c r="D129" s="2" t="str">
        <x:v>Energy distribution</x:v>
      </x:c>
      <x:c r="E129" s="2" t="str">
        <x:v>Smart grid</x:v>
      </x:c>
      <x:c r="F129" s="2" t="str">
        <x:v>Copper</x:v>
      </x:c>
      <x:c r="G129" s="2" t="str">
        <x:v>Critical or strategic metal</x:v>
      </x:c>
      <x:c r="H129" s="2" t="str">
        <x:v>Copper is linked to Smart grid because it is typically used in power cables, windings, busbars, grounding and electrical connectors; the assignment follows component function, not a sector-wide keyword.</x:v>
      </x:c>
      <x:c r="I129" s="2" t="str">
        <x:v>Presence and quantity in Smart grid depend on the selected design, chemistry, capacity, supplier and recycled content. This analytical link is not a verified bill of materials or supplier traceability statement.</x:v>
      </x:c>
      <x:c r="J129" s="2" t="str">
        <x:v>https://pubs.usgs.gov/periodicals/mcs2026/mcs2026.pdf</x:v>
      </x:c>
    </x:row>
    <x:row r="130" ht="66" customHeight="1">
      <x:c r="A130" s="2" t="str">
        <x:v>MIT-0041</x:v>
      </x:c>
      <x:c r="B130" s="2" t="str">
        <x:v>Mitigation</x:v>
      </x:c>
      <x:c r="C130" s="2" t="str">
        <x:v>Energy efficiency</x:v>
      </x:c>
      <x:c r="D130" s="2" t="str">
        <x:v>Energy distribution</x:v>
      </x:c>
      <x:c r="E130" s="2" t="str">
        <x:v>Smart grid</x:v>
      </x:c>
      <x:c r="F130" s="2" t="str">
        <x:v>Tin</x:v>
      </x:c>
      <x:c r="G130" s="2" t="str">
        <x:v>Electronics strategic metal</x:v>
      </x:c>
      <x:c r="H130" s="2" t="str">
        <x:v>Tin is linked to Smart grid because it is typically used in electronic solder and selected coatings; the assignment follows component function, not a sector-wide keyword.</x:v>
      </x:c>
      <x:c r="I130" s="2" t="str">
        <x:v>Presence and quantity in Smart grid depend on the selected design, chemistry, capacity, supplier and recycled content. This analytical link is not a verified bill of materials or supplier traceability statement.</x:v>
      </x:c>
      <x:c r="J130" s="2" t="str">
        <x:v>https://pubs.usgs.gov/periodicals/mcs2026/mcs2026.pdf</x:v>
      </x:c>
    </x:row>
    <x:row r="131" ht="66" customHeight="1">
      <x:c r="A131" s="2" t="str">
        <x:v>MIT-0041</x:v>
      </x:c>
      <x:c r="B131" s="2" t="str">
        <x:v>Mitigation</x:v>
      </x:c>
      <x:c r="C131" s="2" t="str">
        <x:v>Energy efficiency</x:v>
      </x:c>
      <x:c r="D131" s="2" t="str">
        <x:v>Energy distribution</x:v>
      </x:c>
      <x:c r="E131" s="2" t="str">
        <x:v>Smart grid</x:v>
      </x:c>
      <x:c r="F131" s="2" t="str">
        <x:v>Tantalum</x:v>
      </x:c>
      <x:c r="G131" s="2" t="str">
        <x:v>Electronics critical mineral</x:v>
      </x:c>
      <x:c r="H131" s="2" t="str">
        <x:v>Tantalum is linked to Smart grid because it is typically used in high-reliability electronic capacitors; the assignment follows component function, not a sector-wide keyword.</x:v>
      </x:c>
      <x:c r="I131" s="2" t="str">
        <x:v>Presence and quantity in Smart grid depend on the selected design, chemistry, capacity, supplier and recycled content. This analytical link is not a verified bill of materials or supplier traceability statement.</x:v>
      </x:c>
      <x:c r="J131" s="2" t="str">
        <x:v>https://pubs.usgs.gov/periodicals/mcs2026/mcs2026.pdf</x:v>
      </x:c>
    </x:row>
    <x:row r="132" ht="66" customHeight="1">
      <x:c r="A132" s="2" t="str">
        <x:v>MIT-0042</x:v>
      </x:c>
      <x:c r="B132" s="2" t="str">
        <x:v>Mitigation</x:v>
      </x:c>
      <x:c r="C132" s="2" t="str">
        <x:v>Energy efficiency</x:v>
      </x:c>
      <x:c r="D132" s="2" t="str">
        <x:v>Energy distribution</x:v>
      </x:c>
      <x:c r="E132" s="2" t="str">
        <x:v>Connection of isolated grid</x:v>
      </x:c>
      <x:c r="F132" s="2" t="str">
        <x:v>Iron ore / steel inputs</x:v>
      </x:c>
      <x:c r="G132" s="2" t="str">
        <x:v>Bulk and strategic mineral input</x:v>
      </x:c>
      <x:c r="H132" s="2" t="str">
        <x:v>Iron ore / steel inputs is linked to Connection of isolated grid because it is typically used in load-bearing structures, pressure vessels, piping or machinery; the assignment follows component function, not a sector-wide keyword.</x:v>
      </x:c>
      <x:c r="I132" s="2" t="str">
        <x:v>Presence and quantity in Connection of isolated grid depend on the selected design, chemistry, capacity, supplier and recycled content. This analytical link is not a verified bill of materials or supplier traceability statement.</x:v>
      </x:c>
      <x:c r="J132" s="2" t="str">
        <x:v>https://pubs.usgs.gov/periodicals/mcs2026/mcs2026.pdf</x:v>
      </x:c>
    </x:row>
    <x:row r="133" ht="66" customHeight="1">
      <x:c r="A133" s="2" t="str">
        <x:v>MIT-0042</x:v>
      </x:c>
      <x:c r="B133" s="2" t="str">
        <x:v>Mitigation</x:v>
      </x:c>
      <x:c r="C133" s="2" t="str">
        <x:v>Energy efficiency</x:v>
      </x:c>
      <x:c r="D133" s="2" t="str">
        <x:v>Energy distribution</x:v>
      </x:c>
      <x:c r="E133" s="2" t="str">
        <x:v>Connection of isolated grid</x:v>
      </x:c>
      <x:c r="F133" s="2" t="str">
        <x:v>Copper</x:v>
      </x:c>
      <x:c r="G133" s="2" t="str">
        <x:v>Critical or strategic metal</x:v>
      </x:c>
      <x:c r="H133" s="2" t="str">
        <x:v>Copper is linked to Connection of isolated grid because it is typically used in power cables, windings, busbars, grounding and electrical connectors; the assignment follows component function, not a sector-wide keyword.</x:v>
      </x:c>
      <x:c r="I133" s="2" t="str">
        <x:v>Presence and quantity in Connection of isolated grid depend on the selected design, chemistry, capacity, supplier and recycled content. This analytical link is not a verified bill of materials or supplier traceability statement.</x:v>
      </x:c>
      <x:c r="J133" s="2" t="str">
        <x:v>https://pubs.usgs.gov/periodicals/mcs2026/mcs2026.pdf</x:v>
      </x:c>
    </x:row>
    <x:row r="134" ht="66" customHeight="1">
      <x:c r="A134" s="2" t="str">
        <x:v>MIT-0042</x:v>
      </x:c>
      <x:c r="B134" s="2" t="str">
        <x:v>Mitigation</x:v>
      </x:c>
      <x:c r="C134" s="2" t="str">
        <x:v>Energy efficiency</x:v>
      </x:c>
      <x:c r="D134" s="2" t="str">
        <x:v>Energy distribution</x:v>
      </x:c>
      <x:c r="E134" s="2" t="str">
        <x:v>Connection of isolated grid</x:v>
      </x:c>
      <x:c r="F134" s="2" t="str">
        <x:v>Tin</x:v>
      </x:c>
      <x:c r="G134" s="2" t="str">
        <x:v>Electronics strategic metal</x:v>
      </x:c>
      <x:c r="H134" s="2" t="str">
        <x:v>Tin is linked to Connection of isolated grid because it is typically used in electronic solder and selected coatings; the assignment follows component function, not a sector-wide keyword.</x:v>
      </x:c>
      <x:c r="I134" s="2" t="str">
        <x:v>Presence and quantity in Connection of isolated grid depend on the selected design, chemistry, capacity, supplier and recycled content. This analytical link is not a verified bill of materials or supplier traceability statement.</x:v>
      </x:c>
      <x:c r="J134" s="2" t="str">
        <x:v>https://pubs.usgs.gov/periodicals/mcs2026/mcs2026.pdf</x:v>
      </x:c>
    </x:row>
    <x:row r="135" ht="66" customHeight="1">
      <x:c r="A135" s="2" t="str">
        <x:v>MIT-0043</x:v>
      </x:c>
      <x:c r="B135" s="2" t="str">
        <x:v>Mitigation</x:v>
      </x:c>
      <x:c r="C135" s="2" t="str">
        <x:v>Energy efficiency</x:v>
      </x:c>
      <x:c r="D135" s="2" t="str">
        <x:v>Appliances and equipment</x:v>
      </x:c>
      <x:c r="E135" s="2" t="str">
        <x:v>Water efficiency</x:v>
      </x:c>
      <x:c r="F135" s="2" t="str">
        <x:v>Iron ore / steel inputs</x:v>
      </x:c>
      <x:c r="G135" s="2" t="str">
        <x:v>Bulk and strategic mineral input</x:v>
      </x:c>
      <x:c r="H135" s="2" t="str">
        <x:v>Iron ore / steel inputs is linked to Water efficiency because it is typically used in load-bearing structures, pressure vessels, piping or machinery; the assignment follows component function, not a sector-wide keyword.</x:v>
      </x:c>
      <x:c r="I135" s="2" t="str">
        <x:v>Presence and quantity in Water efficiency depend on the selected design, chemistry, capacity, supplier and recycled content. This analytical link is not a verified bill of materials or supplier traceability statement.</x:v>
      </x:c>
      <x:c r="J135" s="2" t="str">
        <x:v>https://pubs.usgs.gov/periodicals/mcs2026/mcs2026.pdf</x:v>
      </x:c>
    </x:row>
    <x:row r="136" ht="66" customHeight="1">
      <x:c r="A136" s="2" t="str">
        <x:v>MIT-0044</x:v>
      </x:c>
      <x:c r="B136" s="2" t="str">
        <x:v>Mitigation</x:v>
      </x:c>
      <x:c r="C136" s="2" t="str">
        <x:v>Energy efficiency</x:v>
      </x:c>
      <x:c r="D136" s="2" t="str">
        <x:v>Appliances and equipment</x:v>
      </x:c>
      <x:c r="E136" s="2" t="str">
        <x:v>Residential water heaters</x:v>
      </x:c>
      <x:c r="F136" s="2" t="str">
        <x:v>Iron ore / steel inputs</x:v>
      </x:c>
      <x:c r="G136" s="2" t="str">
        <x:v>Bulk and strategic mineral input</x:v>
      </x:c>
      <x:c r="H136" s="2" t="str">
        <x:v>Iron ore / steel inputs is linked to Residential water heaters because it is typically used in load-bearing structures, pressure vessels, piping or machinery; the assignment follows component function, not a sector-wide keyword.</x:v>
      </x:c>
      <x:c r="I136" s="2" t="str">
        <x:v>Presence and quantity in Residential water heaters depend on the selected design, chemistry, capacity, supplier and recycled content. This analytical link is not a verified bill of materials or supplier traceability statement.</x:v>
      </x:c>
      <x:c r="J136" s="2" t="str">
        <x:v>https://pubs.usgs.gov/periodicals/mcs2026/mcs2026.pdf</x:v>
      </x:c>
    </x:row>
    <x:row r="137" ht="66" customHeight="1">
      <x:c r="A137" s="2" t="str">
        <x:v>MIT-0045</x:v>
      </x:c>
      <x:c r="B137" s="2" t="str">
        <x:v>Mitigation</x:v>
      </x:c>
      <x:c r="C137" s="2" t="str">
        <x:v>Energy efficiency</x:v>
      </x:c>
      <x:c r="D137" s="2" t="str">
        <x:v>Appliances and equipment</x:v>
      </x:c>
      <x:c r="E137" s="2" t="str">
        <x:v>LPG and LNG for household and commercial cooking</x:v>
      </x:c>
      <x:c r="F137" s="2" t="str">
        <x:v>Iron ore / steel inputs</x:v>
      </x:c>
      <x:c r="G137" s="2" t="str">
        <x:v>Bulk and strategic mineral input</x:v>
      </x:c>
      <x:c r="H137" s="2" t="str">
        <x:v>Iron ore / steel inputs is linked to LPG and LNG for household and commercial cooking because it is typically used in load-bearing structures, pressure vessels, piping or machinery; the assignment follows component function, not a sector-wide keyword.</x:v>
      </x:c>
      <x:c r="I137" s="2" t="str">
        <x:v>Presence and quantity in LPG and LNG for household and commercial cooking depend on the selected design, chemistry, capacity, supplier and recycled content. This analytical link is not a verified bill of materials or supplier traceability statement.</x:v>
      </x:c>
      <x:c r="J137" s="2" t="str">
        <x:v>https://pubs.usgs.gov/periodicals/mcs2026/mcs2026.pdf</x:v>
      </x:c>
    </x:row>
    <x:row r="138" ht="66" customHeight="1">
      <x:c r="A138" s="2" t="str">
        <x:v>MIT-0046</x:v>
      </x:c>
      <x:c r="B138" s="2" t="str">
        <x:v>Mitigation</x:v>
      </x:c>
      <x:c r="C138" s="2" t="str">
        <x:v>Energy efficiency</x:v>
      </x:c>
      <x:c r="D138" s="2" t="str">
        <x:v>Appliances and equipment</x:v>
      </x:c>
      <x:c r="E138" s="2" t="str">
        <x:v>Lighting</x:v>
      </x:c>
      <x:c r="F138" s="2" t="str">
        <x:v>Iron ore / steel inputs</x:v>
      </x:c>
      <x:c r="G138" s="2" t="str">
        <x:v>Bulk and strategic mineral input</x:v>
      </x:c>
      <x:c r="H138" s="2" t="str">
        <x:v>Iron ore / steel inputs is linked to Lighting because it is typically used in load-bearing structures, pressure vessels, piping or machinery; the assignment follows component function, not a sector-wide keyword.</x:v>
      </x:c>
      <x:c r="I138" s="2" t="str">
        <x:v>Presence and quantity in Lighting depend on the selected design, chemistry, capacity, supplier and recycled content. This analytical link is not a verified bill of materials or supplier traceability statement.</x:v>
      </x:c>
      <x:c r="J138" s="2" t="str">
        <x:v>https://pubs.usgs.gov/periodicals/mcs2026/mcs2026.pdf</x:v>
      </x:c>
    </x:row>
    <x:row r="139" ht="66" customHeight="1">
      <x:c r="A139" s="2" t="str">
        <x:v>MIT-0046</x:v>
      </x:c>
      <x:c r="B139" s="2" t="str">
        <x:v>Mitigation</x:v>
      </x:c>
      <x:c r="C139" s="2" t="str">
        <x:v>Energy efficiency</x:v>
      </x:c>
      <x:c r="D139" s="2" t="str">
        <x:v>Appliances and equipment</x:v>
      </x:c>
      <x:c r="E139" s="2" t="str">
        <x:v>Lighting</x:v>
      </x:c>
      <x:c r="F139" s="2" t="str">
        <x:v>Copper</x:v>
      </x:c>
      <x:c r="G139" s="2" t="str">
        <x:v>Critical or strategic metal</x:v>
      </x:c>
      <x:c r="H139" s="2" t="str">
        <x:v>Copper is linked to Lighting because it is typically used in power cables, windings, busbars, grounding and electrical connectors; the assignment follows component function, not a sector-wide keyword.</x:v>
      </x:c>
      <x:c r="I139" s="2" t="str">
        <x:v>Presence and quantity in Lighting depend on the selected design, chemistry, capacity, supplier and recycled content. This analytical link is not a verified bill of materials or supplier traceability statement.</x:v>
      </x:c>
      <x:c r="J139" s="2" t="str">
        <x:v>https://pubs.usgs.gov/periodicals/mcs2026/mcs2026.pdf</x:v>
      </x:c>
    </x:row>
    <x:row r="140" ht="66" customHeight="1">
      <x:c r="A140" s="2" t="str">
        <x:v>MIT-0046</x:v>
      </x:c>
      <x:c r="B140" s="2" t="str">
        <x:v>Mitigation</x:v>
      </x:c>
      <x:c r="C140" s="2" t="str">
        <x:v>Energy efficiency</x:v>
      </x:c>
      <x:c r="D140" s="2" t="str">
        <x:v>Appliances and equipment</x:v>
      </x:c>
      <x:c r="E140" s="2" t="str">
        <x:v>Lighting</x:v>
      </x:c>
      <x:c r="F140" s="2" t="str">
        <x:v>Tin</x:v>
      </x:c>
      <x:c r="G140" s="2" t="str">
        <x:v>Electronics strategic metal</x:v>
      </x:c>
      <x:c r="H140" s="2" t="str">
        <x:v>Tin is linked to Lighting because it is typically used in electronic solder and selected coatings; the assignment follows component function, not a sector-wide keyword.</x:v>
      </x:c>
      <x:c r="I140" s="2" t="str">
        <x:v>Presence and quantity in Lighting depend on the selected design, chemistry, capacity, supplier and recycled content. This analytical link is not a verified bill of materials or supplier traceability statement.</x:v>
      </x:c>
      <x:c r="J140" s="2" t="str">
        <x:v>https://pubs.usgs.gov/periodicals/mcs2026/mcs2026.pdf</x:v>
      </x:c>
    </x:row>
    <x:row r="141" ht="66" customHeight="1">
      <x:c r="A141" s="2" t="str">
        <x:v>MIT-0047</x:v>
      </x:c>
      <x:c r="B141" s="2" t="str">
        <x:v>Mitigation</x:v>
      </x:c>
      <x:c r="C141" s="2" t="str">
        <x:v>Energy efficiency</x:v>
      </x:c>
      <x:c r="D141" s="2" t="str">
        <x:v>Appliances and equipment</x:v>
      </x:c>
      <x:c r="E141" s="2" t="str">
        <x:v>Community-based energy services</x:v>
      </x:c>
      <x:c r="F141" s="2" t="str">
        <x:v>Iron ore / steel inputs</x:v>
      </x:c>
      <x:c r="G141" s="2" t="str">
        <x:v>Bulk and strategic mineral input</x:v>
      </x:c>
      <x:c r="H141" s="2" t="str">
        <x:v>Iron ore / steel inputs is linked to Community-based energy services because it is typically used in load-bearing structures, pressure vessels, piping or machinery; the assignment follows component function, not a sector-wide keyword.</x:v>
      </x:c>
      <x:c r="I141" s="2" t="str">
        <x:v>Presence and quantity in Community-based energy services depend on the selected design, chemistry, capacity, supplier and recycled content. This analytical link is not a verified bill of materials or supplier traceability statement.</x:v>
      </x:c>
      <x:c r="J141" s="2" t="str">
        <x:v>https://pubs.usgs.gov/periodicals/mcs2026/mcs2026.pdf</x:v>
      </x:c>
    </x:row>
    <x:row r="142" ht="66" customHeight="1">
      <x:c r="A142" s="2" t="str">
        <x:v>MIT-0048</x:v>
      </x:c>
      <x:c r="B142" s="2" t="str">
        <x:v>Mitigation</x:v>
      </x:c>
      <x:c r="C142" s="2" t="str">
        <x:v>Energy efficiency</x:v>
      </x:c>
      <x:c r="D142" s="2" t="str">
        <x:v>Appliances and equipment</x:v>
      </x:c>
      <x:c r="E142" s="2" t="str">
        <x:v>Appliance standards</x:v>
      </x:c>
      <x:c r="F142" s="2" t="str">
        <x:v>Iron ore / steel inputs</x:v>
      </x:c>
      <x:c r="G142" s="2" t="str">
        <x:v>Bulk and strategic mineral input</x:v>
      </x:c>
      <x:c r="H142" s="2" t="str">
        <x:v>Iron ore / steel inputs is linked to Appliance standards because it is typically used in load-bearing structures, pressure vessels, piping or machinery; the assignment follows component function, not a sector-wide keyword.</x:v>
      </x:c>
      <x:c r="I142" s="2" t="str">
        <x:v>Presence and quantity in Appliance standards depend on the selected design, chemistry, capacity, supplier and recycled content. This analytical link is not a verified bill of materials or supplier traceability statement.</x:v>
      </x:c>
      <x:c r="J142" s="2" t="str">
        <x:v>https://pubs.usgs.gov/periodicals/mcs2026/mcs2026.pdf</x:v>
      </x:c>
    </x:row>
    <x:row r="143" ht="66" customHeight="1">
      <x:c r="A143" s="2" t="str">
        <x:v>MIT-0049</x:v>
      </x:c>
      <x:c r="B143" s="2" t="str">
        <x:v>Mitigation</x:v>
      </x:c>
      <x:c r="C143" s="2" t="str">
        <x:v>Energy efficiency</x:v>
      </x:c>
      <x:c r="D143" s="2" t="str">
        <x:v>Appliances and equipment</x:v>
      </x:c>
      <x:c r="E143" s="2" t="str">
        <x:v>Efficient server and network technology</x:v>
      </x:c>
      <x:c r="F143" s="2" t="str">
        <x:v>Iron ore / steel inputs</x:v>
      </x:c>
      <x:c r="G143" s="2" t="str">
        <x:v>Bulk and strategic mineral input</x:v>
      </x:c>
      <x:c r="H143" s="2" t="str">
        <x:v>Iron ore / steel inputs is linked to Efficient server and network technology because it is typically used in load-bearing structures, pressure vessels, piping or machinery; the assignment follows component function, not a sector-wide keyword.</x:v>
      </x:c>
      <x:c r="I143" s="2" t="str">
        <x:v>Presence and quantity in Efficient server and network technology depend on the selected design, chemistry, capacity, supplier and recycled content. This analytical link is not a verified bill of materials or supplier traceability statement.</x:v>
      </x:c>
      <x:c r="J143" s="2" t="str">
        <x:v>https://pubs.usgs.gov/periodicals/mcs2026/mcs2026.pdf</x:v>
      </x:c>
    </x:row>
    <x:row r="144" ht="66" customHeight="1">
      <x:c r="A144" s="2" t="str">
        <x:v>MIT-0049</x:v>
      </x:c>
      <x:c r="B144" s="2" t="str">
        <x:v>Mitigation</x:v>
      </x:c>
      <x:c r="C144" s="2" t="str">
        <x:v>Energy efficiency</x:v>
      </x:c>
      <x:c r="D144" s="2" t="str">
        <x:v>Appliances and equipment</x:v>
      </x:c>
      <x:c r="E144" s="2" t="str">
        <x:v>Efficient server and network technology</x:v>
      </x:c>
      <x:c r="F144" s="2" t="str">
        <x:v>Copper</x:v>
      </x:c>
      <x:c r="G144" s="2" t="str">
        <x:v>Critical or strategic metal</x:v>
      </x:c>
      <x:c r="H144" s="2" t="str">
        <x:v>Copper is linked to Efficient server and network technology because it is typically used in power cables, windings, busbars, grounding and electrical connectors; the assignment follows component function, not a sector-wide keyword.</x:v>
      </x:c>
      <x:c r="I144" s="2" t="str">
        <x:v>Presence and quantity in Efficient server and network technology depend on the selected design, chemistry, capacity, supplier and recycled content. This analytical link is not a verified bill of materials or supplier traceability statement.</x:v>
      </x:c>
      <x:c r="J144" s="2" t="str">
        <x:v>https://pubs.usgs.gov/periodicals/mcs2026/mcs2026.pdf</x:v>
      </x:c>
    </x:row>
    <x:row r="145" ht="66" customHeight="1">
      <x:c r="A145" s="2" t="str">
        <x:v>MIT-0049</x:v>
      </x:c>
      <x:c r="B145" s="2" t="str">
        <x:v>Mitigation</x:v>
      </x:c>
      <x:c r="C145" s="2" t="str">
        <x:v>Energy efficiency</x:v>
      </x:c>
      <x:c r="D145" s="2" t="str">
        <x:v>Appliances and equipment</x:v>
      </x:c>
      <x:c r="E145" s="2" t="str">
        <x:v>Efficient server and network technology</x:v>
      </x:c>
      <x:c r="F145" s="2" t="str">
        <x:v>Tin</x:v>
      </x:c>
      <x:c r="G145" s="2" t="str">
        <x:v>Electronics strategic metal</x:v>
      </x:c>
      <x:c r="H145" s="2" t="str">
        <x:v>Tin is linked to Efficient server and network technology because it is typically used in electronic solder and selected coatings; the assignment follows component function, not a sector-wide keyword.</x:v>
      </x:c>
      <x:c r="I145" s="2" t="str">
        <x:v>Presence and quantity in Efficient server and network technology depend on the selected design, chemistry, capacity, supplier and recycled content. This analytical link is not a verified bill of materials or supplier traceability statement.</x:v>
      </x:c>
      <x:c r="J145" s="2" t="str">
        <x:v>https://pubs.usgs.gov/periodicals/mcs2026/mcs2026.pdf</x:v>
      </x:c>
    </x:row>
    <x:row r="146" ht="66" customHeight="1">
      <x:c r="A146" s="2" t="str">
        <x:v>MIT-0049</x:v>
      </x:c>
      <x:c r="B146" s="2" t="str">
        <x:v>Mitigation</x:v>
      </x:c>
      <x:c r="C146" s="2" t="str">
        <x:v>Energy efficiency</x:v>
      </x:c>
      <x:c r="D146" s="2" t="str">
        <x:v>Appliances and equipment</x:v>
      </x:c>
      <x:c r="E146" s="2" t="str">
        <x:v>Efficient server and network technology</x:v>
      </x:c>
      <x:c r="F146" s="2" t="str">
        <x:v>Tantalum</x:v>
      </x:c>
      <x:c r="G146" s="2" t="str">
        <x:v>Electronics critical mineral</x:v>
      </x:c>
      <x:c r="H146" s="2" t="str">
        <x:v>Tantalum is linked to Efficient server and network technology because it is typically used in high-reliability electronic capacitors; the assignment follows component function, not a sector-wide keyword.</x:v>
      </x:c>
      <x:c r="I146" s="2" t="str">
        <x:v>Presence and quantity in Efficient server and network technology depend on the selected design, chemistry, capacity, supplier and recycled content. This analytical link is not a verified bill of materials or supplier traceability statement.</x:v>
      </x:c>
      <x:c r="J146" s="2" t="str">
        <x:v>https://pubs.usgs.gov/periodicals/mcs2026/mcs2026.pdf</x:v>
      </x:c>
    </x:row>
    <x:row r="147" ht="66" customHeight="1">
      <x:c r="A147" s="2" t="str">
        <x:v>MIT-0050</x:v>
      </x:c>
      <x:c r="B147" s="2" t="str">
        <x:v>Mitigation</x:v>
      </x:c>
      <x:c r="C147" s="2" t="str">
        <x:v>Energy efficiency</x:v>
      </x:c>
      <x:c r="D147" s="2" t="str">
        <x:v>Appliances and equipment</x:v>
      </x:c>
      <x:c r="E147" s="2" t="str">
        <x:v>Improved cook stoves</x:v>
      </x:c>
      <x:c r="F147" s="2" t="str">
        <x:v>Iron ore / steel inputs</x:v>
      </x:c>
      <x:c r="G147" s="2" t="str">
        <x:v>Bulk and strategic mineral input</x:v>
      </x:c>
      <x:c r="H147" s="2" t="str">
        <x:v>Iron ore / steel inputs is linked to Improved cook stoves because it is typically used in load-bearing structures, pressure vessels, piping or machinery; the assignment follows component function, not a sector-wide keyword.</x:v>
      </x:c>
      <x:c r="I147" s="2" t="str">
        <x:v>Presence and quantity in Improved cook stoves depend on the selected design, chemistry, capacity, supplier and recycled content. This analytical link is not a verified bill of materials or supplier traceability statement.</x:v>
      </x:c>
      <x:c r="J147" s="2" t="str">
        <x:v>https://pubs.usgs.gov/periodicals/mcs2026/mcs2026.pdf</x:v>
      </x:c>
    </x:row>
    <x:row r="148" ht="66" customHeight="1">
      <x:c r="A148" s="2" t="str">
        <x:v>MIT-0051</x:v>
      </x:c>
      <x:c r="B148" s="2" t="str">
        <x:v>Mitigation</x:v>
      </x:c>
      <x:c r="C148" s="2" t="str">
        <x:v>Energy efficiency</x:v>
      </x:c>
      <x:c r="D148" s="2" t="str">
        <x:v>Appliances and equipment</x:v>
      </x:c>
      <x:c r="E148" s="2" t="str">
        <x:v>Fuel cell technologies</x:v>
      </x:c>
      <x:c r="F148" s="2" t="str">
        <x:v>Iron ore / steel inputs</x:v>
      </x:c>
      <x:c r="G148" s="2" t="str">
        <x:v>Bulk and strategic mineral input</x:v>
      </x:c>
      <x:c r="H148" s="2" t="str">
        <x:v>Iron ore / steel inputs is linked to Fuel cell technologies because it is typically used in load-bearing structures, pressure vessels, piping or machinery; the assignment follows component function, not a sector-wide keyword.</x:v>
      </x:c>
      <x:c r="I148" s="2" t="str">
        <x:v>Presence and quantity in Fuel cell technologies depend on the selected design, chemistry, capacity, supplier and recycled content. This analytical link is not a verified bill of materials or supplier traceability statement.</x:v>
      </x:c>
      <x:c r="J148" s="2" t="str">
        <x:v>https://pubs.usgs.gov/periodicals/mcs2026/mcs2026.pdf</x:v>
      </x:c>
    </x:row>
    <x:row r="149" ht="66" customHeight="1">
      <x:c r="A149" s="2" t="str">
        <x:v>MIT-0051</x:v>
      </x:c>
      <x:c r="B149" s="2" t="str">
        <x:v>Mitigation</x:v>
      </x:c>
      <x:c r="C149" s="2" t="str">
        <x:v>Energy efficiency</x:v>
      </x:c>
      <x:c r="D149" s="2" t="str">
        <x:v>Appliances and equipment</x:v>
      </x:c>
      <x:c r="E149" s="2" t="str">
        <x:v>Fuel cell technologies</x:v>
      </x:c>
      <x:c r="F149" s="2" t="str">
        <x:v>Copper</x:v>
      </x:c>
      <x:c r="G149" s="2" t="str">
        <x:v>Critical or strategic metal</x:v>
      </x:c>
      <x:c r="H149" s="2" t="str">
        <x:v>Copper is linked to Fuel cell technologies because it is typically used in power cables, windings, busbars, grounding and electrical connectors; the assignment follows component function, not a sector-wide keyword.</x:v>
      </x:c>
      <x:c r="I149" s="2" t="str">
        <x:v>Presence and quantity in Fuel cell technologies depend on the selected design, chemistry, capacity, supplier and recycled content. This analytical link is not a verified bill of materials or supplier traceability statement.</x:v>
      </x:c>
      <x:c r="J149" s="2" t="str">
        <x:v>https://pubs.usgs.gov/periodicals/mcs2026/mcs2026.pdf</x:v>
      </x:c>
    </x:row>
    <x:row r="150" ht="66" customHeight="1">
      <x:c r="A150" s="2" t="str">
        <x:v>MIT-0051</x:v>
      </x:c>
      <x:c r="B150" s="2" t="str">
        <x:v>Mitigation</x:v>
      </x:c>
      <x:c r="C150" s="2" t="str">
        <x:v>Energy efficiency</x:v>
      </x:c>
      <x:c r="D150" s="2" t="str">
        <x:v>Appliances and equipment</x:v>
      </x:c>
      <x:c r="E150" s="2" t="str">
        <x:v>Fuel cell technologies</x:v>
      </x:c>
      <x:c r="F150" s="2" t="str">
        <x:v>Tin</x:v>
      </x:c>
      <x:c r="G150" s="2" t="str">
        <x:v>Electronics strategic metal</x:v>
      </x:c>
      <x:c r="H150" s="2" t="str">
        <x:v>Tin is linked to Fuel cell technologies because it is typically used in electronic solder and selected coatings; the assignment follows component function, not a sector-wide keyword.</x:v>
      </x:c>
      <x:c r="I150" s="2" t="str">
        <x:v>Presence and quantity in Fuel cell technologies depend on the selected design, chemistry, capacity, supplier and recycled content. This analytical link is not a verified bill of materials or supplier traceability statement.</x:v>
      </x:c>
      <x:c r="J150" s="2" t="str">
        <x:v>https://pubs.usgs.gov/periodicals/mcs2026/mcs2026.pdf</x:v>
      </x:c>
    </x:row>
    <x:row r="151" ht="66" customHeight="1">
      <x:c r="A151" s="2" t="str">
        <x:v>MIT-0051</x:v>
      </x:c>
      <x:c r="B151" s="2" t="str">
        <x:v>Mitigation</x:v>
      </x:c>
      <x:c r="C151" s="2" t="str">
        <x:v>Energy efficiency</x:v>
      </x:c>
      <x:c r="D151" s="2" t="str">
        <x:v>Appliances and equipment</x:v>
      </x:c>
      <x:c r="E151" s="2" t="str">
        <x:v>Fuel cell technologies</x:v>
      </x:c>
      <x:c r="F151" s="2" t="str">
        <x:v>Platinum-group metals</x:v>
      </x:c>
      <x:c r="G151" s="2" t="str">
        <x:v>Catalyst critical minerals</x:v>
      </x:c>
      <x:c r="H151" s="2" t="str">
        <x:v>Platinum-group metals is linked to Fuel cell technologies because it is typically used in electrochemical electrodes or catalytic conversion; the assignment follows component function, not a sector-wide keyword.</x:v>
      </x:c>
      <x:c r="I151" s="2" t="str">
        <x:v>Presence and quantity in Fuel cell technologies depend on the selected design, chemistry, capacity, supplier and recycled content. This analytical link is not a verified bill of materials or supplier traceability statement.</x:v>
      </x:c>
      <x:c r="J151" s="2" t="str">
        <x:v>https://pubs.usgs.gov/periodicals/mcs2026/mcs2026.pdf</x:v>
      </x:c>
    </x:row>
    <x:row r="152" ht="66" customHeight="1">
      <x:c r="A152" s="2" t="str">
        <x:v>MIT-0052</x:v>
      </x:c>
      <x:c r="B152" s="2" t="str">
        <x:v>Mitigation</x:v>
      </x:c>
      <x:c r="C152" s="2" t="str">
        <x:v>Energy efficiency</x:v>
      </x:c>
      <x:c r="D152" s="2" t="str">
        <x:v>Appliances and equipment</x:v>
      </x:c>
      <x:c r="E152" s="2" t="str">
        <x:v>Appliances</x:v>
      </x:c>
      <x:c r="F152" s="2" t="str">
        <x:v>Iron ore / steel inputs</x:v>
      </x:c>
      <x:c r="G152" s="2" t="str">
        <x:v>Bulk and strategic mineral input</x:v>
      </x:c>
      <x:c r="H152" s="2" t="str">
        <x:v>Iron ore / steel inputs is linked to Appliances because it is typically used in load-bearing structures, pressure vessels, piping or machinery; the assignment follows component function, not a sector-wide keyword.</x:v>
      </x:c>
      <x:c r="I152" s="2" t="str">
        <x:v>Presence and quantity in Appliances depend on the selected design, chemistry, capacity, supplier and recycled content. This analytical link is not a verified bill of materials or supplier traceability statement.</x:v>
      </x:c>
      <x:c r="J152" s="2" t="str">
        <x:v>https://pubs.usgs.gov/periodicals/mcs2026/mcs2026.pdf</x:v>
      </x:c>
    </x:row>
    <x:row r="153" ht="66" customHeight="1">
      <x:c r="A153" s="2" t="str">
        <x:v>MIT-0053</x:v>
      </x:c>
      <x:c r="B153" s="2" t="str">
        <x:v>Mitigation</x:v>
      </x:c>
      <x:c r="C153" s="2" t="str">
        <x:v>Energy efficiency</x:v>
      </x:c>
      <x:c r="D153" s="2" t="str">
        <x:v>Appliances and equipment</x:v>
      </x:c>
      <x:c r="E153" s="2" t="str">
        <x:v>Water purification</x:v>
      </x:c>
      <x:c r="F153" s="2" t="str">
        <x:v>Iron ore / steel inputs</x:v>
      </x:c>
      <x:c r="G153" s="2" t="str">
        <x:v>Bulk and strategic mineral input</x:v>
      </x:c>
      <x:c r="H153" s="2" t="str">
        <x:v>Iron ore / steel inputs is linked to Water purification because it is typically used in load-bearing structures, pressure vessels, piping or machinery; the assignment follows component function, not a sector-wide keyword.</x:v>
      </x:c>
      <x:c r="I153" s="2" t="str">
        <x:v>Presence and quantity in Water purification depend on the selected design, chemistry, capacity, supplier and recycled content. This analytical link is not a verified bill of materials or supplier traceability statement.</x:v>
      </x:c>
      <x:c r="J153" s="2" t="str">
        <x:v>https://pubs.usgs.gov/periodicals/mcs2026/mcs2026.pdf</x:v>
      </x:c>
    </x:row>
    <x:row r="154" ht="66" customHeight="1">
      <x:c r="A154" s="2" t="str">
        <x:v>MIT-0054</x:v>
      </x:c>
      <x:c r="B154" s="2" t="str">
        <x:v>Mitigation</x:v>
      </x:c>
      <x:c r="C154" s="2" t="str">
        <x:v>Energy efficiency</x:v>
      </x:c>
      <x:c r="D154" s="2" t="str">
        <x:v>Appliances and equipment</x:v>
      </x:c>
      <x:c r="E154" s="2" t="str">
        <x:v>Energy labelling</x:v>
      </x:c>
      <x:c r="F154" s="2" t="str">
        <x:v>Iron ore / steel inputs</x:v>
      </x:c>
      <x:c r="G154" s="2" t="str">
        <x:v>Bulk and strategic mineral input</x:v>
      </x:c>
      <x:c r="H154" s="2" t="str">
        <x:v>Iron ore / steel inputs is linked to Energy labelling because it is typically used in load-bearing structures, pressure vessels, piping or machinery; the assignment follows component function, not a sector-wide keyword.</x:v>
      </x:c>
      <x:c r="I154" s="2" t="str">
        <x:v>Presence and quantity in Energy labelling depend on the selected design, chemistry, capacity, supplier and recycled content. This analytical link is not a verified bill of materials or supplier traceability statement.</x:v>
      </x:c>
      <x:c r="J154" s="2" t="str">
        <x:v>https://pubs.usgs.gov/periodicals/mcs2026/mcs2026.pdf</x:v>
      </x:c>
    </x:row>
    <x:row r="155" ht="66" customHeight="1">
      <x:c r="A155" s="2" t="str">
        <x:v>MIT-0055</x:v>
      </x:c>
      <x:c r="B155" s="2" t="str">
        <x:v>Mitigation</x:v>
      </x:c>
      <x:c r="C155" s="2" t="str">
        <x:v>Energy efficiency</x:v>
      </x:c>
      <x:c r="D155" s="2" t="str">
        <x:v>Appliances and equipment</x:v>
      </x:c>
      <x:c r="E155" s="2" t="str">
        <x:v>Water pumping</x:v>
      </x:c>
      <x:c r="F155" s="2" t="str">
        <x:v>Iron ore / steel inputs</x:v>
      </x:c>
      <x:c r="G155" s="2" t="str">
        <x:v>Bulk and strategic mineral input</x:v>
      </x:c>
      <x:c r="H155" s="2" t="str">
        <x:v>Iron ore / steel inputs is linked to Water pumping because it is typically used in load-bearing structures, pressure vessels, piping or machinery; the assignment follows component function, not a sector-wide keyword.</x:v>
      </x:c>
      <x:c r="I155" s="2" t="str">
        <x:v>Presence and quantity in Water pumping depend on the selected design, chemistry, capacity, supplier and recycled content. This analytical link is not a verified bill of materials or supplier traceability statement.</x:v>
      </x:c>
      <x:c r="J155" s="2" t="str">
        <x:v>https://pubs.usgs.gov/periodicals/mcs2026/mcs2026.pdf</x:v>
      </x:c>
    </x:row>
    <x:row r="156" ht="66" customHeight="1">
      <x:c r="A156" s="2" t="str">
        <x:v>MIT-0055</x:v>
      </x:c>
      <x:c r="B156" s="2" t="str">
        <x:v>Mitigation</x:v>
      </x:c>
      <x:c r="C156" s="2" t="str">
        <x:v>Energy efficiency</x:v>
      </x:c>
      <x:c r="D156" s="2" t="str">
        <x:v>Appliances and equipment</x:v>
      </x:c>
      <x:c r="E156" s="2" t="str">
        <x:v>Water pumping</x:v>
      </x:c>
      <x:c r="F156" s="2" t="str">
        <x:v>Copper</x:v>
      </x:c>
      <x:c r="G156" s="2" t="str">
        <x:v>Critical or strategic metal</x:v>
      </x:c>
      <x:c r="H156" s="2" t="str">
        <x:v>Copper is linked to Water pumping because it is typically used in power cables, windings, busbars, grounding and electrical connectors; the assignment follows component function, not a sector-wide keyword.</x:v>
      </x:c>
      <x:c r="I156" s="2" t="str">
        <x:v>Presence and quantity in Water pumping depend on the selected design, chemistry, capacity, supplier and recycled content. This analytical link is not a verified bill of materials or supplier traceability statement.</x:v>
      </x:c>
      <x:c r="J156" s="2" t="str">
        <x:v>https://pubs.usgs.gov/periodicals/mcs2026/mcs2026.pdf</x:v>
      </x:c>
    </x:row>
    <x:row r="157" ht="66" customHeight="1">
      <x:c r="A157" s="2" t="str">
        <x:v>MIT-0055</x:v>
      </x:c>
      <x:c r="B157" s="2" t="str">
        <x:v>Mitigation</x:v>
      </x:c>
      <x:c r="C157" s="2" t="str">
        <x:v>Energy efficiency</x:v>
      </x:c>
      <x:c r="D157" s="2" t="str">
        <x:v>Appliances and equipment</x:v>
      </x:c>
      <x:c r="E157" s="2" t="str">
        <x:v>Water pumping</x:v>
      </x:c>
      <x:c r="F157" s="2" t="str">
        <x:v>Tin</x:v>
      </x:c>
      <x:c r="G157" s="2" t="str">
        <x:v>Electronics strategic metal</x:v>
      </x:c>
      <x:c r="H157" s="2" t="str">
        <x:v>Tin is linked to Water pumping because it is typically used in electronic solder and selected coatings; the assignment follows component function, not a sector-wide keyword.</x:v>
      </x:c>
      <x:c r="I157" s="2" t="str">
        <x:v>Presence and quantity in Water pumping depend on the selected design, chemistry, capacity, supplier and recycled content. This analytical link is not a verified bill of materials or supplier traceability statement.</x:v>
      </x:c>
      <x:c r="J157" s="2" t="str">
        <x:v>https://pubs.usgs.gov/periodicals/mcs2026/mcs2026.pdf</x:v>
      </x:c>
    </x:row>
    <x:row r="158" ht="66" customHeight="1">
      <x:c r="A158" s="2" t="str">
        <x:v>MIT-0056</x:v>
      </x:c>
      <x:c r="B158" s="2" t="str">
        <x:v>Mitigation</x:v>
      </x:c>
      <x:c r="C158" s="2" t="str">
        <x:v>Energy efficiency</x:v>
      </x:c>
      <x:c r="D158" s="2" t="str">
        <x:v>Buildings</x:v>
      </x:c>
      <x:c r="E158" s="2" t="str">
        <x:v>Sustainable design</x:v>
      </x:c>
      <x:c r="F158" s="2" t="str">
        <x:v>Iron ore / steel inputs</x:v>
      </x:c>
      <x:c r="G158" s="2" t="str">
        <x:v>Bulk and strategic mineral input</x:v>
      </x:c>
      <x:c r="H158" s="2" t="str">
        <x:v>Iron ore / steel inputs is linked to Sustainable design because it is typically used in load-bearing structures, pressure vessels, piping or machinery; the assignment follows component function, not a sector-wide keyword.</x:v>
      </x:c>
      <x:c r="I158" s="2" t="str">
        <x:v>Presence and quantity in Sustainable design depend on the selected design, chemistry, capacity, supplier and recycled content. This analytical link is not a verified bill of materials or supplier traceability statement.</x:v>
      </x:c>
      <x:c r="J158" s="2" t="str">
        <x:v>https://pubs.usgs.gov/periodicals/mcs2026/mcs2026.pdf</x:v>
      </x:c>
    </x:row>
    <x:row r="159" ht="66" customHeight="1">
      <x:c r="A159" s="2" t="str">
        <x:v>MIT-0056</x:v>
      </x:c>
      <x:c r="B159" s="2" t="str">
        <x:v>Mitigation</x:v>
      </x:c>
      <x:c r="C159" s="2" t="str">
        <x:v>Energy efficiency</x:v>
      </x:c>
      <x:c r="D159" s="2" t="str">
        <x:v>Buildings</x:v>
      </x:c>
      <x:c r="E159" s="2" t="str">
        <x:v>Sustainable design</x:v>
      </x:c>
      <x:c r="F159" s="2" t="str">
        <x:v>Limestone / cement raw materials</x:v>
      </x:c>
      <x:c r="G159" s="2" t="str">
        <x:v>Bulk construction material</x:v>
      </x:c>
      <x:c r="H159" s="2" t="str">
        <x:v>Limestone / cement raw materials is linked to Sustainable design because it is typically used in concrete foundations, channels, buildings or protective civil works; the assignment follows component function, not a sector-wide keyword.</x:v>
      </x:c>
      <x:c r="I159" s="2" t="str">
        <x:v>Presence and quantity in Sustainable design depend on the selected design, chemistry, capacity, supplier and recycled content. This analytical link is not a verified bill of materials or supplier traceability statement.</x:v>
      </x:c>
      <x:c r="J159" s="2" t="str">
        <x:v>https://pubs.usgs.gov/periodicals/mcs2026/mcs2026.pdf</x:v>
      </x:c>
    </x:row>
    <x:row r="160" ht="66" customHeight="1">
      <x:c r="A160" s="2" t="str">
        <x:v>MIT-0057</x:v>
      </x:c>
      <x:c r="B160" s="2" t="str">
        <x:v>Mitigation</x:v>
      </x:c>
      <x:c r="C160" s="2" t="str">
        <x:v>Energy efficiency</x:v>
      </x:c>
      <x:c r="D160" s="2" t="str">
        <x:v>Buildings</x:v>
      </x:c>
      <x:c r="E160" s="2" t="str">
        <x:v>Daylight harnessing</x:v>
      </x:c>
      <x:c r="F160" s="2" t="str">
        <x:v>Iron ore / steel inputs</x:v>
      </x:c>
      <x:c r="G160" s="2" t="str">
        <x:v>Bulk and strategic mineral input</x:v>
      </x:c>
      <x:c r="H160" s="2" t="str">
        <x:v>Iron ore / steel inputs is linked to Daylight harnessing because it is typically used in load-bearing structures, pressure vessels, piping or machinery; the assignment follows component function, not a sector-wide keyword.</x:v>
      </x:c>
      <x:c r="I160" s="2" t="str">
        <x:v>Presence and quantity in Daylight harnessing depend on the selected design, chemistry, capacity, supplier and recycled content. This analytical link is not a verified bill of materials or supplier traceability statement.</x:v>
      </x:c>
      <x:c r="J160" s="2" t="str">
        <x:v>https://pubs.usgs.gov/periodicals/mcs2026/mcs2026.pdf</x:v>
      </x:c>
    </x:row>
    <x:row r="161" ht="66" customHeight="1">
      <x:c r="A161" s="2" t="str">
        <x:v>MIT-0057</x:v>
      </x:c>
      <x:c r="B161" s="2" t="str">
        <x:v>Mitigation</x:v>
      </x:c>
      <x:c r="C161" s="2" t="str">
        <x:v>Energy efficiency</x:v>
      </x:c>
      <x:c r="D161" s="2" t="str">
        <x:v>Buildings</x:v>
      </x:c>
      <x:c r="E161" s="2" t="str">
        <x:v>Daylight harnessing</x:v>
      </x:c>
      <x:c r="F161" s="2" t="str">
        <x:v>Limestone / cement raw materials</x:v>
      </x:c>
      <x:c r="G161" s="2" t="str">
        <x:v>Bulk construction material</x:v>
      </x:c>
      <x:c r="H161" s="2" t="str">
        <x:v>Limestone / cement raw materials is linked to Daylight harnessing because it is typically used in concrete foundations, channels, buildings or protective civil works; the assignment follows component function, not a sector-wide keyword.</x:v>
      </x:c>
      <x:c r="I161" s="2" t="str">
        <x:v>Presence and quantity in Daylight harnessing depend on the selected design, chemistry, capacity, supplier and recycled content. This analytical link is not a verified bill of materials or supplier traceability statement.</x:v>
      </x:c>
      <x:c r="J161" s="2" t="str">
        <x:v>https://pubs.usgs.gov/periodicals/mcs2026/mcs2026.pdf</x:v>
      </x:c>
    </x:row>
    <x:row r="162" ht="66" customHeight="1">
      <x:c r="A162" s="2" t="str">
        <x:v>MIT-0058</x:v>
      </x:c>
      <x:c r="B162" s="2" t="str">
        <x:v>Mitigation</x:v>
      </x:c>
      <x:c r="C162" s="2" t="str">
        <x:v>Energy efficiency</x:v>
      </x:c>
      <x:c r="D162" s="2" t="str">
        <x:v>Buildings</x:v>
      </x:c>
      <x:c r="E162" s="2" t="str">
        <x:v>New building design</x:v>
      </x:c>
      <x:c r="F162" s="2" t="str">
        <x:v>Iron ore / steel inputs</x:v>
      </x:c>
      <x:c r="G162" s="2" t="str">
        <x:v>Bulk and strategic mineral input</x:v>
      </x:c>
      <x:c r="H162" s="2" t="str">
        <x:v>Iron ore / steel inputs is linked to New building design because it is typically used in load-bearing structures, pressure vessels, piping or machinery; the assignment follows component function, not a sector-wide keyword.</x:v>
      </x:c>
      <x:c r="I162" s="2" t="str">
        <x:v>Presence and quantity in New building design depend on the selected design, chemistry, capacity, supplier and recycled content. This analytical link is not a verified bill of materials or supplier traceability statement.</x:v>
      </x:c>
      <x:c r="J162" s="2" t="str">
        <x:v>https://pubs.usgs.gov/periodicals/mcs2026/mcs2026.pdf</x:v>
      </x:c>
    </x:row>
    <x:row r="163" ht="66" customHeight="1">
      <x:c r="A163" s="2" t="str">
        <x:v>MIT-0058</x:v>
      </x:c>
      <x:c r="B163" s="2" t="str">
        <x:v>Mitigation</x:v>
      </x:c>
      <x:c r="C163" s="2" t="str">
        <x:v>Energy efficiency</x:v>
      </x:c>
      <x:c r="D163" s="2" t="str">
        <x:v>Buildings</x:v>
      </x:c>
      <x:c r="E163" s="2" t="str">
        <x:v>New building design</x:v>
      </x:c>
      <x:c r="F163" s="2" t="str">
        <x:v>Limestone / cement raw materials</x:v>
      </x:c>
      <x:c r="G163" s="2" t="str">
        <x:v>Bulk construction material</x:v>
      </x:c>
      <x:c r="H163" s="2" t="str">
        <x:v>Limestone / cement raw materials is linked to New building design because it is typically used in concrete foundations, channels, buildings or protective civil works; the assignment follows component function, not a sector-wide keyword.</x:v>
      </x:c>
      <x:c r="I163" s="2" t="str">
        <x:v>Presence and quantity in New building design depend on the selected design, chemistry, capacity, supplier and recycled content. This analytical link is not a verified bill of materials or supplier traceability statement.</x:v>
      </x:c>
      <x:c r="J163" s="2" t="str">
        <x:v>https://pubs.usgs.gov/periodicals/mcs2026/mcs2026.pdf</x:v>
      </x:c>
    </x:row>
    <x:row r="164" ht="66" customHeight="1">
      <x:c r="A164" s="2" t="str">
        <x:v>MIT-0059</x:v>
      </x:c>
      <x:c r="B164" s="2" t="str">
        <x:v>Mitigation</x:v>
      </x:c>
      <x:c r="C164" s="2" t="str">
        <x:v>Energy efficiency</x:v>
      </x:c>
      <x:c r="D164" s="2" t="str">
        <x:v>Buildings</x:v>
      </x:c>
      <x:c r="E164" s="2" t="str">
        <x:v>Insulation in buildings</x:v>
      </x:c>
      <x:c r="F164" s="2" t="str">
        <x:v>Iron ore / steel inputs</x:v>
      </x:c>
      <x:c r="G164" s="2" t="str">
        <x:v>Bulk and strategic mineral input</x:v>
      </x:c>
      <x:c r="H164" s="2" t="str">
        <x:v>Iron ore / steel inputs is linked to Insulation in buildings because it is typically used in load-bearing structures, pressure vessels, piping or machinery; the assignment follows component function, not a sector-wide keyword.</x:v>
      </x:c>
      <x:c r="I164" s="2" t="str">
        <x:v>Presence and quantity in Insulation in buildings depend on the selected design, chemistry, capacity, supplier and recycled content. This analytical link is not a verified bill of materials or supplier traceability statement.</x:v>
      </x:c>
      <x:c r="J164" s="2" t="str">
        <x:v>https://pubs.usgs.gov/periodicals/mcs2026/mcs2026.pdf</x:v>
      </x:c>
    </x:row>
    <x:row r="165" ht="66" customHeight="1">
      <x:c r="A165" s="2" t="str">
        <x:v>MIT-0059</x:v>
      </x:c>
      <x:c r="B165" s="2" t="str">
        <x:v>Mitigation</x:v>
      </x:c>
      <x:c r="C165" s="2" t="str">
        <x:v>Energy efficiency</x:v>
      </x:c>
      <x:c r="D165" s="2" t="str">
        <x:v>Buildings</x:v>
      </x:c>
      <x:c r="E165" s="2" t="str">
        <x:v>Insulation in buildings</x:v>
      </x:c>
      <x:c r="F165" s="2" t="str">
        <x:v>Limestone / cement raw materials</x:v>
      </x:c>
      <x:c r="G165" s="2" t="str">
        <x:v>Bulk construction material</x:v>
      </x:c>
      <x:c r="H165" s="2" t="str">
        <x:v>Limestone / cement raw materials is linked to Insulation in buildings because it is typically used in concrete foundations, channels, buildings or protective civil works; the assignment follows component function, not a sector-wide keyword.</x:v>
      </x:c>
      <x:c r="I165" s="2" t="str">
        <x:v>Presence and quantity in Insulation in buildings depend on the selected design, chemistry, capacity, supplier and recycled content. This analytical link is not a verified bill of materials or supplier traceability statement.</x:v>
      </x:c>
      <x:c r="J165" s="2" t="str">
        <x:v>https://pubs.usgs.gov/periodicals/mcs2026/mcs2026.pdf</x:v>
      </x:c>
    </x:row>
    <x:row r="166" ht="66" customHeight="1">
      <x:c r="A166" s="2" t="str">
        <x:v>MIT-0060</x:v>
      </x:c>
      <x:c r="B166" s="2" t="str">
        <x:v>Mitigation</x:v>
      </x:c>
      <x:c r="C166" s="2" t="str">
        <x:v>Energy efficiency</x:v>
      </x:c>
      <x:c r="D166" s="2" t="str">
        <x:v>Buildings</x:v>
      </x:c>
      <x:c r="E166" s="2" t="str">
        <x:v>Building envelope thermal insulation</x:v>
      </x:c>
      <x:c r="F166" s="2" t="str">
        <x:v>Iron ore / steel inputs</x:v>
      </x:c>
      <x:c r="G166" s="2" t="str">
        <x:v>Bulk and strategic mineral input</x:v>
      </x:c>
      <x:c r="H166" s="2" t="str">
        <x:v>Iron ore / steel inputs is linked to Building envelope thermal insulation because it is typically used in load-bearing structures, pressure vessels, piping or machinery; the assignment follows component function, not a sector-wide keyword.</x:v>
      </x:c>
      <x:c r="I166" s="2" t="str">
        <x:v>Presence and quantity in Building envelope thermal insulation depend on the selected design, chemistry, capacity, supplier and recycled content. This analytical link is not a verified bill of materials or supplier traceability statement.</x:v>
      </x:c>
      <x:c r="J166" s="2" t="str">
        <x:v>https://pubs.usgs.gov/periodicals/mcs2026/mcs2026.pdf</x:v>
      </x:c>
    </x:row>
    <x:row r="167" ht="66" customHeight="1">
      <x:c r="A167" s="2" t="str">
        <x:v>MIT-0060</x:v>
      </x:c>
      <x:c r="B167" s="2" t="str">
        <x:v>Mitigation</x:v>
      </x:c>
      <x:c r="C167" s="2" t="str">
        <x:v>Energy efficiency</x:v>
      </x:c>
      <x:c r="D167" s="2" t="str">
        <x:v>Buildings</x:v>
      </x:c>
      <x:c r="E167" s="2" t="str">
        <x:v>Building envelope thermal insulation</x:v>
      </x:c>
      <x:c r="F167" s="2" t="str">
        <x:v>Limestone / cement raw materials</x:v>
      </x:c>
      <x:c r="G167" s="2" t="str">
        <x:v>Bulk construction material</x:v>
      </x:c>
      <x:c r="H167" s="2" t="str">
        <x:v>Limestone / cement raw materials is linked to Building envelope thermal insulation because it is typically used in concrete foundations, channels, buildings or protective civil works; the assignment follows component function, not a sector-wide keyword.</x:v>
      </x:c>
      <x:c r="I167" s="2" t="str">
        <x:v>Presence and quantity in Building envelope thermal insulation depend on the selected design, chemistry, capacity, supplier and recycled content. This analytical link is not a verified bill of materials or supplier traceability statement.</x:v>
      </x:c>
      <x:c r="J167" s="2" t="str">
        <x:v>https://pubs.usgs.gov/periodicals/mcs2026/mcs2026.pdf</x:v>
      </x:c>
    </x:row>
    <x:row r="168" ht="66" customHeight="1">
      <x:c r="A168" s="2" t="str">
        <x:v>MIT-0061</x:v>
      </x:c>
      <x:c r="B168" s="2" t="str">
        <x:v>Mitigation</x:v>
      </x:c>
      <x:c r="C168" s="2" t="str">
        <x:v>Energy efficiency</x:v>
      </x:c>
      <x:c r="D168" s="2" t="str">
        <x:v>Buildings</x:v>
      </x:c>
      <x:c r="E168" s="2" t="str">
        <x:v>Building materials</x:v>
      </x:c>
      <x:c r="F168" s="2" t="str">
        <x:v>Iron ore / steel inputs</x:v>
      </x:c>
      <x:c r="G168" s="2" t="str">
        <x:v>Bulk and strategic mineral input</x:v>
      </x:c>
      <x:c r="H168" s="2" t="str">
        <x:v>Iron ore / steel inputs is linked to Building materials because it is typically used in load-bearing structures, pressure vessels, piping or machinery; the assignment follows component function, not a sector-wide keyword.</x:v>
      </x:c>
      <x:c r="I168" s="2" t="str">
        <x:v>Presence and quantity in Building materials depend on the selected design, chemistry, capacity, supplier and recycled content. This analytical link is not a verified bill of materials or supplier traceability statement.</x:v>
      </x:c>
      <x:c r="J168" s="2" t="str">
        <x:v>https://pubs.usgs.gov/periodicals/mcs2026/mcs2026.pdf</x:v>
      </x:c>
    </x:row>
    <x:row r="169" ht="66" customHeight="1">
      <x:c r="A169" s="2" t="str">
        <x:v>MIT-0061</x:v>
      </x:c>
      <x:c r="B169" s="2" t="str">
        <x:v>Mitigation</x:v>
      </x:c>
      <x:c r="C169" s="2" t="str">
        <x:v>Energy efficiency</x:v>
      </x:c>
      <x:c r="D169" s="2" t="str">
        <x:v>Buildings</x:v>
      </x:c>
      <x:c r="E169" s="2" t="str">
        <x:v>Building materials</x:v>
      </x:c>
      <x:c r="F169" s="2" t="str">
        <x:v>Limestone / cement raw materials</x:v>
      </x:c>
      <x:c r="G169" s="2" t="str">
        <x:v>Bulk construction material</x:v>
      </x:c>
      <x:c r="H169" s="2" t="str">
        <x:v>Limestone / cement raw materials is linked to Building materials because it is typically used in concrete foundations, channels, buildings or protective civil works; the assignment follows component function, not a sector-wide keyword.</x:v>
      </x:c>
      <x:c r="I169" s="2" t="str">
        <x:v>Presence and quantity in Building materials depend on the selected design, chemistry, capacity, supplier and recycled content. This analytical link is not a verified bill of materials or supplier traceability statement.</x:v>
      </x:c>
      <x:c r="J169" s="2" t="str">
        <x:v>https://pubs.usgs.gov/periodicals/mcs2026/mcs2026.pdf</x:v>
      </x:c>
    </x:row>
    <x:row r="170" ht="66" customHeight="1">
      <x:c r="A170" s="2" t="str">
        <x:v>MIT-0062</x:v>
      </x:c>
      <x:c r="B170" s="2" t="str">
        <x:v>Mitigation</x:v>
      </x:c>
      <x:c r="C170" s="2" t="str">
        <x:v>Energy efficiency</x:v>
      </x:c>
      <x:c r="D170" s="2" t="str">
        <x:v>Buildings</x:v>
      </x:c>
      <x:c r="E170" s="2" t="str">
        <x:v>Building life cycle and integrated design process</x:v>
      </x:c>
      <x:c r="F170" s="2" t="str">
        <x:v>Iron ore / steel inputs</x:v>
      </x:c>
      <x:c r="G170" s="2" t="str">
        <x:v>Bulk and strategic mineral input</x:v>
      </x:c>
      <x:c r="H170" s="2" t="str">
        <x:v>Iron ore / steel inputs is linked to Building life cycle and integrated design process because it is typically used in load-bearing structures, pressure vessels, piping or machinery; the assignment follows component function, not a sector-wide keyword.</x:v>
      </x:c>
      <x:c r="I170" s="2" t="str">
        <x:v>Presence and quantity in Building life cycle and integrated design process depend on the selected design, chemistry, capacity, supplier and recycled content. This analytical link is not a verified bill of materials or supplier traceability statement.</x:v>
      </x:c>
      <x:c r="J170" s="2" t="str">
        <x:v>https://pubs.usgs.gov/periodicals/mcs2026/mcs2026.pdf</x:v>
      </x:c>
    </x:row>
    <x:row r="171" ht="66" customHeight="1">
      <x:c r="A171" s="2" t="str">
        <x:v>MIT-0062</x:v>
      </x:c>
      <x:c r="B171" s="2" t="str">
        <x:v>Mitigation</x:v>
      </x:c>
      <x:c r="C171" s="2" t="str">
        <x:v>Energy efficiency</x:v>
      </x:c>
      <x:c r="D171" s="2" t="str">
        <x:v>Buildings</x:v>
      </x:c>
      <x:c r="E171" s="2" t="str">
        <x:v>Building life cycle and integrated design process</x:v>
      </x:c>
      <x:c r="F171" s="2" t="str">
        <x:v>Limestone / cement raw materials</x:v>
      </x:c>
      <x:c r="G171" s="2" t="str">
        <x:v>Bulk construction material</x:v>
      </x:c>
      <x:c r="H171" s="2" t="str">
        <x:v>Limestone / cement raw materials is linked to Building life cycle and integrated design process because it is typically used in concrete foundations, channels, buildings or protective civil works; the assignment follows component function, not a sector-wide keyword.</x:v>
      </x:c>
      <x:c r="I171" s="2" t="str">
        <x:v>Presence and quantity in Building life cycle and integrated design process depend on the selected design, chemistry, capacity, supplier and recycled content. This analytical link is not a verified bill of materials or supplier traceability statement.</x:v>
      </x:c>
      <x:c r="J171" s="2" t="str">
        <x:v>https://pubs.usgs.gov/periodicals/mcs2026/mcs2026.pdf</x:v>
      </x:c>
    </x:row>
    <x:row r="172" ht="66" customHeight="1">
      <x:c r="A172" s="2" t="str">
        <x:v>MIT-0063</x:v>
      </x:c>
      <x:c r="B172" s="2" t="str">
        <x:v>Mitigation</x:v>
      </x:c>
      <x:c r="C172" s="2" t="str">
        <x:v>Energy efficiency</x:v>
      </x:c>
      <x:c r="D172" s="2" t="str">
        <x:v>Buildings</x:v>
      </x:c>
      <x:c r="E172" s="2" t="str">
        <x:v>Building standards and codes</x:v>
      </x:c>
      <x:c r="F172" s="2" t="str">
        <x:v>Iron ore / steel inputs</x:v>
      </x:c>
      <x:c r="G172" s="2" t="str">
        <x:v>Bulk and strategic mineral input</x:v>
      </x:c>
      <x:c r="H172" s="2" t="str">
        <x:v>Iron ore / steel inputs is linked to Building standards and codes because it is typically used in load-bearing structures, pressure vessels, piping or machinery; the assignment follows component function, not a sector-wide keyword.</x:v>
      </x:c>
      <x:c r="I172" s="2" t="str">
        <x:v>Presence and quantity in Building standards and codes depend on the selected design, chemistry, capacity, supplier and recycled content. This analytical link is not a verified bill of materials or supplier traceability statement.</x:v>
      </x:c>
      <x:c r="J172" s="2" t="str">
        <x:v>https://pubs.usgs.gov/periodicals/mcs2026/mcs2026.pdf</x:v>
      </x:c>
    </x:row>
    <x:row r="173" ht="66" customHeight="1">
      <x:c r="A173" s="2" t="str">
        <x:v>MIT-0063</x:v>
      </x:c>
      <x:c r="B173" s="2" t="str">
        <x:v>Mitigation</x:v>
      </x:c>
      <x:c r="C173" s="2" t="str">
        <x:v>Energy efficiency</x:v>
      </x:c>
      <x:c r="D173" s="2" t="str">
        <x:v>Buildings</x:v>
      </x:c>
      <x:c r="E173" s="2" t="str">
        <x:v>Building standards and codes</x:v>
      </x:c>
      <x:c r="F173" s="2" t="str">
        <x:v>Limestone / cement raw materials</x:v>
      </x:c>
      <x:c r="G173" s="2" t="str">
        <x:v>Bulk construction material</x:v>
      </x:c>
      <x:c r="H173" s="2" t="str">
        <x:v>Limestone / cement raw materials is linked to Building standards and codes because it is typically used in concrete foundations, channels, buildings or protective civil works; the assignment follows component function, not a sector-wide keyword.</x:v>
      </x:c>
      <x:c r="I173" s="2" t="str">
        <x:v>Presence and quantity in Building standards and codes depend on the selected design, chemistry, capacity, supplier and recycled content. This analytical link is not a verified bill of materials or supplier traceability statement.</x:v>
      </x:c>
      <x:c r="J173" s="2" t="str">
        <x:v>https://pubs.usgs.gov/periodicals/mcs2026/mcs2026.pdf</x:v>
      </x:c>
    </x:row>
    <x:row r="174" ht="66" customHeight="1">
      <x:c r="A174" s="2" t="str">
        <x:v>MIT-0064</x:v>
      </x:c>
      <x:c r="B174" s="2" t="str">
        <x:v>Mitigation</x:v>
      </x:c>
      <x:c r="C174" s="2" t="str">
        <x:v>Energy efficiency</x:v>
      </x:c>
      <x:c r="D174" s="2" t="str">
        <x:v>Buildings</x:v>
      </x:c>
      <x:c r="E174" s="2" t="str">
        <x:v>Greening the built environment</x:v>
      </x:c>
      <x:c r="F174" s="2" t="str">
        <x:v>Iron ore / steel inputs</x:v>
      </x:c>
      <x:c r="G174" s="2" t="str">
        <x:v>Bulk and strategic mineral input</x:v>
      </x:c>
      <x:c r="H174" s="2" t="str">
        <x:v>Iron ore / steel inputs is linked to Greening the built environment because it is typically used in load-bearing structures, pressure vessels, piping or machinery; the assignment follows component function, not a sector-wide keyword.</x:v>
      </x:c>
      <x:c r="I174" s="2" t="str">
        <x:v>Presence and quantity in Greening the built environment depend on the selected design, chemistry, capacity, supplier and recycled content. This analytical link is not a verified bill of materials or supplier traceability statement.</x:v>
      </x:c>
      <x:c r="J174" s="2" t="str">
        <x:v>https://pubs.usgs.gov/periodicals/mcs2026/mcs2026.pdf</x:v>
      </x:c>
    </x:row>
    <x:row r="175" ht="66" customHeight="1">
      <x:c r="A175" s="2" t="str">
        <x:v>MIT-0064</x:v>
      </x:c>
      <x:c r="B175" s="2" t="str">
        <x:v>Mitigation</x:v>
      </x:c>
      <x:c r="C175" s="2" t="str">
        <x:v>Energy efficiency</x:v>
      </x:c>
      <x:c r="D175" s="2" t="str">
        <x:v>Buildings</x:v>
      </x:c>
      <x:c r="E175" s="2" t="str">
        <x:v>Greening the built environment</x:v>
      </x:c>
      <x:c r="F175" s="2" t="str">
        <x:v>Limestone / cement raw materials</x:v>
      </x:c>
      <x:c r="G175" s="2" t="str">
        <x:v>Bulk construction material</x:v>
      </x:c>
      <x:c r="H175" s="2" t="str">
        <x:v>Limestone / cement raw materials is linked to Greening the built environment because it is typically used in concrete foundations, channels, buildings or protective civil works; the assignment follows component function, not a sector-wide keyword.</x:v>
      </x:c>
      <x:c r="I175" s="2" t="str">
        <x:v>Presence and quantity in Greening the built environment depend on the selected design, chemistry, capacity, supplier and recycled content. This analytical link is not a verified bill of materials or supplier traceability statement.</x:v>
      </x:c>
      <x:c r="J175" s="2" t="str">
        <x:v>https://pubs.usgs.gov/periodicals/mcs2026/mcs2026.pdf</x:v>
      </x:c>
    </x:row>
    <x:row r="176" ht="66" customHeight="1">
      <x:c r="A176" s="2" t="str">
        <x:v>MIT-0065</x:v>
      </x:c>
      <x:c r="B176" s="2" t="str">
        <x:v>Mitigation</x:v>
      </x:c>
      <x:c r="C176" s="2" t="str">
        <x:v>Energy efficiency</x:v>
      </x:c>
      <x:c r="D176" s="2" t="str">
        <x:v>Buildings</x:v>
      </x:c>
      <x:c r="E176" s="2" t="str">
        <x:v>Retrofitting of existing buildings</x:v>
      </x:c>
      <x:c r="F176" s="2" t="str">
        <x:v>Iron ore / steel inputs</x:v>
      </x:c>
      <x:c r="G176" s="2" t="str">
        <x:v>Bulk and strategic mineral input</x:v>
      </x:c>
      <x:c r="H176" s="2" t="str">
        <x:v>Iron ore / steel inputs is linked to Retrofitting of existing buildings because it is typically used in load-bearing structures, pressure vessels, piping or machinery; the assignment follows component function, not a sector-wide keyword.</x:v>
      </x:c>
      <x:c r="I176" s="2" t="str">
        <x:v>Presence and quantity in Retrofitting of existing buildings depend on the selected design, chemistry, capacity, supplier and recycled content. This analytical link is not a verified bill of materials or supplier traceability statement.</x:v>
      </x:c>
      <x:c r="J176" s="2" t="str">
        <x:v>https://pubs.usgs.gov/periodicals/mcs2026/mcs2026.pdf</x:v>
      </x:c>
    </x:row>
    <x:row r="177" ht="66" customHeight="1">
      <x:c r="A177" s="2" t="str">
        <x:v>MIT-0065</x:v>
      </x:c>
      <x:c r="B177" s="2" t="str">
        <x:v>Mitigation</x:v>
      </x:c>
      <x:c r="C177" s="2" t="str">
        <x:v>Energy efficiency</x:v>
      </x:c>
      <x:c r="D177" s="2" t="str">
        <x:v>Buildings</x:v>
      </x:c>
      <x:c r="E177" s="2" t="str">
        <x:v>Retrofitting of existing buildings</x:v>
      </x:c>
      <x:c r="F177" s="2" t="str">
        <x:v>Limestone / cement raw materials</x:v>
      </x:c>
      <x:c r="G177" s="2" t="str">
        <x:v>Bulk construction material</x:v>
      </x:c>
      <x:c r="H177" s="2" t="str">
        <x:v>Limestone / cement raw materials is linked to Retrofitting of existing buildings because it is typically used in concrete foundations, channels, buildings or protective civil works; the assignment follows component function, not a sector-wide keyword.</x:v>
      </x:c>
      <x:c r="I177" s="2" t="str">
        <x:v>Presence and quantity in Retrofitting of existing buildings depend on the selected design, chemistry, capacity, supplier and recycled content. This analytical link is not a verified bill of materials or supplier traceability statement.</x:v>
      </x:c>
      <x:c r="J177" s="2" t="str">
        <x:v>https://pubs.usgs.gov/periodicals/mcs2026/mcs2026.pdf</x:v>
      </x:c>
    </x:row>
    <x:row r="178" ht="66" customHeight="1">
      <x:c r="A178" s="2" t="str">
        <x:v>MIT-0066</x:v>
      </x:c>
      <x:c r="B178" s="2" t="str">
        <x:v>Mitigation</x:v>
      </x:c>
      <x:c r="C178" s="2" t="str">
        <x:v>Energy efficiency</x:v>
      </x:c>
      <x:c r="D178" s="2" t="str">
        <x:v>Buildings</x:v>
      </x:c>
      <x:c r="E178" s="2" t="str">
        <x:v>Building automation</x:v>
      </x:c>
      <x:c r="F178" s="2" t="str">
        <x:v>Iron ore / steel inputs</x:v>
      </x:c>
      <x:c r="G178" s="2" t="str">
        <x:v>Bulk and strategic mineral input</x:v>
      </x:c>
      <x:c r="H178" s="2" t="str">
        <x:v>Iron ore / steel inputs is linked to Building automation because it is typically used in load-bearing structures, pressure vessels, piping or machinery; the assignment follows component function, not a sector-wide keyword.</x:v>
      </x:c>
      <x:c r="I178" s="2" t="str">
        <x:v>Presence and quantity in Building automation depend on the selected design, chemistry, capacity, supplier and recycled content. This analytical link is not a verified bill of materials or supplier traceability statement.</x:v>
      </x:c>
      <x:c r="J178" s="2" t="str">
        <x:v>https://pubs.usgs.gov/periodicals/mcs2026/mcs2026.pdf</x:v>
      </x:c>
    </x:row>
    <x:row r="179" ht="66" customHeight="1">
      <x:c r="A179" s="2" t="str">
        <x:v>MIT-0066</x:v>
      </x:c>
      <x:c r="B179" s="2" t="str">
        <x:v>Mitigation</x:v>
      </x:c>
      <x:c r="C179" s="2" t="str">
        <x:v>Energy efficiency</x:v>
      </x:c>
      <x:c r="D179" s="2" t="str">
        <x:v>Buildings</x:v>
      </x:c>
      <x:c r="E179" s="2" t="str">
        <x:v>Building automation</x:v>
      </x:c>
      <x:c r="F179" s="2" t="str">
        <x:v>Limestone / cement raw materials</x:v>
      </x:c>
      <x:c r="G179" s="2" t="str">
        <x:v>Bulk construction material</x:v>
      </x:c>
      <x:c r="H179" s="2" t="str">
        <x:v>Limestone / cement raw materials is linked to Building automation because it is typically used in concrete foundations, channels, buildings or protective civil works; the assignment follows component function, not a sector-wide keyword.</x:v>
      </x:c>
      <x:c r="I179" s="2" t="str">
        <x:v>Presence and quantity in Building automation depend on the selected design, chemistry, capacity, supplier and recycled content. This analytical link is not a verified bill of materials or supplier traceability statement.</x:v>
      </x:c>
      <x:c r="J179" s="2" t="str">
        <x:v>https://pubs.usgs.gov/periodicals/mcs2026/mcs2026.pdf</x:v>
      </x:c>
    </x:row>
    <x:row r="180" ht="66" customHeight="1">
      <x:c r="A180" s="2" t="str">
        <x:v>MIT-0067</x:v>
      </x:c>
      <x:c r="B180" s="2" t="str">
        <x:v>Mitigation</x:v>
      </x:c>
      <x:c r="C180" s="2" t="str">
        <x:v>Energy efficiency</x:v>
      </x:c>
      <x:c r="D180" s="2" t="str">
        <x:v>Buildings</x:v>
      </x:c>
      <x:c r="E180" s="2" t="str">
        <x:v>Building Energy Management Systems</x:v>
      </x:c>
      <x:c r="F180" s="2" t="str">
        <x:v>Iron ore / steel inputs</x:v>
      </x:c>
      <x:c r="G180" s="2" t="str">
        <x:v>Bulk and strategic mineral input</x:v>
      </x:c>
      <x:c r="H180" s="2" t="str">
        <x:v>Iron ore / steel inputs is linked to Building Energy Management Systems because it is typically used in load-bearing structures, pressure vessels, piping or machinery; the assignment follows component function, not a sector-wide keyword.</x:v>
      </x:c>
      <x:c r="I180" s="2" t="str">
        <x:v>Presence and quantity in Building Energy Management Systems depend on the selected design, chemistry, capacity, supplier and recycled content. This analytical link is not a verified bill of materials or supplier traceability statement.</x:v>
      </x:c>
      <x:c r="J180" s="2" t="str">
        <x:v>https://pubs.usgs.gov/periodicals/mcs2026/mcs2026.pdf</x:v>
      </x:c>
    </x:row>
    <x:row r="181" ht="66" customHeight="1">
      <x:c r="A181" s="2" t="str">
        <x:v>MIT-0067</x:v>
      </x:c>
      <x:c r="B181" s="2" t="str">
        <x:v>Mitigation</x:v>
      </x:c>
      <x:c r="C181" s="2" t="str">
        <x:v>Energy efficiency</x:v>
      </x:c>
      <x:c r="D181" s="2" t="str">
        <x:v>Buildings</x:v>
      </x:c>
      <x:c r="E181" s="2" t="str">
        <x:v>Building Energy Management Systems</x:v>
      </x:c>
      <x:c r="F181" s="2" t="str">
        <x:v>Limestone / cement raw materials</x:v>
      </x:c>
      <x:c r="G181" s="2" t="str">
        <x:v>Bulk construction material</x:v>
      </x:c>
      <x:c r="H181" s="2" t="str">
        <x:v>Limestone / cement raw materials is linked to Building Energy Management Systems because it is typically used in concrete foundations, channels, buildings or protective civil works; the assignment follows component function, not a sector-wide keyword.</x:v>
      </x:c>
      <x:c r="I181" s="2" t="str">
        <x:v>Presence and quantity in Building Energy Management Systems depend on the selected design, chemistry, capacity, supplier and recycled content. This analytical link is not a verified bill of materials or supplier traceability statement.</x:v>
      </x:c>
      <x:c r="J181" s="2" t="str">
        <x:v>https://pubs.usgs.gov/periodicals/mcs2026/mcs2026.pdf</x:v>
      </x:c>
    </x:row>
    <x:row r="182" ht="66" customHeight="1">
      <x:c r="A182" s="2" t="str">
        <x:v>MIT-0068</x:v>
      </x:c>
      <x:c r="B182" s="2" t="str">
        <x:v>Mitigation</x:v>
      </x:c>
      <x:c r="C182" s="2" t="str">
        <x:v>Energy efficiency</x:v>
      </x:c>
      <x:c r="D182" s="2" t="str">
        <x:v>Buildings</x:v>
      </x:c>
      <x:c r="E182" s="2" t="str">
        <x:v>Carbon sink and low-carbon building materials</x:v>
      </x:c>
      <x:c r="F182" s="2" t="str">
        <x:v>Iron ore / steel inputs</x:v>
      </x:c>
      <x:c r="G182" s="2" t="str">
        <x:v>Bulk and strategic mineral input</x:v>
      </x:c>
      <x:c r="H182" s="2" t="str">
        <x:v>Iron ore / steel inputs is linked to Carbon sink and low-carbon building materials because it is typically used in load-bearing structures, pressure vessels, piping or machinery; the assignment follows component function, not a sector-wide keyword.</x:v>
      </x:c>
      <x:c r="I182" s="2" t="str">
        <x:v>Presence and quantity in Carbon sink and low-carbon building materials depend on the selected design, chemistry, capacity, supplier and recycled content. This analytical link is not a verified bill of materials or supplier traceability statement.</x:v>
      </x:c>
      <x:c r="J182" s="2" t="str">
        <x:v>https://pubs.usgs.gov/periodicals/mcs2026/mcs2026.pdf</x:v>
      </x:c>
    </x:row>
    <x:row r="183" ht="66" customHeight="1">
      <x:c r="A183" s="2" t="str">
        <x:v>MIT-0068</x:v>
      </x:c>
      <x:c r="B183" s="2" t="str">
        <x:v>Mitigation</x:v>
      </x:c>
      <x:c r="C183" s="2" t="str">
        <x:v>Energy efficiency</x:v>
      </x:c>
      <x:c r="D183" s="2" t="str">
        <x:v>Buildings</x:v>
      </x:c>
      <x:c r="E183" s="2" t="str">
        <x:v>Carbon sink and low-carbon building materials</x:v>
      </x:c>
      <x:c r="F183" s="2" t="str">
        <x:v>Limestone / cement raw materials</x:v>
      </x:c>
      <x:c r="G183" s="2" t="str">
        <x:v>Bulk construction material</x:v>
      </x:c>
      <x:c r="H183" s="2" t="str">
        <x:v>Limestone / cement raw materials is linked to Carbon sink and low-carbon building materials because it is typically used in concrete foundations, channels, buildings or protective civil works; the assignment follows component function, not a sector-wide keyword.</x:v>
      </x:c>
      <x:c r="I183" s="2" t="str">
        <x:v>Presence and quantity in Carbon sink and low-carbon building materials depend on the selected design, chemistry, capacity, supplier and recycled content. This analytical link is not a verified bill of materials or supplier traceability statement.</x:v>
      </x:c>
      <x:c r="J183" s="2" t="str">
        <x:v>https://pubs.usgs.gov/periodicals/mcs2026/mcs2026.pdf</x:v>
      </x:c>
    </x:row>
    <x:row r="184" ht="66" customHeight="1">
      <x:c r="A184" s="2" t="str">
        <x:v>MIT-0069</x:v>
      </x:c>
      <x:c r="B184" s="2" t="str">
        <x:v>Mitigation</x:v>
      </x:c>
      <x:c r="C184" s="2" t="str">
        <x:v>Energy efficiency</x:v>
      </x:c>
      <x:c r="D184" s="2" t="str">
        <x:v>Buildings</x:v>
      </x:c>
      <x:c r="E184" s="2" t="str">
        <x:v>Heating - Ventilation and Air Conditioning</x:v>
      </x:c>
      <x:c r="F184" s="2" t="str">
        <x:v>Iron ore / steel inputs</x:v>
      </x:c>
      <x:c r="G184" s="2" t="str">
        <x:v>Bulk and strategic mineral input</x:v>
      </x:c>
      <x:c r="H184" s="2" t="str">
        <x:v>Iron ore / steel inputs is linked to Heating - Ventilation and Air Conditioning because it is typically used in load-bearing structures, pressure vessels, piping or machinery; the assignment follows component function, not a sector-wide keyword.</x:v>
      </x:c>
      <x:c r="I184" s="2" t="str">
        <x:v>Presence and quantity in Heating - Ventilation and Air Conditioning depend on the selected design, chemistry, capacity, supplier and recycled content. This analytical link is not a verified bill of materials or supplier traceability statement.</x:v>
      </x:c>
      <x:c r="J184" s="2" t="str">
        <x:v>https://pubs.usgs.gov/periodicals/mcs2026/mcs2026.pdf</x:v>
      </x:c>
    </x:row>
    <x:row r="185" ht="66" customHeight="1">
      <x:c r="A185" s="2" t="str">
        <x:v>MIT-0069</x:v>
      </x:c>
      <x:c r="B185" s="2" t="str">
        <x:v>Mitigation</x:v>
      </x:c>
      <x:c r="C185" s="2" t="str">
        <x:v>Energy efficiency</x:v>
      </x:c>
      <x:c r="D185" s="2" t="str">
        <x:v>Buildings</x:v>
      </x:c>
      <x:c r="E185" s="2" t="str">
        <x:v>Heating - Ventilation and Air Conditioning</x:v>
      </x:c>
      <x:c r="F185" s="2" t="str">
        <x:v>Copper</x:v>
      </x:c>
      <x:c r="G185" s="2" t="str">
        <x:v>Critical or strategic metal</x:v>
      </x:c>
      <x:c r="H185" s="2" t="str">
        <x:v>Copper is linked to Heating - Ventilation and Air Conditioning because it is typically used in power cables, windings, busbars, grounding and electrical connectors; the assignment follows component function, not a sector-wide keyword.</x:v>
      </x:c>
      <x:c r="I185" s="2" t="str">
        <x:v>Presence and quantity in Heating - Ventilation and Air Conditioning depend on the selected design, chemistry, capacity, supplier and recycled content. This analytical link is not a verified bill of materials or supplier traceability statement.</x:v>
      </x:c>
      <x:c r="J185" s="2" t="str">
        <x:v>https://pubs.usgs.gov/periodicals/mcs2026/mcs2026.pdf</x:v>
      </x:c>
    </x:row>
    <x:row r="186" ht="66" customHeight="1">
      <x:c r="A186" s="2" t="str">
        <x:v>MIT-0069</x:v>
      </x:c>
      <x:c r="B186" s="2" t="str">
        <x:v>Mitigation</x:v>
      </x:c>
      <x:c r="C186" s="2" t="str">
        <x:v>Energy efficiency</x:v>
      </x:c>
      <x:c r="D186" s="2" t="str">
        <x:v>Buildings</x:v>
      </x:c>
      <x:c r="E186" s="2" t="str">
        <x:v>Heating - Ventilation and Air Conditioning</x:v>
      </x:c>
      <x:c r="F186" s="2" t="str">
        <x:v>Tin</x:v>
      </x:c>
      <x:c r="G186" s="2" t="str">
        <x:v>Electronics strategic metal</x:v>
      </x:c>
      <x:c r="H186" s="2" t="str">
        <x:v>Tin is linked to Heating - Ventilation and Air Conditioning because it is typically used in electronic solder and selected coatings; the assignment follows component function, not a sector-wide keyword.</x:v>
      </x:c>
      <x:c r="I186" s="2" t="str">
        <x:v>Presence and quantity in Heating - Ventilation and Air Conditioning depend on the selected design, chemistry, capacity, supplier and recycled content. This analytical link is not a verified bill of materials or supplier traceability statement.</x:v>
      </x:c>
      <x:c r="J186" s="2" t="str">
        <x:v>https://pubs.usgs.gov/periodicals/mcs2026/mcs2026.pdf</x:v>
      </x:c>
    </x:row>
    <x:row r="187" ht="66" customHeight="1">
      <x:c r="A187" s="2" t="str">
        <x:v>MIT-0069</x:v>
      </x:c>
      <x:c r="B187" s="2" t="str">
        <x:v>Mitigation</x:v>
      </x:c>
      <x:c r="C187" s="2" t="str">
        <x:v>Energy efficiency</x:v>
      </x:c>
      <x:c r="D187" s="2" t="str">
        <x:v>Buildings</x:v>
      </x:c>
      <x:c r="E187" s="2" t="str">
        <x:v>Heating - Ventilation and Air Conditioning</x:v>
      </x:c>
      <x:c r="F187" s="2" t="str">
        <x:v>Limestone / cement raw materials</x:v>
      </x:c>
      <x:c r="G187" s="2" t="str">
        <x:v>Bulk construction material</x:v>
      </x:c>
      <x:c r="H187" s="2" t="str">
        <x:v>Limestone / cement raw materials is linked to Heating - Ventilation and Air Conditioning because it is typically used in concrete foundations, channels, buildings or protective civil works; the assignment follows component function, not a sector-wide keyword.</x:v>
      </x:c>
      <x:c r="I187" s="2" t="str">
        <x:v>Presence and quantity in Heating - Ventilation and Air Conditioning depend on the selected design, chemistry, capacity, supplier and recycled content. This analytical link is not a verified bill of materials or supplier traceability statement.</x:v>
      </x:c>
      <x:c r="J187" s="2" t="str">
        <x:v>https://pubs.usgs.gov/periodicals/mcs2026/mcs2026.pdf</x:v>
      </x:c>
    </x:row>
    <x:row r="188" ht="66" customHeight="1">
      <x:c r="A188" s="2" t="str">
        <x:v>MIT-0070</x:v>
      </x:c>
      <x:c r="B188" s="2" t="str">
        <x:v>Mitigation</x:v>
      </x:c>
      <x:c r="C188" s="2" t="str">
        <x:v>Energy efficiency</x:v>
      </x:c>
      <x:c r="D188" s="2" t="str">
        <x:v>Buildings</x:v>
      </x:c>
      <x:c r="E188" s="2" t="str">
        <x:v>Design for Deconstruction</x:v>
      </x:c>
      <x:c r="F188" s="2" t="str">
        <x:v>Iron ore / steel inputs</x:v>
      </x:c>
      <x:c r="G188" s="2" t="str">
        <x:v>Bulk and strategic mineral input</x:v>
      </x:c>
      <x:c r="H188" s="2" t="str">
        <x:v>Iron ore / steel inputs is linked to Design for Deconstruction because it is typically used in load-bearing structures, pressure vessels, piping or machinery; the assignment follows component function, not a sector-wide keyword.</x:v>
      </x:c>
      <x:c r="I188" s="2" t="str">
        <x:v>Presence and quantity in Design for Deconstruction depend on the selected design, chemistry, capacity, supplier and recycled content. This analytical link is not a verified bill of materials or supplier traceability statement.</x:v>
      </x:c>
      <x:c r="J188" s="2" t="str">
        <x:v>https://pubs.usgs.gov/periodicals/mcs2026/mcs2026.pdf</x:v>
      </x:c>
    </x:row>
    <x:row r="189" ht="66" customHeight="1">
      <x:c r="A189" s="2" t="str">
        <x:v>MIT-0070</x:v>
      </x:c>
      <x:c r="B189" s="2" t="str">
        <x:v>Mitigation</x:v>
      </x:c>
      <x:c r="C189" s="2" t="str">
        <x:v>Energy efficiency</x:v>
      </x:c>
      <x:c r="D189" s="2" t="str">
        <x:v>Buildings</x:v>
      </x:c>
      <x:c r="E189" s="2" t="str">
        <x:v>Design for Deconstruction</x:v>
      </x:c>
      <x:c r="F189" s="2" t="str">
        <x:v>Limestone / cement raw materials</x:v>
      </x:c>
      <x:c r="G189" s="2" t="str">
        <x:v>Bulk construction material</x:v>
      </x:c>
      <x:c r="H189" s="2" t="str">
        <x:v>Limestone / cement raw materials is linked to Design for Deconstruction because it is typically used in concrete foundations, channels, buildings or protective civil works; the assignment follows component function, not a sector-wide keyword.</x:v>
      </x:c>
      <x:c r="I189" s="2" t="str">
        <x:v>Presence and quantity in Design for Deconstruction depend on the selected design, chemistry, capacity, supplier and recycled content. This analytical link is not a verified bill of materials or supplier traceability statement.</x:v>
      </x:c>
      <x:c r="J189" s="2" t="str">
        <x:v>https://pubs.usgs.gov/periodicals/mcs2026/mcs2026.pdf</x:v>
      </x:c>
    </x:row>
    <x:row r="190" ht="66" customHeight="1">
      <x:c r="A190" s="2" t="str">
        <x:v>MIT-0071</x:v>
      </x:c>
      <x:c r="B190" s="2" t="str">
        <x:v>Mitigation</x:v>
      </x:c>
      <x:c r="C190" s="2" t="str">
        <x:v>Energy efficiency</x:v>
      </x:c>
      <x:c r="D190" s="2" t="str">
        <x:v>Buildings</x:v>
      </x:c>
      <x:c r="E190" s="2" t="str">
        <x:v>High performance building facades</x:v>
      </x:c>
      <x:c r="F190" s="2" t="str">
        <x:v>Iron ore / steel inputs</x:v>
      </x:c>
      <x:c r="G190" s="2" t="str">
        <x:v>Bulk and strategic mineral input</x:v>
      </x:c>
      <x:c r="H190" s="2" t="str">
        <x:v>Iron ore / steel inputs is linked to High performance building facades because it is typically used in load-bearing structures, pressure vessels, piping or machinery; the assignment follows component function, not a sector-wide keyword.</x:v>
      </x:c>
      <x:c r="I190" s="2" t="str">
        <x:v>Presence and quantity in High performance building facades depend on the selected design, chemistry, capacity, supplier and recycled content. This analytical link is not a verified bill of materials or supplier traceability statement.</x:v>
      </x:c>
      <x:c r="J190" s="2" t="str">
        <x:v>https://pubs.usgs.gov/periodicals/mcs2026/mcs2026.pdf</x:v>
      </x:c>
    </x:row>
    <x:row r="191" ht="66" customHeight="1">
      <x:c r="A191" s="2" t="str">
        <x:v>MIT-0071</x:v>
      </x:c>
      <x:c r="B191" s="2" t="str">
        <x:v>Mitigation</x:v>
      </x:c>
      <x:c r="C191" s="2" t="str">
        <x:v>Energy efficiency</x:v>
      </x:c>
      <x:c r="D191" s="2" t="str">
        <x:v>Buildings</x:v>
      </x:c>
      <x:c r="E191" s="2" t="str">
        <x:v>High performance building facades</x:v>
      </x:c>
      <x:c r="F191" s="2" t="str">
        <x:v>Limestone / cement raw materials</x:v>
      </x:c>
      <x:c r="G191" s="2" t="str">
        <x:v>Bulk construction material</x:v>
      </x:c>
      <x:c r="H191" s="2" t="str">
        <x:v>Limestone / cement raw materials is linked to High performance building facades because it is typically used in concrete foundations, channels, buildings or protective civil works; the assignment follows component function, not a sector-wide keyword.</x:v>
      </x:c>
      <x:c r="I191" s="2" t="str">
        <x:v>Presence and quantity in High performance building facades depend on the selected design, chemistry, capacity, supplier and recycled content. This analytical link is not a verified bill of materials or supplier traceability statement.</x:v>
      </x:c>
      <x:c r="J191" s="2" t="str">
        <x:v>https://pubs.usgs.gov/periodicals/mcs2026/mcs2026.pdf</x:v>
      </x:c>
    </x:row>
    <x:row r="192" ht="66" customHeight="1">
      <x:c r="A192" s="2" t="str">
        <x:v>MIT-0071</x:v>
      </x:c>
      <x:c r="B192" s="2" t="str">
        <x:v>Mitigation</x:v>
      </x:c>
      <x:c r="C192" s="2" t="str">
        <x:v>Energy efficiency</x:v>
      </x:c>
      <x:c r="D192" s="2" t="str">
        <x:v>Buildings</x:v>
      </x:c>
      <x:c r="E192" s="2" t="str">
        <x:v>High performance building facades</x:v>
      </x:c>
      <x:c r="F192" s="2" t="str">
        <x:v>Bauxite / aluminium</x:v>
      </x:c>
      <x:c r="G192" s="2" t="str">
        <x:v>Strategic metal</x:v>
      </x:c>
      <x:c r="H192" s="2" t="str">
        <x:v>Bauxite / aluminium is linked to High performance building facades because it is typically used in lightweight structures, frames, conductors or vehicle components; the assignment follows component function, not a sector-wide keyword.</x:v>
      </x:c>
      <x:c r="I192" s="2" t="str">
        <x:v>Presence and quantity in High performance building facades depend on the selected design, chemistry, capacity, supplier and recycled content. This analytical link is not a verified bill of materials or supplier traceability statement.</x:v>
      </x:c>
      <x:c r="J192" s="2" t="str">
        <x:v>https://pubs.usgs.gov/periodicals/mcs2026/mcs2026.pdf</x:v>
      </x:c>
    </x:row>
    <x:row r="193" ht="66" customHeight="1">
      <x:c r="A193" s="2" t="str">
        <x:v>MIT-0072</x:v>
      </x:c>
      <x:c r="B193" s="2" t="str">
        <x:v>Mitigation</x:v>
      </x:c>
      <x:c r="C193" s="2" t="str">
        <x:v>Energy efficiency</x:v>
      </x:c>
      <x:c r="D193" s="2" t="str">
        <x:v>Buildings</x:v>
      </x:c>
      <x:c r="E193" s="2" t="str">
        <x:v>Passive house design</x:v>
      </x:c>
      <x:c r="F193" s="2" t="str">
        <x:v>Iron ore / steel inputs</x:v>
      </x:c>
      <x:c r="G193" s="2" t="str">
        <x:v>Bulk and strategic mineral input</x:v>
      </x:c>
      <x:c r="H193" s="2" t="str">
        <x:v>Iron ore / steel inputs is linked to Passive house design because it is typically used in load-bearing structures, pressure vessels, piping or machinery; the assignment follows component function, not a sector-wide keyword.</x:v>
      </x:c>
      <x:c r="I193" s="2" t="str">
        <x:v>Presence and quantity in Passive house design depend on the selected design, chemistry, capacity, supplier and recycled content. This analytical link is not a verified bill of materials or supplier traceability statement.</x:v>
      </x:c>
      <x:c r="J193" s="2" t="str">
        <x:v>https://pubs.usgs.gov/periodicals/mcs2026/mcs2026.pdf</x:v>
      </x:c>
    </x:row>
    <x:row r="194" ht="66" customHeight="1">
      <x:c r="A194" s="2" t="str">
        <x:v>MIT-0072</x:v>
      </x:c>
      <x:c r="B194" s="2" t="str">
        <x:v>Mitigation</x:v>
      </x:c>
      <x:c r="C194" s="2" t="str">
        <x:v>Energy efficiency</x:v>
      </x:c>
      <x:c r="D194" s="2" t="str">
        <x:v>Buildings</x:v>
      </x:c>
      <x:c r="E194" s="2" t="str">
        <x:v>Passive house design</x:v>
      </x:c>
      <x:c r="F194" s="2" t="str">
        <x:v>Limestone / cement raw materials</x:v>
      </x:c>
      <x:c r="G194" s="2" t="str">
        <x:v>Bulk construction material</x:v>
      </x:c>
      <x:c r="H194" s="2" t="str">
        <x:v>Limestone / cement raw materials is linked to Passive house design because it is typically used in concrete foundations, channels, buildings or protective civil works; the assignment follows component function, not a sector-wide keyword.</x:v>
      </x:c>
      <x:c r="I194" s="2" t="str">
        <x:v>Presence and quantity in Passive house design depend on the selected design, chemistry, capacity, supplier and recycled content. This analytical link is not a verified bill of materials or supplier traceability statement.</x:v>
      </x:c>
      <x:c r="J194" s="2" t="str">
        <x:v>https://pubs.usgs.gov/periodicals/mcs2026/mcs2026.pdf</x:v>
      </x:c>
    </x:row>
    <x:row r="195" ht="66" customHeight="1">
      <x:c r="A195" s="2" t="str">
        <x:v>MIT-0073</x:v>
      </x:c>
      <x:c r="B195" s="2" t="str">
        <x:v>Mitigation</x:v>
      </x:c>
      <x:c r="C195" s="2" t="str">
        <x:v>Energy efficiency</x:v>
      </x:c>
      <x:c r="D195" s="2" t="str">
        <x:v>Buildings</x:v>
      </x:c>
      <x:c r="E195" s="2" t="str">
        <x:v>Traditional building materials and design</x:v>
      </x:c>
      <x:c r="F195" s="2" t="str">
        <x:v>Iron ore / steel inputs</x:v>
      </x:c>
      <x:c r="G195" s="2" t="str">
        <x:v>Bulk and strategic mineral input</x:v>
      </x:c>
      <x:c r="H195" s="2" t="str">
        <x:v>Iron ore / steel inputs is linked to Traditional building materials and design because it is typically used in load-bearing structures, pressure vessels, piping or machinery; the assignment follows component function, not a sector-wide keyword.</x:v>
      </x:c>
      <x:c r="I195" s="2" t="str">
        <x:v>Presence and quantity in Traditional building materials and design depend on the selected design, chemistry, capacity, supplier and recycled content. This analytical link is not a verified bill of materials or supplier traceability statement.</x:v>
      </x:c>
      <x:c r="J195" s="2" t="str">
        <x:v>https://pubs.usgs.gov/periodicals/mcs2026/mcs2026.pdf</x:v>
      </x:c>
    </x:row>
    <x:row r="196" ht="66" customHeight="1">
      <x:c r="A196" s="2" t="str">
        <x:v>MIT-0073</x:v>
      </x:c>
      <x:c r="B196" s="2" t="str">
        <x:v>Mitigation</x:v>
      </x:c>
      <x:c r="C196" s="2" t="str">
        <x:v>Energy efficiency</x:v>
      </x:c>
      <x:c r="D196" s="2" t="str">
        <x:v>Buildings</x:v>
      </x:c>
      <x:c r="E196" s="2" t="str">
        <x:v>Traditional building materials and design</x:v>
      </x:c>
      <x:c r="F196" s="2" t="str">
        <x:v>Limestone / cement raw materials</x:v>
      </x:c>
      <x:c r="G196" s="2" t="str">
        <x:v>Bulk construction material</x:v>
      </x:c>
      <x:c r="H196" s="2" t="str">
        <x:v>Limestone / cement raw materials is linked to Traditional building materials and design because it is typically used in concrete foundations, channels, buildings or protective civil works; the assignment follows component function, not a sector-wide keyword.</x:v>
      </x:c>
      <x:c r="I196" s="2" t="str">
        <x:v>Presence and quantity in Traditional building materials and design depend on the selected design, chemistry, capacity, supplier and recycled content. This analytical link is not a verified bill of materials or supplier traceability statement.</x:v>
      </x:c>
      <x:c r="J196" s="2" t="str">
        <x:v>https://pubs.usgs.gov/periodicals/mcs2026/mcs2026.pdf</x:v>
      </x:c>
    </x:row>
    <x:row r="197" ht="66" customHeight="1">
      <x:c r="A197" s="2" t="str">
        <x:v>MIT-0074</x:v>
      </x:c>
      <x:c r="B197" s="2" t="str">
        <x:v>Mitigation</x:v>
      </x:c>
      <x:c r="C197" s="2" t="str">
        <x:v>Energy efficiency</x:v>
      </x:c>
      <x:c r="D197" s="2" t="str">
        <x:v>Buildings</x:v>
      </x:c>
      <x:c r="E197" s="2" t="str">
        <x:v>Sustainable spatial planning</x:v>
      </x:c>
      <x:c r="F197" s="2" t="str">
        <x:v>Limestone / cement raw materials</x:v>
      </x:c>
      <x:c r="G197" s="2" t="str">
        <x:v>Bulk construction material</x:v>
      </x:c>
      <x:c r="H197" s="2" t="str">
        <x:v>Limestone / cement raw materials is linked to Sustainable spatial planning because it is typically used in concrete foundations, channels, buildings or protective civil works; the assignment follows component function, not a sector-wide keyword.</x:v>
      </x:c>
      <x:c r="I197" s="2" t="str">
        <x:v>Presence and quantity in Sustainable spatial planning depend on the selected design, chemistry, capacity, supplier and recycled content. This analytical link is not a verified bill of materials or supplier traceability statement.</x:v>
      </x:c>
      <x:c r="J197" s="2" t="str">
        <x:v>https://pubs.usgs.gov/periodicals/mcs2026/mcs2026.pdf</x:v>
      </x:c>
    </x:row>
    <x:row r="198" ht="66" customHeight="1">
      <x:c r="A198" s="2" t="str">
        <x:v>MIT-0075</x:v>
      </x:c>
      <x:c r="B198" s="2" t="str">
        <x:v>Mitigation</x:v>
      </x:c>
      <x:c r="C198" s="2" t="str">
        <x:v>Energy efficiency</x:v>
      </x:c>
      <x:c r="D198" s="2" t="str">
        <x:v>Buildings</x:v>
      </x:c>
      <x:c r="E198" s="2" t="str">
        <x:v>Cool roofs</x:v>
      </x:c>
      <x:c r="F198" s="2" t="str">
        <x:v>Iron ore / steel inputs</x:v>
      </x:c>
      <x:c r="G198" s="2" t="str">
        <x:v>Bulk and strategic mineral input</x:v>
      </x:c>
      <x:c r="H198" s="2" t="str">
        <x:v>Iron ore / steel inputs is linked to Cool roofs because it is typically used in load-bearing structures, pressure vessels, piping or machinery; the assignment follows component function, not a sector-wide keyword.</x:v>
      </x:c>
      <x:c r="I198" s="2" t="str">
        <x:v>Presence and quantity in Cool roofs depend on the selected design, chemistry, capacity, supplier and recycled content. This analytical link is not a verified bill of materials or supplier traceability statement.</x:v>
      </x:c>
      <x:c r="J198" s="2" t="str">
        <x:v>https://pubs.usgs.gov/periodicals/mcs2026/mcs2026.pdf</x:v>
      </x:c>
    </x:row>
    <x:row r="199" ht="66" customHeight="1">
      <x:c r="A199" s="2" t="str">
        <x:v>MIT-0075</x:v>
      </x:c>
      <x:c r="B199" s="2" t="str">
        <x:v>Mitigation</x:v>
      </x:c>
      <x:c r="C199" s="2" t="str">
        <x:v>Energy efficiency</x:v>
      </x:c>
      <x:c r="D199" s="2" t="str">
        <x:v>Buildings</x:v>
      </x:c>
      <x:c r="E199" s="2" t="str">
        <x:v>Cool roofs</x:v>
      </x:c>
      <x:c r="F199" s="2" t="str">
        <x:v>Limestone / cement raw materials</x:v>
      </x:c>
      <x:c r="G199" s="2" t="str">
        <x:v>Bulk construction material</x:v>
      </x:c>
      <x:c r="H199" s="2" t="str">
        <x:v>Limestone / cement raw materials is linked to Cool roofs because it is typically used in concrete foundations, channels, buildings or protective civil works; the assignment follows component function, not a sector-wide keyword.</x:v>
      </x:c>
      <x:c r="I199" s="2" t="str">
        <x:v>Presence and quantity in Cool roofs depend on the selected design, chemistry, capacity, supplier and recycled content. This analytical link is not a verified bill of materials or supplier traceability statement.</x:v>
      </x:c>
      <x:c r="J199" s="2" t="str">
        <x:v>https://pubs.usgs.gov/periodicals/mcs2026/mcs2026.pdf</x:v>
      </x:c>
    </x:row>
    <x:row r="200" ht="66" customHeight="1">
      <x:c r="A200" s="2" t="str">
        <x:v>MIT-0076</x:v>
      </x:c>
      <x:c r="B200" s="2" t="str">
        <x:v>Mitigation</x:v>
      </x:c>
      <x:c r="C200" s="2" t="str">
        <x:v>Energy efficiency</x:v>
      </x:c>
      <x:c r="D200" s="2" t="str">
        <x:v>Buildings</x:v>
      </x:c>
      <x:c r="E200" s="2" t="str">
        <x:v>Efficient air conditioning systems</x:v>
      </x:c>
      <x:c r="F200" s="2" t="str">
        <x:v>Iron ore / steel inputs</x:v>
      </x:c>
      <x:c r="G200" s="2" t="str">
        <x:v>Bulk and strategic mineral input</x:v>
      </x:c>
      <x:c r="H200" s="2" t="str">
        <x:v>Iron ore / steel inputs is linked to Efficient air conditioning systems because it is typically used in load-bearing structures, pressure vessels, piping or machinery; the assignment follows component function, not a sector-wide keyword.</x:v>
      </x:c>
      <x:c r="I200" s="2" t="str">
        <x:v>Presence and quantity in Efficient air conditioning systems depend on the selected design, chemistry, capacity, supplier and recycled content. This analytical link is not a verified bill of materials or supplier traceability statement.</x:v>
      </x:c>
      <x:c r="J200" s="2" t="str">
        <x:v>https://pubs.usgs.gov/periodicals/mcs2026/mcs2026.pdf</x:v>
      </x:c>
    </x:row>
    <x:row r="201" ht="66" customHeight="1">
      <x:c r="A201" s="2" t="str">
        <x:v>MIT-0076</x:v>
      </x:c>
      <x:c r="B201" s="2" t="str">
        <x:v>Mitigation</x:v>
      </x:c>
      <x:c r="C201" s="2" t="str">
        <x:v>Energy efficiency</x:v>
      </x:c>
      <x:c r="D201" s="2" t="str">
        <x:v>Buildings</x:v>
      </x:c>
      <x:c r="E201" s="2" t="str">
        <x:v>Efficient air conditioning systems</x:v>
      </x:c>
      <x:c r="F201" s="2" t="str">
        <x:v>Copper</x:v>
      </x:c>
      <x:c r="G201" s="2" t="str">
        <x:v>Critical or strategic metal</x:v>
      </x:c>
      <x:c r="H201" s="2" t="str">
        <x:v>Copper is linked to Efficient air conditioning systems because it is typically used in power cables, windings, busbars, grounding and electrical connectors; the assignment follows component function, not a sector-wide keyword.</x:v>
      </x:c>
      <x:c r="I201" s="2" t="str">
        <x:v>Presence and quantity in Efficient air conditioning systems depend on the selected design, chemistry, capacity, supplier and recycled content. This analytical link is not a verified bill of materials or supplier traceability statement.</x:v>
      </x:c>
      <x:c r="J201" s="2" t="str">
        <x:v>https://pubs.usgs.gov/periodicals/mcs2026/mcs2026.pdf</x:v>
      </x:c>
    </x:row>
    <x:row r="202" ht="66" customHeight="1">
      <x:c r="A202" s="2" t="str">
        <x:v>MIT-0076</x:v>
      </x:c>
      <x:c r="B202" s="2" t="str">
        <x:v>Mitigation</x:v>
      </x:c>
      <x:c r="C202" s="2" t="str">
        <x:v>Energy efficiency</x:v>
      </x:c>
      <x:c r="D202" s="2" t="str">
        <x:v>Buildings</x:v>
      </x:c>
      <x:c r="E202" s="2" t="str">
        <x:v>Efficient air conditioning systems</x:v>
      </x:c>
      <x:c r="F202" s="2" t="str">
        <x:v>Tin</x:v>
      </x:c>
      <x:c r="G202" s="2" t="str">
        <x:v>Electronics strategic metal</x:v>
      </x:c>
      <x:c r="H202" s="2" t="str">
        <x:v>Tin is linked to Efficient air conditioning systems because it is typically used in electronic solder and selected coatings; the assignment follows component function, not a sector-wide keyword.</x:v>
      </x:c>
      <x:c r="I202" s="2" t="str">
        <x:v>Presence and quantity in Efficient air conditioning systems depend on the selected design, chemistry, capacity, supplier and recycled content. This analytical link is not a verified bill of materials or supplier traceability statement.</x:v>
      </x:c>
      <x:c r="J202" s="2" t="str">
        <x:v>https://pubs.usgs.gov/periodicals/mcs2026/mcs2026.pdf</x:v>
      </x:c>
    </x:row>
    <x:row r="203" ht="66" customHeight="1">
      <x:c r="A203" s="2" t="str">
        <x:v>MIT-0076</x:v>
      </x:c>
      <x:c r="B203" s="2" t="str">
        <x:v>Mitigation</x:v>
      </x:c>
      <x:c r="C203" s="2" t="str">
        <x:v>Energy efficiency</x:v>
      </x:c>
      <x:c r="D203" s="2" t="str">
        <x:v>Buildings</x:v>
      </x:c>
      <x:c r="E203" s="2" t="str">
        <x:v>Efficient air conditioning systems</x:v>
      </x:c>
      <x:c r="F203" s="2" t="str">
        <x:v>Limestone / cement raw materials</x:v>
      </x:c>
      <x:c r="G203" s="2" t="str">
        <x:v>Bulk construction material</x:v>
      </x:c>
      <x:c r="H203" s="2" t="str">
        <x:v>Limestone / cement raw materials is linked to Efficient air conditioning systems because it is typically used in concrete foundations, channels, buildings or protective civil works; the assignment follows component function, not a sector-wide keyword.</x:v>
      </x:c>
      <x:c r="I203" s="2" t="str">
        <x:v>Presence and quantity in Efficient air conditioning systems depend on the selected design, chemistry, capacity, supplier and recycled content. This analytical link is not a verified bill of materials or supplier traceability statement.</x:v>
      </x:c>
      <x:c r="J203" s="2" t="str">
        <x:v>https://pubs.usgs.gov/periodicals/mcs2026/mcs2026.pdf</x:v>
      </x:c>
    </x:row>
    <x:row r="204" ht="66" customHeight="1">
      <x:c r="A204" s="2" t="str">
        <x:v>MIT-0077</x:v>
      </x:c>
      <x:c r="B204" s="2" t="str">
        <x:v>Mitigation</x:v>
      </x:c>
      <x:c r="C204" s="2" t="str">
        <x:v>Energy efficiency</x:v>
      </x:c>
      <x:c r="D204" s="2" t="str">
        <x:v>Buildings</x:v>
      </x:c>
      <x:c r="E204" s="2" t="str">
        <x:v>Indirect evaporative cooling</x:v>
      </x:c>
      <x:c r="F204" s="2" t="str">
        <x:v>Iron ore / steel inputs</x:v>
      </x:c>
      <x:c r="G204" s="2" t="str">
        <x:v>Bulk and strategic mineral input</x:v>
      </x:c>
      <x:c r="H204" s="2" t="str">
        <x:v>Iron ore / steel inputs is linked to Indirect evaporative cooling because it is typically used in load-bearing structures, pressure vessels, piping or machinery; the assignment follows component function, not a sector-wide keyword.</x:v>
      </x:c>
      <x:c r="I204" s="2" t="str">
        <x:v>Presence and quantity in Indirect evaporative cooling depend on the selected design, chemistry, capacity, supplier and recycled content. This analytical link is not a verified bill of materials or supplier traceability statement.</x:v>
      </x:c>
      <x:c r="J204" s="2" t="str">
        <x:v>https://pubs.usgs.gov/periodicals/mcs2026/mcs2026.pdf</x:v>
      </x:c>
    </x:row>
    <x:row r="205" ht="66" customHeight="1">
      <x:c r="A205" s="2" t="str">
        <x:v>MIT-0077</x:v>
      </x:c>
      <x:c r="B205" s="2" t="str">
        <x:v>Mitigation</x:v>
      </x:c>
      <x:c r="C205" s="2" t="str">
        <x:v>Energy efficiency</x:v>
      </x:c>
      <x:c r="D205" s="2" t="str">
        <x:v>Buildings</x:v>
      </x:c>
      <x:c r="E205" s="2" t="str">
        <x:v>Indirect evaporative cooling</x:v>
      </x:c>
      <x:c r="F205" s="2" t="str">
        <x:v>Limestone / cement raw materials</x:v>
      </x:c>
      <x:c r="G205" s="2" t="str">
        <x:v>Bulk construction material</x:v>
      </x:c>
      <x:c r="H205" s="2" t="str">
        <x:v>Limestone / cement raw materials is linked to Indirect evaporative cooling because it is typically used in concrete foundations, channels, buildings or protective civil works; the assignment follows component function, not a sector-wide keyword.</x:v>
      </x:c>
      <x:c r="I205" s="2" t="str">
        <x:v>Presence and quantity in Indirect evaporative cooling depend on the selected design, chemistry, capacity, supplier and recycled content. This analytical link is not a verified bill of materials or supplier traceability statement.</x:v>
      </x:c>
      <x:c r="J205" s="2" t="str">
        <x:v>https://pubs.usgs.gov/periodicals/mcs2026/mcs2026.pdf</x:v>
      </x:c>
    </x:row>
    <x:row r="206" ht="66" customHeight="1">
      <x:c r="A206" s="2" t="str">
        <x:v>MIT-0078</x:v>
      </x:c>
      <x:c r="B206" s="2" t="str">
        <x:v>Mitigation</x:v>
      </x:c>
      <x:c r="C206" s="2" t="str">
        <x:v>Energy efficiency</x:v>
      </x:c>
      <x:c r="D206" s="2" t="str">
        <x:v>Energy storage</x:v>
      </x:c>
      <x:c r="E206" s="2" t="str">
        <x:v>Compressed air energy storage</x:v>
      </x:c>
      <x:c r="F206" s="2" t="str">
        <x:v>Iron ore / steel inputs</x:v>
      </x:c>
      <x:c r="G206" s="2" t="str">
        <x:v>Bulk and strategic mineral input</x:v>
      </x:c>
      <x:c r="H206" s="2" t="str">
        <x:v>Iron ore / steel inputs is linked to Compressed air energy storage because it is typically used in load-bearing structures, pressure vessels, piping or machinery; the assignment follows component function, not a sector-wide keyword.</x:v>
      </x:c>
      <x:c r="I206" s="2" t="str">
        <x:v>Presence and quantity in Compressed air energy storage depend on the selected design, chemistry, capacity, supplier and recycled content. This analytical link is not a verified bill of materials or supplier traceability statement.</x:v>
      </x:c>
      <x:c r="J206" s="2" t="str">
        <x:v>https://pubs.usgs.gov/periodicals/mcs2026/mcs2026.pdf</x:v>
      </x:c>
    </x:row>
    <x:row r="207" ht="66" customHeight="1">
      <x:c r="A207" s="2" t="str">
        <x:v>MIT-0079</x:v>
      </x:c>
      <x:c r="B207" s="2" t="str">
        <x:v>Mitigation</x:v>
      </x:c>
      <x:c r="C207" s="2" t="str">
        <x:v>Energy efficiency</x:v>
      </x:c>
      <x:c r="D207" s="2" t="str">
        <x:v>Energy storage</x:v>
      </x:c>
      <x:c r="E207" s="2" t="str">
        <x:v>Phase change materials for thermal energy storage</x:v>
      </x:c>
      <x:c r="F207" s="2" t="str">
        <x:v>Iron ore / steel inputs</x:v>
      </x:c>
      <x:c r="G207" s="2" t="str">
        <x:v>Bulk and strategic mineral input</x:v>
      </x:c>
      <x:c r="H207" s="2" t="str">
        <x:v>Iron ore / steel inputs is linked to Phase change materials for thermal energy storage because it is typically used in load-bearing structures, pressure vessels, piping or machinery; the assignment follows component function, not a sector-wide keyword.</x:v>
      </x:c>
      <x:c r="I207" s="2" t="str">
        <x:v>Presence and quantity in Phase change materials for thermal energy storage depend on the selected design, chemistry, capacity, supplier and recycled content. This analytical link is not a verified bill of materials or supplier traceability statement.</x:v>
      </x:c>
      <x:c r="J207" s="2" t="str">
        <x:v>https://pubs.usgs.gov/periodicals/mcs2026/mcs2026.pdf</x:v>
      </x:c>
    </x:row>
    <x:row r="208" ht="66" customHeight="1">
      <x:c r="A208" s="2" t="str">
        <x:v>MIT-0080</x:v>
      </x:c>
      <x:c r="B208" s="2" t="str">
        <x:v>Mitigation</x:v>
      </x:c>
      <x:c r="C208" s="2" t="str">
        <x:v>Energy efficiency</x:v>
      </x:c>
      <x:c r="D208" s="2" t="str">
        <x:v>Energy storage</x:v>
      </x:c>
      <x:c r="E208" s="2" t="str">
        <x:v>Capacitors</x:v>
      </x:c>
      <x:c r="F208" s="2" t="str">
        <x:v>Iron ore / steel inputs</x:v>
      </x:c>
      <x:c r="G208" s="2" t="str">
        <x:v>Bulk and strategic mineral input</x:v>
      </x:c>
      <x:c r="H208" s="2" t="str">
        <x:v>Iron ore / steel inputs is linked to Capacitors because it is typically used in load-bearing structures, pressure vessels, piping or machinery; the assignment follows component function, not a sector-wide keyword.</x:v>
      </x:c>
      <x:c r="I208" s="2" t="str">
        <x:v>Presence and quantity in Capacitors depend on the selected design, chemistry, capacity, supplier and recycled content. This analytical link is not a verified bill of materials or supplier traceability statement.</x:v>
      </x:c>
      <x:c r="J208" s="2" t="str">
        <x:v>https://pubs.usgs.gov/periodicals/mcs2026/mcs2026.pdf</x:v>
      </x:c>
    </x:row>
    <x:row r="209" ht="66" customHeight="1">
      <x:c r="A209" s="2" t="str">
        <x:v>MIT-0080</x:v>
      </x:c>
      <x:c r="B209" s="2" t="str">
        <x:v>Mitigation</x:v>
      </x:c>
      <x:c r="C209" s="2" t="str">
        <x:v>Energy efficiency</x:v>
      </x:c>
      <x:c r="D209" s="2" t="str">
        <x:v>Energy storage</x:v>
      </x:c>
      <x:c r="E209" s="2" t="str">
        <x:v>Capacitors</x:v>
      </x:c>
      <x:c r="F209" s="2" t="str">
        <x:v>Tantalum</x:v>
      </x:c>
      <x:c r="G209" s="2" t="str">
        <x:v>Electronics critical mineral</x:v>
      </x:c>
      <x:c r="H209" s="2" t="str">
        <x:v>Tantalum is linked to Capacitors because it is typically used in high-reliability electronic capacitors; the assignment follows component function, not a sector-wide keyword.</x:v>
      </x:c>
      <x:c r="I209" s="2" t="str">
        <x:v>Presence and quantity in Capacitors depend on the selected design, chemistry, capacity, supplier and recycled content. This analytical link is not a verified bill of materials or supplier traceability statement.</x:v>
      </x:c>
      <x:c r="J209" s="2" t="str">
        <x:v>https://pubs.usgs.gov/periodicals/mcs2026/mcs2026.pdf</x:v>
      </x:c>
    </x:row>
    <x:row r="210" ht="66" customHeight="1">
      <x:c r="A210" s="2" t="str">
        <x:v>MIT-0081</x:v>
      </x:c>
      <x:c r="B210" s="2" t="str">
        <x:v>Mitigation</x:v>
      </x:c>
      <x:c r="C210" s="2" t="str">
        <x:v>Energy efficiency</x:v>
      </x:c>
      <x:c r="D210" s="2" t="str">
        <x:v>Energy storage</x:v>
      </x:c>
      <x:c r="E210" s="2" t="str">
        <x:v>Batteries</x:v>
      </x:c>
      <x:c r="F210" s="2" t="str">
        <x:v>Iron ore / steel inputs</x:v>
      </x:c>
      <x:c r="G210" s="2" t="str">
        <x:v>Bulk and strategic mineral input</x:v>
      </x:c>
      <x:c r="H210" s="2" t="str">
        <x:v>Iron ore / steel inputs is linked to Batteries because it is typically used in load-bearing structures, pressure vessels, piping or machinery; the assignment follows component function, not a sector-wide keyword.</x:v>
      </x:c>
      <x:c r="I210" s="2" t="str">
        <x:v>Presence and quantity in Batteries depend on the selected design, chemistry, capacity, supplier and recycled content. This analytical link is not a verified bill of materials or supplier traceability statement.</x:v>
      </x:c>
      <x:c r="J210" s="2" t="str">
        <x:v>https://pubs.usgs.gov/periodicals/mcs2026/mcs2026.pdf</x:v>
      </x:c>
    </x:row>
    <x:row r="211" ht="66" customHeight="1">
      <x:c r="A211" s="2" t="str">
        <x:v>MIT-0082</x:v>
      </x:c>
      <x:c r="B211" s="2" t="str">
        <x:v>Mitigation</x:v>
      </x:c>
      <x:c r="C211" s="2" t="str">
        <x:v>Energy efficiency</x:v>
      </x:c>
      <x:c r="D211" s="2" t="str">
        <x:v>Energy storage</x:v>
      </x:c>
      <x:c r="E211" s="2" t="str">
        <x:v>Pumped hydroelectric energy storage</x:v>
      </x:c>
      <x:c r="F211" s="2" t="str">
        <x:v>Iron ore / steel inputs</x:v>
      </x:c>
      <x:c r="G211" s="2" t="str">
        <x:v>Bulk and strategic mineral input</x:v>
      </x:c>
      <x:c r="H211" s="2" t="str">
        <x:v>Iron ore / steel inputs is linked to Pumped hydroelectric energy storage because it is typically used in load-bearing structures, pressure vessels, piping or machinery; the assignment follows component function, not a sector-wide keyword.</x:v>
      </x:c>
      <x:c r="I211" s="2" t="str">
        <x:v>Presence and quantity in Pumped hydroelectric energy storage depend on the selected design, chemistry, capacity, supplier and recycled content. This analytical link is not a verified bill of materials or supplier traceability statement.</x:v>
      </x:c>
      <x:c r="J211" s="2" t="str">
        <x:v>https://pubs.usgs.gov/periodicals/mcs2026/mcs2026.pdf</x:v>
      </x:c>
    </x:row>
    <x:row r="212" ht="66" customHeight="1">
      <x:c r="A212" s="2" t="str">
        <x:v>MIT-0082</x:v>
      </x:c>
      <x:c r="B212" s="2" t="str">
        <x:v>Mitigation</x:v>
      </x:c>
      <x:c r="C212" s="2" t="str">
        <x:v>Energy efficiency</x:v>
      </x:c>
      <x:c r="D212" s="2" t="str">
        <x:v>Energy storage</x:v>
      </x:c>
      <x:c r="E212" s="2" t="str">
        <x:v>Pumped hydroelectric energy storage</x:v>
      </x:c>
      <x:c r="F212" s="2" t="str">
        <x:v>Copper</x:v>
      </x:c>
      <x:c r="G212" s="2" t="str">
        <x:v>Critical or strategic metal</x:v>
      </x:c>
      <x:c r="H212" s="2" t="str">
        <x:v>Copper is linked to Pumped hydroelectric energy storage because it is typically used in power cables, windings, busbars, grounding and electrical connectors; the assignment follows component function, not a sector-wide keyword.</x:v>
      </x:c>
      <x:c r="I212" s="2" t="str">
        <x:v>Presence and quantity in Pumped hydroelectric energy storage depend on the selected design, chemistry, capacity, supplier and recycled content. This analytical link is not a verified bill of materials or supplier traceability statement.</x:v>
      </x:c>
      <x:c r="J212" s="2" t="str">
        <x:v>https://pubs.usgs.gov/periodicals/mcs2026/mcs2026.pdf</x:v>
      </x:c>
    </x:row>
    <x:row r="213" ht="66" customHeight="1">
      <x:c r="A213" s="2" t="str">
        <x:v>MIT-0082</x:v>
      </x:c>
      <x:c r="B213" s="2" t="str">
        <x:v>Mitigation</x:v>
      </x:c>
      <x:c r="C213" s="2" t="str">
        <x:v>Energy efficiency</x:v>
      </x:c>
      <x:c r="D213" s="2" t="str">
        <x:v>Energy storage</x:v>
      </x:c>
      <x:c r="E213" s="2" t="str">
        <x:v>Pumped hydroelectric energy storage</x:v>
      </x:c>
      <x:c r="F213" s="2" t="str">
        <x:v>Tin</x:v>
      </x:c>
      <x:c r="G213" s="2" t="str">
        <x:v>Electronics strategic metal</x:v>
      </x:c>
      <x:c r="H213" s="2" t="str">
        <x:v>Tin is linked to Pumped hydroelectric energy storage because it is typically used in electronic solder and selected coatings; the assignment follows component function, not a sector-wide keyword.</x:v>
      </x:c>
      <x:c r="I213" s="2" t="str">
        <x:v>Presence and quantity in Pumped hydroelectric energy storage depend on the selected design, chemistry, capacity, supplier and recycled content. This analytical link is not a verified bill of materials or supplier traceability statement.</x:v>
      </x:c>
      <x:c r="J213" s="2" t="str">
        <x:v>https://pubs.usgs.gov/periodicals/mcs2026/mcs2026.pdf</x:v>
      </x:c>
    </x:row>
    <x:row r="214" ht="66" customHeight="1">
      <x:c r="A214" s="2" t="str">
        <x:v>MIT-0083</x:v>
      </x:c>
      <x:c r="B214" s="2" t="str">
        <x:v>Mitigation</x:v>
      </x:c>
      <x:c r="C214" s="2" t="str">
        <x:v>Energy efficiency</x:v>
      </x:c>
      <x:c r="D214" s="2" t="str">
        <x:v>Energy storage</x:v>
      </x:c>
      <x:c r="E214" s="2" t="str">
        <x:v>Flywheels</x:v>
      </x:c>
      <x:c r="F214" s="2" t="str">
        <x:v>Iron ore / steel inputs</x:v>
      </x:c>
      <x:c r="G214" s="2" t="str">
        <x:v>Bulk and strategic mineral input</x:v>
      </x:c>
      <x:c r="H214" s="2" t="str">
        <x:v>Iron ore / steel inputs is linked to Flywheels because it is typically used in load-bearing structures, pressure vessels, piping or machinery; the assignment follows component function, not a sector-wide keyword.</x:v>
      </x:c>
      <x:c r="I214" s="2" t="str">
        <x:v>Presence and quantity in Flywheels depend on the selected design, chemistry, capacity, supplier and recycled content. This analytical link is not a verified bill of materials or supplier traceability statement.</x:v>
      </x:c>
      <x:c r="J214" s="2" t="str">
        <x:v>https://pubs.usgs.gov/periodicals/mcs2026/mcs2026.pdf</x:v>
      </x:c>
    </x:row>
    <x:row r="215" ht="66" customHeight="1">
      <x:c r="A215" s="2" t="str">
        <x:v>MIT-0083</x:v>
      </x:c>
      <x:c r="B215" s="2" t="str">
        <x:v>Mitigation</x:v>
      </x:c>
      <x:c r="C215" s="2" t="str">
        <x:v>Energy efficiency</x:v>
      </x:c>
      <x:c r="D215" s="2" t="str">
        <x:v>Energy storage</x:v>
      </x:c>
      <x:c r="E215" s="2" t="str">
        <x:v>Flywheels</x:v>
      </x:c>
      <x:c r="F215" s="2" t="str">
        <x:v>Rare earth elements</x:v>
      </x:c>
      <x:c r="G215" s="2" t="str">
        <x:v>Magnet critical minerals</x:v>
      </x:c>
      <x:c r="H215" s="2" t="str">
        <x:v>Rare earth elements is linked to Flywheels because it is typically used in permanent magnets in selected motors or generators; the assignment follows component function, not a sector-wide keyword.</x:v>
      </x:c>
      <x:c r="I215" s="2" t="str">
        <x:v>Presence and quantity in Flywheels depend on the selected design, chemistry, capacity, supplier and recycled content. This analytical link is not a verified bill of materials or supplier traceability statement.</x:v>
      </x:c>
      <x:c r="J215" s="2" t="str">
        <x:v>https://www.iea.org/reports/global-critical-minerals-outlook-2025</x:v>
      </x:c>
    </x:row>
    <x:row r="216" ht="66" customHeight="1">
      <x:c r="A216" s="2" t="str">
        <x:v>MIT-0084</x:v>
      </x:c>
      <x:c r="B216" s="2" t="str">
        <x:v>Mitigation</x:v>
      </x:c>
      <x:c r="C216" s="2" t="str">
        <x:v>Energy efficiency</x:v>
      </x:c>
      <x:c r="D216" s="2" t="str">
        <x:v>Energy storage</x:v>
      </x:c>
      <x:c r="E216" s="2" t="str">
        <x:v>Superconducting magnetic energy storage</x:v>
      </x:c>
      <x:c r="F216" s="2" t="str">
        <x:v>Iron ore / steel inputs</x:v>
      </x:c>
      <x:c r="G216" s="2" t="str">
        <x:v>Bulk and strategic mineral input</x:v>
      </x:c>
      <x:c r="H216" s="2" t="str">
        <x:v>Iron ore / steel inputs is linked to Superconducting magnetic energy storage because it is typically used in load-bearing structures, pressure vessels, piping or machinery; the assignment follows component function, not a sector-wide keyword.</x:v>
      </x:c>
      <x:c r="I216" s="2" t="str">
        <x:v>Presence and quantity in Superconducting magnetic energy storage depend on the selected design, chemistry, capacity, supplier and recycled content. This analytical link is not a verified bill of materials or supplier traceability statement.</x:v>
      </x:c>
      <x:c r="J216" s="2" t="str">
        <x:v>https://pubs.usgs.gov/periodicals/mcs2026/mcs2026.pdf</x:v>
      </x:c>
    </x:row>
    <x:row r="217" ht="66" customHeight="1">
      <x:c r="A217" s="2" t="str">
        <x:v>MIT-0085</x:v>
      </x:c>
      <x:c r="B217" s="2" t="str">
        <x:v>Mitigation</x:v>
      </x:c>
      <x:c r="C217" s="2" t="str">
        <x:v>Energy efficiency</x:v>
      </x:c>
      <x:c r="D217" s="2" t="str">
        <x:v>Energy storage</x:v>
      </x:c>
      <x:c r="E217" s="2" t="str">
        <x:v>Underground thermal energy storage</x:v>
      </x:c>
      <x:c r="F217" s="2" t="str">
        <x:v>Iron ore / steel inputs</x:v>
      </x:c>
      <x:c r="G217" s="2" t="str">
        <x:v>Bulk and strategic mineral input</x:v>
      </x:c>
      <x:c r="H217" s="2" t="str">
        <x:v>Iron ore / steel inputs is linked to Underground thermal energy storage because it is typically used in load-bearing structures, pressure vessels, piping or machinery; the assignment follows component function, not a sector-wide keyword.</x:v>
      </x:c>
      <x:c r="I217" s="2" t="str">
        <x:v>Presence and quantity in Underground thermal energy storage depend on the selected design, chemistry, capacity, supplier and recycled content. This analytical link is not a verified bill of materials or supplier traceability statement.</x:v>
      </x:c>
      <x:c r="J217" s="2" t="str">
        <x:v>https://pubs.usgs.gov/periodicals/mcs2026/mcs2026.pdf</x:v>
      </x:c>
    </x:row>
    <x:row r="218" ht="66" customHeight="1">
      <x:c r="A218" s="2" t="str">
        <x:v>MIT-0086</x:v>
      </x:c>
      <x:c r="B218" s="2" t="str">
        <x:v>Mitigation</x:v>
      </x:c>
      <x:c r="C218" s="2" t="str">
        <x:v>Renewable energy</x:v>
      </x:c>
      <x:c r="D218" s="2" t="str">
        <x:v>Solar</x:v>
      </x:c>
      <x:c r="E218" s="2" t="str">
        <x:v>Solar cooking</x:v>
      </x:c>
      <x:c r="F218" s="2" t="str">
        <x:v>Iron ore / steel inputs</x:v>
      </x:c>
      <x:c r="G218" s="2" t="str">
        <x:v>Bulk and strategic mineral input</x:v>
      </x:c>
      <x:c r="H218" s="2" t="str">
        <x:v>Iron ore / steel inputs is linked to Solar cooking because it is typically used in load-bearing structures, pressure vessels, piping or machinery; the assignment follows component function, not a sector-wide keyword.</x:v>
      </x:c>
      <x:c r="I218" s="2" t="str">
        <x:v>Presence and quantity in Solar cooking depend on the selected design, chemistry, capacity, supplier and recycled content. This analytical link is not a verified bill of materials or supplier traceability statement.</x:v>
      </x:c>
      <x:c r="J218" s="2" t="str">
        <x:v>https://pubs.usgs.gov/periodicals/mcs2026/mcs2026.pdf</x:v>
      </x:c>
    </x:row>
    <x:row r="219" ht="66" customHeight="1">
      <x:c r="A219" s="2" t="str">
        <x:v>MIT-0086</x:v>
      </x:c>
      <x:c r="B219" s="2" t="str">
        <x:v>Mitigation</x:v>
      </x:c>
      <x:c r="C219" s="2" t="str">
        <x:v>Renewable energy</x:v>
      </x:c>
      <x:c r="D219" s="2" t="str">
        <x:v>Solar</x:v>
      </x:c>
      <x:c r="E219" s="2" t="str">
        <x:v>Solar cooking</x:v>
      </x:c>
      <x:c r="F219" s="2" t="str">
        <x:v>Copper</x:v>
      </x:c>
      <x:c r="G219" s="2" t="str">
        <x:v>Critical or strategic metal</x:v>
      </x:c>
      <x:c r="H219" s="2" t="str">
        <x:v>Copper is linked to Solar cooking because it is typically used in power cables, windings, busbars, grounding and electrical connectors; the assignment follows component function, not a sector-wide keyword.</x:v>
      </x:c>
      <x:c r="I219" s="2" t="str">
        <x:v>Presence and quantity in Solar cooking depend on the selected design, chemistry, capacity, supplier and recycled content. This analytical link is not a verified bill of materials or supplier traceability statement.</x:v>
      </x:c>
      <x:c r="J219" s="2" t="str">
        <x:v>https://pubs.usgs.gov/periodicals/mcs2026/mcs2026.pdf</x:v>
      </x:c>
    </x:row>
    <x:row r="220" ht="66" customHeight="1">
      <x:c r="A220" s="2" t="str">
        <x:v>MIT-0086</x:v>
      </x:c>
      <x:c r="B220" s="2" t="str">
        <x:v>Mitigation</x:v>
      </x:c>
      <x:c r="C220" s="2" t="str">
        <x:v>Renewable energy</x:v>
      </x:c>
      <x:c r="D220" s="2" t="str">
        <x:v>Solar</x:v>
      </x:c>
      <x:c r="E220" s="2" t="str">
        <x:v>Solar cooking</x:v>
      </x:c>
      <x:c r="F220" s="2" t="str">
        <x:v>Tin</x:v>
      </x:c>
      <x:c r="G220" s="2" t="str">
        <x:v>Electronics strategic metal</x:v>
      </x:c>
      <x:c r="H220" s="2" t="str">
        <x:v>Tin is linked to Solar cooking because it is typically used in electronic solder and selected coatings; the assignment follows component function, not a sector-wide keyword.</x:v>
      </x:c>
      <x:c r="I220" s="2" t="str">
        <x:v>Presence and quantity in Solar cooking depend on the selected design, chemistry, capacity, supplier and recycled content. This analytical link is not a verified bill of materials or supplier traceability statement.</x:v>
      </x:c>
      <x:c r="J220" s="2" t="str">
        <x:v>https://pubs.usgs.gov/periodicals/mcs2026/mcs2026.pdf</x:v>
      </x:c>
    </x:row>
    <x:row r="221" ht="66" customHeight="1">
      <x:c r="A221" s="2" t="str">
        <x:v>MIT-0086</x:v>
      </x:c>
      <x:c r="B221" s="2" t="str">
        <x:v>Mitigation</x:v>
      </x:c>
      <x:c r="C221" s="2" t="str">
        <x:v>Renewable energy</x:v>
      </x:c>
      <x:c r="D221" s="2" t="str">
        <x:v>Solar</x:v>
      </x:c>
      <x:c r="E221" s="2" t="str">
        <x:v>Solar cooking</x:v>
      </x:c>
      <x:c r="F221" s="2" t="str">
        <x:v>Bauxite / aluminium</x:v>
      </x:c>
      <x:c r="G221" s="2" t="str">
        <x:v>Strategic metal</x:v>
      </x:c>
      <x:c r="H221" s="2" t="str">
        <x:v>Bauxite / aluminium is linked to Solar cooking because it is typically used in lightweight structures, frames, conductors or vehicle components; the assignment follows component function, not a sector-wide keyword.</x:v>
      </x:c>
      <x:c r="I221" s="2" t="str">
        <x:v>Presence and quantity in Solar cooking depend on the selected design, chemistry, capacity, supplier and recycled content. This analytical link is not a verified bill of materials or supplier traceability statement.</x:v>
      </x:c>
      <x:c r="J221" s="2" t="str">
        <x:v>https://pubs.usgs.gov/periodicals/mcs2026/mcs2026.pdf</x:v>
      </x:c>
    </x:row>
    <x:row r="222" ht="66" customHeight="1">
      <x:c r="A222" s="2" t="str">
        <x:v>MIT-0087</x:v>
      </x:c>
      <x:c r="B222" s="2" t="str">
        <x:v>Mitigation</x:v>
      </x:c>
      <x:c r="C222" s="2" t="str">
        <x:v>Renewable energy</x:v>
      </x:c>
      <x:c r="D222" s="2" t="str">
        <x:v>Solar</x:v>
      </x:c>
      <x:c r="E222" s="2" t="str">
        <x:v>Solar cooling and hybrid systems with heating and hot water</x:v>
      </x:c>
      <x:c r="F222" s="2" t="str">
        <x:v>Iron ore / steel inputs</x:v>
      </x:c>
      <x:c r="G222" s="2" t="str">
        <x:v>Bulk and strategic mineral input</x:v>
      </x:c>
      <x:c r="H222" s="2" t="str">
        <x:v>Iron ore / steel inputs is linked to Solar cooling and hybrid systems with heating and hot water because it is typically used in load-bearing structures, pressure vessels, piping or machinery; the assignment follows component function, not a sector-wide keyword.</x:v>
      </x:c>
      <x:c r="I222" s="2" t="str">
        <x:v>Presence and quantity in Solar cooling and hybrid systems with heating and hot water depend on the selected design, chemistry, capacity, supplier and recycled content. This analytical link is not a verified bill of materials or supplier traceability statement.</x:v>
      </x:c>
      <x:c r="J222" s="2" t="str">
        <x:v>https://pubs.usgs.gov/periodicals/mcs2026/mcs2026.pdf</x:v>
      </x:c>
    </x:row>
    <x:row r="223" ht="66" customHeight="1">
      <x:c r="A223" s="2" t="str">
        <x:v>MIT-0087</x:v>
      </x:c>
      <x:c r="B223" s="2" t="str">
        <x:v>Mitigation</x:v>
      </x:c>
      <x:c r="C223" s="2" t="str">
        <x:v>Renewable energy</x:v>
      </x:c>
      <x:c r="D223" s="2" t="str">
        <x:v>Solar</x:v>
      </x:c>
      <x:c r="E223" s="2" t="str">
        <x:v>Solar cooling and hybrid systems with heating and hot water</x:v>
      </x:c>
      <x:c r="F223" s="2" t="str">
        <x:v>Copper</x:v>
      </x:c>
      <x:c r="G223" s="2" t="str">
        <x:v>Critical or strategic metal</x:v>
      </x:c>
      <x:c r="H223" s="2" t="str">
        <x:v>Copper is linked to Solar cooling and hybrid systems with heating and hot water because it is typically used in power cables, windings, busbars, grounding and electrical connectors; the assignment follows component function, not a sector-wide keyword.</x:v>
      </x:c>
      <x:c r="I223" s="2" t="str">
        <x:v>Presence and quantity in Solar cooling and hybrid systems with heating and hot water depend on the selected design, chemistry, capacity, supplier and recycled content. This analytical link is not a verified bill of materials or supplier traceability statement.</x:v>
      </x:c>
      <x:c r="J223" s="2" t="str">
        <x:v>https://pubs.usgs.gov/periodicals/mcs2026/mcs2026.pdf</x:v>
      </x:c>
    </x:row>
    <x:row r="224" ht="66" customHeight="1">
      <x:c r="A224" s="2" t="str">
        <x:v>MIT-0087</x:v>
      </x:c>
      <x:c r="B224" s="2" t="str">
        <x:v>Mitigation</x:v>
      </x:c>
      <x:c r="C224" s="2" t="str">
        <x:v>Renewable energy</x:v>
      </x:c>
      <x:c r="D224" s="2" t="str">
        <x:v>Solar</x:v>
      </x:c>
      <x:c r="E224" s="2" t="str">
        <x:v>Solar cooling and hybrid systems with heating and hot water</x:v>
      </x:c>
      <x:c r="F224" s="2" t="str">
        <x:v>Tin</x:v>
      </x:c>
      <x:c r="G224" s="2" t="str">
        <x:v>Electronics strategic metal</x:v>
      </x:c>
      <x:c r="H224" s="2" t="str">
        <x:v>Tin is linked to Solar cooling and hybrid systems with heating and hot water because it is typically used in electronic solder and selected coatings; the assignment follows component function, not a sector-wide keyword.</x:v>
      </x:c>
      <x:c r="I224" s="2" t="str">
        <x:v>Presence and quantity in Solar cooling and hybrid systems with heating and hot water depend on the selected design, chemistry, capacity, supplier and recycled content. This analytical link is not a verified bill of materials or supplier traceability statement.</x:v>
      </x:c>
      <x:c r="J224" s="2" t="str">
        <x:v>https://pubs.usgs.gov/periodicals/mcs2026/mcs2026.pdf</x:v>
      </x:c>
    </x:row>
    <x:row r="225" ht="66" customHeight="1">
      <x:c r="A225" s="2" t="str">
        <x:v>MIT-0087</x:v>
      </x:c>
      <x:c r="B225" s="2" t="str">
        <x:v>Mitigation</x:v>
      </x:c>
      <x:c r="C225" s="2" t="str">
        <x:v>Renewable energy</x:v>
      </x:c>
      <x:c r="D225" s="2" t="str">
        <x:v>Solar</x:v>
      </x:c>
      <x:c r="E225" s="2" t="str">
        <x:v>Solar cooling and hybrid systems with heating and hot water</x:v>
      </x:c>
      <x:c r="F225" s="2" t="str">
        <x:v>Bauxite / aluminium</x:v>
      </x:c>
      <x:c r="G225" s="2" t="str">
        <x:v>Strategic metal</x:v>
      </x:c>
      <x:c r="H225" s="2" t="str">
        <x:v>Bauxite / aluminium is linked to Solar cooling and hybrid systems with heating and hot water because it is typically used in lightweight structures, frames, conductors or vehicle components; the assignment follows component function, not a sector-wide keyword.</x:v>
      </x:c>
      <x:c r="I225" s="2" t="str">
        <x:v>Presence and quantity in Solar cooling and hybrid systems with heating and hot water depend on the selected design, chemistry, capacity, supplier and recycled content. This analytical link is not a verified bill of materials or supplier traceability statement.</x:v>
      </x:c>
      <x:c r="J225" s="2" t="str">
        <x:v>https://pubs.usgs.gov/periodicals/mcs2026/mcs2026.pdf</x:v>
      </x:c>
    </x:row>
    <x:row r="226" ht="66" customHeight="1">
      <x:c r="A226" s="2" t="str">
        <x:v>MIT-0088</x:v>
      </x:c>
      <x:c r="B226" s="2" t="str">
        <x:v>Mitigation</x:v>
      </x:c>
      <x:c r="C226" s="2" t="str">
        <x:v>Renewable energy</x:v>
      </x:c>
      <x:c r="D226" s="2" t="str">
        <x:v>Solar</x:v>
      </x:c>
      <x:c r="E226" s="2" t="str">
        <x:v>Solar towers (updraft)</x:v>
      </x:c>
      <x:c r="F226" s="2" t="str">
        <x:v>Iron ore / steel inputs</x:v>
      </x:c>
      <x:c r="G226" s="2" t="str">
        <x:v>Bulk and strategic mineral input</x:v>
      </x:c>
      <x:c r="H226" s="2" t="str">
        <x:v>Iron ore / steel inputs is linked to Solar towers (updraft) because it is typically used in load-bearing structures, pressure vessels, piping or machinery; the assignment follows component function, not a sector-wide keyword.</x:v>
      </x:c>
      <x:c r="I226" s="2" t="str">
        <x:v>Presence and quantity in Solar towers (updraft) depend on the selected design, chemistry, capacity, supplier and recycled content. This analytical link is not a verified bill of materials or supplier traceability statement.</x:v>
      </x:c>
      <x:c r="J226" s="2" t="str">
        <x:v>https://pubs.usgs.gov/periodicals/mcs2026/mcs2026.pdf</x:v>
      </x:c>
    </x:row>
    <x:row r="227" ht="66" customHeight="1">
      <x:c r="A227" s="2" t="str">
        <x:v>MIT-0088</x:v>
      </x:c>
      <x:c r="B227" s="2" t="str">
        <x:v>Mitigation</x:v>
      </x:c>
      <x:c r="C227" s="2" t="str">
        <x:v>Renewable energy</x:v>
      </x:c>
      <x:c r="D227" s="2" t="str">
        <x:v>Solar</x:v>
      </x:c>
      <x:c r="E227" s="2" t="str">
        <x:v>Solar towers (updraft)</x:v>
      </x:c>
      <x:c r="F227" s="2" t="str">
        <x:v>Copper</x:v>
      </x:c>
      <x:c r="G227" s="2" t="str">
        <x:v>Critical or strategic metal</x:v>
      </x:c>
      <x:c r="H227" s="2" t="str">
        <x:v>Copper is linked to Solar towers (updraft) because it is typically used in power cables, windings, busbars, grounding and electrical connectors; the assignment follows component function, not a sector-wide keyword.</x:v>
      </x:c>
      <x:c r="I227" s="2" t="str">
        <x:v>Presence and quantity in Solar towers (updraft) depend on the selected design, chemistry, capacity, supplier and recycled content. This analytical link is not a verified bill of materials or supplier traceability statement.</x:v>
      </x:c>
      <x:c r="J227" s="2" t="str">
        <x:v>https://pubs.usgs.gov/periodicals/mcs2026/mcs2026.pdf</x:v>
      </x:c>
    </x:row>
    <x:row r="228" ht="66" customHeight="1">
      <x:c r="A228" s="2" t="str">
        <x:v>MIT-0088</x:v>
      </x:c>
      <x:c r="B228" s="2" t="str">
        <x:v>Mitigation</x:v>
      </x:c>
      <x:c r="C228" s="2" t="str">
        <x:v>Renewable energy</x:v>
      </x:c>
      <x:c r="D228" s="2" t="str">
        <x:v>Solar</x:v>
      </x:c>
      <x:c r="E228" s="2" t="str">
        <x:v>Solar towers (updraft)</x:v>
      </x:c>
      <x:c r="F228" s="2" t="str">
        <x:v>Tin</x:v>
      </x:c>
      <x:c r="G228" s="2" t="str">
        <x:v>Electronics strategic metal</x:v>
      </x:c>
      <x:c r="H228" s="2" t="str">
        <x:v>Tin is linked to Solar towers (updraft) because it is typically used in electronic solder and selected coatings; the assignment follows component function, not a sector-wide keyword.</x:v>
      </x:c>
      <x:c r="I228" s="2" t="str">
        <x:v>Presence and quantity in Solar towers (updraft) depend on the selected design, chemistry, capacity, supplier and recycled content. This analytical link is not a verified bill of materials or supplier traceability statement.</x:v>
      </x:c>
      <x:c r="J228" s="2" t="str">
        <x:v>https://pubs.usgs.gov/periodicals/mcs2026/mcs2026.pdf</x:v>
      </x:c>
    </x:row>
    <x:row r="229" ht="66" customHeight="1">
      <x:c r="A229" s="2" t="str">
        <x:v>MIT-0088</x:v>
      </x:c>
      <x:c r="B229" s="2" t="str">
        <x:v>Mitigation</x:v>
      </x:c>
      <x:c r="C229" s="2" t="str">
        <x:v>Renewable energy</x:v>
      </x:c>
      <x:c r="D229" s="2" t="str">
        <x:v>Solar</x:v>
      </x:c>
      <x:c r="E229" s="2" t="str">
        <x:v>Solar towers (updraft)</x:v>
      </x:c>
      <x:c r="F229" s="2" t="str">
        <x:v>Bauxite / aluminium</x:v>
      </x:c>
      <x:c r="G229" s="2" t="str">
        <x:v>Strategic metal</x:v>
      </x:c>
      <x:c r="H229" s="2" t="str">
        <x:v>Bauxite / aluminium is linked to Solar towers (updraft) because it is typically used in lightweight structures, frames, conductors or vehicle components; the assignment follows component function, not a sector-wide keyword.</x:v>
      </x:c>
      <x:c r="I229" s="2" t="str">
        <x:v>Presence and quantity in Solar towers (updraft) depend on the selected design, chemistry, capacity, supplier and recycled content. This analytical link is not a verified bill of materials or supplier traceability statement.</x:v>
      </x:c>
      <x:c r="J229" s="2" t="str">
        <x:v>https://pubs.usgs.gov/periodicals/mcs2026/mcs2026.pdf</x:v>
      </x:c>
    </x:row>
    <x:row r="230" ht="66" customHeight="1">
      <x:c r="A230" s="2" t="str">
        <x:v>MIT-0089</x:v>
      </x:c>
      <x:c r="B230" s="2" t="str">
        <x:v>Mitigation</x:v>
      </x:c>
      <x:c r="C230" s="2" t="str">
        <x:v>Renewable energy</x:v>
      </x:c>
      <x:c r="D230" s="2" t="str">
        <x:v>Solar</x:v>
      </x:c>
      <x:c r="E230" s="2" t="str">
        <x:v>Solar water purification</x:v>
      </x:c>
      <x:c r="F230" s="2" t="str">
        <x:v>Iron ore / steel inputs</x:v>
      </x:c>
      <x:c r="G230" s="2" t="str">
        <x:v>Bulk and strategic mineral input</x:v>
      </x:c>
      <x:c r="H230" s="2" t="str">
        <x:v>Iron ore / steel inputs is linked to Solar water purification because it is typically used in load-bearing structures, pressure vessels, piping or machinery; the assignment follows component function, not a sector-wide keyword.</x:v>
      </x:c>
      <x:c r="I230" s="2" t="str">
        <x:v>Presence and quantity in Solar water purification depend on the selected design, chemistry, capacity, supplier and recycled content. This analytical link is not a verified bill of materials or supplier traceability statement.</x:v>
      </x:c>
      <x:c r="J230" s="2" t="str">
        <x:v>https://pubs.usgs.gov/periodicals/mcs2026/mcs2026.pdf</x:v>
      </x:c>
    </x:row>
    <x:row r="231" ht="66" customHeight="1">
      <x:c r="A231" s="2" t="str">
        <x:v>MIT-0089</x:v>
      </x:c>
      <x:c r="B231" s="2" t="str">
        <x:v>Mitigation</x:v>
      </x:c>
      <x:c r="C231" s="2" t="str">
        <x:v>Renewable energy</x:v>
      </x:c>
      <x:c r="D231" s="2" t="str">
        <x:v>Solar</x:v>
      </x:c>
      <x:c r="E231" s="2" t="str">
        <x:v>Solar water purification</x:v>
      </x:c>
      <x:c r="F231" s="2" t="str">
        <x:v>Copper</x:v>
      </x:c>
      <x:c r="G231" s="2" t="str">
        <x:v>Critical or strategic metal</x:v>
      </x:c>
      <x:c r="H231" s="2" t="str">
        <x:v>Copper is linked to Solar water purification because it is typically used in power cables, windings, busbars, grounding and electrical connectors; the assignment follows component function, not a sector-wide keyword.</x:v>
      </x:c>
      <x:c r="I231" s="2" t="str">
        <x:v>Presence and quantity in Solar water purification depend on the selected design, chemistry, capacity, supplier and recycled content. This analytical link is not a verified bill of materials or supplier traceability statement.</x:v>
      </x:c>
      <x:c r="J231" s="2" t="str">
        <x:v>https://pubs.usgs.gov/periodicals/mcs2026/mcs2026.pdf</x:v>
      </x:c>
    </x:row>
    <x:row r="232" ht="66" customHeight="1">
      <x:c r="A232" s="2" t="str">
        <x:v>MIT-0089</x:v>
      </x:c>
      <x:c r="B232" s="2" t="str">
        <x:v>Mitigation</x:v>
      </x:c>
      <x:c r="C232" s="2" t="str">
        <x:v>Renewable energy</x:v>
      </x:c>
      <x:c r="D232" s="2" t="str">
        <x:v>Solar</x:v>
      </x:c>
      <x:c r="E232" s="2" t="str">
        <x:v>Solar water purification</x:v>
      </x:c>
      <x:c r="F232" s="2" t="str">
        <x:v>Tin</x:v>
      </x:c>
      <x:c r="G232" s="2" t="str">
        <x:v>Electronics strategic metal</x:v>
      </x:c>
      <x:c r="H232" s="2" t="str">
        <x:v>Tin is linked to Solar water purification because it is typically used in electronic solder and selected coatings; the assignment follows component function, not a sector-wide keyword.</x:v>
      </x:c>
      <x:c r="I232" s="2" t="str">
        <x:v>Presence and quantity in Solar water purification depend on the selected design, chemistry, capacity, supplier and recycled content. This analytical link is not a verified bill of materials or supplier traceability statement.</x:v>
      </x:c>
      <x:c r="J232" s="2" t="str">
        <x:v>https://pubs.usgs.gov/periodicals/mcs2026/mcs2026.pdf</x:v>
      </x:c>
    </x:row>
    <x:row r="233" ht="66" customHeight="1">
      <x:c r="A233" s="2" t="str">
        <x:v>MIT-0089</x:v>
      </x:c>
      <x:c r="B233" s="2" t="str">
        <x:v>Mitigation</x:v>
      </x:c>
      <x:c r="C233" s="2" t="str">
        <x:v>Renewable energy</x:v>
      </x:c>
      <x:c r="D233" s="2" t="str">
        <x:v>Solar</x:v>
      </x:c>
      <x:c r="E233" s="2" t="str">
        <x:v>Solar water purification</x:v>
      </x:c>
      <x:c r="F233" s="2" t="str">
        <x:v>Bauxite / aluminium</x:v>
      </x:c>
      <x:c r="G233" s="2" t="str">
        <x:v>Strategic metal</x:v>
      </x:c>
      <x:c r="H233" s="2" t="str">
        <x:v>Bauxite / aluminium is linked to Solar water purification because it is typically used in lightweight structures, frames, conductors or vehicle components; the assignment follows component function, not a sector-wide keyword.</x:v>
      </x:c>
      <x:c r="I233" s="2" t="str">
        <x:v>Presence and quantity in Solar water purification depend on the selected design, chemistry, capacity, supplier and recycled content. This analytical link is not a verified bill of materials or supplier traceability statement.</x:v>
      </x:c>
      <x:c r="J233" s="2" t="str">
        <x:v>https://pubs.usgs.gov/periodicals/mcs2026/mcs2026.pdf</x:v>
      </x:c>
    </x:row>
    <x:row r="234" ht="66" customHeight="1">
      <x:c r="A234" s="2" t="str">
        <x:v>MIT-0090</x:v>
      </x:c>
      <x:c r="B234" s="2" t="str">
        <x:v>Mitigation</x:v>
      </x:c>
      <x:c r="C234" s="2" t="str">
        <x:v>Renewable energy</x:v>
      </x:c>
      <x:c r="D234" s="2" t="str">
        <x:v>Solar</x:v>
      </x:c>
      <x:c r="E234" s="2" t="str">
        <x:v>Building-integrated PV</x:v>
      </x:c>
      <x:c r="F234" s="2" t="str">
        <x:v>Iron ore / steel inputs</x:v>
      </x:c>
      <x:c r="G234" s="2" t="str">
        <x:v>Bulk and strategic mineral input</x:v>
      </x:c>
      <x:c r="H234" s="2" t="str">
        <x:v>Iron ore / steel inputs is linked to Building-integrated PV because it is typically used in load-bearing structures, pressure vessels, piping or machinery; the assignment follows component function, not a sector-wide keyword.</x:v>
      </x:c>
      <x:c r="I234" s="2" t="str">
        <x:v>Presence and quantity in Building-integrated PV depend on the selected design, chemistry, capacity, supplier and recycled content. This analytical link is not a verified bill of materials or supplier traceability statement.</x:v>
      </x:c>
      <x:c r="J234" s="2" t="str">
        <x:v>https://pubs.usgs.gov/periodicals/mcs2026/mcs2026.pdf</x:v>
      </x:c>
    </x:row>
    <x:row r="235" ht="66" customHeight="1">
      <x:c r="A235" s="2" t="str">
        <x:v>MIT-0090</x:v>
      </x:c>
      <x:c r="B235" s="2" t="str">
        <x:v>Mitigation</x:v>
      </x:c>
      <x:c r="C235" s="2" t="str">
        <x:v>Renewable energy</x:v>
      </x:c>
      <x:c r="D235" s="2" t="str">
        <x:v>Solar</x:v>
      </x:c>
      <x:c r="E235" s="2" t="str">
        <x:v>Building-integrated PV</x:v>
      </x:c>
      <x:c r="F235" s="2" t="str">
        <x:v>Copper</x:v>
      </x:c>
      <x:c r="G235" s="2" t="str">
        <x:v>Critical or strategic metal</x:v>
      </x:c>
      <x:c r="H235" s="2" t="str">
        <x:v>Copper is linked to Building-integrated PV because it is typically used in power cables, windings, busbars, grounding and electrical connectors; the assignment follows component function, not a sector-wide keyword.</x:v>
      </x:c>
      <x:c r="I235" s="2" t="str">
        <x:v>Presence and quantity in Building-integrated PV depend on the selected design, chemistry, capacity, supplier and recycled content. This analytical link is not a verified bill of materials or supplier traceability statement.</x:v>
      </x:c>
      <x:c r="J235" s="2" t="str">
        <x:v>https://pubs.usgs.gov/periodicals/mcs2026/mcs2026.pdf</x:v>
      </x:c>
    </x:row>
    <x:row r="236" ht="66" customHeight="1">
      <x:c r="A236" s="2" t="str">
        <x:v>MIT-0090</x:v>
      </x:c>
      <x:c r="B236" s="2" t="str">
        <x:v>Mitigation</x:v>
      </x:c>
      <x:c r="C236" s="2" t="str">
        <x:v>Renewable energy</x:v>
      </x:c>
      <x:c r="D236" s="2" t="str">
        <x:v>Solar</x:v>
      </x:c>
      <x:c r="E236" s="2" t="str">
        <x:v>Building-integrated PV</x:v>
      </x:c>
      <x:c r="F236" s="2" t="str">
        <x:v>Tin</x:v>
      </x:c>
      <x:c r="G236" s="2" t="str">
        <x:v>Electronics strategic metal</x:v>
      </x:c>
      <x:c r="H236" s="2" t="str">
        <x:v>Tin is linked to Building-integrated PV because it is typically used in electronic solder and selected coatings; the assignment follows component function, not a sector-wide keyword.</x:v>
      </x:c>
      <x:c r="I236" s="2" t="str">
        <x:v>Presence and quantity in Building-integrated PV depend on the selected design, chemistry, capacity, supplier and recycled content. This analytical link is not a verified bill of materials or supplier traceability statement.</x:v>
      </x:c>
      <x:c r="J236" s="2" t="str">
        <x:v>https://pubs.usgs.gov/periodicals/mcs2026/mcs2026.pdf</x:v>
      </x:c>
    </x:row>
    <x:row r="237" ht="66" customHeight="1">
      <x:c r="A237" s="2" t="str">
        <x:v>MIT-0090</x:v>
      </x:c>
      <x:c r="B237" s="2" t="str">
        <x:v>Mitigation</x:v>
      </x:c>
      <x:c r="C237" s="2" t="str">
        <x:v>Renewable energy</x:v>
      </x:c>
      <x:c r="D237" s="2" t="str">
        <x:v>Solar</x:v>
      </x:c>
      <x:c r="E237" s="2" t="str">
        <x:v>Building-integrated PV</x:v>
      </x:c>
      <x:c r="F237" s="2" t="str">
        <x:v>Silicon metal / polysilicon</x:v>
      </x:c>
      <x:c r="G237" s="2" t="str">
        <x:v>Solar and electronics strategic material</x:v>
      </x:c>
      <x:c r="H237" s="2" t="str">
        <x:v>Silicon metal / polysilicon is linked to Building-integrated PV because it is typically used in photovoltaic cells or semiconductor electronics; the assignment follows component function, not a sector-wide keyword.</x:v>
      </x:c>
      <x:c r="I237" s="2" t="str">
        <x:v>Presence and quantity in Building-integrated PV depend on the selected design, chemistry, capacity, supplier and recycled content. This analytical link is not a verified bill of materials or supplier traceability statement.</x:v>
      </x:c>
      <x:c r="J237" s="2" t="str">
        <x:v>https://pubs.usgs.gov/periodicals/mcs2026/mcs2026.pdf</x:v>
      </x:c>
    </x:row>
    <x:row r="238" ht="66" customHeight="1">
      <x:c r="A238" s="2" t="str">
        <x:v>MIT-0090</x:v>
      </x:c>
      <x:c r="B238" s="2" t="str">
        <x:v>Mitigation</x:v>
      </x:c>
      <x:c r="C238" s="2" t="str">
        <x:v>Renewable energy</x:v>
      </x:c>
      <x:c r="D238" s="2" t="str">
        <x:v>Solar</x:v>
      </x:c>
      <x:c r="E238" s="2" t="str">
        <x:v>Building-integrated PV</x:v>
      </x:c>
      <x:c r="F238" s="2" t="str">
        <x:v>Silver</x:v>
      </x:c>
      <x:c r="G238" s="2" t="str">
        <x:v>Conductive precious metal</x:v>
      </x:c>
      <x:c r="H238" s="2" t="str">
        <x:v>Silver is linked to Building-integrated PV because it is typically used in conductive contacts and metallisation in selected photovoltaic or electronic components; the assignment follows component function, not a sector-wide keyword.</x:v>
      </x:c>
      <x:c r="I238" s="2" t="str">
        <x:v>Presence and quantity in Building-integrated PV depend on the selected design, chemistry, capacity, supplier and recycled content. This analytical link is not a verified bill of materials or supplier traceability statement.</x:v>
      </x:c>
      <x:c r="J238" s="2" t="str">
        <x:v>https://pubs.usgs.gov/periodicals/mcs2026/mcs2026.pdf</x:v>
      </x:c>
    </x:row>
    <x:row r="239" ht="66" customHeight="1">
      <x:c r="A239" s="2" t="str">
        <x:v>MIT-0090</x:v>
      </x:c>
      <x:c r="B239" s="2" t="str">
        <x:v>Mitigation</x:v>
      </x:c>
      <x:c r="C239" s="2" t="str">
        <x:v>Renewable energy</x:v>
      </x:c>
      <x:c r="D239" s="2" t="str">
        <x:v>Solar</x:v>
      </x:c>
      <x:c r="E239" s="2" t="str">
        <x:v>Building-integrated PV</x:v>
      </x:c>
      <x:c r="F239" s="2" t="str">
        <x:v>Bauxite / aluminium</x:v>
      </x:c>
      <x:c r="G239" s="2" t="str">
        <x:v>Strategic metal</x:v>
      </x:c>
      <x:c r="H239" s="2" t="str">
        <x:v>Bauxite / aluminium is linked to Building-integrated PV because it is typically used in lightweight structures, frames, conductors or vehicle components; the assignment follows component function, not a sector-wide keyword.</x:v>
      </x:c>
      <x:c r="I239" s="2" t="str">
        <x:v>Presence and quantity in Building-integrated PV depend on the selected design, chemistry, capacity, supplier and recycled content. This analytical link is not a verified bill of materials or supplier traceability statement.</x:v>
      </x:c>
      <x:c r="J239" s="2" t="str">
        <x:v>https://pubs.usgs.gov/periodicals/mcs2026/mcs2026.pdf</x:v>
      </x:c>
    </x:row>
    <x:row r="240" ht="66" customHeight="1">
      <x:c r="A240" s="2" t="str">
        <x:v>MIT-0090</x:v>
      </x:c>
      <x:c r="B240" s="2" t="str">
        <x:v>Mitigation</x:v>
      </x:c>
      <x:c r="C240" s="2" t="str">
        <x:v>Renewable energy</x:v>
      </x:c>
      <x:c r="D240" s="2" t="str">
        <x:v>Solar</x:v>
      </x:c>
      <x:c r="E240" s="2" t="str">
        <x:v>Building-integrated PV</x:v>
      </x:c>
      <x:c r="F240" s="2" t="str">
        <x:v>Limestone / cement raw materials</x:v>
      </x:c>
      <x:c r="G240" s="2" t="str">
        <x:v>Bulk construction material</x:v>
      </x:c>
      <x:c r="H240" s="2" t="str">
        <x:v>Limestone / cement raw materials is linked to Building-integrated PV because it is typically used in concrete foundations, channels, buildings or protective civil works; the assignment follows component function, not a sector-wide keyword.</x:v>
      </x:c>
      <x:c r="I240" s="2" t="str">
        <x:v>Presence and quantity in Building-integrated PV depend on the selected design, chemistry, capacity, supplier and recycled content. This analytical link is not a verified bill of materials or supplier traceability statement.</x:v>
      </x:c>
      <x:c r="J240" s="2" t="str">
        <x:v>https://pubs.usgs.gov/periodicals/mcs2026/mcs2026.pdf</x:v>
      </x:c>
    </x:row>
    <x:row r="241" ht="66" customHeight="1">
      <x:c r="A241" s="2" t="str">
        <x:v>MIT-0091</x:v>
      </x:c>
      <x:c r="B241" s="2" t="str">
        <x:v>Mitigation</x:v>
      </x:c>
      <x:c r="C241" s="2" t="str">
        <x:v>Renewable energy</x:v>
      </x:c>
      <x:c r="D241" s="2" t="str">
        <x:v>Solar</x:v>
      </x:c>
      <x:c r="E241" s="2" t="str">
        <x:v>Solar water pumps</x:v>
      </x:c>
      <x:c r="F241" s="2" t="str">
        <x:v>Iron ore / steel inputs</x:v>
      </x:c>
      <x:c r="G241" s="2" t="str">
        <x:v>Bulk and strategic mineral input</x:v>
      </x:c>
      <x:c r="H241" s="2" t="str">
        <x:v>Iron ore / steel inputs is linked to Solar water pumps because it is typically used in load-bearing structures, pressure vessels, piping or machinery; the assignment follows component function, not a sector-wide keyword.</x:v>
      </x:c>
      <x:c r="I241" s="2" t="str">
        <x:v>Presence and quantity in Solar water pumps depend on the selected design, chemistry, capacity, supplier and recycled content. This analytical link is not a verified bill of materials or supplier traceability statement.</x:v>
      </x:c>
      <x:c r="J241" s="2" t="str">
        <x:v>https://pubs.usgs.gov/periodicals/mcs2026/mcs2026.pdf</x:v>
      </x:c>
    </x:row>
    <x:row r="242" ht="66" customHeight="1">
      <x:c r="A242" s="2" t="str">
        <x:v>MIT-0091</x:v>
      </x:c>
      <x:c r="B242" s="2" t="str">
        <x:v>Mitigation</x:v>
      </x:c>
      <x:c r="C242" s="2" t="str">
        <x:v>Renewable energy</x:v>
      </x:c>
      <x:c r="D242" s="2" t="str">
        <x:v>Solar</x:v>
      </x:c>
      <x:c r="E242" s="2" t="str">
        <x:v>Solar water pumps</x:v>
      </x:c>
      <x:c r="F242" s="2" t="str">
        <x:v>Copper</x:v>
      </x:c>
      <x:c r="G242" s="2" t="str">
        <x:v>Critical or strategic metal</x:v>
      </x:c>
      <x:c r="H242" s="2" t="str">
        <x:v>Copper is linked to Solar water pumps because it is typically used in power cables, windings, busbars, grounding and electrical connectors; the assignment follows component function, not a sector-wide keyword.</x:v>
      </x:c>
      <x:c r="I242" s="2" t="str">
        <x:v>Presence and quantity in Solar water pumps depend on the selected design, chemistry, capacity, supplier and recycled content. This analytical link is not a verified bill of materials or supplier traceability statement.</x:v>
      </x:c>
      <x:c r="J242" s="2" t="str">
        <x:v>https://pubs.usgs.gov/periodicals/mcs2026/mcs2026.pdf</x:v>
      </x:c>
    </x:row>
    <x:row r="243" ht="66" customHeight="1">
      <x:c r="A243" s="2" t="str">
        <x:v>MIT-0091</x:v>
      </x:c>
      <x:c r="B243" s="2" t="str">
        <x:v>Mitigation</x:v>
      </x:c>
      <x:c r="C243" s="2" t="str">
        <x:v>Renewable energy</x:v>
      </x:c>
      <x:c r="D243" s="2" t="str">
        <x:v>Solar</x:v>
      </x:c>
      <x:c r="E243" s="2" t="str">
        <x:v>Solar water pumps</x:v>
      </x:c>
      <x:c r="F243" s="2" t="str">
        <x:v>Tin</x:v>
      </x:c>
      <x:c r="G243" s="2" t="str">
        <x:v>Electronics strategic metal</x:v>
      </x:c>
      <x:c r="H243" s="2" t="str">
        <x:v>Tin is linked to Solar water pumps because it is typically used in electronic solder and selected coatings; the assignment follows component function, not a sector-wide keyword.</x:v>
      </x:c>
      <x:c r="I243" s="2" t="str">
        <x:v>Presence and quantity in Solar water pumps depend on the selected design, chemistry, capacity, supplier and recycled content. This analytical link is not a verified bill of materials or supplier traceability statement.</x:v>
      </x:c>
      <x:c r="J243" s="2" t="str">
        <x:v>https://pubs.usgs.gov/periodicals/mcs2026/mcs2026.pdf</x:v>
      </x:c>
    </x:row>
    <x:row r="244" ht="66" customHeight="1">
      <x:c r="A244" s="2" t="str">
        <x:v>MIT-0091</x:v>
      </x:c>
      <x:c r="B244" s="2" t="str">
        <x:v>Mitigation</x:v>
      </x:c>
      <x:c r="C244" s="2" t="str">
        <x:v>Renewable energy</x:v>
      </x:c>
      <x:c r="D244" s="2" t="str">
        <x:v>Solar</x:v>
      </x:c>
      <x:c r="E244" s="2" t="str">
        <x:v>Solar water pumps</x:v>
      </x:c>
      <x:c r="F244" s="2" t="str">
        <x:v>Bauxite / aluminium</x:v>
      </x:c>
      <x:c r="G244" s="2" t="str">
        <x:v>Strategic metal</x:v>
      </x:c>
      <x:c r="H244" s="2" t="str">
        <x:v>Bauxite / aluminium is linked to Solar water pumps because it is typically used in lightweight structures, frames, conductors or vehicle components; the assignment follows component function, not a sector-wide keyword.</x:v>
      </x:c>
      <x:c r="I244" s="2" t="str">
        <x:v>Presence and quantity in Solar water pumps depend on the selected design, chemistry, capacity, supplier and recycled content. This analytical link is not a verified bill of materials or supplier traceability statement.</x:v>
      </x:c>
      <x:c r="J244" s="2" t="str">
        <x:v>https://pubs.usgs.gov/periodicals/mcs2026/mcs2026.pdf</x:v>
      </x:c>
    </x:row>
    <x:row r="245" ht="66" customHeight="1">
      <x:c r="A245" s="2" t="str">
        <x:v>MIT-0092</x:v>
      </x:c>
      <x:c r="B245" s="2" t="str">
        <x:v>Mitigation</x:v>
      </x:c>
      <x:c r="C245" s="2" t="str">
        <x:v>Renewable energy</x:v>
      </x:c>
      <x:c r="D245" s="2" t="str">
        <x:v>Solar</x:v>
      </x:c>
      <x:c r="E245" s="2" t="str">
        <x:v>Solar heating</x:v>
      </x:c>
      <x:c r="F245" s="2" t="str">
        <x:v>Iron ore / steel inputs</x:v>
      </x:c>
      <x:c r="G245" s="2" t="str">
        <x:v>Bulk and strategic mineral input</x:v>
      </x:c>
      <x:c r="H245" s="2" t="str">
        <x:v>Iron ore / steel inputs is linked to Solar heating because it is typically used in load-bearing structures, pressure vessels, piping or machinery; the assignment follows component function, not a sector-wide keyword.</x:v>
      </x:c>
      <x:c r="I245" s="2" t="str">
        <x:v>Presence and quantity in Solar heating depend on the selected design, chemistry, capacity, supplier and recycled content. This analytical link is not a verified bill of materials or supplier traceability statement.</x:v>
      </x:c>
      <x:c r="J245" s="2" t="str">
        <x:v>https://pubs.usgs.gov/periodicals/mcs2026/mcs2026.pdf</x:v>
      </x:c>
    </x:row>
    <x:row r="246" ht="66" customHeight="1">
      <x:c r="A246" s="2" t="str">
        <x:v>MIT-0092</x:v>
      </x:c>
      <x:c r="B246" s="2" t="str">
        <x:v>Mitigation</x:v>
      </x:c>
      <x:c r="C246" s="2" t="str">
        <x:v>Renewable energy</x:v>
      </x:c>
      <x:c r="D246" s="2" t="str">
        <x:v>Solar</x:v>
      </x:c>
      <x:c r="E246" s="2" t="str">
        <x:v>Solar heating</x:v>
      </x:c>
      <x:c r="F246" s="2" t="str">
        <x:v>Copper</x:v>
      </x:c>
      <x:c r="G246" s="2" t="str">
        <x:v>Critical or strategic metal</x:v>
      </x:c>
      <x:c r="H246" s="2" t="str">
        <x:v>Copper is linked to Solar heating because it is typically used in power cables, windings, busbars, grounding and electrical connectors; the assignment follows component function, not a sector-wide keyword.</x:v>
      </x:c>
      <x:c r="I246" s="2" t="str">
        <x:v>Presence and quantity in Solar heating depend on the selected design, chemistry, capacity, supplier and recycled content. This analytical link is not a verified bill of materials or supplier traceability statement.</x:v>
      </x:c>
      <x:c r="J246" s="2" t="str">
        <x:v>https://pubs.usgs.gov/periodicals/mcs2026/mcs2026.pdf</x:v>
      </x:c>
    </x:row>
    <x:row r="247" ht="66" customHeight="1">
      <x:c r="A247" s="2" t="str">
        <x:v>MIT-0092</x:v>
      </x:c>
      <x:c r="B247" s="2" t="str">
        <x:v>Mitigation</x:v>
      </x:c>
      <x:c r="C247" s="2" t="str">
        <x:v>Renewable energy</x:v>
      </x:c>
      <x:c r="D247" s="2" t="str">
        <x:v>Solar</x:v>
      </x:c>
      <x:c r="E247" s="2" t="str">
        <x:v>Solar heating</x:v>
      </x:c>
      <x:c r="F247" s="2" t="str">
        <x:v>Tin</x:v>
      </x:c>
      <x:c r="G247" s="2" t="str">
        <x:v>Electronics strategic metal</x:v>
      </x:c>
      <x:c r="H247" s="2" t="str">
        <x:v>Tin is linked to Solar heating because it is typically used in electronic solder and selected coatings; the assignment follows component function, not a sector-wide keyword.</x:v>
      </x:c>
      <x:c r="I247" s="2" t="str">
        <x:v>Presence and quantity in Solar heating depend on the selected design, chemistry, capacity, supplier and recycled content. This analytical link is not a verified bill of materials or supplier traceability statement.</x:v>
      </x:c>
      <x:c r="J247" s="2" t="str">
        <x:v>https://pubs.usgs.gov/periodicals/mcs2026/mcs2026.pdf</x:v>
      </x:c>
    </x:row>
    <x:row r="248" ht="66" customHeight="1">
      <x:c r="A248" s="2" t="str">
        <x:v>MIT-0092</x:v>
      </x:c>
      <x:c r="B248" s="2" t="str">
        <x:v>Mitigation</x:v>
      </x:c>
      <x:c r="C248" s="2" t="str">
        <x:v>Renewable energy</x:v>
      </x:c>
      <x:c r="D248" s="2" t="str">
        <x:v>Solar</x:v>
      </x:c>
      <x:c r="E248" s="2" t="str">
        <x:v>Solar heating</x:v>
      </x:c>
      <x:c r="F248" s="2" t="str">
        <x:v>Bauxite / aluminium</x:v>
      </x:c>
      <x:c r="G248" s="2" t="str">
        <x:v>Strategic metal</x:v>
      </x:c>
      <x:c r="H248" s="2" t="str">
        <x:v>Bauxite / aluminium is linked to Solar heating because it is typically used in lightweight structures, frames, conductors or vehicle components; the assignment follows component function, not a sector-wide keyword.</x:v>
      </x:c>
      <x:c r="I248" s="2" t="str">
        <x:v>Presence and quantity in Solar heating depend on the selected design, chemistry, capacity, supplier and recycled content. This analytical link is not a verified bill of materials or supplier traceability statement.</x:v>
      </x:c>
      <x:c r="J248" s="2" t="str">
        <x:v>https://pubs.usgs.gov/periodicals/mcs2026/mcs2026.pdf</x:v>
      </x:c>
    </x:row>
    <x:row r="249" ht="66" customHeight="1">
      <x:c r="A249" s="2" t="str">
        <x:v>MIT-0093</x:v>
      </x:c>
      <x:c r="B249" s="2" t="str">
        <x:v>Mitigation</x:v>
      </x:c>
      <x:c r="C249" s="2" t="str">
        <x:v>Renewable energy</x:v>
      </x:c>
      <x:c r="D249" s="2" t="str">
        <x:v>Solar</x:v>
      </x:c>
      <x:c r="E249" s="2" t="str">
        <x:v>Solar lamps</x:v>
      </x:c>
      <x:c r="F249" s="2" t="str">
        <x:v>Iron ore / steel inputs</x:v>
      </x:c>
      <x:c r="G249" s="2" t="str">
        <x:v>Bulk and strategic mineral input</x:v>
      </x:c>
      <x:c r="H249" s="2" t="str">
        <x:v>Iron ore / steel inputs is linked to Solar lamps because it is typically used in load-bearing structures, pressure vessels, piping or machinery; the assignment follows component function, not a sector-wide keyword.</x:v>
      </x:c>
      <x:c r="I249" s="2" t="str">
        <x:v>Presence and quantity in Solar lamps depend on the selected design, chemistry, capacity, supplier and recycled content. This analytical link is not a verified bill of materials or supplier traceability statement.</x:v>
      </x:c>
      <x:c r="J249" s="2" t="str">
        <x:v>https://pubs.usgs.gov/periodicals/mcs2026/mcs2026.pdf</x:v>
      </x:c>
    </x:row>
    <x:row r="250" ht="66" customHeight="1">
      <x:c r="A250" s="2" t="str">
        <x:v>MIT-0093</x:v>
      </x:c>
      <x:c r="B250" s="2" t="str">
        <x:v>Mitigation</x:v>
      </x:c>
      <x:c r="C250" s="2" t="str">
        <x:v>Renewable energy</x:v>
      </x:c>
      <x:c r="D250" s="2" t="str">
        <x:v>Solar</x:v>
      </x:c>
      <x:c r="E250" s="2" t="str">
        <x:v>Solar lamps</x:v>
      </x:c>
      <x:c r="F250" s="2" t="str">
        <x:v>Copper</x:v>
      </x:c>
      <x:c r="G250" s="2" t="str">
        <x:v>Critical or strategic metal</x:v>
      </x:c>
      <x:c r="H250" s="2" t="str">
        <x:v>Copper is linked to Solar lamps because it is typically used in power cables, windings, busbars, grounding and electrical connectors; the assignment follows component function, not a sector-wide keyword.</x:v>
      </x:c>
      <x:c r="I250" s="2" t="str">
        <x:v>Presence and quantity in Solar lamps depend on the selected design, chemistry, capacity, supplier and recycled content. This analytical link is not a verified bill of materials or supplier traceability statement.</x:v>
      </x:c>
      <x:c r="J250" s="2" t="str">
        <x:v>https://pubs.usgs.gov/periodicals/mcs2026/mcs2026.pdf</x:v>
      </x:c>
    </x:row>
    <x:row r="251" ht="66" customHeight="1">
      <x:c r="A251" s="2" t="str">
        <x:v>MIT-0093</x:v>
      </x:c>
      <x:c r="B251" s="2" t="str">
        <x:v>Mitigation</x:v>
      </x:c>
      <x:c r="C251" s="2" t="str">
        <x:v>Renewable energy</x:v>
      </x:c>
      <x:c r="D251" s="2" t="str">
        <x:v>Solar</x:v>
      </x:c>
      <x:c r="E251" s="2" t="str">
        <x:v>Solar lamps</x:v>
      </x:c>
      <x:c r="F251" s="2" t="str">
        <x:v>Tin</x:v>
      </x:c>
      <x:c r="G251" s="2" t="str">
        <x:v>Electronics strategic metal</x:v>
      </x:c>
      <x:c r="H251" s="2" t="str">
        <x:v>Tin is linked to Solar lamps because it is typically used in electronic solder and selected coatings; the assignment follows component function, not a sector-wide keyword.</x:v>
      </x:c>
      <x:c r="I251" s="2" t="str">
        <x:v>Presence and quantity in Solar lamps depend on the selected design, chemistry, capacity, supplier and recycled content. This analytical link is not a verified bill of materials or supplier traceability statement.</x:v>
      </x:c>
      <x:c r="J251" s="2" t="str">
        <x:v>https://pubs.usgs.gov/periodicals/mcs2026/mcs2026.pdf</x:v>
      </x:c>
    </x:row>
    <x:row r="252" ht="66" customHeight="1">
      <x:c r="A252" s="2" t="str">
        <x:v>MIT-0093</x:v>
      </x:c>
      <x:c r="B252" s="2" t="str">
        <x:v>Mitigation</x:v>
      </x:c>
      <x:c r="C252" s="2" t="str">
        <x:v>Renewable energy</x:v>
      </x:c>
      <x:c r="D252" s="2" t="str">
        <x:v>Solar</x:v>
      </x:c>
      <x:c r="E252" s="2" t="str">
        <x:v>Solar lamps</x:v>
      </x:c>
      <x:c r="F252" s="2" t="str">
        <x:v>Lithium</x:v>
      </x:c>
      <x:c r="G252" s="2" t="str">
        <x:v>Battery critical mineral</x:v>
      </x:c>
      <x:c r="H252" s="2" t="str">
        <x:v>Lithium is linked to Solar lamps because it is typically used in lithium-based rechargeable battery cathodes or electrolytes; the assignment follows component function, not a sector-wide keyword.</x:v>
      </x:c>
      <x:c r="I252" s="2" t="str">
        <x:v>Presence and quantity in Solar lamps depend on the selected design, chemistry, capacity, supplier and recycled content. This analytical link is not a verified bill of materials or supplier traceability statement.</x:v>
      </x:c>
      <x:c r="J252" s="2" t="str">
        <x:v>https://www.iea.org/reports/global-critical-minerals-outlook-2025</x:v>
      </x:c>
    </x:row>
    <x:row r="253" ht="66" customHeight="1">
      <x:c r="A253" s="2" t="str">
        <x:v>MIT-0093</x:v>
      </x:c>
      <x:c r="B253" s="2" t="str">
        <x:v>Mitigation</x:v>
      </x:c>
      <x:c r="C253" s="2" t="str">
        <x:v>Renewable energy</x:v>
      </x:c>
      <x:c r="D253" s="2" t="str">
        <x:v>Solar</x:v>
      </x:c>
      <x:c r="E253" s="2" t="str">
        <x:v>Solar lamps</x:v>
      </x:c>
      <x:c r="F253" s="2" t="str">
        <x:v>Nickel</x:v>
      </x:c>
      <x:c r="G253" s="2" t="str">
        <x:v>Battery and alloy critical mineral</x:v>
      </x:c>
      <x:c r="H253" s="2" t="str">
        <x:v>Nickel is linked to Solar lamps because it is typically used in battery cathodes, high-temperature alloys or corrosion-resistant steels; the assignment follows component function, not a sector-wide keyword.</x:v>
      </x:c>
      <x:c r="I253" s="2" t="str">
        <x:v>Presence and quantity in Solar lamps depend on the selected design, chemistry, capacity, supplier and recycled content. This analytical link is not a verified bill of materials or supplier traceability statement.</x:v>
      </x:c>
      <x:c r="J253" s="2" t="str">
        <x:v>https://www.iea.org/reports/global-critical-minerals-outlook-2025</x:v>
      </x:c>
    </x:row>
    <x:row r="254" ht="66" customHeight="1">
      <x:c r="A254" s="2" t="str">
        <x:v>MIT-0093</x:v>
      </x:c>
      <x:c r="B254" s="2" t="str">
        <x:v>Mitigation</x:v>
      </x:c>
      <x:c r="C254" s="2" t="str">
        <x:v>Renewable energy</x:v>
      </x:c>
      <x:c r="D254" s="2" t="str">
        <x:v>Solar</x:v>
      </x:c>
      <x:c r="E254" s="2" t="str">
        <x:v>Solar lamps</x:v>
      </x:c>
      <x:c r="F254" s="2" t="str">
        <x:v>Cobalt</x:v>
      </x:c>
      <x:c r="G254" s="2" t="str">
        <x:v>Battery and catalyst critical mineral</x:v>
      </x:c>
      <x:c r="H254" s="2" t="str">
        <x:v>Cobalt is linked to Solar lamps because it is typically used in selected battery cathodes or high-performance catalysts; the assignment follows component function, not a sector-wide keyword.</x:v>
      </x:c>
      <x:c r="I254" s="2" t="str">
        <x:v>Presence and quantity in Solar lamps depend on the selected design, chemistry, capacity, supplier and recycled content. This analytical link is not a verified bill of materials or supplier traceability statement.</x:v>
      </x:c>
      <x:c r="J254" s="2" t="str">
        <x:v>https://www.iea.org/reports/global-critical-minerals-outlook-2025</x:v>
      </x:c>
    </x:row>
    <x:row r="255" ht="66" customHeight="1">
      <x:c r="A255" s="2" t="str">
        <x:v>MIT-0093</x:v>
      </x:c>
      <x:c r="B255" s="2" t="str">
        <x:v>Mitigation</x:v>
      </x:c>
      <x:c r="C255" s="2" t="str">
        <x:v>Renewable energy</x:v>
      </x:c>
      <x:c r="D255" s="2" t="str">
        <x:v>Solar</x:v>
      </x:c>
      <x:c r="E255" s="2" t="str">
        <x:v>Solar lamps</x:v>
      </x:c>
      <x:c r="F255" s="2" t="str">
        <x:v>Natural graphite</x:v>
      </x:c>
      <x:c r="G255" s="2" t="str">
        <x:v>Battery critical mineral</x:v>
      </x:c>
      <x:c r="H255" s="2" t="str">
        <x:v>Natural graphite is linked to Solar lamps because it is typically used in battery anodes; the assignment follows component function, not a sector-wide keyword.</x:v>
      </x:c>
      <x:c r="I255" s="2" t="str">
        <x:v>Presence and quantity in Solar lamps depend on the selected design, chemistry, capacity, supplier and recycled content. This analytical link is not a verified bill of materials or supplier traceability statement.</x:v>
      </x:c>
      <x:c r="J255" s="2" t="str">
        <x:v>https://www.iea.org/reports/global-critical-minerals-outlook-2025</x:v>
      </x:c>
    </x:row>
    <x:row r="256" ht="66" customHeight="1">
      <x:c r="A256" s="2" t="str">
        <x:v>MIT-0093</x:v>
      </x:c>
      <x:c r="B256" s="2" t="str">
        <x:v>Mitigation</x:v>
      </x:c>
      <x:c r="C256" s="2" t="str">
        <x:v>Renewable energy</x:v>
      </x:c>
      <x:c r="D256" s="2" t="str">
        <x:v>Solar</x:v>
      </x:c>
      <x:c r="E256" s="2" t="str">
        <x:v>Solar lamps</x:v>
      </x:c>
      <x:c r="F256" s="2" t="str">
        <x:v>Manganese</x:v>
      </x:c>
      <x:c r="G256" s="2" t="str">
        <x:v>Battery and alloy strategic mineral</x:v>
      </x:c>
      <x:c r="H256" s="2" t="str">
        <x:v>Manganese is linked to Solar lamps because it is typically used in battery cathodes or alloy steels; the assignment follows component function, not a sector-wide keyword.</x:v>
      </x:c>
      <x:c r="I256" s="2" t="str">
        <x:v>Presence and quantity in Solar lamps depend on the selected design, chemistry, capacity, supplier and recycled content. This analytical link is not a verified bill of materials or supplier traceability statement.</x:v>
      </x:c>
      <x:c r="J256" s="2" t="str">
        <x:v>https://pubs.usgs.gov/periodicals/mcs2026/mcs2026.pdf</x:v>
      </x:c>
    </x:row>
    <x:row r="257" ht="66" customHeight="1">
      <x:c r="A257" s="2" t="str">
        <x:v>MIT-0093</x:v>
      </x:c>
      <x:c r="B257" s="2" t="str">
        <x:v>Mitigation</x:v>
      </x:c>
      <x:c r="C257" s="2" t="str">
        <x:v>Renewable energy</x:v>
      </x:c>
      <x:c r="D257" s="2" t="str">
        <x:v>Solar</x:v>
      </x:c>
      <x:c r="E257" s="2" t="str">
        <x:v>Solar lamps</x:v>
      </x:c>
      <x:c r="F257" s="2" t="str">
        <x:v>Bauxite / aluminium</x:v>
      </x:c>
      <x:c r="G257" s="2" t="str">
        <x:v>Strategic metal</x:v>
      </x:c>
      <x:c r="H257" s="2" t="str">
        <x:v>Bauxite / aluminium is linked to Solar lamps because it is typically used in lightweight structures, frames, conductors or vehicle components; the assignment follows component function, not a sector-wide keyword.</x:v>
      </x:c>
      <x:c r="I257" s="2" t="str">
        <x:v>Presence and quantity in Solar lamps depend on the selected design, chemistry, capacity, supplier and recycled content. This analytical link is not a verified bill of materials or supplier traceability statement.</x:v>
      </x:c>
      <x:c r="J257" s="2" t="str">
        <x:v>https://pubs.usgs.gov/periodicals/mcs2026/mcs2026.pdf</x:v>
      </x:c>
    </x:row>
    <x:row r="258" ht="66" customHeight="1">
      <x:c r="A258" s="2" t="str">
        <x:v>MIT-0094</x:v>
      </x:c>
      <x:c r="B258" s="2" t="str">
        <x:v>Mitigation</x:v>
      </x:c>
      <x:c r="C258" s="2" t="str">
        <x:v>Renewable energy</x:v>
      </x:c>
      <x:c r="D258" s="2" t="str">
        <x:v>Solar</x:v>
      </x:c>
      <x:c r="E258" s="2" t="str">
        <x:v>Solar PV</x:v>
      </x:c>
      <x:c r="F258" s="2" t="str">
        <x:v>Iron ore / steel inputs</x:v>
      </x:c>
      <x:c r="G258" s="2" t="str">
        <x:v>Bulk and strategic mineral input</x:v>
      </x:c>
      <x:c r="H258" s="2" t="str">
        <x:v>Iron ore / steel inputs is linked to Solar PV because it is typically used in load-bearing structures, pressure vessels, piping or machinery; the assignment follows component function, not a sector-wide keyword.</x:v>
      </x:c>
      <x:c r="I258" s="2" t="str">
        <x:v>Presence and quantity in Solar PV depend on the selected design, chemistry, capacity, supplier and recycled content. This analytical link is not a verified bill of materials or supplier traceability statement.</x:v>
      </x:c>
      <x:c r="J258" s="2" t="str">
        <x:v>https://pubs.usgs.gov/periodicals/mcs2026/mcs2026.pdf</x:v>
      </x:c>
    </x:row>
    <x:row r="259" ht="66" customHeight="1">
      <x:c r="A259" s="2" t="str">
        <x:v>MIT-0094</x:v>
      </x:c>
      <x:c r="B259" s="2" t="str">
        <x:v>Mitigation</x:v>
      </x:c>
      <x:c r="C259" s="2" t="str">
        <x:v>Renewable energy</x:v>
      </x:c>
      <x:c r="D259" s="2" t="str">
        <x:v>Solar</x:v>
      </x:c>
      <x:c r="E259" s="2" t="str">
        <x:v>Solar PV</x:v>
      </x:c>
      <x:c r="F259" s="2" t="str">
        <x:v>Copper</x:v>
      </x:c>
      <x:c r="G259" s="2" t="str">
        <x:v>Critical or strategic metal</x:v>
      </x:c>
      <x:c r="H259" s="2" t="str">
        <x:v>Copper is linked to Solar PV because it is typically used in power cables, windings, busbars, grounding and electrical connectors; the assignment follows component function, not a sector-wide keyword.</x:v>
      </x:c>
      <x:c r="I259" s="2" t="str">
        <x:v>Presence and quantity in Solar PV depend on the selected design, chemistry, capacity, supplier and recycled content. This analytical link is not a verified bill of materials or supplier traceability statement.</x:v>
      </x:c>
      <x:c r="J259" s="2" t="str">
        <x:v>https://pubs.usgs.gov/periodicals/mcs2026/mcs2026.pdf</x:v>
      </x:c>
    </x:row>
    <x:row r="260" ht="66" customHeight="1">
      <x:c r="A260" s="2" t="str">
        <x:v>MIT-0094</x:v>
      </x:c>
      <x:c r="B260" s="2" t="str">
        <x:v>Mitigation</x:v>
      </x:c>
      <x:c r="C260" s="2" t="str">
        <x:v>Renewable energy</x:v>
      </x:c>
      <x:c r="D260" s="2" t="str">
        <x:v>Solar</x:v>
      </x:c>
      <x:c r="E260" s="2" t="str">
        <x:v>Solar PV</x:v>
      </x:c>
      <x:c r="F260" s="2" t="str">
        <x:v>Tin</x:v>
      </x:c>
      <x:c r="G260" s="2" t="str">
        <x:v>Electronics strategic metal</x:v>
      </x:c>
      <x:c r="H260" s="2" t="str">
        <x:v>Tin is linked to Solar PV because it is typically used in electronic solder and selected coatings; the assignment follows component function, not a sector-wide keyword.</x:v>
      </x:c>
      <x:c r="I260" s="2" t="str">
        <x:v>Presence and quantity in Solar PV depend on the selected design, chemistry, capacity, supplier and recycled content. This analytical link is not a verified bill of materials or supplier traceability statement.</x:v>
      </x:c>
      <x:c r="J260" s="2" t="str">
        <x:v>https://pubs.usgs.gov/periodicals/mcs2026/mcs2026.pdf</x:v>
      </x:c>
    </x:row>
    <x:row r="261" ht="66" customHeight="1">
      <x:c r="A261" s="2" t="str">
        <x:v>MIT-0094</x:v>
      </x:c>
      <x:c r="B261" s="2" t="str">
        <x:v>Mitigation</x:v>
      </x:c>
      <x:c r="C261" s="2" t="str">
        <x:v>Renewable energy</x:v>
      </x:c>
      <x:c r="D261" s="2" t="str">
        <x:v>Solar</x:v>
      </x:c>
      <x:c r="E261" s="2" t="str">
        <x:v>Solar PV</x:v>
      </x:c>
      <x:c r="F261" s="2" t="str">
        <x:v>Silicon metal / polysilicon</x:v>
      </x:c>
      <x:c r="G261" s="2" t="str">
        <x:v>Solar and electronics strategic material</x:v>
      </x:c>
      <x:c r="H261" s="2" t="str">
        <x:v>Silicon metal / polysilicon is linked to Solar PV because it is typically used in photovoltaic cells or semiconductor electronics; the assignment follows component function, not a sector-wide keyword.</x:v>
      </x:c>
      <x:c r="I261" s="2" t="str">
        <x:v>Presence and quantity in Solar PV depend on the selected design, chemistry, capacity, supplier and recycled content. This analytical link is not a verified bill of materials or supplier traceability statement.</x:v>
      </x:c>
      <x:c r="J261" s="2" t="str">
        <x:v>https://pubs.usgs.gov/periodicals/mcs2026/mcs2026.pdf</x:v>
      </x:c>
    </x:row>
    <x:row r="262" ht="66" customHeight="1">
      <x:c r="A262" s="2" t="str">
        <x:v>MIT-0094</x:v>
      </x:c>
      <x:c r="B262" s="2" t="str">
        <x:v>Mitigation</x:v>
      </x:c>
      <x:c r="C262" s="2" t="str">
        <x:v>Renewable energy</x:v>
      </x:c>
      <x:c r="D262" s="2" t="str">
        <x:v>Solar</x:v>
      </x:c>
      <x:c r="E262" s="2" t="str">
        <x:v>Solar PV</x:v>
      </x:c>
      <x:c r="F262" s="2" t="str">
        <x:v>Silver</x:v>
      </x:c>
      <x:c r="G262" s="2" t="str">
        <x:v>Conductive precious metal</x:v>
      </x:c>
      <x:c r="H262" s="2" t="str">
        <x:v>Silver is linked to Solar PV because it is typically used in conductive contacts and metallisation in selected photovoltaic or electronic components; the assignment follows component function, not a sector-wide keyword.</x:v>
      </x:c>
      <x:c r="I262" s="2" t="str">
        <x:v>Presence and quantity in Solar PV depend on the selected design, chemistry, capacity, supplier and recycled content. This analytical link is not a verified bill of materials or supplier traceability statement.</x:v>
      </x:c>
      <x:c r="J262" s="2" t="str">
        <x:v>https://pubs.usgs.gov/periodicals/mcs2026/mcs2026.pdf</x:v>
      </x:c>
    </x:row>
    <x:row r="263" ht="66" customHeight="1">
      <x:c r="A263" s="2" t="str">
        <x:v>MIT-0094</x:v>
      </x:c>
      <x:c r="B263" s="2" t="str">
        <x:v>Mitigation</x:v>
      </x:c>
      <x:c r="C263" s="2" t="str">
        <x:v>Renewable energy</x:v>
      </x:c>
      <x:c r="D263" s="2" t="str">
        <x:v>Solar</x:v>
      </x:c>
      <x:c r="E263" s="2" t="str">
        <x:v>Solar PV</x:v>
      </x:c>
      <x:c r="F263" s="2" t="str">
        <x:v>Bauxite / aluminium</x:v>
      </x:c>
      <x:c r="G263" s="2" t="str">
        <x:v>Strategic metal</x:v>
      </x:c>
      <x:c r="H263" s="2" t="str">
        <x:v>Bauxite / aluminium is linked to Solar PV because it is typically used in lightweight structures, frames, conductors or vehicle components; the assignment follows component function, not a sector-wide keyword.</x:v>
      </x:c>
      <x:c r="I263" s="2" t="str">
        <x:v>Presence and quantity in Solar PV depend on the selected design, chemistry, capacity, supplier and recycled content. This analytical link is not a verified bill of materials or supplier traceability statement.</x:v>
      </x:c>
      <x:c r="J263" s="2" t="str">
        <x:v>https://pubs.usgs.gov/periodicals/mcs2026/mcs2026.pdf</x:v>
      </x:c>
    </x:row>
    <x:row r="264" ht="66" customHeight="1">
      <x:c r="A264" s="2" t="str">
        <x:v>MIT-0095</x:v>
      </x:c>
      <x:c r="B264" s="2" t="str">
        <x:v>Mitigation</x:v>
      </x:c>
      <x:c r="C264" s="2" t="str">
        <x:v>Renewable energy</x:v>
      </x:c>
      <x:c r="D264" s="2" t="str">
        <x:v>Solar</x:v>
      </x:c>
      <x:c r="E264" s="2" t="str">
        <x:v>Solar thermal power</x:v>
      </x:c>
      <x:c r="F264" s="2" t="str">
        <x:v>Iron ore / steel inputs</x:v>
      </x:c>
      <x:c r="G264" s="2" t="str">
        <x:v>Bulk and strategic mineral input</x:v>
      </x:c>
      <x:c r="H264" s="2" t="str">
        <x:v>Iron ore / steel inputs is linked to Solar thermal power because it is typically used in load-bearing structures, pressure vessels, piping or machinery; the assignment follows component function, not a sector-wide keyword.</x:v>
      </x:c>
      <x:c r="I264" s="2" t="str">
        <x:v>Presence and quantity in Solar thermal power depend on the selected design, chemistry, capacity, supplier and recycled content. This analytical link is not a verified bill of materials or supplier traceability statement.</x:v>
      </x:c>
      <x:c r="J264" s="2" t="str">
        <x:v>https://pubs.usgs.gov/periodicals/mcs2026/mcs2026.pdf</x:v>
      </x:c>
    </x:row>
    <x:row r="265" ht="66" customHeight="1">
      <x:c r="A265" s="2" t="str">
        <x:v>MIT-0095</x:v>
      </x:c>
      <x:c r="B265" s="2" t="str">
        <x:v>Mitigation</x:v>
      </x:c>
      <x:c r="C265" s="2" t="str">
        <x:v>Renewable energy</x:v>
      </x:c>
      <x:c r="D265" s="2" t="str">
        <x:v>Solar</x:v>
      </x:c>
      <x:c r="E265" s="2" t="str">
        <x:v>Solar thermal power</x:v>
      </x:c>
      <x:c r="F265" s="2" t="str">
        <x:v>Copper</x:v>
      </x:c>
      <x:c r="G265" s="2" t="str">
        <x:v>Critical or strategic metal</x:v>
      </x:c>
      <x:c r="H265" s="2" t="str">
        <x:v>Copper is linked to Solar thermal power because it is typically used in power cables, windings, busbars, grounding and electrical connectors; the assignment follows component function, not a sector-wide keyword.</x:v>
      </x:c>
      <x:c r="I265" s="2" t="str">
        <x:v>Presence and quantity in Solar thermal power depend on the selected design, chemistry, capacity, supplier and recycled content. This analytical link is not a verified bill of materials or supplier traceability statement.</x:v>
      </x:c>
      <x:c r="J265" s="2" t="str">
        <x:v>https://pubs.usgs.gov/periodicals/mcs2026/mcs2026.pdf</x:v>
      </x:c>
    </x:row>
    <x:row r="266" ht="66" customHeight="1">
      <x:c r="A266" s="2" t="str">
        <x:v>MIT-0095</x:v>
      </x:c>
      <x:c r="B266" s="2" t="str">
        <x:v>Mitigation</x:v>
      </x:c>
      <x:c r="C266" s="2" t="str">
        <x:v>Renewable energy</x:v>
      </x:c>
      <x:c r="D266" s="2" t="str">
        <x:v>Solar</x:v>
      </x:c>
      <x:c r="E266" s="2" t="str">
        <x:v>Solar thermal power</x:v>
      </x:c>
      <x:c r="F266" s="2" t="str">
        <x:v>Tin</x:v>
      </x:c>
      <x:c r="G266" s="2" t="str">
        <x:v>Electronics strategic metal</x:v>
      </x:c>
      <x:c r="H266" s="2" t="str">
        <x:v>Tin is linked to Solar thermal power because it is typically used in electronic solder and selected coatings; the assignment follows component function, not a sector-wide keyword.</x:v>
      </x:c>
      <x:c r="I266" s="2" t="str">
        <x:v>Presence and quantity in Solar thermal power depend on the selected design, chemistry, capacity, supplier and recycled content. This analytical link is not a verified bill of materials or supplier traceability statement.</x:v>
      </x:c>
      <x:c r="J266" s="2" t="str">
        <x:v>https://pubs.usgs.gov/periodicals/mcs2026/mcs2026.pdf</x:v>
      </x:c>
    </x:row>
    <x:row r="267" ht="66" customHeight="1">
      <x:c r="A267" s="2" t="str">
        <x:v>MIT-0095</x:v>
      </x:c>
      <x:c r="B267" s="2" t="str">
        <x:v>Mitigation</x:v>
      </x:c>
      <x:c r="C267" s="2" t="str">
        <x:v>Renewable energy</x:v>
      </x:c>
      <x:c r="D267" s="2" t="str">
        <x:v>Solar</x:v>
      </x:c>
      <x:c r="E267" s="2" t="str">
        <x:v>Solar thermal power</x:v>
      </x:c>
      <x:c r="F267" s="2" t="str">
        <x:v>Bauxite / aluminium</x:v>
      </x:c>
      <x:c r="G267" s="2" t="str">
        <x:v>Strategic metal</x:v>
      </x:c>
      <x:c r="H267" s="2" t="str">
        <x:v>Bauxite / aluminium is linked to Solar thermal power because it is typically used in lightweight structures, frames, conductors or vehicle components; the assignment follows component function, not a sector-wide keyword.</x:v>
      </x:c>
      <x:c r="I267" s="2" t="str">
        <x:v>Presence and quantity in Solar thermal power depend on the selected design, chemistry, capacity, supplier and recycled content. This analytical link is not a verified bill of materials or supplier traceability statement.</x:v>
      </x:c>
      <x:c r="J267" s="2" t="str">
        <x:v>https://pubs.usgs.gov/periodicals/mcs2026/mcs2026.pdf</x:v>
      </x:c>
    </x:row>
    <x:row r="268" ht="66" customHeight="1">
      <x:c r="A268" s="2" t="str">
        <x:v>MIT-0096</x:v>
      </x:c>
      <x:c r="B268" s="2" t="str">
        <x:v>Mitigation</x:v>
      </x:c>
      <x:c r="C268" s="2" t="str">
        <x:v>Renewable energy</x:v>
      </x:c>
      <x:c r="D268" s="2" t="str">
        <x:v>Solar</x:v>
      </x:c>
      <x:c r="E268" s="2" t="str">
        <x:v>Solar dryer</x:v>
      </x:c>
      <x:c r="F268" s="2" t="str">
        <x:v>Iron ore / steel inputs</x:v>
      </x:c>
      <x:c r="G268" s="2" t="str">
        <x:v>Bulk and strategic mineral input</x:v>
      </x:c>
      <x:c r="H268" s="2" t="str">
        <x:v>Iron ore / steel inputs is linked to Solar dryer because it is typically used in load-bearing structures, pressure vessels, piping or machinery; the assignment follows component function, not a sector-wide keyword.</x:v>
      </x:c>
      <x:c r="I268" s="2" t="str">
        <x:v>Presence and quantity in Solar dryer depend on the selected design, chemistry, capacity, supplier and recycled content. This analytical link is not a verified bill of materials or supplier traceability statement.</x:v>
      </x:c>
      <x:c r="J268" s="2" t="str">
        <x:v>https://pubs.usgs.gov/periodicals/mcs2026/mcs2026.pdf</x:v>
      </x:c>
    </x:row>
    <x:row r="269" ht="66" customHeight="1">
      <x:c r="A269" s="2" t="str">
        <x:v>MIT-0096</x:v>
      </x:c>
      <x:c r="B269" s="2" t="str">
        <x:v>Mitigation</x:v>
      </x:c>
      <x:c r="C269" s="2" t="str">
        <x:v>Renewable energy</x:v>
      </x:c>
      <x:c r="D269" s="2" t="str">
        <x:v>Solar</x:v>
      </x:c>
      <x:c r="E269" s="2" t="str">
        <x:v>Solar dryer</x:v>
      </x:c>
      <x:c r="F269" s="2" t="str">
        <x:v>Copper</x:v>
      </x:c>
      <x:c r="G269" s="2" t="str">
        <x:v>Critical or strategic metal</x:v>
      </x:c>
      <x:c r="H269" s="2" t="str">
        <x:v>Copper is linked to Solar dryer because it is typically used in power cables, windings, busbars, grounding and electrical connectors; the assignment follows component function, not a sector-wide keyword.</x:v>
      </x:c>
      <x:c r="I269" s="2" t="str">
        <x:v>Presence and quantity in Solar dryer depend on the selected design, chemistry, capacity, supplier and recycled content. This analytical link is not a verified bill of materials or supplier traceability statement.</x:v>
      </x:c>
      <x:c r="J269" s="2" t="str">
        <x:v>https://pubs.usgs.gov/periodicals/mcs2026/mcs2026.pdf</x:v>
      </x:c>
    </x:row>
    <x:row r="270" ht="66" customHeight="1">
      <x:c r="A270" s="2" t="str">
        <x:v>MIT-0096</x:v>
      </x:c>
      <x:c r="B270" s="2" t="str">
        <x:v>Mitigation</x:v>
      </x:c>
      <x:c r="C270" s="2" t="str">
        <x:v>Renewable energy</x:v>
      </x:c>
      <x:c r="D270" s="2" t="str">
        <x:v>Solar</x:v>
      </x:c>
      <x:c r="E270" s="2" t="str">
        <x:v>Solar dryer</x:v>
      </x:c>
      <x:c r="F270" s="2" t="str">
        <x:v>Tin</x:v>
      </x:c>
      <x:c r="G270" s="2" t="str">
        <x:v>Electronics strategic metal</x:v>
      </x:c>
      <x:c r="H270" s="2" t="str">
        <x:v>Tin is linked to Solar dryer because it is typically used in electronic solder and selected coatings; the assignment follows component function, not a sector-wide keyword.</x:v>
      </x:c>
      <x:c r="I270" s="2" t="str">
        <x:v>Presence and quantity in Solar dryer depend on the selected design, chemistry, capacity, supplier and recycled content. This analytical link is not a verified bill of materials or supplier traceability statement.</x:v>
      </x:c>
      <x:c r="J270" s="2" t="str">
        <x:v>https://pubs.usgs.gov/periodicals/mcs2026/mcs2026.pdf</x:v>
      </x:c>
    </x:row>
    <x:row r="271" ht="66" customHeight="1">
      <x:c r="A271" s="2" t="str">
        <x:v>MIT-0096</x:v>
      </x:c>
      <x:c r="B271" s="2" t="str">
        <x:v>Mitigation</x:v>
      </x:c>
      <x:c r="C271" s="2" t="str">
        <x:v>Renewable energy</x:v>
      </x:c>
      <x:c r="D271" s="2" t="str">
        <x:v>Solar</x:v>
      </x:c>
      <x:c r="E271" s="2" t="str">
        <x:v>Solar dryer</x:v>
      </x:c>
      <x:c r="F271" s="2" t="str">
        <x:v>Bauxite / aluminium</x:v>
      </x:c>
      <x:c r="G271" s="2" t="str">
        <x:v>Strategic metal</x:v>
      </x:c>
      <x:c r="H271" s="2" t="str">
        <x:v>Bauxite / aluminium is linked to Solar dryer because it is typically used in lightweight structures, frames, conductors or vehicle components; the assignment follows component function, not a sector-wide keyword.</x:v>
      </x:c>
      <x:c r="I271" s="2" t="str">
        <x:v>Presence and quantity in Solar dryer depend on the selected design, chemistry, capacity, supplier and recycled content. This analytical link is not a verified bill of materials or supplier traceability statement.</x:v>
      </x:c>
      <x:c r="J271" s="2" t="str">
        <x:v>https://pubs.usgs.gov/periodicals/mcs2026/mcs2026.pdf</x:v>
      </x:c>
    </x:row>
    <x:row r="272" ht="66" customHeight="1">
      <x:c r="A272" s="2" t="str">
        <x:v>MIT-0097</x:v>
      </x:c>
      <x:c r="B272" s="2" t="str">
        <x:v>Mitigation</x:v>
      </x:c>
      <x:c r="C272" s="2" t="str">
        <x:v>Renewable energy</x:v>
      </x:c>
      <x:c r="D272" s="2" t="str">
        <x:v>Solar</x:v>
      </x:c>
      <x:c r="E272" s="2" t="str">
        <x:v>Energy tower (downdraft)</x:v>
      </x:c>
      <x:c r="F272" s="2" t="str">
        <x:v>Iron ore / steel inputs</x:v>
      </x:c>
      <x:c r="G272" s="2" t="str">
        <x:v>Bulk and strategic mineral input</x:v>
      </x:c>
      <x:c r="H272" s="2" t="str">
        <x:v>Iron ore / steel inputs is linked to Energy tower (downdraft) because it is typically used in load-bearing structures, pressure vessels, piping or machinery; the assignment follows component function, not a sector-wide keyword.</x:v>
      </x:c>
      <x:c r="I272" s="2" t="str">
        <x:v>Presence and quantity in Energy tower (downdraft) depend on the selected design, chemistry, capacity, supplier and recycled content. This analytical link is not a verified bill of materials or supplier traceability statement.</x:v>
      </x:c>
      <x:c r="J272" s="2" t="str">
        <x:v>https://pubs.usgs.gov/periodicals/mcs2026/mcs2026.pdf</x:v>
      </x:c>
    </x:row>
    <x:row r="273" ht="66" customHeight="1">
      <x:c r="A273" s="2" t="str">
        <x:v>MIT-0097</x:v>
      </x:c>
      <x:c r="B273" s="2" t="str">
        <x:v>Mitigation</x:v>
      </x:c>
      <x:c r="C273" s="2" t="str">
        <x:v>Renewable energy</x:v>
      </x:c>
      <x:c r="D273" s="2" t="str">
        <x:v>Solar</x:v>
      </x:c>
      <x:c r="E273" s="2" t="str">
        <x:v>Energy tower (downdraft)</x:v>
      </x:c>
      <x:c r="F273" s="2" t="str">
        <x:v>Copper</x:v>
      </x:c>
      <x:c r="G273" s="2" t="str">
        <x:v>Critical or strategic metal</x:v>
      </x:c>
      <x:c r="H273" s="2" t="str">
        <x:v>Copper is linked to Energy tower (downdraft) because it is typically used in power cables, windings, busbars, grounding and electrical connectors; the assignment follows component function, not a sector-wide keyword.</x:v>
      </x:c>
      <x:c r="I273" s="2" t="str">
        <x:v>Presence and quantity in Energy tower (downdraft) depend on the selected design, chemistry, capacity, supplier and recycled content. This analytical link is not a verified bill of materials or supplier traceability statement.</x:v>
      </x:c>
      <x:c r="J273" s="2" t="str">
        <x:v>https://pubs.usgs.gov/periodicals/mcs2026/mcs2026.pdf</x:v>
      </x:c>
    </x:row>
    <x:row r="274" ht="66" customHeight="1">
      <x:c r="A274" s="2" t="str">
        <x:v>MIT-0097</x:v>
      </x:c>
      <x:c r="B274" s="2" t="str">
        <x:v>Mitigation</x:v>
      </x:c>
      <x:c r="C274" s="2" t="str">
        <x:v>Renewable energy</x:v>
      </x:c>
      <x:c r="D274" s="2" t="str">
        <x:v>Solar</x:v>
      </x:c>
      <x:c r="E274" s="2" t="str">
        <x:v>Energy tower (downdraft)</x:v>
      </x:c>
      <x:c r="F274" s="2" t="str">
        <x:v>Tin</x:v>
      </x:c>
      <x:c r="G274" s="2" t="str">
        <x:v>Electronics strategic metal</x:v>
      </x:c>
      <x:c r="H274" s="2" t="str">
        <x:v>Tin is linked to Energy tower (downdraft) because it is typically used in electronic solder and selected coatings; the assignment follows component function, not a sector-wide keyword.</x:v>
      </x:c>
      <x:c r="I274" s="2" t="str">
        <x:v>Presence and quantity in Energy tower (downdraft) depend on the selected design, chemistry, capacity, supplier and recycled content. This analytical link is not a verified bill of materials or supplier traceability statement.</x:v>
      </x:c>
      <x:c r="J274" s="2" t="str">
        <x:v>https://pubs.usgs.gov/periodicals/mcs2026/mcs2026.pdf</x:v>
      </x:c>
    </x:row>
    <x:row r="275" ht="66" customHeight="1">
      <x:c r="A275" s="2" t="str">
        <x:v>MIT-0097</x:v>
      </x:c>
      <x:c r="B275" s="2" t="str">
        <x:v>Mitigation</x:v>
      </x:c>
      <x:c r="C275" s="2" t="str">
        <x:v>Renewable energy</x:v>
      </x:c>
      <x:c r="D275" s="2" t="str">
        <x:v>Solar</x:v>
      </x:c>
      <x:c r="E275" s="2" t="str">
        <x:v>Energy tower (downdraft)</x:v>
      </x:c>
      <x:c r="F275" s="2" t="str">
        <x:v>Bauxite / aluminium</x:v>
      </x:c>
      <x:c r="G275" s="2" t="str">
        <x:v>Strategic metal</x:v>
      </x:c>
      <x:c r="H275" s="2" t="str">
        <x:v>Bauxite / aluminium is linked to Energy tower (downdraft) because it is typically used in lightweight structures, frames, conductors or vehicle components; the assignment follows component function, not a sector-wide keyword.</x:v>
      </x:c>
      <x:c r="I275" s="2" t="str">
        <x:v>Presence and quantity in Energy tower (downdraft) depend on the selected design, chemistry, capacity, supplier and recycled content. This analytical link is not a verified bill of materials or supplier traceability statement.</x:v>
      </x:c>
      <x:c r="J275" s="2" t="str">
        <x:v>https://pubs.usgs.gov/periodicals/mcs2026/mcs2026.pdf</x:v>
      </x:c>
    </x:row>
    <x:row r="276" ht="66" customHeight="1">
      <x:c r="A276" s="2" t="str">
        <x:v>MIT-0098</x:v>
      </x:c>
      <x:c r="B276" s="2" t="str">
        <x:v>Mitigation</x:v>
      </x:c>
      <x:c r="C276" s="2" t="str">
        <x:v>Renewable energy</x:v>
      </x:c>
      <x:c r="D276" s="2" t="str">
        <x:v>Solar</x:v>
      </x:c>
      <x:c r="E276" s="2" t="str">
        <x:v>Solar water heater</x:v>
      </x:c>
      <x:c r="F276" s="2" t="str">
        <x:v>Iron ore / steel inputs</x:v>
      </x:c>
      <x:c r="G276" s="2" t="str">
        <x:v>Bulk and strategic mineral input</x:v>
      </x:c>
      <x:c r="H276" s="2" t="str">
        <x:v>Iron ore / steel inputs is linked to Solar water heater because it is typically used in load-bearing structures, pressure vessels, piping or machinery; the assignment follows component function, not a sector-wide keyword.</x:v>
      </x:c>
      <x:c r="I276" s="2" t="str">
        <x:v>Presence and quantity in Solar water heater depend on the selected design, chemistry, capacity, supplier and recycled content. This analytical link is not a verified bill of materials or supplier traceability statement.</x:v>
      </x:c>
      <x:c r="J276" s="2" t="str">
        <x:v>https://pubs.usgs.gov/periodicals/mcs2026/mcs2026.pdf</x:v>
      </x:c>
    </x:row>
    <x:row r="277" ht="66" customHeight="1">
      <x:c r="A277" s="2" t="str">
        <x:v>MIT-0098</x:v>
      </x:c>
      <x:c r="B277" s="2" t="str">
        <x:v>Mitigation</x:v>
      </x:c>
      <x:c r="C277" s="2" t="str">
        <x:v>Renewable energy</x:v>
      </x:c>
      <x:c r="D277" s="2" t="str">
        <x:v>Solar</x:v>
      </x:c>
      <x:c r="E277" s="2" t="str">
        <x:v>Solar water heater</x:v>
      </x:c>
      <x:c r="F277" s="2" t="str">
        <x:v>Copper</x:v>
      </x:c>
      <x:c r="G277" s="2" t="str">
        <x:v>Critical or strategic metal</x:v>
      </x:c>
      <x:c r="H277" s="2" t="str">
        <x:v>Copper is linked to Solar water heater because it is typically used in power cables, windings, busbars, grounding and electrical connectors; the assignment follows component function, not a sector-wide keyword.</x:v>
      </x:c>
      <x:c r="I277" s="2" t="str">
        <x:v>Presence and quantity in Solar water heater depend on the selected design, chemistry, capacity, supplier and recycled content. This analytical link is not a verified bill of materials or supplier traceability statement.</x:v>
      </x:c>
      <x:c r="J277" s="2" t="str">
        <x:v>https://pubs.usgs.gov/periodicals/mcs2026/mcs2026.pdf</x:v>
      </x:c>
    </x:row>
    <x:row r="278" ht="66" customHeight="1">
      <x:c r="A278" s="2" t="str">
        <x:v>MIT-0098</x:v>
      </x:c>
      <x:c r="B278" s="2" t="str">
        <x:v>Mitigation</x:v>
      </x:c>
      <x:c r="C278" s="2" t="str">
        <x:v>Renewable energy</x:v>
      </x:c>
      <x:c r="D278" s="2" t="str">
        <x:v>Solar</x:v>
      </x:c>
      <x:c r="E278" s="2" t="str">
        <x:v>Solar water heater</x:v>
      </x:c>
      <x:c r="F278" s="2" t="str">
        <x:v>Tin</x:v>
      </x:c>
      <x:c r="G278" s="2" t="str">
        <x:v>Electronics strategic metal</x:v>
      </x:c>
      <x:c r="H278" s="2" t="str">
        <x:v>Tin is linked to Solar water heater because it is typically used in electronic solder and selected coatings; the assignment follows component function, not a sector-wide keyword.</x:v>
      </x:c>
      <x:c r="I278" s="2" t="str">
        <x:v>Presence and quantity in Solar water heater depend on the selected design, chemistry, capacity, supplier and recycled content. This analytical link is not a verified bill of materials or supplier traceability statement.</x:v>
      </x:c>
      <x:c r="J278" s="2" t="str">
        <x:v>https://pubs.usgs.gov/periodicals/mcs2026/mcs2026.pdf</x:v>
      </x:c>
    </x:row>
    <x:row r="279" ht="66" customHeight="1">
      <x:c r="A279" s="2" t="str">
        <x:v>MIT-0098</x:v>
      </x:c>
      <x:c r="B279" s="2" t="str">
        <x:v>Mitigation</x:v>
      </x:c>
      <x:c r="C279" s="2" t="str">
        <x:v>Renewable energy</x:v>
      </x:c>
      <x:c r="D279" s="2" t="str">
        <x:v>Solar</x:v>
      </x:c>
      <x:c r="E279" s="2" t="str">
        <x:v>Solar water heater</x:v>
      </x:c>
      <x:c r="F279" s="2" t="str">
        <x:v>Bauxite / aluminium</x:v>
      </x:c>
      <x:c r="G279" s="2" t="str">
        <x:v>Strategic metal</x:v>
      </x:c>
      <x:c r="H279" s="2" t="str">
        <x:v>Bauxite / aluminium is linked to Solar water heater because it is typically used in lightweight structures, frames, conductors or vehicle components; the assignment follows component function, not a sector-wide keyword.</x:v>
      </x:c>
      <x:c r="I279" s="2" t="str">
        <x:v>Presence and quantity in Solar water heater depend on the selected design, chemistry, capacity, supplier and recycled content. This analytical link is not a verified bill of materials or supplier traceability statement.</x:v>
      </x:c>
      <x:c r="J279" s="2" t="str">
        <x:v>https://pubs.usgs.gov/periodicals/mcs2026/mcs2026.pdf</x:v>
      </x:c>
    </x:row>
    <x:row r="280" ht="66" customHeight="1">
      <x:c r="A280" s="2" t="str">
        <x:v>MIT-0099</x:v>
      </x:c>
      <x:c r="B280" s="2" t="str">
        <x:v>Mitigation</x:v>
      </x:c>
      <x:c r="C280" s="2" t="str">
        <x:v>Renewable energy</x:v>
      </x:c>
      <x:c r="D280" s="2" t="str">
        <x:v>Renewable energy infrastructure</x:v>
      </x:c>
      <x:c r="E280" s="2" t="str">
        <x:v>Hydrogen technologies</x:v>
      </x:c>
      <x:c r="F280" s="2" t="str">
        <x:v>Iron ore / steel inputs</x:v>
      </x:c>
      <x:c r="G280" s="2" t="str">
        <x:v>Bulk and strategic mineral input</x:v>
      </x:c>
      <x:c r="H280" s="2" t="str">
        <x:v>Iron ore / steel inputs is linked to Hydrogen technologies because it is typically used in load-bearing structures, pressure vessels, piping or machinery; the assignment follows component function, not a sector-wide keyword.</x:v>
      </x:c>
      <x:c r="I280" s="2" t="str">
        <x:v>Presence and quantity in Hydrogen technologies depend on the selected design, chemistry, capacity, supplier and recycled content. This analytical link is not a verified bill of materials or supplier traceability statement.</x:v>
      </x:c>
      <x:c r="J280" s="2" t="str">
        <x:v>https://pubs.usgs.gov/periodicals/mcs2026/mcs2026.pdf</x:v>
      </x:c>
    </x:row>
    <x:row r="281" ht="66" customHeight="1">
      <x:c r="A281" s="2" t="str">
        <x:v>MIT-0099</x:v>
      </x:c>
      <x:c r="B281" s="2" t="str">
        <x:v>Mitigation</x:v>
      </x:c>
      <x:c r="C281" s="2" t="str">
        <x:v>Renewable energy</x:v>
      </x:c>
      <x:c r="D281" s="2" t="str">
        <x:v>Renewable energy infrastructure</x:v>
      </x:c>
      <x:c r="E281" s="2" t="str">
        <x:v>Hydrogen technologies</x:v>
      </x:c>
      <x:c r="F281" s="2" t="str">
        <x:v>Copper</x:v>
      </x:c>
      <x:c r="G281" s="2" t="str">
        <x:v>Critical or strategic metal</x:v>
      </x:c>
      <x:c r="H281" s="2" t="str">
        <x:v>Copper is linked to Hydrogen technologies because it is typically used in power cables, windings, busbars, grounding and electrical connectors; the assignment follows component function, not a sector-wide keyword.</x:v>
      </x:c>
      <x:c r="I281" s="2" t="str">
        <x:v>Presence and quantity in Hydrogen technologies depend on the selected design, chemistry, capacity, supplier and recycled content. This analytical link is not a verified bill of materials or supplier traceability statement.</x:v>
      </x:c>
      <x:c r="J281" s="2" t="str">
        <x:v>https://pubs.usgs.gov/periodicals/mcs2026/mcs2026.pdf</x:v>
      </x:c>
    </x:row>
    <x:row r="282" ht="66" customHeight="1">
      <x:c r="A282" s="2" t="str">
        <x:v>MIT-0099</x:v>
      </x:c>
      <x:c r="B282" s="2" t="str">
        <x:v>Mitigation</x:v>
      </x:c>
      <x:c r="C282" s="2" t="str">
        <x:v>Renewable energy</x:v>
      </x:c>
      <x:c r="D282" s="2" t="str">
        <x:v>Renewable energy infrastructure</x:v>
      </x:c>
      <x:c r="E282" s="2" t="str">
        <x:v>Hydrogen technologies</x:v>
      </x:c>
      <x:c r="F282" s="2" t="str">
        <x:v>Tin</x:v>
      </x:c>
      <x:c r="G282" s="2" t="str">
        <x:v>Electronics strategic metal</x:v>
      </x:c>
      <x:c r="H282" s="2" t="str">
        <x:v>Tin is linked to Hydrogen technologies because it is typically used in electronic solder and selected coatings; the assignment follows component function, not a sector-wide keyword.</x:v>
      </x:c>
      <x:c r="I282" s="2" t="str">
        <x:v>Presence and quantity in Hydrogen technologies depend on the selected design, chemistry, capacity, supplier and recycled content. This analytical link is not a verified bill of materials or supplier traceability statement.</x:v>
      </x:c>
      <x:c r="J282" s="2" t="str">
        <x:v>https://pubs.usgs.gov/periodicals/mcs2026/mcs2026.pdf</x:v>
      </x:c>
    </x:row>
    <x:row r="283" ht="66" customHeight="1">
      <x:c r="A283" s="2" t="str">
        <x:v>MIT-0099</x:v>
      </x:c>
      <x:c r="B283" s="2" t="str">
        <x:v>Mitigation</x:v>
      </x:c>
      <x:c r="C283" s="2" t="str">
        <x:v>Renewable energy</x:v>
      </x:c>
      <x:c r="D283" s="2" t="str">
        <x:v>Renewable energy infrastructure</x:v>
      </x:c>
      <x:c r="E283" s="2" t="str">
        <x:v>Hydrogen technologies</x:v>
      </x:c>
      <x:c r="F283" s="2" t="str">
        <x:v>Limestone / cement raw materials</x:v>
      </x:c>
      <x:c r="G283" s="2" t="str">
        <x:v>Bulk construction material</x:v>
      </x:c>
      <x:c r="H283" s="2" t="str">
        <x:v>Limestone / cement raw materials is linked to Hydrogen technologies because it is typically used in concrete foundations, channels, buildings or protective civil works; the assignment follows component function, not a sector-wide keyword.</x:v>
      </x:c>
      <x:c r="I283" s="2" t="str">
        <x:v>Presence and quantity in Hydrogen technologies depend on the selected design, chemistry, capacity, supplier and recycled content. This analytical link is not a verified bill of materials or supplier traceability statement.</x:v>
      </x:c>
      <x:c r="J283" s="2" t="str">
        <x:v>https://pubs.usgs.gov/periodicals/mcs2026/mcs2026.pdf</x:v>
      </x:c>
    </x:row>
    <x:row r="284" ht="66" customHeight="1">
      <x:c r="A284" s="2" t="str">
        <x:v>MIT-0100</x:v>
      </x:c>
      <x:c r="B284" s="2" t="str">
        <x:v>Mitigation</x:v>
      </x:c>
      <x:c r="C284" s="2" t="str">
        <x:v>Renewable energy</x:v>
      </x:c>
      <x:c r="D284" s="2" t="str">
        <x:v>Renewable energy infrastructure</x:v>
      </x:c>
      <x:c r="E284" s="2" t="str">
        <x:v>Off-grid systems</x:v>
      </x:c>
      <x:c r="F284" s="2" t="str">
        <x:v>Iron ore / steel inputs</x:v>
      </x:c>
      <x:c r="G284" s="2" t="str">
        <x:v>Bulk and strategic mineral input</x:v>
      </x:c>
      <x:c r="H284" s="2" t="str">
        <x:v>Iron ore / steel inputs is linked to Off-grid systems because it is typically used in load-bearing structures, pressure vessels, piping or machinery; the assignment follows component function, not a sector-wide keyword.</x:v>
      </x:c>
      <x:c r="I284" s="2" t="str">
        <x:v>Presence and quantity in Off-grid systems depend on the selected design, chemistry, capacity, supplier and recycled content. This analytical link is not a verified bill of materials or supplier traceability statement.</x:v>
      </x:c>
      <x:c r="J284" s="2" t="str">
        <x:v>https://pubs.usgs.gov/periodicals/mcs2026/mcs2026.pdf</x:v>
      </x:c>
    </x:row>
    <x:row r="285" ht="66" customHeight="1">
      <x:c r="A285" s="2" t="str">
        <x:v>MIT-0100</x:v>
      </x:c>
      <x:c r="B285" s="2" t="str">
        <x:v>Mitigation</x:v>
      </x:c>
      <x:c r="C285" s="2" t="str">
        <x:v>Renewable energy</x:v>
      </x:c>
      <x:c r="D285" s="2" t="str">
        <x:v>Renewable energy infrastructure</x:v>
      </x:c>
      <x:c r="E285" s="2" t="str">
        <x:v>Off-grid systems</x:v>
      </x:c>
      <x:c r="F285" s="2" t="str">
        <x:v>Copper</x:v>
      </x:c>
      <x:c r="G285" s="2" t="str">
        <x:v>Critical or strategic metal</x:v>
      </x:c>
      <x:c r="H285" s="2" t="str">
        <x:v>Copper is linked to Off-grid systems because it is typically used in power cables, windings, busbars, grounding and electrical connectors; the assignment follows component function, not a sector-wide keyword.</x:v>
      </x:c>
      <x:c r="I285" s="2" t="str">
        <x:v>Presence and quantity in Off-grid systems depend on the selected design, chemistry, capacity, supplier and recycled content. This analytical link is not a verified bill of materials or supplier traceability statement.</x:v>
      </x:c>
      <x:c r="J285" s="2" t="str">
        <x:v>https://pubs.usgs.gov/periodicals/mcs2026/mcs2026.pdf</x:v>
      </x:c>
    </x:row>
    <x:row r="286" ht="66" customHeight="1">
      <x:c r="A286" s="2" t="str">
        <x:v>MIT-0100</x:v>
      </x:c>
      <x:c r="B286" s="2" t="str">
        <x:v>Mitigation</x:v>
      </x:c>
      <x:c r="C286" s="2" t="str">
        <x:v>Renewable energy</x:v>
      </x:c>
      <x:c r="D286" s="2" t="str">
        <x:v>Renewable energy infrastructure</x:v>
      </x:c>
      <x:c r="E286" s="2" t="str">
        <x:v>Off-grid systems</x:v>
      </x:c>
      <x:c r="F286" s="2" t="str">
        <x:v>Tin</x:v>
      </x:c>
      <x:c r="G286" s="2" t="str">
        <x:v>Electronics strategic metal</x:v>
      </x:c>
      <x:c r="H286" s="2" t="str">
        <x:v>Tin is linked to Off-grid systems because it is typically used in electronic solder and selected coatings; the assignment follows component function, not a sector-wide keyword.</x:v>
      </x:c>
      <x:c r="I286" s="2" t="str">
        <x:v>Presence and quantity in Off-grid systems depend on the selected design, chemistry, capacity, supplier and recycled content. This analytical link is not a verified bill of materials or supplier traceability statement.</x:v>
      </x:c>
      <x:c r="J286" s="2" t="str">
        <x:v>https://pubs.usgs.gov/periodicals/mcs2026/mcs2026.pdf</x:v>
      </x:c>
    </x:row>
    <x:row r="287" ht="66" customHeight="1">
      <x:c r="A287" s="2" t="str">
        <x:v>MIT-0100</x:v>
      </x:c>
      <x:c r="B287" s="2" t="str">
        <x:v>Mitigation</x:v>
      </x:c>
      <x:c r="C287" s="2" t="str">
        <x:v>Renewable energy</x:v>
      </x:c>
      <x:c r="D287" s="2" t="str">
        <x:v>Renewable energy infrastructure</x:v>
      </x:c>
      <x:c r="E287" s="2" t="str">
        <x:v>Off-grid systems</x:v>
      </x:c>
      <x:c r="F287" s="2" t="str">
        <x:v>Lithium</x:v>
      </x:c>
      <x:c r="G287" s="2" t="str">
        <x:v>Battery critical mineral</x:v>
      </x:c>
      <x:c r="H287" s="2" t="str">
        <x:v>Lithium is linked to Off-grid systems because it is typically used in lithium-based rechargeable battery cathodes or electrolytes; the assignment follows component function, not a sector-wide keyword.</x:v>
      </x:c>
      <x:c r="I287" s="2" t="str">
        <x:v>Presence and quantity in Off-grid systems depend on the selected design, chemistry, capacity, supplier and recycled content. This analytical link is not a verified bill of materials or supplier traceability statement.</x:v>
      </x:c>
      <x:c r="J287" s="2" t="str">
        <x:v>https://www.iea.org/reports/global-critical-minerals-outlook-2025</x:v>
      </x:c>
    </x:row>
    <x:row r="288" ht="66" customHeight="1">
      <x:c r="A288" s="2" t="str">
        <x:v>MIT-0100</x:v>
      </x:c>
      <x:c r="B288" s="2" t="str">
        <x:v>Mitigation</x:v>
      </x:c>
      <x:c r="C288" s="2" t="str">
        <x:v>Renewable energy</x:v>
      </x:c>
      <x:c r="D288" s="2" t="str">
        <x:v>Renewable energy infrastructure</x:v>
      </x:c>
      <x:c r="E288" s="2" t="str">
        <x:v>Off-grid systems</x:v>
      </x:c>
      <x:c r="F288" s="2" t="str">
        <x:v>Nickel</x:v>
      </x:c>
      <x:c r="G288" s="2" t="str">
        <x:v>Battery and alloy critical mineral</x:v>
      </x:c>
      <x:c r="H288" s="2" t="str">
        <x:v>Nickel is linked to Off-grid systems because it is typically used in battery cathodes, high-temperature alloys or corrosion-resistant steels; the assignment follows component function, not a sector-wide keyword.</x:v>
      </x:c>
      <x:c r="I288" s="2" t="str">
        <x:v>Presence and quantity in Off-grid systems depend on the selected design, chemistry, capacity, supplier and recycled content. This analytical link is not a verified bill of materials or supplier traceability statement.</x:v>
      </x:c>
      <x:c r="J288" s="2" t="str">
        <x:v>https://www.iea.org/reports/global-critical-minerals-outlook-2025</x:v>
      </x:c>
    </x:row>
    <x:row r="289" ht="66" customHeight="1">
      <x:c r="A289" s="2" t="str">
        <x:v>MIT-0100</x:v>
      </x:c>
      <x:c r="B289" s="2" t="str">
        <x:v>Mitigation</x:v>
      </x:c>
      <x:c r="C289" s="2" t="str">
        <x:v>Renewable energy</x:v>
      </x:c>
      <x:c r="D289" s="2" t="str">
        <x:v>Renewable energy infrastructure</x:v>
      </x:c>
      <x:c r="E289" s="2" t="str">
        <x:v>Off-grid systems</x:v>
      </x:c>
      <x:c r="F289" s="2" t="str">
        <x:v>Cobalt</x:v>
      </x:c>
      <x:c r="G289" s="2" t="str">
        <x:v>Battery and catalyst critical mineral</x:v>
      </x:c>
      <x:c r="H289" s="2" t="str">
        <x:v>Cobalt is linked to Off-grid systems because it is typically used in selected battery cathodes or high-performance catalysts; the assignment follows component function, not a sector-wide keyword.</x:v>
      </x:c>
      <x:c r="I289" s="2" t="str">
        <x:v>Presence and quantity in Off-grid systems depend on the selected design, chemistry, capacity, supplier and recycled content. This analytical link is not a verified bill of materials or supplier traceability statement.</x:v>
      </x:c>
      <x:c r="J289" s="2" t="str">
        <x:v>https://www.iea.org/reports/global-critical-minerals-outlook-2025</x:v>
      </x:c>
    </x:row>
    <x:row r="290" ht="66" customHeight="1">
      <x:c r="A290" s="2" t="str">
        <x:v>MIT-0100</x:v>
      </x:c>
      <x:c r="B290" s="2" t="str">
        <x:v>Mitigation</x:v>
      </x:c>
      <x:c r="C290" s="2" t="str">
        <x:v>Renewable energy</x:v>
      </x:c>
      <x:c r="D290" s="2" t="str">
        <x:v>Renewable energy infrastructure</x:v>
      </x:c>
      <x:c r="E290" s="2" t="str">
        <x:v>Off-grid systems</x:v>
      </x:c>
      <x:c r="F290" s="2" t="str">
        <x:v>Natural graphite</x:v>
      </x:c>
      <x:c r="G290" s="2" t="str">
        <x:v>Battery critical mineral</x:v>
      </x:c>
      <x:c r="H290" s="2" t="str">
        <x:v>Natural graphite is linked to Off-grid systems because it is typically used in battery anodes; the assignment follows component function, not a sector-wide keyword.</x:v>
      </x:c>
      <x:c r="I290" s="2" t="str">
        <x:v>Presence and quantity in Off-grid systems depend on the selected design, chemistry, capacity, supplier and recycled content. This analytical link is not a verified bill of materials or supplier traceability statement.</x:v>
      </x:c>
      <x:c r="J290" s="2" t="str">
        <x:v>https://www.iea.org/reports/global-critical-minerals-outlook-2025</x:v>
      </x:c>
    </x:row>
    <x:row r="291" ht="66" customHeight="1">
      <x:c r="A291" s="2" t="str">
        <x:v>MIT-0100</x:v>
      </x:c>
      <x:c r="B291" s="2" t="str">
        <x:v>Mitigation</x:v>
      </x:c>
      <x:c r="C291" s="2" t="str">
        <x:v>Renewable energy</x:v>
      </x:c>
      <x:c r="D291" s="2" t="str">
        <x:v>Renewable energy infrastructure</x:v>
      </x:c>
      <x:c r="E291" s="2" t="str">
        <x:v>Off-grid systems</x:v>
      </x:c>
      <x:c r="F291" s="2" t="str">
        <x:v>Manganese</x:v>
      </x:c>
      <x:c r="G291" s="2" t="str">
        <x:v>Battery and alloy strategic mineral</x:v>
      </x:c>
      <x:c r="H291" s="2" t="str">
        <x:v>Manganese is linked to Off-grid systems because it is typically used in battery cathodes or alloy steels; the assignment follows component function, not a sector-wide keyword.</x:v>
      </x:c>
      <x:c r="I291" s="2" t="str">
        <x:v>Presence and quantity in Off-grid systems depend on the selected design, chemistry, capacity, supplier and recycled content. This analytical link is not a verified bill of materials or supplier traceability statement.</x:v>
      </x:c>
      <x:c r="J291" s="2" t="str">
        <x:v>https://pubs.usgs.gov/periodicals/mcs2026/mcs2026.pdf</x:v>
      </x:c>
    </x:row>
    <x:row r="292" ht="66" customHeight="1">
      <x:c r="A292" s="2" t="str">
        <x:v>MIT-0100</x:v>
      </x:c>
      <x:c r="B292" s="2" t="str">
        <x:v>Mitigation</x:v>
      </x:c>
      <x:c r="C292" s="2" t="str">
        <x:v>Renewable energy</x:v>
      </x:c>
      <x:c r="D292" s="2" t="str">
        <x:v>Renewable energy infrastructure</x:v>
      </x:c>
      <x:c r="E292" s="2" t="str">
        <x:v>Off-grid systems</x:v>
      </x:c>
      <x:c r="F292" s="2" t="str">
        <x:v>Limestone / cement raw materials</x:v>
      </x:c>
      <x:c r="G292" s="2" t="str">
        <x:v>Bulk construction material</x:v>
      </x:c>
      <x:c r="H292" s="2" t="str">
        <x:v>Limestone / cement raw materials is linked to Off-grid systems because it is typically used in concrete foundations, channels, buildings or protective civil works; the assignment follows component function, not a sector-wide keyword.</x:v>
      </x:c>
      <x:c r="I292" s="2" t="str">
        <x:v>Presence and quantity in Off-grid systems depend on the selected design, chemistry, capacity, supplier and recycled content. This analytical link is not a verified bill of materials or supplier traceability statement.</x:v>
      </x:c>
      <x:c r="J292" s="2" t="str">
        <x:v>https://pubs.usgs.gov/periodicals/mcs2026/mcs2026.pdf</x:v>
      </x:c>
    </x:row>
    <x:row r="293" ht="66" customHeight="1">
      <x:c r="A293" s="2" t="str">
        <x:v>MIT-0101</x:v>
      </x:c>
      <x:c r="B293" s="2" t="str">
        <x:v>Mitigation</x:v>
      </x:c>
      <x:c r="C293" s="2" t="str">
        <x:v>Renewable energy</x:v>
      </x:c>
      <x:c r="D293" s="2" t="str">
        <x:v>Renewable energy infrastructure</x:v>
      </x:c>
      <x:c r="E293" s="2" t="str">
        <x:v>Fuel cells</x:v>
      </x:c>
      <x:c r="F293" s="2" t="str">
        <x:v>Iron ore / steel inputs</x:v>
      </x:c>
      <x:c r="G293" s="2" t="str">
        <x:v>Bulk and strategic mineral input</x:v>
      </x:c>
      <x:c r="H293" s="2" t="str">
        <x:v>Iron ore / steel inputs is linked to Fuel cells because it is typically used in load-bearing structures, pressure vessels, piping or machinery; the assignment follows component function, not a sector-wide keyword.</x:v>
      </x:c>
      <x:c r="I293" s="2" t="str">
        <x:v>Presence and quantity in Fuel cells depend on the selected design, chemistry, capacity, supplier and recycled content. This analytical link is not a verified bill of materials or supplier traceability statement.</x:v>
      </x:c>
      <x:c r="J293" s="2" t="str">
        <x:v>https://pubs.usgs.gov/periodicals/mcs2026/mcs2026.pdf</x:v>
      </x:c>
    </x:row>
    <x:row r="294" ht="66" customHeight="1">
      <x:c r="A294" s="2" t="str">
        <x:v>MIT-0101</x:v>
      </x:c>
      <x:c r="B294" s="2" t="str">
        <x:v>Mitigation</x:v>
      </x:c>
      <x:c r="C294" s="2" t="str">
        <x:v>Renewable energy</x:v>
      </x:c>
      <x:c r="D294" s="2" t="str">
        <x:v>Renewable energy infrastructure</x:v>
      </x:c>
      <x:c r="E294" s="2" t="str">
        <x:v>Fuel cells</x:v>
      </x:c>
      <x:c r="F294" s="2" t="str">
        <x:v>Copper</x:v>
      </x:c>
      <x:c r="G294" s="2" t="str">
        <x:v>Critical or strategic metal</x:v>
      </x:c>
      <x:c r="H294" s="2" t="str">
        <x:v>Copper is linked to Fuel cells because it is typically used in power cables, windings, busbars, grounding and electrical connectors; the assignment follows component function, not a sector-wide keyword.</x:v>
      </x:c>
      <x:c r="I294" s="2" t="str">
        <x:v>Presence and quantity in Fuel cells depend on the selected design, chemistry, capacity, supplier and recycled content. This analytical link is not a verified bill of materials or supplier traceability statement.</x:v>
      </x:c>
      <x:c r="J294" s="2" t="str">
        <x:v>https://pubs.usgs.gov/periodicals/mcs2026/mcs2026.pdf</x:v>
      </x:c>
    </x:row>
    <x:row r="295" ht="66" customHeight="1">
      <x:c r="A295" s="2" t="str">
        <x:v>MIT-0101</x:v>
      </x:c>
      <x:c r="B295" s="2" t="str">
        <x:v>Mitigation</x:v>
      </x:c>
      <x:c r="C295" s="2" t="str">
        <x:v>Renewable energy</x:v>
      </x:c>
      <x:c r="D295" s="2" t="str">
        <x:v>Renewable energy infrastructure</x:v>
      </x:c>
      <x:c r="E295" s="2" t="str">
        <x:v>Fuel cells</x:v>
      </x:c>
      <x:c r="F295" s="2" t="str">
        <x:v>Tin</x:v>
      </x:c>
      <x:c r="G295" s="2" t="str">
        <x:v>Electronics strategic metal</x:v>
      </x:c>
      <x:c r="H295" s="2" t="str">
        <x:v>Tin is linked to Fuel cells because it is typically used in electronic solder and selected coatings; the assignment follows component function, not a sector-wide keyword.</x:v>
      </x:c>
      <x:c r="I295" s="2" t="str">
        <x:v>Presence and quantity in Fuel cells depend on the selected design, chemistry, capacity, supplier and recycled content. This analytical link is not a verified bill of materials or supplier traceability statement.</x:v>
      </x:c>
      <x:c r="J295" s="2" t="str">
        <x:v>https://pubs.usgs.gov/periodicals/mcs2026/mcs2026.pdf</x:v>
      </x:c>
    </x:row>
    <x:row r="296" ht="66" customHeight="1">
      <x:c r="A296" s="2" t="str">
        <x:v>MIT-0101</x:v>
      </x:c>
      <x:c r="B296" s="2" t="str">
        <x:v>Mitigation</x:v>
      </x:c>
      <x:c r="C296" s="2" t="str">
        <x:v>Renewable energy</x:v>
      </x:c>
      <x:c r="D296" s="2" t="str">
        <x:v>Renewable energy infrastructure</x:v>
      </x:c>
      <x:c r="E296" s="2" t="str">
        <x:v>Fuel cells</x:v>
      </x:c>
      <x:c r="F296" s="2" t="str">
        <x:v>Platinum-group metals</x:v>
      </x:c>
      <x:c r="G296" s="2" t="str">
        <x:v>Catalyst critical minerals</x:v>
      </x:c>
      <x:c r="H296" s="2" t="str">
        <x:v>Platinum-group metals is linked to Fuel cells because it is typically used in electrochemical electrodes or catalytic conversion; the assignment follows component function, not a sector-wide keyword.</x:v>
      </x:c>
      <x:c r="I296" s="2" t="str">
        <x:v>Presence and quantity in Fuel cells depend on the selected design, chemistry, capacity, supplier and recycled content. This analytical link is not a verified bill of materials or supplier traceability statement.</x:v>
      </x:c>
      <x:c r="J296" s="2" t="str">
        <x:v>https://pubs.usgs.gov/periodicals/mcs2026/mcs2026.pdf</x:v>
      </x:c>
    </x:row>
    <x:row r="297" ht="66" customHeight="1">
      <x:c r="A297" s="2" t="str">
        <x:v>MIT-0101</x:v>
      </x:c>
      <x:c r="B297" s="2" t="str">
        <x:v>Mitigation</x:v>
      </x:c>
      <x:c r="C297" s="2" t="str">
        <x:v>Renewable energy</x:v>
      </x:c>
      <x:c r="D297" s="2" t="str">
        <x:v>Renewable energy infrastructure</x:v>
      </x:c>
      <x:c r="E297" s="2" t="str">
        <x:v>Fuel cells</x:v>
      </x:c>
      <x:c r="F297" s="2" t="str">
        <x:v>Limestone / cement raw materials</x:v>
      </x:c>
      <x:c r="G297" s="2" t="str">
        <x:v>Bulk construction material</x:v>
      </x:c>
      <x:c r="H297" s="2" t="str">
        <x:v>Limestone / cement raw materials is linked to Fuel cells because it is typically used in concrete foundations, channels, buildings or protective civil works; the assignment follows component function, not a sector-wide keyword.</x:v>
      </x:c>
      <x:c r="I297" s="2" t="str">
        <x:v>Presence and quantity in Fuel cells depend on the selected design, chemistry, capacity, supplier and recycled content. This analytical link is not a verified bill of materials or supplier traceability statement.</x:v>
      </x:c>
      <x:c r="J297" s="2" t="str">
        <x:v>https://pubs.usgs.gov/periodicals/mcs2026/mcs2026.pdf</x:v>
      </x:c>
    </x:row>
    <x:row r="298" ht="66" customHeight="1">
      <x:c r="A298" s="2" t="str">
        <x:v>MIT-0102</x:v>
      </x:c>
      <x:c r="B298" s="2" t="str">
        <x:v>Mitigation</x:v>
      </x:c>
      <x:c r="C298" s="2" t="str">
        <x:v>Renewable energy</x:v>
      </x:c>
      <x:c r="D298" s="2" t="str">
        <x:v>Renewable energy infrastructure</x:v>
      </x:c>
      <x:c r="E298" s="2" t="str">
        <x:v>Fuel cells for stationary applications</x:v>
      </x:c>
      <x:c r="F298" s="2" t="str">
        <x:v>Iron ore / steel inputs</x:v>
      </x:c>
      <x:c r="G298" s="2" t="str">
        <x:v>Bulk and strategic mineral input</x:v>
      </x:c>
      <x:c r="H298" s="2" t="str">
        <x:v>Iron ore / steel inputs is linked to Fuel cells for stationary applications because it is typically used in load-bearing structures, pressure vessels, piping or machinery; the assignment follows component function, not a sector-wide keyword.</x:v>
      </x:c>
      <x:c r="I298" s="2" t="str">
        <x:v>Presence and quantity in Fuel cells for stationary applications depend on the selected design, chemistry, capacity, supplier and recycled content. This analytical link is not a verified bill of materials or supplier traceability statement.</x:v>
      </x:c>
      <x:c r="J298" s="2" t="str">
        <x:v>https://pubs.usgs.gov/periodicals/mcs2026/mcs2026.pdf</x:v>
      </x:c>
    </x:row>
    <x:row r="299" ht="66" customHeight="1">
      <x:c r="A299" s="2" t="str">
        <x:v>MIT-0102</x:v>
      </x:c>
      <x:c r="B299" s="2" t="str">
        <x:v>Mitigation</x:v>
      </x:c>
      <x:c r="C299" s="2" t="str">
        <x:v>Renewable energy</x:v>
      </x:c>
      <x:c r="D299" s="2" t="str">
        <x:v>Renewable energy infrastructure</x:v>
      </x:c>
      <x:c r="E299" s="2" t="str">
        <x:v>Fuel cells for stationary applications</x:v>
      </x:c>
      <x:c r="F299" s="2" t="str">
        <x:v>Copper</x:v>
      </x:c>
      <x:c r="G299" s="2" t="str">
        <x:v>Critical or strategic metal</x:v>
      </x:c>
      <x:c r="H299" s="2" t="str">
        <x:v>Copper is linked to Fuel cells for stationary applications because it is typically used in power cables, windings, busbars, grounding and electrical connectors; the assignment follows component function, not a sector-wide keyword.</x:v>
      </x:c>
      <x:c r="I299" s="2" t="str">
        <x:v>Presence and quantity in Fuel cells for stationary applications depend on the selected design, chemistry, capacity, supplier and recycled content. This analytical link is not a verified bill of materials or supplier traceability statement.</x:v>
      </x:c>
      <x:c r="J299" s="2" t="str">
        <x:v>https://pubs.usgs.gov/periodicals/mcs2026/mcs2026.pdf</x:v>
      </x:c>
    </x:row>
    <x:row r="300" ht="66" customHeight="1">
      <x:c r="A300" s="2" t="str">
        <x:v>MIT-0102</x:v>
      </x:c>
      <x:c r="B300" s="2" t="str">
        <x:v>Mitigation</x:v>
      </x:c>
      <x:c r="C300" s="2" t="str">
        <x:v>Renewable energy</x:v>
      </x:c>
      <x:c r="D300" s="2" t="str">
        <x:v>Renewable energy infrastructure</x:v>
      </x:c>
      <x:c r="E300" s="2" t="str">
        <x:v>Fuel cells for stationary applications</x:v>
      </x:c>
      <x:c r="F300" s="2" t="str">
        <x:v>Tin</x:v>
      </x:c>
      <x:c r="G300" s="2" t="str">
        <x:v>Electronics strategic metal</x:v>
      </x:c>
      <x:c r="H300" s="2" t="str">
        <x:v>Tin is linked to Fuel cells for stationary applications because it is typically used in electronic solder and selected coatings; the assignment follows component function, not a sector-wide keyword.</x:v>
      </x:c>
      <x:c r="I300" s="2" t="str">
        <x:v>Presence and quantity in Fuel cells for stationary applications depend on the selected design, chemistry, capacity, supplier and recycled content. This analytical link is not a verified bill of materials or supplier traceability statement.</x:v>
      </x:c>
      <x:c r="J300" s="2" t="str">
        <x:v>https://pubs.usgs.gov/periodicals/mcs2026/mcs2026.pdf</x:v>
      </x:c>
    </x:row>
    <x:row r="301" ht="66" customHeight="1">
      <x:c r="A301" s="2" t="str">
        <x:v>MIT-0102</x:v>
      </x:c>
      <x:c r="B301" s="2" t="str">
        <x:v>Mitigation</x:v>
      </x:c>
      <x:c r="C301" s="2" t="str">
        <x:v>Renewable energy</x:v>
      </x:c>
      <x:c r="D301" s="2" t="str">
        <x:v>Renewable energy infrastructure</x:v>
      </x:c>
      <x:c r="E301" s="2" t="str">
        <x:v>Fuel cells for stationary applications</x:v>
      </x:c>
      <x:c r="F301" s="2" t="str">
        <x:v>Platinum-group metals</x:v>
      </x:c>
      <x:c r="G301" s="2" t="str">
        <x:v>Catalyst critical minerals</x:v>
      </x:c>
      <x:c r="H301" s="2" t="str">
        <x:v>Platinum-group metals is linked to Fuel cells for stationary applications because it is typically used in electrochemical electrodes or catalytic conversion; the assignment follows component function, not a sector-wide keyword.</x:v>
      </x:c>
      <x:c r="I301" s="2" t="str">
        <x:v>Presence and quantity in Fuel cells for stationary applications depend on the selected design, chemistry, capacity, supplier and recycled content. This analytical link is not a verified bill of materials or supplier traceability statement.</x:v>
      </x:c>
      <x:c r="J301" s="2" t="str">
        <x:v>https://pubs.usgs.gov/periodicals/mcs2026/mcs2026.pdf</x:v>
      </x:c>
    </x:row>
    <x:row r="302" ht="66" customHeight="1">
      <x:c r="A302" s="2" t="str">
        <x:v>MIT-0102</x:v>
      </x:c>
      <x:c r="B302" s="2" t="str">
        <x:v>Mitigation</x:v>
      </x:c>
      <x:c r="C302" s="2" t="str">
        <x:v>Renewable energy</x:v>
      </x:c>
      <x:c r="D302" s="2" t="str">
        <x:v>Renewable energy infrastructure</x:v>
      </x:c>
      <x:c r="E302" s="2" t="str">
        <x:v>Fuel cells for stationary applications</x:v>
      </x:c>
      <x:c r="F302" s="2" t="str">
        <x:v>Limestone / cement raw materials</x:v>
      </x:c>
      <x:c r="G302" s="2" t="str">
        <x:v>Bulk construction material</x:v>
      </x:c>
      <x:c r="H302" s="2" t="str">
        <x:v>Limestone / cement raw materials is linked to Fuel cells for stationary applications because it is typically used in concrete foundations, channels, buildings or protective civil works; the assignment follows component function, not a sector-wide keyword.</x:v>
      </x:c>
      <x:c r="I302" s="2" t="str">
        <x:v>Presence and quantity in Fuel cells for stationary applications depend on the selected design, chemistry, capacity, supplier and recycled content. This analytical link is not a verified bill of materials or supplier traceability statement.</x:v>
      </x:c>
      <x:c r="J302" s="2" t="str">
        <x:v>https://pubs.usgs.gov/periodicals/mcs2026/mcs2026.pdf</x:v>
      </x:c>
    </x:row>
    <x:row r="303" ht="66" customHeight="1">
      <x:c r="A303" s="2" t="str">
        <x:v>MIT-0103</x:v>
      </x:c>
      <x:c r="B303" s="2" t="str">
        <x:v>Mitigation</x:v>
      </x:c>
      <x:c r="C303" s="2" t="str">
        <x:v>Renewable energy</x:v>
      </x:c>
      <x:c r="D303" s="2" t="str">
        <x:v>Renewable energy infrastructure</x:v>
      </x:c>
      <x:c r="E303" s="2" t="str">
        <x:v>Renewable energy resource mapping</x:v>
      </x:c>
      <x:c r="F303" s="2" t="str">
        <x:v>Iron ore / steel inputs</x:v>
      </x:c>
      <x:c r="G303" s="2" t="str">
        <x:v>Bulk and strategic mineral input</x:v>
      </x:c>
      <x:c r="H303" s="2" t="str">
        <x:v>Iron ore / steel inputs is linked to Renewable energy resource mapping because it is typically used in load-bearing structures, pressure vessels, piping or machinery; the assignment follows component function, not a sector-wide keyword.</x:v>
      </x:c>
      <x:c r="I303" s="2" t="str">
        <x:v>Presence and quantity in Renewable energy resource mapping depend on the selected design, chemistry, capacity, supplier and recycled content. This analytical link is not a verified bill of materials or supplier traceability statement.</x:v>
      </x:c>
      <x:c r="J303" s="2" t="str">
        <x:v>https://pubs.usgs.gov/periodicals/mcs2026/mcs2026.pdf</x:v>
      </x:c>
    </x:row>
    <x:row r="304" ht="66" customHeight="1">
      <x:c r="A304" s="2" t="str">
        <x:v>MIT-0103</x:v>
      </x:c>
      <x:c r="B304" s="2" t="str">
        <x:v>Mitigation</x:v>
      </x:c>
      <x:c r="C304" s="2" t="str">
        <x:v>Renewable energy</x:v>
      </x:c>
      <x:c r="D304" s="2" t="str">
        <x:v>Renewable energy infrastructure</x:v>
      </x:c>
      <x:c r="E304" s="2" t="str">
        <x:v>Renewable energy resource mapping</x:v>
      </x:c>
      <x:c r="F304" s="2" t="str">
        <x:v>Copper</x:v>
      </x:c>
      <x:c r="G304" s="2" t="str">
        <x:v>Critical or strategic metal</x:v>
      </x:c>
      <x:c r="H304" s="2" t="str">
        <x:v>Copper is linked to Renewable energy resource mapping because it is typically used in power cables, windings, busbars, grounding and electrical connectors; the assignment follows component function, not a sector-wide keyword.</x:v>
      </x:c>
      <x:c r="I304" s="2" t="str">
        <x:v>Presence and quantity in Renewable energy resource mapping depend on the selected design, chemistry, capacity, supplier and recycled content. This analytical link is not a verified bill of materials or supplier traceability statement.</x:v>
      </x:c>
      <x:c r="J304" s="2" t="str">
        <x:v>https://pubs.usgs.gov/periodicals/mcs2026/mcs2026.pdf</x:v>
      </x:c>
    </x:row>
    <x:row r="305" ht="66" customHeight="1">
      <x:c r="A305" s="2" t="str">
        <x:v>MIT-0103</x:v>
      </x:c>
      <x:c r="B305" s="2" t="str">
        <x:v>Mitigation</x:v>
      </x:c>
      <x:c r="C305" s="2" t="str">
        <x:v>Renewable energy</x:v>
      </x:c>
      <x:c r="D305" s="2" t="str">
        <x:v>Renewable energy infrastructure</x:v>
      </x:c>
      <x:c r="E305" s="2" t="str">
        <x:v>Renewable energy resource mapping</x:v>
      </x:c>
      <x:c r="F305" s="2" t="str">
        <x:v>Tin</x:v>
      </x:c>
      <x:c r="G305" s="2" t="str">
        <x:v>Electronics strategic metal</x:v>
      </x:c>
      <x:c r="H305" s="2" t="str">
        <x:v>Tin is linked to Renewable energy resource mapping because it is typically used in electronic solder and selected coatings; the assignment follows component function, not a sector-wide keyword.</x:v>
      </x:c>
      <x:c r="I305" s="2" t="str">
        <x:v>Presence and quantity in Renewable energy resource mapping depend on the selected design, chemistry, capacity, supplier and recycled content. This analytical link is not a verified bill of materials or supplier traceability statement.</x:v>
      </x:c>
      <x:c r="J305" s="2" t="str">
        <x:v>https://pubs.usgs.gov/periodicals/mcs2026/mcs2026.pdf</x:v>
      </x:c>
    </x:row>
    <x:row r="306" ht="66" customHeight="1">
      <x:c r="A306" s="2" t="str">
        <x:v>MIT-0103</x:v>
      </x:c>
      <x:c r="B306" s="2" t="str">
        <x:v>Mitigation</x:v>
      </x:c>
      <x:c r="C306" s="2" t="str">
        <x:v>Renewable energy</x:v>
      </x:c>
      <x:c r="D306" s="2" t="str">
        <x:v>Renewable energy infrastructure</x:v>
      </x:c>
      <x:c r="E306" s="2" t="str">
        <x:v>Renewable energy resource mapping</x:v>
      </x:c>
      <x:c r="F306" s="2" t="str">
        <x:v>Limestone / cement raw materials</x:v>
      </x:c>
      <x:c r="G306" s="2" t="str">
        <x:v>Bulk construction material</x:v>
      </x:c>
      <x:c r="H306" s="2" t="str">
        <x:v>Limestone / cement raw materials is linked to Renewable energy resource mapping because it is typically used in concrete foundations, channels, buildings or protective civil works; the assignment follows component function, not a sector-wide keyword.</x:v>
      </x:c>
      <x:c r="I306" s="2" t="str">
        <x:v>Presence and quantity in Renewable energy resource mapping depend on the selected design, chemistry, capacity, supplier and recycled content. This analytical link is not a verified bill of materials or supplier traceability statement.</x:v>
      </x:c>
      <x:c r="J306" s="2" t="str">
        <x:v>https://pubs.usgs.gov/periodicals/mcs2026/mcs2026.pdf</x:v>
      </x:c>
    </x:row>
    <x:row r="307" ht="66" customHeight="1">
      <x:c r="A307" s="2" t="str">
        <x:v>MIT-0104</x:v>
      </x:c>
      <x:c r="B307" s="2" t="str">
        <x:v>Mitigation</x:v>
      </x:c>
      <x:c r="C307" s="2" t="str">
        <x:v>Renewable energy</x:v>
      </x:c>
      <x:c r="D307" s="2" t="str">
        <x:v>Renewable energy infrastructure</x:v>
      </x:c>
      <x:c r="E307" s="2" t="str">
        <x:v>Grid integration for renewables</x:v>
      </x:c>
      <x:c r="F307" s="2" t="str">
        <x:v>Iron ore / steel inputs</x:v>
      </x:c>
      <x:c r="G307" s="2" t="str">
        <x:v>Bulk and strategic mineral input</x:v>
      </x:c>
      <x:c r="H307" s="2" t="str">
        <x:v>Iron ore / steel inputs is linked to Grid integration for renewables because it is typically used in load-bearing structures, pressure vessels, piping or machinery; the assignment follows component function, not a sector-wide keyword.</x:v>
      </x:c>
      <x:c r="I307" s="2" t="str">
        <x:v>Presence and quantity in Grid integration for renewables depend on the selected design, chemistry, capacity, supplier and recycled content. This analytical link is not a verified bill of materials or supplier traceability statement.</x:v>
      </x:c>
      <x:c r="J307" s="2" t="str">
        <x:v>https://pubs.usgs.gov/periodicals/mcs2026/mcs2026.pdf</x:v>
      </x:c>
    </x:row>
    <x:row r="308" ht="66" customHeight="1">
      <x:c r="A308" s="2" t="str">
        <x:v>MIT-0104</x:v>
      </x:c>
      <x:c r="B308" s="2" t="str">
        <x:v>Mitigation</x:v>
      </x:c>
      <x:c r="C308" s="2" t="str">
        <x:v>Renewable energy</x:v>
      </x:c>
      <x:c r="D308" s="2" t="str">
        <x:v>Renewable energy infrastructure</x:v>
      </x:c>
      <x:c r="E308" s="2" t="str">
        <x:v>Grid integration for renewables</x:v>
      </x:c>
      <x:c r="F308" s="2" t="str">
        <x:v>Copper</x:v>
      </x:c>
      <x:c r="G308" s="2" t="str">
        <x:v>Critical or strategic metal</x:v>
      </x:c>
      <x:c r="H308" s="2" t="str">
        <x:v>Copper is linked to Grid integration for renewables because it is typically used in power cables, windings, busbars, grounding and electrical connectors; the assignment follows component function, not a sector-wide keyword.</x:v>
      </x:c>
      <x:c r="I308" s="2" t="str">
        <x:v>Presence and quantity in Grid integration for renewables depend on the selected design, chemistry, capacity, supplier and recycled content. This analytical link is not a verified bill of materials or supplier traceability statement.</x:v>
      </x:c>
      <x:c r="J308" s="2" t="str">
        <x:v>https://pubs.usgs.gov/periodicals/mcs2026/mcs2026.pdf</x:v>
      </x:c>
    </x:row>
    <x:row r="309" ht="66" customHeight="1">
      <x:c r="A309" s="2" t="str">
        <x:v>MIT-0104</x:v>
      </x:c>
      <x:c r="B309" s="2" t="str">
        <x:v>Mitigation</x:v>
      </x:c>
      <x:c r="C309" s="2" t="str">
        <x:v>Renewable energy</x:v>
      </x:c>
      <x:c r="D309" s="2" t="str">
        <x:v>Renewable energy infrastructure</x:v>
      </x:c>
      <x:c r="E309" s="2" t="str">
        <x:v>Grid integration for renewables</x:v>
      </x:c>
      <x:c r="F309" s="2" t="str">
        <x:v>Tin</x:v>
      </x:c>
      <x:c r="G309" s="2" t="str">
        <x:v>Electronics strategic metal</x:v>
      </x:c>
      <x:c r="H309" s="2" t="str">
        <x:v>Tin is linked to Grid integration for renewables because it is typically used in electronic solder and selected coatings; the assignment follows component function, not a sector-wide keyword.</x:v>
      </x:c>
      <x:c r="I309" s="2" t="str">
        <x:v>Presence and quantity in Grid integration for renewables depend on the selected design, chemistry, capacity, supplier and recycled content. This analytical link is not a verified bill of materials or supplier traceability statement.</x:v>
      </x:c>
      <x:c r="J309" s="2" t="str">
        <x:v>https://pubs.usgs.gov/periodicals/mcs2026/mcs2026.pdf</x:v>
      </x:c>
    </x:row>
    <x:row r="310" ht="66" customHeight="1">
      <x:c r="A310" s="2" t="str">
        <x:v>MIT-0104</x:v>
      </x:c>
      <x:c r="B310" s="2" t="str">
        <x:v>Mitigation</x:v>
      </x:c>
      <x:c r="C310" s="2" t="str">
        <x:v>Renewable energy</x:v>
      </x:c>
      <x:c r="D310" s="2" t="str">
        <x:v>Renewable energy infrastructure</x:v>
      </x:c>
      <x:c r="E310" s="2" t="str">
        <x:v>Grid integration for renewables</x:v>
      </x:c>
      <x:c r="F310" s="2" t="str">
        <x:v>Limestone / cement raw materials</x:v>
      </x:c>
      <x:c r="G310" s="2" t="str">
        <x:v>Bulk construction material</x:v>
      </x:c>
      <x:c r="H310" s="2" t="str">
        <x:v>Limestone / cement raw materials is linked to Grid integration for renewables because it is typically used in concrete foundations, channels, buildings or protective civil works; the assignment follows component function, not a sector-wide keyword.</x:v>
      </x:c>
      <x:c r="I310" s="2" t="str">
        <x:v>Presence and quantity in Grid integration for renewables depend on the selected design, chemistry, capacity, supplier and recycled content. This analytical link is not a verified bill of materials or supplier traceability statement.</x:v>
      </x:c>
      <x:c r="J310" s="2" t="str">
        <x:v>https://pubs.usgs.gov/periodicals/mcs2026/mcs2026.pdf</x:v>
      </x:c>
    </x:row>
    <x:row r="311" ht="66" customHeight="1">
      <x:c r="A311" s="2" t="str">
        <x:v>MIT-0105</x:v>
      </x:c>
      <x:c r="B311" s="2" t="str">
        <x:v>Mitigation</x:v>
      </x:c>
      <x:c r="C311" s="2" t="str">
        <x:v>Renewable energy</x:v>
      </x:c>
      <x:c r="D311" s="2" t="str">
        <x:v>Hydro</x:v>
      </x:c>
      <x:c r="E311" s="2" t="str">
        <x:v>Run-of-river hydropower</x:v>
      </x:c>
      <x:c r="F311" s="2" t="str">
        <x:v>Iron ore / steel inputs</x:v>
      </x:c>
      <x:c r="G311" s="2" t="str">
        <x:v>Bulk and strategic mineral input</x:v>
      </x:c>
      <x:c r="H311" s="2" t="str">
        <x:v>Iron ore / steel inputs is linked to Run-of-river hydropower because it is typically used in load-bearing structures, pressure vessels, piping or machinery; the assignment follows component function, not a sector-wide keyword.</x:v>
      </x:c>
      <x:c r="I311" s="2" t="str">
        <x:v>Presence and quantity in Run-of-river hydropower depend on the selected design, chemistry, capacity, supplier and recycled content. This analytical link is not a verified bill of materials or supplier traceability statement.</x:v>
      </x:c>
      <x:c r="J311" s="2" t="str">
        <x:v>https://pubs.usgs.gov/periodicals/mcs2026/mcs2026.pdf</x:v>
      </x:c>
    </x:row>
    <x:row r="312" ht="66" customHeight="1">
      <x:c r="A312" s="2" t="str">
        <x:v>MIT-0106</x:v>
      </x:c>
      <x:c r="B312" s="2" t="str">
        <x:v>Mitigation</x:v>
      </x:c>
      <x:c r="C312" s="2" t="str">
        <x:v>Renewable energy</x:v>
      </x:c>
      <x:c r="D312" s="2" t="str">
        <x:v>Ocean energy</x:v>
      </x:c>
      <x:c r="E312" s="2" t="str">
        <x:v>Osmotic power</x:v>
      </x:c>
      <x:c r="F312" s="2" t="str">
        <x:v>Iron ore / steel inputs</x:v>
      </x:c>
      <x:c r="G312" s="2" t="str">
        <x:v>Bulk and strategic mineral input</x:v>
      </x:c>
      <x:c r="H312" s="2" t="str">
        <x:v>Iron ore / steel inputs is linked to Osmotic power because it is typically used in load-bearing structures, pressure vessels, piping or machinery; the assignment follows component function, not a sector-wide keyword.</x:v>
      </x:c>
      <x:c r="I312" s="2" t="str">
        <x:v>Presence and quantity in Osmotic power depend on the selected design, chemistry, capacity, supplier and recycled content. This analytical link is not a verified bill of materials or supplier traceability statement.</x:v>
      </x:c>
      <x:c r="J312" s="2" t="str">
        <x:v>https://pubs.usgs.gov/periodicals/mcs2026/mcs2026.pdf</x:v>
      </x:c>
    </x:row>
    <x:row r="313" ht="66" customHeight="1">
      <x:c r="A313" s="2" t="str">
        <x:v>MIT-0107</x:v>
      </x:c>
      <x:c r="B313" s="2" t="str">
        <x:v>Mitigation</x:v>
      </x:c>
      <x:c r="C313" s="2" t="str">
        <x:v>Renewable energy</x:v>
      </x:c>
      <x:c r="D313" s="2" t="str">
        <x:v>Ocean energy</x:v>
      </x:c>
      <x:c r="E313" s="2" t="str">
        <x:v>Ocean thermal energy conversion</x:v>
      </x:c>
      <x:c r="F313" s="2" t="str">
        <x:v>Iron ore / steel inputs</x:v>
      </x:c>
      <x:c r="G313" s="2" t="str">
        <x:v>Bulk and strategic mineral input</x:v>
      </x:c>
      <x:c r="H313" s="2" t="str">
        <x:v>Iron ore / steel inputs is linked to Ocean thermal energy conversion because it is typically used in load-bearing structures, pressure vessels, piping or machinery; the assignment follows component function, not a sector-wide keyword.</x:v>
      </x:c>
      <x:c r="I313" s="2" t="str">
        <x:v>Presence and quantity in Ocean thermal energy conversion depend on the selected design, chemistry, capacity, supplier and recycled content. This analytical link is not a verified bill of materials or supplier traceability statement.</x:v>
      </x:c>
      <x:c r="J313" s="2" t="str">
        <x:v>https://pubs.usgs.gov/periodicals/mcs2026/mcs2026.pdf</x:v>
      </x:c>
    </x:row>
    <x:row r="314" ht="66" customHeight="1">
      <x:c r="A314" s="2" t="str">
        <x:v>MIT-0108</x:v>
      </x:c>
      <x:c r="B314" s="2" t="str">
        <x:v>Mitigation</x:v>
      </x:c>
      <x:c r="C314" s="2" t="str">
        <x:v>Renewable energy</x:v>
      </x:c>
      <x:c r="D314" s="2" t="str">
        <x:v>Ocean energy</x:v>
      </x:c>
      <x:c r="E314" s="2" t="str">
        <x:v>Wave energy</x:v>
      </x:c>
      <x:c r="F314" s="2" t="str">
        <x:v>Iron ore / steel inputs</x:v>
      </x:c>
      <x:c r="G314" s="2" t="str">
        <x:v>Bulk and strategic mineral input</x:v>
      </x:c>
      <x:c r="H314" s="2" t="str">
        <x:v>Iron ore / steel inputs is linked to Wave energy because it is typically used in load-bearing structures, pressure vessels, piping or machinery; the assignment follows component function, not a sector-wide keyword.</x:v>
      </x:c>
      <x:c r="I314" s="2" t="str">
        <x:v>Presence and quantity in Wave energy depend on the selected design, chemistry, capacity, supplier and recycled content. This analytical link is not a verified bill of materials or supplier traceability statement.</x:v>
      </x:c>
      <x:c r="J314" s="2" t="str">
        <x:v>https://pubs.usgs.gov/periodicals/mcs2026/mcs2026.pdf</x:v>
      </x:c>
    </x:row>
    <x:row r="315" ht="66" customHeight="1">
      <x:c r="A315" s="2" t="str">
        <x:v>MIT-0109</x:v>
      </x:c>
      <x:c r="B315" s="2" t="str">
        <x:v>Mitigation</x:v>
      </x:c>
      <x:c r="C315" s="2" t="str">
        <x:v>Renewable energy</x:v>
      </x:c>
      <x:c r="D315" s="2" t="str">
        <x:v>Ocean energy</x:v>
      </x:c>
      <x:c r="E315" s="2" t="str">
        <x:v>Tidal energy</x:v>
      </x:c>
      <x:c r="F315" s="2" t="str">
        <x:v>Iron ore / steel inputs</x:v>
      </x:c>
      <x:c r="G315" s="2" t="str">
        <x:v>Bulk and strategic mineral input</x:v>
      </x:c>
      <x:c r="H315" s="2" t="str">
        <x:v>Iron ore / steel inputs is linked to Tidal energy because it is typically used in load-bearing structures, pressure vessels, piping or machinery; the assignment follows component function, not a sector-wide keyword.</x:v>
      </x:c>
      <x:c r="I315" s="2" t="str">
        <x:v>Presence and quantity in Tidal energy depend on the selected design, chemistry, capacity, supplier and recycled content. This analytical link is not a verified bill of materials or supplier traceability statement.</x:v>
      </x:c>
      <x:c r="J315" s="2" t="str">
        <x:v>https://pubs.usgs.gov/periodicals/mcs2026/mcs2026.pdf</x:v>
      </x:c>
    </x:row>
    <x:row r="316" ht="66" customHeight="1">
      <x:c r="A316" s="2" t="str">
        <x:v>MIT-0110</x:v>
      </x:c>
      <x:c r="B316" s="2" t="str">
        <x:v>Mitigation</x:v>
      </x:c>
      <x:c r="C316" s="2" t="str">
        <x:v>Renewable energy</x:v>
      </x:c>
      <x:c r="D316" s="2" t="str">
        <x:v>Wind</x:v>
      </x:c>
      <x:c r="E316" s="2" t="str">
        <x:v>On-shore wind</x:v>
      </x:c>
      <x:c r="F316" s="2" t="str">
        <x:v>Iron ore / steel inputs</x:v>
      </x:c>
      <x:c r="G316" s="2" t="str">
        <x:v>Bulk and strategic mineral input</x:v>
      </x:c>
      <x:c r="H316" s="2" t="str">
        <x:v>Iron ore / steel inputs is linked to On-shore wind because it is typically used in load-bearing structures, pressure vessels, piping or machinery; the assignment follows component function, not a sector-wide keyword.</x:v>
      </x:c>
      <x:c r="I316" s="2" t="str">
        <x:v>Presence and quantity in On-shore wind depend on the selected design, chemistry, capacity, supplier and recycled content. This analytical link is not a verified bill of materials or supplier traceability statement.</x:v>
      </x:c>
      <x:c r="J316" s="2" t="str">
        <x:v>https://pubs.usgs.gov/periodicals/mcs2026/mcs2026.pdf</x:v>
      </x:c>
    </x:row>
    <x:row r="317" ht="66" customHeight="1">
      <x:c r="A317" s="2" t="str">
        <x:v>MIT-0110</x:v>
      </x:c>
      <x:c r="B317" s="2" t="str">
        <x:v>Mitigation</x:v>
      </x:c>
      <x:c r="C317" s="2" t="str">
        <x:v>Renewable energy</x:v>
      </x:c>
      <x:c r="D317" s="2" t="str">
        <x:v>Wind</x:v>
      </x:c>
      <x:c r="E317" s="2" t="str">
        <x:v>On-shore wind</x:v>
      </x:c>
      <x:c r="F317" s="2" t="str">
        <x:v>Copper</x:v>
      </x:c>
      <x:c r="G317" s="2" t="str">
        <x:v>Critical or strategic metal</x:v>
      </x:c>
      <x:c r="H317" s="2" t="str">
        <x:v>Copper is linked to On-shore wind because it is typically used in power cables, windings, busbars, grounding and electrical connectors; the assignment follows component function, not a sector-wide keyword.</x:v>
      </x:c>
      <x:c r="I317" s="2" t="str">
        <x:v>Presence and quantity in On-shore wind depend on the selected design, chemistry, capacity, supplier and recycled content. This analytical link is not a verified bill of materials or supplier traceability statement.</x:v>
      </x:c>
      <x:c r="J317" s="2" t="str">
        <x:v>https://pubs.usgs.gov/periodicals/mcs2026/mcs2026.pdf</x:v>
      </x:c>
    </x:row>
    <x:row r="318" ht="66" customHeight="1">
      <x:c r="A318" s="2" t="str">
        <x:v>MIT-0110</x:v>
      </x:c>
      <x:c r="B318" s="2" t="str">
        <x:v>Mitigation</x:v>
      </x:c>
      <x:c r="C318" s="2" t="str">
        <x:v>Renewable energy</x:v>
      </x:c>
      <x:c r="D318" s="2" t="str">
        <x:v>Wind</x:v>
      </x:c>
      <x:c r="E318" s="2" t="str">
        <x:v>On-shore wind</x:v>
      </x:c>
      <x:c r="F318" s="2" t="str">
        <x:v>Tin</x:v>
      </x:c>
      <x:c r="G318" s="2" t="str">
        <x:v>Electronics strategic metal</x:v>
      </x:c>
      <x:c r="H318" s="2" t="str">
        <x:v>Tin is linked to On-shore wind because it is typically used in electronic solder and selected coatings; the assignment follows component function, not a sector-wide keyword.</x:v>
      </x:c>
      <x:c r="I318" s="2" t="str">
        <x:v>Presence and quantity in On-shore wind depend on the selected design, chemistry, capacity, supplier and recycled content. This analytical link is not a verified bill of materials or supplier traceability statement.</x:v>
      </x:c>
      <x:c r="J318" s="2" t="str">
        <x:v>https://pubs.usgs.gov/periodicals/mcs2026/mcs2026.pdf</x:v>
      </x:c>
    </x:row>
    <x:row r="319" ht="66" customHeight="1">
      <x:c r="A319" s="2" t="str">
        <x:v>MIT-0110</x:v>
      </x:c>
      <x:c r="B319" s="2" t="str">
        <x:v>Mitigation</x:v>
      </x:c>
      <x:c r="C319" s="2" t="str">
        <x:v>Renewable energy</x:v>
      </x:c>
      <x:c r="D319" s="2" t="str">
        <x:v>Wind</x:v>
      </x:c>
      <x:c r="E319" s="2" t="str">
        <x:v>On-shore wind</x:v>
      </x:c>
      <x:c r="F319" s="2" t="str">
        <x:v>Rare earth elements</x:v>
      </x:c>
      <x:c r="G319" s="2" t="str">
        <x:v>Magnet critical minerals</x:v>
      </x:c>
      <x:c r="H319" s="2" t="str">
        <x:v>Rare earth elements is linked to On-shore wind because it is typically used in permanent magnets in selected motors or generators; the assignment follows component function, not a sector-wide keyword.</x:v>
      </x:c>
      <x:c r="I319" s="2" t="str">
        <x:v>Presence and quantity in On-shore wind depend on the selected design, chemistry, capacity, supplier and recycled content. This analytical link is not a verified bill of materials or supplier traceability statement.</x:v>
      </x:c>
      <x:c r="J319" s="2" t="str">
        <x:v>https://www.iea.org/reports/global-critical-minerals-outlook-2025</x:v>
      </x:c>
    </x:row>
    <x:row r="320" ht="66" customHeight="1">
      <x:c r="A320" s="2" t="str">
        <x:v>MIT-0110</x:v>
      </x:c>
      <x:c r="B320" s="2" t="str">
        <x:v>Mitigation</x:v>
      </x:c>
      <x:c r="C320" s="2" t="str">
        <x:v>Renewable energy</x:v>
      </x:c>
      <x:c r="D320" s="2" t="str">
        <x:v>Wind</x:v>
      </x:c>
      <x:c r="E320" s="2" t="str">
        <x:v>On-shore wind</x:v>
      </x:c>
      <x:c r="F320" s="2" t="str">
        <x:v>Zinc</x:v>
      </x:c>
      <x:c r="G320" s="2" t="str">
        <x:v>Strategic base metal</x:v>
      </x:c>
      <x:c r="H320" s="2" t="str">
        <x:v>Zinc is linked to On-shore wind because it is typically used in galvanic corrosion protection or selected batteries; the assignment follows component function, not a sector-wide keyword.</x:v>
      </x:c>
      <x:c r="I320" s="2" t="str">
        <x:v>Presence and quantity in On-shore wind depend on the selected design, chemistry, capacity, supplier and recycled content. This analytical link is not a verified bill of materials or supplier traceability statement.</x:v>
      </x:c>
      <x:c r="J320" s="2" t="str">
        <x:v>https://pubs.usgs.gov/periodicals/mcs2026/mcs2026.pdf</x:v>
      </x:c>
    </x:row>
    <x:row r="321" ht="66" customHeight="1">
      <x:c r="A321" s="2" t="str">
        <x:v>MIT-0110</x:v>
      </x:c>
      <x:c r="B321" s="2" t="str">
        <x:v>Mitigation</x:v>
      </x:c>
      <x:c r="C321" s="2" t="str">
        <x:v>Renewable energy</x:v>
      </x:c>
      <x:c r="D321" s="2" t="str">
        <x:v>Wind</x:v>
      </x:c>
      <x:c r="E321" s="2" t="str">
        <x:v>On-shore wind</x:v>
      </x:c>
      <x:c r="F321" s="2" t="str">
        <x:v>Bauxite / aluminium</x:v>
      </x:c>
      <x:c r="G321" s="2" t="str">
        <x:v>Strategic metal</x:v>
      </x:c>
      <x:c r="H321" s="2" t="str">
        <x:v>Bauxite / aluminium is linked to On-shore wind because it is typically used in lightweight structures, frames, conductors or vehicle components; the assignment follows component function, not a sector-wide keyword.</x:v>
      </x:c>
      <x:c r="I321" s="2" t="str">
        <x:v>Presence and quantity in On-shore wind depend on the selected design, chemistry, capacity, supplier and recycled content. This analytical link is not a verified bill of materials or supplier traceability statement.</x:v>
      </x:c>
      <x:c r="J321" s="2" t="str">
        <x:v>https://pubs.usgs.gov/periodicals/mcs2026/mcs2026.pdf</x:v>
      </x:c>
    </x:row>
    <x:row r="322" ht="66" customHeight="1">
      <x:c r="A322" s="2" t="str">
        <x:v>MIT-0111</x:v>
      </x:c>
      <x:c r="B322" s="2" t="str">
        <x:v>Mitigation</x:v>
      </x:c>
      <x:c r="C322" s="2" t="str">
        <x:v>Renewable energy</x:v>
      </x:c>
      <x:c r="D322" s="2" t="str">
        <x:v>Wind</x:v>
      </x:c>
      <x:c r="E322" s="2" t="str">
        <x:v>Building-integrated wind turbines</x:v>
      </x:c>
      <x:c r="F322" s="2" t="str">
        <x:v>Iron ore / steel inputs</x:v>
      </x:c>
      <x:c r="G322" s="2" t="str">
        <x:v>Bulk and strategic mineral input</x:v>
      </x:c>
      <x:c r="H322" s="2" t="str">
        <x:v>Iron ore / steel inputs is linked to Building-integrated wind turbines because it is typically used in load-bearing structures, pressure vessels, piping or machinery; the assignment follows component function, not a sector-wide keyword.</x:v>
      </x:c>
      <x:c r="I322" s="2" t="str">
        <x:v>Presence and quantity in Building-integrated wind turbines depend on the selected design, chemistry, capacity, supplier and recycled content. This analytical link is not a verified bill of materials or supplier traceability statement.</x:v>
      </x:c>
      <x:c r="J322" s="2" t="str">
        <x:v>https://pubs.usgs.gov/periodicals/mcs2026/mcs2026.pdf</x:v>
      </x:c>
    </x:row>
    <x:row r="323" ht="66" customHeight="1">
      <x:c r="A323" s="2" t="str">
        <x:v>MIT-0111</x:v>
      </x:c>
      <x:c r="B323" s="2" t="str">
        <x:v>Mitigation</x:v>
      </x:c>
      <x:c r="C323" s="2" t="str">
        <x:v>Renewable energy</x:v>
      </x:c>
      <x:c r="D323" s="2" t="str">
        <x:v>Wind</x:v>
      </x:c>
      <x:c r="E323" s="2" t="str">
        <x:v>Building-integrated wind turbines</x:v>
      </x:c>
      <x:c r="F323" s="2" t="str">
        <x:v>Copper</x:v>
      </x:c>
      <x:c r="G323" s="2" t="str">
        <x:v>Critical or strategic metal</x:v>
      </x:c>
      <x:c r="H323" s="2" t="str">
        <x:v>Copper is linked to Building-integrated wind turbines because it is typically used in power cables, windings, busbars, grounding and electrical connectors; the assignment follows component function, not a sector-wide keyword.</x:v>
      </x:c>
      <x:c r="I323" s="2" t="str">
        <x:v>Presence and quantity in Building-integrated wind turbines depend on the selected design, chemistry, capacity, supplier and recycled content. This analytical link is not a verified bill of materials or supplier traceability statement.</x:v>
      </x:c>
      <x:c r="J323" s="2" t="str">
        <x:v>https://pubs.usgs.gov/periodicals/mcs2026/mcs2026.pdf</x:v>
      </x:c>
    </x:row>
    <x:row r="324" ht="66" customHeight="1">
      <x:c r="A324" s="2" t="str">
        <x:v>MIT-0111</x:v>
      </x:c>
      <x:c r="B324" s="2" t="str">
        <x:v>Mitigation</x:v>
      </x:c>
      <x:c r="C324" s="2" t="str">
        <x:v>Renewable energy</x:v>
      </x:c>
      <x:c r="D324" s="2" t="str">
        <x:v>Wind</x:v>
      </x:c>
      <x:c r="E324" s="2" t="str">
        <x:v>Building-integrated wind turbines</x:v>
      </x:c>
      <x:c r="F324" s="2" t="str">
        <x:v>Tin</x:v>
      </x:c>
      <x:c r="G324" s="2" t="str">
        <x:v>Electronics strategic metal</x:v>
      </x:c>
      <x:c r="H324" s="2" t="str">
        <x:v>Tin is linked to Building-integrated wind turbines because it is typically used in electronic solder and selected coatings; the assignment follows component function, not a sector-wide keyword.</x:v>
      </x:c>
      <x:c r="I324" s="2" t="str">
        <x:v>Presence and quantity in Building-integrated wind turbines depend on the selected design, chemistry, capacity, supplier and recycled content. This analytical link is not a verified bill of materials or supplier traceability statement.</x:v>
      </x:c>
      <x:c r="J324" s="2" t="str">
        <x:v>https://pubs.usgs.gov/periodicals/mcs2026/mcs2026.pdf</x:v>
      </x:c>
    </x:row>
    <x:row r="325" ht="66" customHeight="1">
      <x:c r="A325" s="2" t="str">
        <x:v>MIT-0111</x:v>
      </x:c>
      <x:c r="B325" s="2" t="str">
        <x:v>Mitigation</x:v>
      </x:c>
      <x:c r="C325" s="2" t="str">
        <x:v>Renewable energy</x:v>
      </x:c>
      <x:c r="D325" s="2" t="str">
        <x:v>Wind</x:v>
      </x:c>
      <x:c r="E325" s="2" t="str">
        <x:v>Building-integrated wind turbines</x:v>
      </x:c>
      <x:c r="F325" s="2" t="str">
        <x:v>Rare earth elements</x:v>
      </x:c>
      <x:c r="G325" s="2" t="str">
        <x:v>Magnet critical minerals</x:v>
      </x:c>
      <x:c r="H325" s="2" t="str">
        <x:v>Rare earth elements is linked to Building-integrated wind turbines because it is typically used in permanent magnets in selected motors or generators; the assignment follows component function, not a sector-wide keyword.</x:v>
      </x:c>
      <x:c r="I325" s="2" t="str">
        <x:v>Presence and quantity in Building-integrated wind turbines depend on the selected design, chemistry, capacity, supplier and recycled content. This analytical link is not a verified bill of materials or supplier traceability statement.</x:v>
      </x:c>
      <x:c r="J325" s="2" t="str">
        <x:v>https://www.iea.org/reports/global-critical-minerals-outlook-2025</x:v>
      </x:c>
    </x:row>
    <x:row r="326" ht="66" customHeight="1">
      <x:c r="A326" s="2" t="str">
        <x:v>MIT-0111</x:v>
      </x:c>
      <x:c r="B326" s="2" t="str">
        <x:v>Mitigation</x:v>
      </x:c>
      <x:c r="C326" s="2" t="str">
        <x:v>Renewable energy</x:v>
      </x:c>
      <x:c r="D326" s="2" t="str">
        <x:v>Wind</x:v>
      </x:c>
      <x:c r="E326" s="2" t="str">
        <x:v>Building-integrated wind turbines</x:v>
      </x:c>
      <x:c r="F326" s="2" t="str">
        <x:v>Limestone / cement raw materials</x:v>
      </x:c>
      <x:c r="G326" s="2" t="str">
        <x:v>Bulk construction material</x:v>
      </x:c>
      <x:c r="H326" s="2" t="str">
        <x:v>Limestone / cement raw materials is linked to Building-integrated wind turbines because it is typically used in concrete foundations, channels, buildings or protective civil works; the assignment follows component function, not a sector-wide keyword.</x:v>
      </x:c>
      <x:c r="I326" s="2" t="str">
        <x:v>Presence and quantity in Building-integrated wind turbines depend on the selected design, chemistry, capacity, supplier and recycled content. This analytical link is not a verified bill of materials or supplier traceability statement.</x:v>
      </x:c>
      <x:c r="J326" s="2" t="str">
        <x:v>https://pubs.usgs.gov/periodicals/mcs2026/mcs2026.pdf</x:v>
      </x:c>
    </x:row>
    <x:row r="327" ht="66" customHeight="1">
      <x:c r="A327" s="2" t="str">
        <x:v>MIT-0111</x:v>
      </x:c>
      <x:c r="B327" s="2" t="str">
        <x:v>Mitigation</x:v>
      </x:c>
      <x:c r="C327" s="2" t="str">
        <x:v>Renewable energy</x:v>
      </x:c>
      <x:c r="D327" s="2" t="str">
        <x:v>Wind</x:v>
      </x:c>
      <x:c r="E327" s="2" t="str">
        <x:v>Building-integrated wind turbines</x:v>
      </x:c>
      <x:c r="F327" s="2" t="str">
        <x:v>Zinc</x:v>
      </x:c>
      <x:c r="G327" s="2" t="str">
        <x:v>Strategic base metal</x:v>
      </x:c>
      <x:c r="H327" s="2" t="str">
        <x:v>Zinc is linked to Building-integrated wind turbines because it is typically used in galvanic corrosion protection or selected batteries; the assignment follows component function, not a sector-wide keyword.</x:v>
      </x:c>
      <x:c r="I327" s="2" t="str">
        <x:v>Presence and quantity in Building-integrated wind turbines depend on the selected design, chemistry, capacity, supplier and recycled content. This analytical link is not a verified bill of materials or supplier traceability statement.</x:v>
      </x:c>
      <x:c r="J327" s="2" t="str">
        <x:v>https://pubs.usgs.gov/periodicals/mcs2026/mcs2026.pdf</x:v>
      </x:c>
    </x:row>
    <x:row r="328" ht="66" customHeight="1">
      <x:c r="A328" s="2" t="str">
        <x:v>MIT-0111</x:v>
      </x:c>
      <x:c r="B328" s="2" t="str">
        <x:v>Mitigation</x:v>
      </x:c>
      <x:c r="C328" s="2" t="str">
        <x:v>Renewable energy</x:v>
      </x:c>
      <x:c r="D328" s="2" t="str">
        <x:v>Wind</x:v>
      </x:c>
      <x:c r="E328" s="2" t="str">
        <x:v>Building-integrated wind turbines</x:v>
      </x:c>
      <x:c r="F328" s="2" t="str">
        <x:v>Bauxite / aluminium</x:v>
      </x:c>
      <x:c r="G328" s="2" t="str">
        <x:v>Strategic metal</x:v>
      </x:c>
      <x:c r="H328" s="2" t="str">
        <x:v>Bauxite / aluminium is linked to Building-integrated wind turbines because it is typically used in lightweight structures, frames, conductors or vehicle components; the assignment follows component function, not a sector-wide keyword.</x:v>
      </x:c>
      <x:c r="I328" s="2" t="str">
        <x:v>Presence and quantity in Building-integrated wind turbines depend on the selected design, chemistry, capacity, supplier and recycled content. This analytical link is not a verified bill of materials or supplier traceability statement.</x:v>
      </x:c>
      <x:c r="J328" s="2" t="str">
        <x:v>https://pubs.usgs.gov/periodicals/mcs2026/mcs2026.pdf</x:v>
      </x:c>
    </x:row>
    <x:row r="329" ht="66" customHeight="1">
      <x:c r="A329" s="2" t="str">
        <x:v>MIT-0112</x:v>
      </x:c>
      <x:c r="B329" s="2" t="str">
        <x:v>Mitigation</x:v>
      </x:c>
      <x:c r="C329" s="2" t="str">
        <x:v>Renewable energy</x:v>
      </x:c>
      <x:c r="D329" s="2" t="str">
        <x:v>Wind</x:v>
      </x:c>
      <x:c r="E329" s="2" t="str">
        <x:v>Offshore wind</x:v>
      </x:c>
      <x:c r="F329" s="2" t="str">
        <x:v>Iron ore / steel inputs</x:v>
      </x:c>
      <x:c r="G329" s="2" t="str">
        <x:v>Bulk and strategic mineral input</x:v>
      </x:c>
      <x:c r="H329" s="2" t="str">
        <x:v>Iron ore / steel inputs is linked to Offshore wind because it is typically used in load-bearing structures, pressure vessels, piping or machinery; the assignment follows component function, not a sector-wide keyword.</x:v>
      </x:c>
      <x:c r="I329" s="2" t="str">
        <x:v>Presence and quantity in Offshore wind depend on the selected design, chemistry, capacity, supplier and recycled content. This analytical link is not a verified bill of materials or supplier traceability statement.</x:v>
      </x:c>
      <x:c r="J329" s="2" t="str">
        <x:v>https://pubs.usgs.gov/periodicals/mcs2026/mcs2026.pdf</x:v>
      </x:c>
    </x:row>
    <x:row r="330" ht="66" customHeight="1">
      <x:c r="A330" s="2" t="str">
        <x:v>MIT-0112</x:v>
      </x:c>
      <x:c r="B330" s="2" t="str">
        <x:v>Mitigation</x:v>
      </x:c>
      <x:c r="C330" s="2" t="str">
        <x:v>Renewable energy</x:v>
      </x:c>
      <x:c r="D330" s="2" t="str">
        <x:v>Wind</x:v>
      </x:c>
      <x:c r="E330" s="2" t="str">
        <x:v>Offshore wind</x:v>
      </x:c>
      <x:c r="F330" s="2" t="str">
        <x:v>Copper</x:v>
      </x:c>
      <x:c r="G330" s="2" t="str">
        <x:v>Critical or strategic metal</x:v>
      </x:c>
      <x:c r="H330" s="2" t="str">
        <x:v>Copper is linked to Offshore wind because it is typically used in power cables, windings, busbars, grounding and electrical connectors; the assignment follows component function, not a sector-wide keyword.</x:v>
      </x:c>
      <x:c r="I330" s="2" t="str">
        <x:v>Presence and quantity in Offshore wind depend on the selected design, chemistry, capacity, supplier and recycled content. This analytical link is not a verified bill of materials or supplier traceability statement.</x:v>
      </x:c>
      <x:c r="J330" s="2" t="str">
        <x:v>https://pubs.usgs.gov/periodicals/mcs2026/mcs2026.pdf</x:v>
      </x:c>
    </x:row>
    <x:row r="331" ht="66" customHeight="1">
      <x:c r="A331" s="2" t="str">
        <x:v>MIT-0112</x:v>
      </x:c>
      <x:c r="B331" s="2" t="str">
        <x:v>Mitigation</x:v>
      </x:c>
      <x:c r="C331" s="2" t="str">
        <x:v>Renewable energy</x:v>
      </x:c>
      <x:c r="D331" s="2" t="str">
        <x:v>Wind</x:v>
      </x:c>
      <x:c r="E331" s="2" t="str">
        <x:v>Offshore wind</x:v>
      </x:c>
      <x:c r="F331" s="2" t="str">
        <x:v>Tin</x:v>
      </x:c>
      <x:c r="G331" s="2" t="str">
        <x:v>Electronics strategic metal</x:v>
      </x:c>
      <x:c r="H331" s="2" t="str">
        <x:v>Tin is linked to Offshore wind because it is typically used in electronic solder and selected coatings; the assignment follows component function, not a sector-wide keyword.</x:v>
      </x:c>
      <x:c r="I331" s="2" t="str">
        <x:v>Presence and quantity in Offshore wind depend on the selected design, chemistry, capacity, supplier and recycled content. This analytical link is not a verified bill of materials or supplier traceability statement.</x:v>
      </x:c>
      <x:c r="J331" s="2" t="str">
        <x:v>https://pubs.usgs.gov/periodicals/mcs2026/mcs2026.pdf</x:v>
      </x:c>
    </x:row>
    <x:row r="332" ht="66" customHeight="1">
      <x:c r="A332" s="2" t="str">
        <x:v>MIT-0112</x:v>
      </x:c>
      <x:c r="B332" s="2" t="str">
        <x:v>Mitigation</x:v>
      </x:c>
      <x:c r="C332" s="2" t="str">
        <x:v>Renewable energy</x:v>
      </x:c>
      <x:c r="D332" s="2" t="str">
        <x:v>Wind</x:v>
      </x:c>
      <x:c r="E332" s="2" t="str">
        <x:v>Offshore wind</x:v>
      </x:c>
      <x:c r="F332" s="2" t="str">
        <x:v>Rare earth elements</x:v>
      </x:c>
      <x:c r="G332" s="2" t="str">
        <x:v>Magnet critical minerals</x:v>
      </x:c>
      <x:c r="H332" s="2" t="str">
        <x:v>Rare earth elements is linked to Offshore wind because it is typically used in permanent magnets in selected motors or generators; the assignment follows component function, not a sector-wide keyword.</x:v>
      </x:c>
      <x:c r="I332" s="2" t="str">
        <x:v>Presence and quantity in Offshore wind depend on the selected design, chemistry, capacity, supplier and recycled content. This analytical link is not a verified bill of materials or supplier traceability statement.</x:v>
      </x:c>
      <x:c r="J332" s="2" t="str">
        <x:v>https://www.iea.org/reports/global-critical-minerals-outlook-2025</x:v>
      </x:c>
    </x:row>
    <x:row r="333" ht="66" customHeight="1">
      <x:c r="A333" s="2" t="str">
        <x:v>MIT-0112</x:v>
      </x:c>
      <x:c r="B333" s="2" t="str">
        <x:v>Mitigation</x:v>
      </x:c>
      <x:c r="C333" s="2" t="str">
        <x:v>Renewable energy</x:v>
      </x:c>
      <x:c r="D333" s="2" t="str">
        <x:v>Wind</x:v>
      </x:c>
      <x:c r="E333" s="2" t="str">
        <x:v>Offshore wind</x:v>
      </x:c>
      <x:c r="F333" s="2" t="str">
        <x:v>Nickel</x:v>
      </x:c>
      <x:c r="G333" s="2" t="str">
        <x:v>Battery and alloy critical mineral</x:v>
      </x:c>
      <x:c r="H333" s="2" t="str">
        <x:v>Nickel is linked to Offshore wind because it is typically used in battery cathodes, high-temperature alloys or corrosion-resistant steels; the assignment follows component function, not a sector-wide keyword.</x:v>
      </x:c>
      <x:c r="I333" s="2" t="str">
        <x:v>Presence and quantity in Offshore wind depend on the selected design, chemistry, capacity, supplier and recycled content. This analytical link is not a verified bill of materials or supplier traceability statement.</x:v>
      </x:c>
      <x:c r="J333" s="2" t="str">
        <x:v>https://www.iea.org/reports/global-critical-minerals-outlook-2025</x:v>
      </x:c>
    </x:row>
    <x:row r="334" ht="66" customHeight="1">
      <x:c r="A334" s="2" t="str">
        <x:v>MIT-0112</x:v>
      </x:c>
      <x:c r="B334" s="2" t="str">
        <x:v>Mitigation</x:v>
      </x:c>
      <x:c r="C334" s="2" t="str">
        <x:v>Renewable energy</x:v>
      </x:c>
      <x:c r="D334" s="2" t="str">
        <x:v>Wind</x:v>
      </x:c>
      <x:c r="E334" s="2" t="str">
        <x:v>Offshore wind</x:v>
      </x:c>
      <x:c r="F334" s="2" t="str">
        <x:v>Chromium</x:v>
      </x:c>
      <x:c r="G334" s="2" t="str">
        <x:v>Alloy strategic mineral</x:v>
      </x:c>
      <x:c r="H334" s="2" t="str">
        <x:v>Chromium is linked to Offshore wind because it is typically used in stainless and heat- or corrosion-resistant alloys; the assignment follows component function, not a sector-wide keyword.</x:v>
      </x:c>
      <x:c r="I334" s="2" t="str">
        <x:v>Presence and quantity in Offshore wind depend on the selected design, chemistry, capacity, supplier and recycled content. This analytical link is not a verified bill of materials or supplier traceability statement.</x:v>
      </x:c>
      <x:c r="J334" s="2" t="str">
        <x:v>https://pubs.usgs.gov/periodicals/mcs2026/mcs2026.pdf</x:v>
      </x:c>
    </x:row>
    <x:row r="335" ht="66" customHeight="1">
      <x:c r="A335" s="2" t="str">
        <x:v>MIT-0112</x:v>
      </x:c>
      <x:c r="B335" s="2" t="str">
        <x:v>Mitigation</x:v>
      </x:c>
      <x:c r="C335" s="2" t="str">
        <x:v>Renewable energy</x:v>
      </x:c>
      <x:c r="D335" s="2" t="str">
        <x:v>Wind</x:v>
      </x:c>
      <x:c r="E335" s="2" t="str">
        <x:v>Offshore wind</x:v>
      </x:c>
      <x:c r="F335" s="2" t="str">
        <x:v>Zinc</x:v>
      </x:c>
      <x:c r="G335" s="2" t="str">
        <x:v>Strategic base metal</x:v>
      </x:c>
      <x:c r="H335" s="2" t="str">
        <x:v>Zinc is linked to Offshore wind because it is typically used in galvanic corrosion protection or selected batteries; the assignment follows component function, not a sector-wide keyword.</x:v>
      </x:c>
      <x:c r="I335" s="2" t="str">
        <x:v>Presence and quantity in Offshore wind depend on the selected design, chemistry, capacity, supplier and recycled content. This analytical link is not a verified bill of materials or supplier traceability statement.</x:v>
      </x:c>
      <x:c r="J335" s="2" t="str">
        <x:v>https://pubs.usgs.gov/periodicals/mcs2026/mcs2026.pdf</x:v>
      </x:c>
    </x:row>
    <x:row r="336" ht="66" customHeight="1">
      <x:c r="A336" s="2" t="str">
        <x:v>MIT-0112</x:v>
      </x:c>
      <x:c r="B336" s="2" t="str">
        <x:v>Mitigation</x:v>
      </x:c>
      <x:c r="C336" s="2" t="str">
        <x:v>Renewable energy</x:v>
      </x:c>
      <x:c r="D336" s="2" t="str">
        <x:v>Wind</x:v>
      </x:c>
      <x:c r="E336" s="2" t="str">
        <x:v>Offshore wind</x:v>
      </x:c>
      <x:c r="F336" s="2" t="str">
        <x:v>Bauxite / aluminium</x:v>
      </x:c>
      <x:c r="G336" s="2" t="str">
        <x:v>Strategic metal</x:v>
      </x:c>
      <x:c r="H336" s="2" t="str">
        <x:v>Bauxite / aluminium is linked to Offshore wind because it is typically used in lightweight structures, frames, conductors or vehicle components; the assignment follows component function, not a sector-wide keyword.</x:v>
      </x:c>
      <x:c r="I336" s="2" t="str">
        <x:v>Presence and quantity in Offshore wind depend on the selected design, chemistry, capacity, supplier and recycled content. This analytical link is not a verified bill of materials or supplier traceability statement.</x:v>
      </x:c>
      <x:c r="J336" s="2" t="str">
        <x:v>https://pubs.usgs.gov/periodicals/mcs2026/mcs2026.pdf</x:v>
      </x:c>
    </x:row>
    <x:row r="337" ht="66" customHeight="1">
      <x:c r="A337" s="2" t="str">
        <x:v>MIT-0113</x:v>
      </x:c>
      <x:c r="B337" s="2" t="str">
        <x:v>Mitigation</x:v>
      </x:c>
      <x:c r="C337" s="2" t="str">
        <x:v>Renewable energy</x:v>
      </x:c>
      <x:c r="D337" s="2" t="str">
        <x:v>Wind</x:v>
      </x:c>
      <x:c r="E337" s="2" t="str">
        <x:v>Wind water pumping</x:v>
      </x:c>
      <x:c r="F337" s="2" t="str">
        <x:v>Iron ore / steel inputs</x:v>
      </x:c>
      <x:c r="G337" s="2" t="str">
        <x:v>Bulk and strategic mineral input</x:v>
      </x:c>
      <x:c r="H337" s="2" t="str">
        <x:v>Iron ore / steel inputs is linked to Wind water pumping because it is typically used in load-bearing structures, pressure vessels, piping or machinery; the assignment follows component function, not a sector-wide keyword.</x:v>
      </x:c>
      <x:c r="I337" s="2" t="str">
        <x:v>Presence and quantity in Wind water pumping depend on the selected design, chemistry, capacity, supplier and recycled content. This analytical link is not a verified bill of materials or supplier traceability statement.</x:v>
      </x:c>
      <x:c r="J337" s="2" t="str">
        <x:v>https://pubs.usgs.gov/periodicals/mcs2026/mcs2026.pdf</x:v>
      </x:c>
    </x:row>
    <x:row r="338" ht="66" customHeight="1">
      <x:c r="A338" s="2" t="str">
        <x:v>MIT-0113</x:v>
      </x:c>
      <x:c r="B338" s="2" t="str">
        <x:v>Mitigation</x:v>
      </x:c>
      <x:c r="C338" s="2" t="str">
        <x:v>Renewable energy</x:v>
      </x:c>
      <x:c r="D338" s="2" t="str">
        <x:v>Wind</x:v>
      </x:c>
      <x:c r="E338" s="2" t="str">
        <x:v>Wind water pumping</x:v>
      </x:c>
      <x:c r="F338" s="2" t="str">
        <x:v>Copper</x:v>
      </x:c>
      <x:c r="G338" s="2" t="str">
        <x:v>Critical or strategic metal</x:v>
      </x:c>
      <x:c r="H338" s="2" t="str">
        <x:v>Copper is linked to Wind water pumping because it is typically used in power cables, windings, busbars, grounding and electrical connectors; the assignment follows component function, not a sector-wide keyword.</x:v>
      </x:c>
      <x:c r="I338" s="2" t="str">
        <x:v>Presence and quantity in Wind water pumping depend on the selected design, chemistry, capacity, supplier and recycled content. This analytical link is not a verified bill of materials or supplier traceability statement.</x:v>
      </x:c>
      <x:c r="J338" s="2" t="str">
        <x:v>https://pubs.usgs.gov/periodicals/mcs2026/mcs2026.pdf</x:v>
      </x:c>
    </x:row>
    <x:row r="339" ht="66" customHeight="1">
      <x:c r="A339" s="2" t="str">
        <x:v>MIT-0113</x:v>
      </x:c>
      <x:c r="B339" s="2" t="str">
        <x:v>Mitigation</x:v>
      </x:c>
      <x:c r="C339" s="2" t="str">
        <x:v>Renewable energy</x:v>
      </x:c>
      <x:c r="D339" s="2" t="str">
        <x:v>Wind</x:v>
      </x:c>
      <x:c r="E339" s="2" t="str">
        <x:v>Wind water pumping</x:v>
      </x:c>
      <x:c r="F339" s="2" t="str">
        <x:v>Tin</x:v>
      </x:c>
      <x:c r="G339" s="2" t="str">
        <x:v>Electronics strategic metal</x:v>
      </x:c>
      <x:c r="H339" s="2" t="str">
        <x:v>Tin is linked to Wind water pumping because it is typically used in electronic solder and selected coatings; the assignment follows component function, not a sector-wide keyword.</x:v>
      </x:c>
      <x:c r="I339" s="2" t="str">
        <x:v>Presence and quantity in Wind water pumping depend on the selected design, chemistry, capacity, supplier and recycled content. This analytical link is not a verified bill of materials or supplier traceability statement.</x:v>
      </x:c>
      <x:c r="J339" s="2" t="str">
        <x:v>https://pubs.usgs.gov/periodicals/mcs2026/mcs2026.pdf</x:v>
      </x:c>
    </x:row>
    <x:row r="340" ht="66" customHeight="1">
      <x:c r="A340" s="2" t="str">
        <x:v>MIT-0113</x:v>
      </x:c>
      <x:c r="B340" s="2" t="str">
        <x:v>Mitigation</x:v>
      </x:c>
      <x:c r="C340" s="2" t="str">
        <x:v>Renewable energy</x:v>
      </x:c>
      <x:c r="D340" s="2" t="str">
        <x:v>Wind</x:v>
      </x:c>
      <x:c r="E340" s="2" t="str">
        <x:v>Wind water pumping</x:v>
      </x:c>
      <x:c r="F340" s="2" t="str">
        <x:v>Rare earth elements</x:v>
      </x:c>
      <x:c r="G340" s="2" t="str">
        <x:v>Magnet critical minerals</x:v>
      </x:c>
      <x:c r="H340" s="2" t="str">
        <x:v>Rare earth elements is linked to Wind water pumping because it is typically used in permanent magnets in selected motors or generators; the assignment follows component function, not a sector-wide keyword.</x:v>
      </x:c>
      <x:c r="I340" s="2" t="str">
        <x:v>Presence and quantity in Wind water pumping depend on the selected design, chemistry, capacity, supplier and recycled content. This analytical link is not a verified bill of materials or supplier traceability statement.</x:v>
      </x:c>
      <x:c r="J340" s="2" t="str">
        <x:v>https://www.iea.org/reports/global-critical-minerals-outlook-2025</x:v>
      </x:c>
    </x:row>
    <x:row r="341" ht="66" customHeight="1">
      <x:c r="A341" s="2" t="str">
        <x:v>MIT-0113</x:v>
      </x:c>
      <x:c r="B341" s="2" t="str">
        <x:v>Mitigation</x:v>
      </x:c>
      <x:c r="C341" s="2" t="str">
        <x:v>Renewable energy</x:v>
      </x:c>
      <x:c r="D341" s="2" t="str">
        <x:v>Wind</x:v>
      </x:c>
      <x:c r="E341" s="2" t="str">
        <x:v>Wind water pumping</x:v>
      </x:c>
      <x:c r="F341" s="2" t="str">
        <x:v>Zinc</x:v>
      </x:c>
      <x:c r="G341" s="2" t="str">
        <x:v>Strategic base metal</x:v>
      </x:c>
      <x:c r="H341" s="2" t="str">
        <x:v>Zinc is linked to Wind water pumping because it is typically used in galvanic corrosion protection or selected batteries; the assignment follows component function, not a sector-wide keyword.</x:v>
      </x:c>
      <x:c r="I341" s="2" t="str">
        <x:v>Presence and quantity in Wind water pumping depend on the selected design, chemistry, capacity, supplier and recycled content. This analytical link is not a verified bill of materials or supplier traceability statement.</x:v>
      </x:c>
      <x:c r="J341" s="2" t="str">
        <x:v>https://pubs.usgs.gov/periodicals/mcs2026/mcs2026.pdf</x:v>
      </x:c>
    </x:row>
    <x:row r="342" ht="66" customHeight="1">
      <x:c r="A342" s="2" t="str">
        <x:v>MIT-0113</x:v>
      </x:c>
      <x:c r="B342" s="2" t="str">
        <x:v>Mitigation</x:v>
      </x:c>
      <x:c r="C342" s="2" t="str">
        <x:v>Renewable energy</x:v>
      </x:c>
      <x:c r="D342" s="2" t="str">
        <x:v>Wind</x:v>
      </x:c>
      <x:c r="E342" s="2" t="str">
        <x:v>Wind water pumping</x:v>
      </x:c>
      <x:c r="F342" s="2" t="str">
        <x:v>Bauxite / aluminium</x:v>
      </x:c>
      <x:c r="G342" s="2" t="str">
        <x:v>Strategic metal</x:v>
      </x:c>
      <x:c r="H342" s="2" t="str">
        <x:v>Bauxite / aluminium is linked to Wind water pumping because it is typically used in lightweight structures, frames, conductors or vehicle components; the assignment follows component function, not a sector-wide keyword.</x:v>
      </x:c>
      <x:c r="I342" s="2" t="str">
        <x:v>Presence and quantity in Wind water pumping depend on the selected design, chemistry, capacity, supplier and recycled content. This analytical link is not a verified bill of materials or supplier traceability statement.</x:v>
      </x:c>
      <x:c r="J342" s="2" t="str">
        <x:v>https://pubs.usgs.gov/periodicals/mcs2026/mcs2026.pdf</x:v>
      </x:c>
    </x:row>
    <x:row r="343" ht="66" customHeight="1">
      <x:c r="A343" s="2" t="str">
        <x:v>MIT-0114</x:v>
      </x:c>
      <x:c r="B343" s="2" t="str">
        <x:v>Mitigation</x:v>
      </x:c>
      <x:c r="C343" s="2" t="str">
        <x:v>Renewable energy</x:v>
      </x:c>
      <x:c r="D343" s="2" t="str">
        <x:v>Wind</x:v>
      </x:c>
      <x:c r="E343" s="2" t="str">
        <x:v>Small-scale wind</x:v>
      </x:c>
      <x:c r="F343" s="2" t="str">
        <x:v>Iron ore / steel inputs</x:v>
      </x:c>
      <x:c r="G343" s="2" t="str">
        <x:v>Bulk and strategic mineral input</x:v>
      </x:c>
      <x:c r="H343" s="2" t="str">
        <x:v>Iron ore / steel inputs is linked to Small-scale wind because it is typically used in load-bearing structures, pressure vessels, piping or machinery; the assignment follows component function, not a sector-wide keyword.</x:v>
      </x:c>
      <x:c r="I343" s="2" t="str">
        <x:v>Presence and quantity in Small-scale wind depend on the selected design, chemistry, capacity, supplier and recycled content. This analytical link is not a verified bill of materials or supplier traceability statement.</x:v>
      </x:c>
      <x:c r="J343" s="2" t="str">
        <x:v>https://pubs.usgs.gov/periodicals/mcs2026/mcs2026.pdf</x:v>
      </x:c>
    </x:row>
    <x:row r="344" ht="66" customHeight="1">
      <x:c r="A344" s="2" t="str">
        <x:v>MIT-0114</x:v>
      </x:c>
      <x:c r="B344" s="2" t="str">
        <x:v>Mitigation</x:v>
      </x:c>
      <x:c r="C344" s="2" t="str">
        <x:v>Renewable energy</x:v>
      </x:c>
      <x:c r="D344" s="2" t="str">
        <x:v>Wind</x:v>
      </x:c>
      <x:c r="E344" s="2" t="str">
        <x:v>Small-scale wind</x:v>
      </x:c>
      <x:c r="F344" s="2" t="str">
        <x:v>Copper</x:v>
      </x:c>
      <x:c r="G344" s="2" t="str">
        <x:v>Critical or strategic metal</x:v>
      </x:c>
      <x:c r="H344" s="2" t="str">
        <x:v>Copper is linked to Small-scale wind because it is typically used in power cables, windings, busbars, grounding and electrical connectors; the assignment follows component function, not a sector-wide keyword.</x:v>
      </x:c>
      <x:c r="I344" s="2" t="str">
        <x:v>Presence and quantity in Small-scale wind depend on the selected design, chemistry, capacity, supplier and recycled content. This analytical link is not a verified bill of materials or supplier traceability statement.</x:v>
      </x:c>
      <x:c r="J344" s="2" t="str">
        <x:v>https://pubs.usgs.gov/periodicals/mcs2026/mcs2026.pdf</x:v>
      </x:c>
    </x:row>
    <x:row r="345" ht="66" customHeight="1">
      <x:c r="A345" s="2" t="str">
        <x:v>MIT-0114</x:v>
      </x:c>
      <x:c r="B345" s="2" t="str">
        <x:v>Mitigation</x:v>
      </x:c>
      <x:c r="C345" s="2" t="str">
        <x:v>Renewable energy</x:v>
      </x:c>
      <x:c r="D345" s="2" t="str">
        <x:v>Wind</x:v>
      </x:c>
      <x:c r="E345" s="2" t="str">
        <x:v>Small-scale wind</x:v>
      </x:c>
      <x:c r="F345" s="2" t="str">
        <x:v>Tin</x:v>
      </x:c>
      <x:c r="G345" s="2" t="str">
        <x:v>Electronics strategic metal</x:v>
      </x:c>
      <x:c r="H345" s="2" t="str">
        <x:v>Tin is linked to Small-scale wind because it is typically used in electronic solder and selected coatings; the assignment follows component function, not a sector-wide keyword.</x:v>
      </x:c>
      <x:c r="I345" s="2" t="str">
        <x:v>Presence and quantity in Small-scale wind depend on the selected design, chemistry, capacity, supplier and recycled content. This analytical link is not a verified bill of materials or supplier traceability statement.</x:v>
      </x:c>
      <x:c r="J345" s="2" t="str">
        <x:v>https://pubs.usgs.gov/periodicals/mcs2026/mcs2026.pdf</x:v>
      </x:c>
    </x:row>
    <x:row r="346" ht="66" customHeight="1">
      <x:c r="A346" s="2" t="str">
        <x:v>MIT-0114</x:v>
      </x:c>
      <x:c r="B346" s="2" t="str">
        <x:v>Mitigation</x:v>
      </x:c>
      <x:c r="C346" s="2" t="str">
        <x:v>Renewable energy</x:v>
      </x:c>
      <x:c r="D346" s="2" t="str">
        <x:v>Wind</x:v>
      </x:c>
      <x:c r="E346" s="2" t="str">
        <x:v>Small-scale wind</x:v>
      </x:c>
      <x:c r="F346" s="2" t="str">
        <x:v>Rare earth elements</x:v>
      </x:c>
      <x:c r="G346" s="2" t="str">
        <x:v>Magnet critical minerals</x:v>
      </x:c>
      <x:c r="H346" s="2" t="str">
        <x:v>Rare earth elements is linked to Small-scale wind because it is typically used in permanent magnets in selected motors or generators; the assignment follows component function, not a sector-wide keyword.</x:v>
      </x:c>
      <x:c r="I346" s="2" t="str">
        <x:v>Presence and quantity in Small-scale wind depend on the selected design, chemistry, capacity, supplier and recycled content. This analytical link is not a verified bill of materials or supplier traceability statement.</x:v>
      </x:c>
      <x:c r="J346" s="2" t="str">
        <x:v>https://www.iea.org/reports/global-critical-minerals-outlook-2025</x:v>
      </x:c>
    </x:row>
    <x:row r="347" ht="66" customHeight="1">
      <x:c r="A347" s="2" t="str">
        <x:v>MIT-0114</x:v>
      </x:c>
      <x:c r="B347" s="2" t="str">
        <x:v>Mitigation</x:v>
      </x:c>
      <x:c r="C347" s="2" t="str">
        <x:v>Renewable energy</x:v>
      </x:c>
      <x:c r="D347" s="2" t="str">
        <x:v>Wind</x:v>
      </x:c>
      <x:c r="E347" s="2" t="str">
        <x:v>Small-scale wind</x:v>
      </x:c>
      <x:c r="F347" s="2" t="str">
        <x:v>Zinc</x:v>
      </x:c>
      <x:c r="G347" s="2" t="str">
        <x:v>Strategic base metal</x:v>
      </x:c>
      <x:c r="H347" s="2" t="str">
        <x:v>Zinc is linked to Small-scale wind because it is typically used in galvanic corrosion protection or selected batteries; the assignment follows component function, not a sector-wide keyword.</x:v>
      </x:c>
      <x:c r="I347" s="2" t="str">
        <x:v>Presence and quantity in Small-scale wind depend on the selected design, chemistry, capacity, supplier and recycled content. This analytical link is not a verified bill of materials or supplier traceability statement.</x:v>
      </x:c>
      <x:c r="J347" s="2" t="str">
        <x:v>https://pubs.usgs.gov/periodicals/mcs2026/mcs2026.pdf</x:v>
      </x:c>
    </x:row>
    <x:row r="348" ht="66" customHeight="1">
      <x:c r="A348" s="2" t="str">
        <x:v>MIT-0114</x:v>
      </x:c>
      <x:c r="B348" s="2" t="str">
        <x:v>Mitigation</x:v>
      </x:c>
      <x:c r="C348" s="2" t="str">
        <x:v>Renewable energy</x:v>
      </x:c>
      <x:c r="D348" s="2" t="str">
        <x:v>Wind</x:v>
      </x:c>
      <x:c r="E348" s="2" t="str">
        <x:v>Small-scale wind</x:v>
      </x:c>
      <x:c r="F348" s="2" t="str">
        <x:v>Bauxite / aluminium</x:v>
      </x:c>
      <x:c r="G348" s="2" t="str">
        <x:v>Strategic metal</x:v>
      </x:c>
      <x:c r="H348" s="2" t="str">
        <x:v>Bauxite / aluminium is linked to Small-scale wind because it is typically used in lightweight structures, frames, conductors or vehicle components; the assignment follows component function, not a sector-wide keyword.</x:v>
      </x:c>
      <x:c r="I348" s="2" t="str">
        <x:v>Presence and quantity in Small-scale wind depend on the selected design, chemistry, capacity, supplier and recycled content. This analytical link is not a verified bill of materials or supplier traceability statement.</x:v>
      </x:c>
      <x:c r="J348" s="2" t="str">
        <x:v>https://pubs.usgs.gov/periodicals/mcs2026/mcs2026.pdf</x:v>
      </x:c>
    </x:row>
    <x:row r="349" ht="66" customHeight="1">
      <x:c r="A349" s="2" t="str">
        <x:v>MIT-0115</x:v>
      </x:c>
      <x:c r="B349" s="2" t="str">
        <x:v>Mitigation</x:v>
      </x:c>
      <x:c r="C349" s="2" t="str">
        <x:v>Renewable energy</x:v>
      </x:c>
      <x:c r="D349" s="2" t="str">
        <x:v>Bioenergy</x:v>
      </x:c>
      <x:c r="E349" s="2" t="str">
        <x:v>Biofuels from algae</x:v>
      </x:c>
      <x:c r="F349" s="2" t="str">
        <x:v>Iron ore / steel inputs</x:v>
      </x:c>
      <x:c r="G349" s="2" t="str">
        <x:v>Bulk and strategic mineral input</x:v>
      </x:c>
      <x:c r="H349" s="2" t="str">
        <x:v>Iron ore / steel inputs is linked to Biofuels from algae because it is typically used in load-bearing structures, pressure vessels, piping or machinery; the assignment follows component function, not a sector-wide keyword.</x:v>
      </x:c>
      <x:c r="I349" s="2" t="str">
        <x:v>Presence and quantity in Biofuels from algae depend on the selected design, chemistry, capacity, supplier and recycled content. This analytical link is not a verified bill of materials or supplier traceability statement.</x:v>
      </x:c>
      <x:c r="J349" s="2" t="str">
        <x:v>https://pubs.usgs.gov/periodicals/mcs2026/mcs2026.pdf</x:v>
      </x:c>
    </x:row>
    <x:row r="350" ht="66" customHeight="1">
      <x:c r="A350" s="2" t="str">
        <x:v>MIT-0116</x:v>
      </x:c>
      <x:c r="B350" s="2" t="str">
        <x:v>Mitigation</x:v>
      </x:c>
      <x:c r="C350" s="2" t="str">
        <x:v>Renewable energy</x:v>
      </x:c>
      <x:c r="D350" s="2" t="str">
        <x:v>Bioenergy</x:v>
      </x:c>
      <x:c r="E350" s="2" t="str">
        <x:v>Switch from fossil fuel to biomass</x:v>
      </x:c>
      <x:c r="F350" s="2" t="str">
        <x:v>Iron ore / steel inputs</x:v>
      </x:c>
      <x:c r="G350" s="2" t="str">
        <x:v>Bulk and strategic mineral input</x:v>
      </x:c>
      <x:c r="H350" s="2" t="str">
        <x:v>Iron ore / steel inputs is linked to Switch from fossil fuel to biomass because it is typically used in load-bearing structures, pressure vessels, piping or machinery; the assignment follows component function, not a sector-wide keyword.</x:v>
      </x:c>
      <x:c r="I350" s="2" t="str">
        <x:v>Presence and quantity in Switch from fossil fuel to biomass depend on the selected design, chemistry, capacity, supplier and recycled content. This analytical link is not a verified bill of materials or supplier traceability statement.</x:v>
      </x:c>
      <x:c r="J350" s="2" t="str">
        <x:v>https://pubs.usgs.gov/periodicals/mcs2026/mcs2026.pdf</x:v>
      </x:c>
    </x:row>
    <x:row r="351" ht="66" customHeight="1">
      <x:c r="A351" s="2" t="str">
        <x:v>MIT-0117</x:v>
      </x:c>
      <x:c r="B351" s="2" t="str">
        <x:v>Mitigation</x:v>
      </x:c>
      <x:c r="C351" s="2" t="str">
        <x:v>Renewable energy</x:v>
      </x:c>
      <x:c r="D351" s="2" t="str">
        <x:v>Bioenergy</x:v>
      </x:c>
      <x:c r="E351" s="2" t="str">
        <x:v>Biogas for heating</x:v>
      </x:c>
      <x:c r="F351" s="2" t="str">
        <x:v>Iron ore / steel inputs</x:v>
      </x:c>
      <x:c r="G351" s="2" t="str">
        <x:v>Bulk and strategic mineral input</x:v>
      </x:c>
      <x:c r="H351" s="2" t="str">
        <x:v>Iron ore / steel inputs is linked to Biogas for heating because it is typically used in load-bearing structures, pressure vessels, piping or machinery; the assignment follows component function, not a sector-wide keyword.</x:v>
      </x:c>
      <x:c r="I351" s="2" t="str">
        <x:v>Presence and quantity in Biogas for heating depend on the selected design, chemistry, capacity, supplier and recycled content. This analytical link is not a verified bill of materials or supplier traceability statement.</x:v>
      </x:c>
      <x:c r="J351" s="2" t="str">
        <x:v>https://pubs.usgs.gov/periodicals/mcs2026/mcs2026.pdf</x:v>
      </x:c>
    </x:row>
    <x:row r="352" ht="66" customHeight="1">
      <x:c r="A352" s="2" t="str">
        <x:v>MIT-0118</x:v>
      </x:c>
      <x:c r="B352" s="2" t="str">
        <x:v>Mitigation</x:v>
      </x:c>
      <x:c r="C352" s="2" t="str">
        <x:v>Renewable energy</x:v>
      </x:c>
      <x:c r="D352" s="2" t="str">
        <x:v>Bioenergy</x:v>
      </x:c>
      <x:c r="E352" s="2" t="str">
        <x:v>Energy supply from waste</x:v>
      </x:c>
      <x:c r="F352" s="2" t="str">
        <x:v>Iron ore / steel inputs</x:v>
      </x:c>
      <x:c r="G352" s="2" t="str">
        <x:v>Bulk and strategic mineral input</x:v>
      </x:c>
      <x:c r="H352" s="2" t="str">
        <x:v>Iron ore / steel inputs is linked to Energy supply from waste because it is typically used in load-bearing structures, pressure vessels, piping or machinery; the assignment follows component function, not a sector-wide keyword.</x:v>
      </x:c>
      <x:c r="I352" s="2" t="str">
        <x:v>Presence and quantity in Energy supply from waste depend on the selected design, chemistry, capacity, supplier and recycled content. This analytical link is not a verified bill of materials or supplier traceability statement.</x:v>
      </x:c>
      <x:c r="J352" s="2" t="str">
        <x:v>https://pubs.usgs.gov/periodicals/mcs2026/mcs2026.pdf</x:v>
      </x:c>
    </x:row>
    <x:row r="353" ht="66" customHeight="1">
      <x:c r="A353" s="2" t="str">
        <x:v>MIT-0119</x:v>
      </x:c>
      <x:c r="B353" s="2" t="str">
        <x:v>Mitigation</x:v>
      </x:c>
      <x:c r="C353" s="2" t="str">
        <x:v>Renewable energy</x:v>
      </x:c>
      <x:c r="D353" s="2" t="str">
        <x:v>Bioenergy</x:v>
      </x:c>
      <x:c r="E353" s="2" t="str">
        <x:v>Biogas power</x:v>
      </x:c>
      <x:c r="F353" s="2" t="str">
        <x:v>Iron ore / steel inputs</x:v>
      </x:c>
      <x:c r="G353" s="2" t="str">
        <x:v>Bulk and strategic mineral input</x:v>
      </x:c>
      <x:c r="H353" s="2" t="str">
        <x:v>Iron ore / steel inputs is linked to Biogas power because it is typically used in load-bearing structures, pressure vessels, piping or machinery; the assignment follows component function, not a sector-wide keyword.</x:v>
      </x:c>
      <x:c r="I353" s="2" t="str">
        <x:v>Presence and quantity in Biogas power depend on the selected design, chemistry, capacity, supplier and recycled content. This analytical link is not a verified bill of materials or supplier traceability statement.</x:v>
      </x:c>
      <x:c r="J353" s="2" t="str">
        <x:v>https://pubs.usgs.gov/periodicals/mcs2026/mcs2026.pdf</x:v>
      </x:c>
    </x:row>
    <x:row r="354" ht="66" customHeight="1">
      <x:c r="A354" s="2" t="str">
        <x:v>MIT-0120</x:v>
      </x:c>
      <x:c r="B354" s="2" t="str">
        <x:v>Mitigation</x:v>
      </x:c>
      <x:c r="C354" s="2" t="str">
        <x:v>Renewable energy</x:v>
      </x:c>
      <x:c r="D354" s="2" t="str">
        <x:v>Bioenergy</x:v>
      </x:c>
      <x:c r="E354" s="2" t="str">
        <x:v>Biomass briquettes or pellets</x:v>
      </x:c>
      <x:c r="F354" s="2" t="str">
        <x:v>Iron ore / steel inputs</x:v>
      </x:c>
      <x:c r="G354" s="2" t="str">
        <x:v>Bulk and strategic mineral input</x:v>
      </x:c>
      <x:c r="H354" s="2" t="str">
        <x:v>Iron ore / steel inputs is linked to Biomass briquettes or pellets because it is typically used in load-bearing structures, pressure vessels, piping or machinery; the assignment follows component function, not a sector-wide keyword.</x:v>
      </x:c>
      <x:c r="I354" s="2" t="str">
        <x:v>Presence and quantity in Biomass briquettes or pellets depend on the selected design, chemistry, capacity, supplier and recycled content. This analytical link is not a verified bill of materials or supplier traceability statement.</x:v>
      </x:c>
      <x:c r="J354" s="2" t="str">
        <x:v>https://pubs.usgs.gov/periodicals/mcs2026/mcs2026.pdf</x:v>
      </x:c>
    </x:row>
    <x:row r="355" ht="66" customHeight="1">
      <x:c r="A355" s="2" t="str">
        <x:v>MIT-0121</x:v>
      </x:c>
      <x:c r="B355" s="2" t="str">
        <x:v>Mitigation</x:v>
      </x:c>
      <x:c r="C355" s="2" t="str">
        <x:v>Renewable energy</x:v>
      </x:c>
      <x:c r="D355" s="2" t="str">
        <x:v>Bioenergy</x:v>
      </x:c>
      <x:c r="E355" s="2" t="str">
        <x:v>Biomass for heating</x:v>
      </x:c>
      <x:c r="F355" s="2" t="str">
        <x:v>Iron ore / steel inputs</x:v>
      </x:c>
      <x:c r="G355" s="2" t="str">
        <x:v>Bulk and strategic mineral input</x:v>
      </x:c>
      <x:c r="H355" s="2" t="str">
        <x:v>Iron ore / steel inputs is linked to Biomass for heating because it is typically used in load-bearing structures, pressure vessels, piping or machinery; the assignment follows component function, not a sector-wide keyword.</x:v>
      </x:c>
      <x:c r="I355" s="2" t="str">
        <x:v>Presence and quantity in Biomass for heating depend on the selected design, chemistry, capacity, supplier and recycled content. This analytical link is not a verified bill of materials or supplier traceability statement.</x:v>
      </x:c>
      <x:c r="J355" s="2" t="str">
        <x:v>https://pubs.usgs.gov/periodicals/mcs2026/mcs2026.pdf</x:v>
      </x:c>
    </x:row>
    <x:row r="356" ht="66" customHeight="1">
      <x:c r="A356" s="2" t="str">
        <x:v>MIT-0122</x:v>
      </x:c>
      <x:c r="B356" s="2" t="str">
        <x:v>Mitigation</x:v>
      </x:c>
      <x:c r="C356" s="2" t="str">
        <x:v>Renewable energy</x:v>
      </x:c>
      <x:c r="D356" s="2" t="str">
        <x:v>Bioenergy</x:v>
      </x:c>
      <x:c r="E356" s="2" t="str">
        <x:v>Black liquor</x:v>
      </x:c>
      <x:c r="F356" s="2" t="str">
        <x:v>Iron ore / steel inputs</x:v>
      </x:c>
      <x:c r="G356" s="2" t="str">
        <x:v>Bulk and strategic mineral input</x:v>
      </x:c>
      <x:c r="H356" s="2" t="str">
        <x:v>Iron ore / steel inputs is linked to Black liquor because it is typically used in load-bearing structures, pressure vessels, piping or machinery; the assignment follows component function, not a sector-wide keyword.</x:v>
      </x:c>
      <x:c r="I356" s="2" t="str">
        <x:v>Presence and quantity in Black liquor depend on the selected design, chemistry, capacity, supplier and recycled content. This analytical link is not a verified bill of materials or supplier traceability statement.</x:v>
      </x:c>
      <x:c r="J356" s="2" t="str">
        <x:v>https://pubs.usgs.gov/periodicals/mcs2026/mcs2026.pdf</x:v>
      </x:c>
    </x:row>
    <x:row r="357" ht="66" customHeight="1">
      <x:c r="A357" s="2" t="str">
        <x:v>MIT-0123</x:v>
      </x:c>
      <x:c r="B357" s="2" t="str">
        <x:v>Mitigation</x:v>
      </x:c>
      <x:c r="C357" s="2" t="str">
        <x:v>Renewable energy</x:v>
      </x:c>
      <x:c r="D357" s="2" t="str">
        <x:v>Bioenergy</x:v>
      </x:c>
      <x:c r="E357" s="2" t="str">
        <x:v>Biomass power</x:v>
      </x:c>
      <x:c r="F357" s="2" t="str">
        <x:v>Iron ore / steel inputs</x:v>
      </x:c>
      <x:c r="G357" s="2" t="str">
        <x:v>Bulk and strategic mineral input</x:v>
      </x:c>
      <x:c r="H357" s="2" t="str">
        <x:v>Iron ore / steel inputs is linked to Biomass power because it is typically used in load-bearing structures, pressure vessels, piping or machinery; the assignment follows component function, not a sector-wide keyword.</x:v>
      </x:c>
      <x:c r="I357" s="2" t="str">
        <x:v>Presence and quantity in Biomass power depend on the selected design, chemistry, capacity, supplier and recycled content. This analytical link is not a verified bill of materials or supplier traceability statement.</x:v>
      </x:c>
      <x:c r="J357" s="2" t="str">
        <x:v>https://pubs.usgs.gov/periodicals/mcs2026/mcs2026.pdf</x:v>
      </x:c>
    </x:row>
    <x:row r="358" ht="66" customHeight="1">
      <x:c r="A358" s="2" t="str">
        <x:v>MIT-0124</x:v>
      </x:c>
      <x:c r="B358" s="2" t="str">
        <x:v>Mitigation</x:v>
      </x:c>
      <x:c r="C358" s="2" t="str">
        <x:v>Renewable energy</x:v>
      </x:c>
      <x:c r="D358" s="2" t="str">
        <x:v>Bioenergy</x:v>
      </x:c>
      <x:c r="E358" s="2" t="str">
        <x:v>Ethanol fuel</x:v>
      </x:c>
      <x:c r="F358" s="2" t="str">
        <x:v>Iron ore / steel inputs</x:v>
      </x:c>
      <x:c r="G358" s="2" t="str">
        <x:v>Bulk and strategic mineral input</x:v>
      </x:c>
      <x:c r="H358" s="2" t="str">
        <x:v>Iron ore / steel inputs is linked to Ethanol fuel because it is typically used in load-bearing structures, pressure vessels, piping or machinery; the assignment follows component function, not a sector-wide keyword.</x:v>
      </x:c>
      <x:c r="I358" s="2" t="str">
        <x:v>Presence and quantity in Ethanol fuel depend on the selected design, chemistry, capacity, supplier and recycled content. This analytical link is not a verified bill of materials or supplier traceability statement.</x:v>
      </x:c>
      <x:c r="J358" s="2" t="str">
        <x:v>https://pubs.usgs.gov/periodicals/mcs2026/mcs2026.pdf</x:v>
      </x:c>
    </x:row>
    <x:row r="359" ht="66" customHeight="1">
      <x:c r="A359" s="2" t="str">
        <x:v>MIT-0125</x:v>
      </x:c>
      <x:c r="B359" s="2" t="str">
        <x:v>Mitigation</x:v>
      </x:c>
      <x:c r="C359" s="2" t="str">
        <x:v>Renewable energy</x:v>
      </x:c>
      <x:c r="D359" s="2" t="str">
        <x:v>Bioenergy</x:v>
      </x:c>
      <x:c r="E359" s="2" t="str">
        <x:v>Biodiesel</x:v>
      </x:c>
      <x:c r="F359" s="2" t="str">
        <x:v>Iron ore / steel inputs</x:v>
      </x:c>
      <x:c r="G359" s="2" t="str">
        <x:v>Bulk and strategic mineral input</x:v>
      </x:c>
      <x:c r="H359" s="2" t="str">
        <x:v>Iron ore / steel inputs is linked to Biodiesel because it is typically used in load-bearing structures, pressure vessels, piping or machinery; the assignment follows component function, not a sector-wide keyword.</x:v>
      </x:c>
      <x:c r="I359" s="2" t="str">
        <x:v>Presence and quantity in Biodiesel depend on the selected design, chemistry, capacity, supplier and recycled content. This analytical link is not a verified bill of materials or supplier traceability statement.</x:v>
      </x:c>
      <x:c r="J359" s="2" t="str">
        <x:v>https://pubs.usgs.gov/periodicals/mcs2026/mcs2026.pdf</x:v>
      </x:c>
    </x:row>
    <x:row r="360" ht="66" customHeight="1">
      <x:c r="A360" s="2" t="str">
        <x:v>MIT-0126</x:v>
      </x:c>
      <x:c r="B360" s="2" t="str">
        <x:v>Mitigation</x:v>
      </x:c>
      <x:c r="C360" s="2" t="str">
        <x:v>Renewable energy</x:v>
      </x:c>
      <x:c r="D360" s="2" t="str">
        <x:v>Bioenergy</x:v>
      </x:c>
      <x:c r="E360" s="2" t="str">
        <x:v>Biodiesel from waste oil</x:v>
      </x:c>
      <x:c r="F360" s="2" t="str">
        <x:v>Iron ore / steel inputs</x:v>
      </x:c>
      <x:c r="G360" s="2" t="str">
        <x:v>Bulk and strategic mineral input</x:v>
      </x:c>
      <x:c r="H360" s="2" t="str">
        <x:v>Iron ore / steel inputs is linked to Biodiesel from waste oil because it is typically used in load-bearing structures, pressure vessels, piping or machinery; the assignment follows component function, not a sector-wide keyword.</x:v>
      </x:c>
      <x:c r="I360" s="2" t="str">
        <x:v>Presence and quantity in Biodiesel from waste oil depend on the selected design, chemistry, capacity, supplier and recycled content. This analytical link is not a verified bill of materials or supplier traceability statement.</x:v>
      </x:c>
      <x:c r="J360" s="2" t="str">
        <x:v>https://pubs.usgs.gov/periodicals/mcs2026/mcs2026.pdf</x:v>
      </x:c>
    </x:row>
    <x:row r="361" ht="66" customHeight="1">
      <x:c r="A361" s="2" t="str">
        <x:v>MIT-0127</x:v>
      </x:c>
      <x:c r="B361" s="2" t="str">
        <x:v>Mitigation</x:v>
      </x:c>
      <x:c r="C361" s="2" t="str">
        <x:v>Renewable energy</x:v>
      </x:c>
      <x:c r="D361" s="2" t="str">
        <x:v>Bioenergy</x:v>
      </x:c>
      <x:c r="E361" s="2" t="str">
        <x:v>Charcoal production for cooking and heating</x:v>
      </x:c>
      <x:c r="F361" s="2" t="str">
        <x:v>Iron ore / steel inputs</x:v>
      </x:c>
      <x:c r="G361" s="2" t="str">
        <x:v>Bulk and strategic mineral input</x:v>
      </x:c>
      <x:c r="H361" s="2" t="str">
        <x:v>Iron ore / steel inputs is linked to Charcoal production for cooking and heating because it is typically used in load-bearing structures, pressure vessels, piping or machinery; the assignment follows component function, not a sector-wide keyword.</x:v>
      </x:c>
      <x:c r="I361" s="2" t="str">
        <x:v>Presence and quantity in Charcoal production for cooking and heating depend on the selected design, chemistry, capacity, supplier and recycled content. This analytical link is not a verified bill of materials or supplier traceability statement.</x:v>
      </x:c>
      <x:c r="J361" s="2" t="str">
        <x:v>https://pubs.usgs.gov/periodicals/mcs2026/mcs2026.pdf</x:v>
      </x:c>
    </x:row>
    <x:row r="362" ht="66" customHeight="1">
      <x:c r="A362" s="2" t="str">
        <x:v>MIT-0128</x:v>
      </x:c>
      <x:c r="B362" s="2" t="str">
        <x:v>Mitigation</x:v>
      </x:c>
      <x:c r="C362" s="2" t="str">
        <x:v>Renewable energy</x:v>
      </x:c>
      <x:c r="D362" s="2" t="str">
        <x:v>Bioenergy</x:v>
      </x:c>
      <x:c r="E362" s="2" t="str">
        <x:v>Household biogas</x:v>
      </x:c>
      <x:c r="F362" s="2" t="str">
        <x:v>Iron ore / steel inputs</x:v>
      </x:c>
      <x:c r="G362" s="2" t="str">
        <x:v>Bulk and strategic mineral input</x:v>
      </x:c>
      <x:c r="H362" s="2" t="str">
        <x:v>Iron ore / steel inputs is linked to Household biogas because it is typically used in load-bearing structures, pressure vessels, piping or machinery; the assignment follows component function, not a sector-wide keyword.</x:v>
      </x:c>
      <x:c r="I362" s="2" t="str">
        <x:v>Presence and quantity in Household biogas depend on the selected design, chemistry, capacity, supplier and recycled content. This analytical link is not a verified bill of materials or supplier traceability statement.</x:v>
      </x:c>
      <x:c r="J362" s="2" t="str">
        <x:v>https://pubs.usgs.gov/periodicals/mcs2026/mcs2026.pdf</x:v>
      </x:c>
    </x:row>
    <x:row r="363" ht="66" customHeight="1">
      <x:c r="A363" s="2" t="str">
        <x:v>MIT-0129</x:v>
      </x:c>
      <x:c r="B363" s="2" t="str">
        <x:v>Mitigation</x:v>
      </x:c>
      <x:c r="C363" s="2" t="str">
        <x:v>Renewable energy</x:v>
      </x:c>
      <x:c r="D363" s="2" t="str">
        <x:v>Bioenergy</x:v>
      </x:c>
      <x:c r="E363" s="2" t="str">
        <x:v>Biodiesel from waste oil</x:v>
      </x:c>
      <x:c r="F363" s="2" t="str">
        <x:v>Iron ore / steel inputs</x:v>
      </x:c>
      <x:c r="G363" s="2" t="str">
        <x:v>Bulk and strategic mineral input</x:v>
      </x:c>
      <x:c r="H363" s="2" t="str">
        <x:v>Iron ore / steel inputs is linked to Biodiesel from waste oil because it is typically used in load-bearing structures, pressure vessels, piping or machinery; the assignment follows component function, not a sector-wide keyword.</x:v>
      </x:c>
      <x:c r="I363" s="2" t="str">
        <x:v>Presence and quantity in Biodiesel from waste oil depend on the selected design, chemistry, capacity, supplier and recycled content. This analytical link is not a verified bill of materials or supplier traceability statement.</x:v>
      </x:c>
      <x:c r="J363" s="2" t="str">
        <x:v>https://pubs.usgs.gov/periodicals/mcs2026/mcs2026.pdf</x:v>
      </x:c>
    </x:row>
    <x:row r="364" ht="66" customHeight="1">
      <x:c r="A364" s="2" t="str">
        <x:v>MIT-0130</x:v>
      </x:c>
      <x:c r="B364" s="2" t="str">
        <x:v>Mitigation</x:v>
      </x:c>
      <x:c r="C364" s="2" t="str">
        <x:v>Renewable energy</x:v>
      </x:c>
      <x:c r="D364" s="2" t="str">
        <x:v>Geothermal</x:v>
      </x:c>
      <x:c r="E364" s="2" t="str">
        <x:v>Heat pumps</x:v>
      </x:c>
      <x:c r="F364" s="2" t="str">
        <x:v>Iron ore / steel inputs</x:v>
      </x:c>
      <x:c r="G364" s="2" t="str">
        <x:v>Bulk and strategic mineral input</x:v>
      </x:c>
      <x:c r="H364" s="2" t="str">
        <x:v>Iron ore / steel inputs is linked to Heat pumps because it is typically used in load-bearing structures, pressure vessels, piping or machinery; the assignment follows component function, not a sector-wide keyword.</x:v>
      </x:c>
      <x:c r="I364" s="2" t="str">
        <x:v>Presence and quantity in Heat pumps depend on the selected design, chemistry, capacity, supplier and recycled content. This analytical link is not a verified bill of materials or supplier traceability statement.</x:v>
      </x:c>
      <x:c r="J364" s="2" t="str">
        <x:v>https://pubs.usgs.gov/periodicals/mcs2026/mcs2026.pdf</x:v>
      </x:c>
    </x:row>
    <x:row r="365" ht="66" customHeight="1">
      <x:c r="A365" s="2" t="str">
        <x:v>MIT-0130</x:v>
      </x:c>
      <x:c r="B365" s="2" t="str">
        <x:v>Mitigation</x:v>
      </x:c>
      <x:c r="C365" s="2" t="str">
        <x:v>Renewable energy</x:v>
      </x:c>
      <x:c r="D365" s="2" t="str">
        <x:v>Geothermal</x:v>
      </x:c>
      <x:c r="E365" s="2" t="str">
        <x:v>Heat pumps</x:v>
      </x:c>
      <x:c r="F365" s="2" t="str">
        <x:v>Copper</x:v>
      </x:c>
      <x:c r="G365" s="2" t="str">
        <x:v>Critical or strategic metal</x:v>
      </x:c>
      <x:c r="H365" s="2" t="str">
        <x:v>Copper is linked to Heat pumps because it is typically used in power cables, windings, busbars, grounding and electrical connectors; the assignment follows component function, not a sector-wide keyword.</x:v>
      </x:c>
      <x:c r="I365" s="2" t="str">
        <x:v>Presence and quantity in Heat pumps depend on the selected design, chemistry, capacity, supplier and recycled content. This analytical link is not a verified bill of materials or supplier traceability statement.</x:v>
      </x:c>
      <x:c r="J365" s="2" t="str">
        <x:v>https://pubs.usgs.gov/periodicals/mcs2026/mcs2026.pdf</x:v>
      </x:c>
    </x:row>
    <x:row r="366" ht="66" customHeight="1">
      <x:c r="A366" s="2" t="str">
        <x:v>MIT-0130</x:v>
      </x:c>
      <x:c r="B366" s="2" t="str">
        <x:v>Mitigation</x:v>
      </x:c>
      <x:c r="C366" s="2" t="str">
        <x:v>Renewable energy</x:v>
      </x:c>
      <x:c r="D366" s="2" t="str">
        <x:v>Geothermal</x:v>
      </x:c>
      <x:c r="E366" s="2" t="str">
        <x:v>Heat pumps</x:v>
      </x:c>
      <x:c r="F366" s="2" t="str">
        <x:v>Tin</x:v>
      </x:c>
      <x:c r="G366" s="2" t="str">
        <x:v>Electronics strategic metal</x:v>
      </x:c>
      <x:c r="H366" s="2" t="str">
        <x:v>Tin is linked to Heat pumps because it is typically used in electronic solder and selected coatings; the assignment follows component function, not a sector-wide keyword.</x:v>
      </x:c>
      <x:c r="I366" s="2" t="str">
        <x:v>Presence and quantity in Heat pumps depend on the selected design, chemistry, capacity, supplier and recycled content. This analytical link is not a verified bill of materials or supplier traceability statement.</x:v>
      </x:c>
      <x:c r="J366" s="2" t="str">
        <x:v>https://pubs.usgs.gov/periodicals/mcs2026/mcs2026.pdf</x:v>
      </x:c>
    </x:row>
    <x:row r="367" ht="66" customHeight="1">
      <x:c r="A367" s="2" t="str">
        <x:v>MIT-0130</x:v>
      </x:c>
      <x:c r="B367" s="2" t="str">
        <x:v>Mitigation</x:v>
      </x:c>
      <x:c r="C367" s="2" t="str">
        <x:v>Renewable energy</x:v>
      </x:c>
      <x:c r="D367" s="2" t="str">
        <x:v>Geothermal</x:v>
      </x:c>
      <x:c r="E367" s="2" t="str">
        <x:v>Heat pumps</x:v>
      </x:c>
      <x:c r="F367" s="2" t="str">
        <x:v>Nickel</x:v>
      </x:c>
      <x:c r="G367" s="2" t="str">
        <x:v>Battery and alloy critical mineral</x:v>
      </x:c>
      <x:c r="H367" s="2" t="str">
        <x:v>Nickel is linked to Heat pumps because it is typically used in battery cathodes, high-temperature alloys or corrosion-resistant steels; the assignment follows component function, not a sector-wide keyword.</x:v>
      </x:c>
      <x:c r="I367" s="2" t="str">
        <x:v>Presence and quantity in Heat pumps depend on the selected design, chemistry, capacity, supplier and recycled content. This analytical link is not a verified bill of materials or supplier traceability statement.</x:v>
      </x:c>
      <x:c r="J367" s="2" t="str">
        <x:v>https://www.iea.org/reports/global-critical-minerals-outlook-2025</x:v>
      </x:c>
    </x:row>
    <x:row r="368" ht="66" customHeight="1">
      <x:c r="A368" s="2" t="str">
        <x:v>MIT-0130</x:v>
      </x:c>
      <x:c r="B368" s="2" t="str">
        <x:v>Mitigation</x:v>
      </x:c>
      <x:c r="C368" s="2" t="str">
        <x:v>Renewable energy</x:v>
      </x:c>
      <x:c r="D368" s="2" t="str">
        <x:v>Geothermal</x:v>
      </x:c>
      <x:c r="E368" s="2" t="str">
        <x:v>Heat pumps</x:v>
      </x:c>
      <x:c r="F368" s="2" t="str">
        <x:v>Chromium</x:v>
      </x:c>
      <x:c r="G368" s="2" t="str">
        <x:v>Alloy strategic mineral</x:v>
      </x:c>
      <x:c r="H368" s="2" t="str">
        <x:v>Chromium is linked to Heat pumps because it is typically used in stainless and heat- or corrosion-resistant alloys; the assignment follows component function, not a sector-wide keyword.</x:v>
      </x:c>
      <x:c r="I368" s="2" t="str">
        <x:v>Presence and quantity in Heat pumps depend on the selected design, chemistry, capacity, supplier and recycled content. This analytical link is not a verified bill of materials or supplier traceability statement.</x:v>
      </x:c>
      <x:c r="J368" s="2" t="str">
        <x:v>https://pubs.usgs.gov/periodicals/mcs2026/mcs2026.pdf</x:v>
      </x:c>
    </x:row>
    <x:row r="369" ht="66" customHeight="1">
      <x:c r="A369" s="2" t="str">
        <x:v>MIT-0131</x:v>
      </x:c>
      <x:c r="B369" s="2" t="str">
        <x:v>Mitigation</x:v>
      </x:c>
      <x:c r="C369" s="2" t="str">
        <x:v>Renewable energy</x:v>
      </x:c>
      <x:c r="D369" s="2" t="str">
        <x:v>Geothermal</x:v>
      </x:c>
      <x:c r="E369" s="2" t="str">
        <x:v>Geothermal electricity</x:v>
      </x:c>
      <x:c r="F369" s="2" t="str">
        <x:v>Iron ore / steel inputs</x:v>
      </x:c>
      <x:c r="G369" s="2" t="str">
        <x:v>Bulk and strategic mineral input</x:v>
      </x:c>
      <x:c r="H369" s="2" t="str">
        <x:v>Iron ore / steel inputs is linked to Geothermal electricity because it is typically used in load-bearing structures, pressure vessels, piping or machinery; the assignment follows component function, not a sector-wide keyword.</x:v>
      </x:c>
      <x:c r="I369" s="2" t="str">
        <x:v>Presence and quantity in Geothermal electricity depend on the selected design, chemistry, capacity, supplier and recycled content. This analytical link is not a verified bill of materials or supplier traceability statement.</x:v>
      </x:c>
      <x:c r="J369" s="2" t="str">
        <x:v>https://pubs.usgs.gov/periodicals/mcs2026/mcs2026.pdf</x:v>
      </x:c>
    </x:row>
    <x:row r="370" ht="66" customHeight="1">
      <x:c r="A370" s="2" t="str">
        <x:v>MIT-0131</x:v>
      </x:c>
      <x:c r="B370" s="2" t="str">
        <x:v>Mitigation</x:v>
      </x:c>
      <x:c r="C370" s="2" t="str">
        <x:v>Renewable energy</x:v>
      </x:c>
      <x:c r="D370" s="2" t="str">
        <x:v>Geothermal</x:v>
      </x:c>
      <x:c r="E370" s="2" t="str">
        <x:v>Geothermal electricity</x:v>
      </x:c>
      <x:c r="F370" s="2" t="str">
        <x:v>Copper</x:v>
      </x:c>
      <x:c r="G370" s="2" t="str">
        <x:v>Critical or strategic metal</x:v>
      </x:c>
      <x:c r="H370" s="2" t="str">
        <x:v>Copper is linked to Geothermal electricity because it is typically used in power cables, windings, busbars, grounding and electrical connectors; the assignment follows component function, not a sector-wide keyword.</x:v>
      </x:c>
      <x:c r="I370" s="2" t="str">
        <x:v>Presence and quantity in Geothermal electricity depend on the selected design, chemistry, capacity, supplier and recycled content. This analytical link is not a verified bill of materials or supplier traceability statement.</x:v>
      </x:c>
      <x:c r="J370" s="2" t="str">
        <x:v>https://pubs.usgs.gov/periodicals/mcs2026/mcs2026.pdf</x:v>
      </x:c>
    </x:row>
    <x:row r="371" ht="66" customHeight="1">
      <x:c r="A371" s="2" t="str">
        <x:v>MIT-0131</x:v>
      </x:c>
      <x:c r="B371" s="2" t="str">
        <x:v>Mitigation</x:v>
      </x:c>
      <x:c r="C371" s="2" t="str">
        <x:v>Renewable energy</x:v>
      </x:c>
      <x:c r="D371" s="2" t="str">
        <x:v>Geothermal</x:v>
      </x:c>
      <x:c r="E371" s="2" t="str">
        <x:v>Geothermal electricity</x:v>
      </x:c>
      <x:c r="F371" s="2" t="str">
        <x:v>Tin</x:v>
      </x:c>
      <x:c r="G371" s="2" t="str">
        <x:v>Electronics strategic metal</x:v>
      </x:c>
      <x:c r="H371" s="2" t="str">
        <x:v>Tin is linked to Geothermal electricity because it is typically used in electronic solder and selected coatings; the assignment follows component function, not a sector-wide keyword.</x:v>
      </x:c>
      <x:c r="I371" s="2" t="str">
        <x:v>Presence and quantity in Geothermal electricity depend on the selected design, chemistry, capacity, supplier and recycled content. This analytical link is not a verified bill of materials or supplier traceability statement.</x:v>
      </x:c>
      <x:c r="J371" s="2" t="str">
        <x:v>https://pubs.usgs.gov/periodicals/mcs2026/mcs2026.pdf</x:v>
      </x:c>
    </x:row>
    <x:row r="372" ht="66" customHeight="1">
      <x:c r="A372" s="2" t="str">
        <x:v>MIT-0131</x:v>
      </x:c>
      <x:c r="B372" s="2" t="str">
        <x:v>Mitigation</x:v>
      </x:c>
      <x:c r="C372" s="2" t="str">
        <x:v>Renewable energy</x:v>
      </x:c>
      <x:c r="D372" s="2" t="str">
        <x:v>Geothermal</x:v>
      </x:c>
      <x:c r="E372" s="2" t="str">
        <x:v>Geothermal electricity</x:v>
      </x:c>
      <x:c r="F372" s="2" t="str">
        <x:v>Nickel</x:v>
      </x:c>
      <x:c r="G372" s="2" t="str">
        <x:v>Battery and alloy critical mineral</x:v>
      </x:c>
      <x:c r="H372" s="2" t="str">
        <x:v>Nickel is linked to Geothermal electricity because it is typically used in battery cathodes, high-temperature alloys or corrosion-resistant steels; the assignment follows component function, not a sector-wide keyword.</x:v>
      </x:c>
      <x:c r="I372" s="2" t="str">
        <x:v>Presence and quantity in Geothermal electricity depend on the selected design, chemistry, capacity, supplier and recycled content. This analytical link is not a verified bill of materials or supplier traceability statement.</x:v>
      </x:c>
      <x:c r="J372" s="2" t="str">
        <x:v>https://www.iea.org/reports/global-critical-minerals-outlook-2025</x:v>
      </x:c>
    </x:row>
    <x:row r="373" ht="66" customHeight="1">
      <x:c r="A373" s="2" t="str">
        <x:v>MIT-0131</x:v>
      </x:c>
      <x:c r="B373" s="2" t="str">
        <x:v>Mitigation</x:v>
      </x:c>
      <x:c r="C373" s="2" t="str">
        <x:v>Renewable energy</x:v>
      </x:c>
      <x:c r="D373" s="2" t="str">
        <x:v>Geothermal</x:v>
      </x:c>
      <x:c r="E373" s="2" t="str">
        <x:v>Geothermal electricity</x:v>
      </x:c>
      <x:c r="F373" s="2" t="str">
        <x:v>Chromium</x:v>
      </x:c>
      <x:c r="G373" s="2" t="str">
        <x:v>Alloy strategic mineral</x:v>
      </x:c>
      <x:c r="H373" s="2" t="str">
        <x:v>Chromium is linked to Geothermal electricity because it is typically used in stainless and heat- or corrosion-resistant alloys; the assignment follows component function, not a sector-wide keyword.</x:v>
      </x:c>
      <x:c r="I373" s="2" t="str">
        <x:v>Presence and quantity in Geothermal electricity depend on the selected design, chemistry, capacity, supplier and recycled content. This analytical link is not a verified bill of materials or supplier traceability statement.</x:v>
      </x:c>
      <x:c r="J373" s="2" t="str">
        <x:v>https://pubs.usgs.gov/periodicals/mcs2026/mcs2026.pdf</x:v>
      </x:c>
    </x:row>
    <x:row r="374" ht="66" customHeight="1">
      <x:c r="A374" s="2" t="str">
        <x:v>MIT-0132</x:v>
      </x:c>
      <x:c r="B374" s="2" t="str">
        <x:v>Mitigation</x:v>
      </x:c>
      <x:c r="C374" s="2" t="str">
        <x:v>Renewable energy</x:v>
      </x:c>
      <x:c r="D374" s="2" t="str">
        <x:v>Geothermal</x:v>
      </x:c>
      <x:c r="E374" s="2" t="str">
        <x:v>Geothermal heating</x:v>
      </x:c>
      <x:c r="F374" s="2" t="str">
        <x:v>Iron ore / steel inputs</x:v>
      </x:c>
      <x:c r="G374" s="2" t="str">
        <x:v>Bulk and strategic mineral input</x:v>
      </x:c>
      <x:c r="H374" s="2" t="str">
        <x:v>Iron ore / steel inputs is linked to Geothermal heating because it is typically used in load-bearing structures, pressure vessels, piping or machinery; the assignment follows component function, not a sector-wide keyword.</x:v>
      </x:c>
      <x:c r="I374" s="2" t="str">
        <x:v>Presence and quantity in Geothermal heating depend on the selected design, chemistry, capacity, supplier and recycled content. This analytical link is not a verified bill of materials or supplier traceability statement.</x:v>
      </x:c>
      <x:c r="J374" s="2" t="str">
        <x:v>https://pubs.usgs.gov/periodicals/mcs2026/mcs2026.pdf</x:v>
      </x:c>
    </x:row>
    <x:row r="375" ht="66" customHeight="1">
      <x:c r="A375" s="2" t="str">
        <x:v>MIT-0132</x:v>
      </x:c>
      <x:c r="B375" s="2" t="str">
        <x:v>Mitigation</x:v>
      </x:c>
      <x:c r="C375" s="2" t="str">
        <x:v>Renewable energy</x:v>
      </x:c>
      <x:c r="D375" s="2" t="str">
        <x:v>Geothermal</x:v>
      </x:c>
      <x:c r="E375" s="2" t="str">
        <x:v>Geothermal heating</x:v>
      </x:c>
      <x:c r="F375" s="2" t="str">
        <x:v>Nickel</x:v>
      </x:c>
      <x:c r="G375" s="2" t="str">
        <x:v>Battery and alloy critical mineral</x:v>
      </x:c>
      <x:c r="H375" s="2" t="str">
        <x:v>Nickel is linked to Geothermal heating because it is typically used in battery cathodes, high-temperature alloys or corrosion-resistant steels; the assignment follows component function, not a sector-wide keyword.</x:v>
      </x:c>
      <x:c r="I375" s="2" t="str">
        <x:v>Presence and quantity in Geothermal heating depend on the selected design, chemistry, capacity, supplier and recycled content. This analytical link is not a verified bill of materials or supplier traceability statement.</x:v>
      </x:c>
      <x:c r="J375" s="2" t="str">
        <x:v>https://www.iea.org/reports/global-critical-minerals-outlook-2025</x:v>
      </x:c>
    </x:row>
    <x:row r="376" ht="66" customHeight="1">
      <x:c r="A376" s="2" t="str">
        <x:v>MIT-0132</x:v>
      </x:c>
      <x:c r="B376" s="2" t="str">
        <x:v>Mitigation</x:v>
      </x:c>
      <x:c r="C376" s="2" t="str">
        <x:v>Renewable energy</x:v>
      </x:c>
      <x:c r="D376" s="2" t="str">
        <x:v>Geothermal</x:v>
      </x:c>
      <x:c r="E376" s="2" t="str">
        <x:v>Geothermal heating</x:v>
      </x:c>
      <x:c r="F376" s="2" t="str">
        <x:v>Chromium</x:v>
      </x:c>
      <x:c r="G376" s="2" t="str">
        <x:v>Alloy strategic mineral</x:v>
      </x:c>
      <x:c r="H376" s="2" t="str">
        <x:v>Chromium is linked to Geothermal heating because it is typically used in stainless and heat- or corrosion-resistant alloys; the assignment follows component function, not a sector-wide keyword.</x:v>
      </x:c>
      <x:c r="I376" s="2" t="str">
        <x:v>Presence and quantity in Geothermal heating depend on the selected design, chemistry, capacity, supplier and recycled content. This analytical link is not a verified bill of materials or supplier traceability statement.</x:v>
      </x:c>
      <x:c r="J376" s="2" t="str">
        <x:v>https://pubs.usgs.gov/periodicals/mcs2026/mcs2026.pdf</x:v>
      </x:c>
    </x:row>
    <x:row r="377" ht="66" customHeight="1">
      <x:c r="A377" s="2" t="str">
        <x:v>MIT-0133</x:v>
      </x:c>
      <x:c r="B377" s="2" t="str">
        <x:v>Mitigation</x:v>
      </x:c>
      <x:c r="C377" s="2" t="str">
        <x:v>Waste Management</x:v>
      </x:c>
      <x:c r="D377" s="2" t="str">
        <x:v>Solid waste</x:v>
      </x:c>
      <x:c r="E377" s="2" t="str">
        <x:v>Landfill aeration</x:v>
      </x:c>
      <x:c r="F377" s="2" t="str">
        <x:v>Iron ore / steel inputs</x:v>
      </x:c>
      <x:c r="G377" s="2" t="str">
        <x:v>Bulk and strategic mineral input</x:v>
      </x:c>
      <x:c r="H377" s="2" t="str">
        <x:v>Iron ore / steel inputs is linked to Landfill aeration because it is typically used in load-bearing structures, pressure vessels, piping or machinery; the assignment follows component function, not a sector-wide keyword.</x:v>
      </x:c>
      <x:c r="I377" s="2" t="str">
        <x:v>Presence and quantity in Landfill aeration depend on the selected design, chemistry, capacity, supplier and recycled content. This analytical link is not a verified bill of materials or supplier traceability statement.</x:v>
      </x:c>
      <x:c r="J377" s="2" t="str">
        <x:v>https://pubs.usgs.gov/periodicals/mcs2026/mcs2026.pdf</x:v>
      </x:c>
    </x:row>
    <x:row r="378" ht="66" customHeight="1">
      <x:c r="A378" s="2" t="str">
        <x:v>MIT-0134</x:v>
      </x:c>
      <x:c r="B378" s="2" t="str">
        <x:v>Mitigation</x:v>
      </x:c>
      <x:c r="C378" s="2" t="str">
        <x:v>Waste Management</x:v>
      </x:c>
      <x:c r="D378" s="2" t="str">
        <x:v>Solid waste</x:v>
      </x:c>
      <x:c r="E378" s="2" t="str">
        <x:v>Gasification of waste</x:v>
      </x:c>
      <x:c r="F378" s="2" t="str">
        <x:v>Iron ore / steel inputs</x:v>
      </x:c>
      <x:c r="G378" s="2" t="str">
        <x:v>Bulk and strategic mineral input</x:v>
      </x:c>
      <x:c r="H378" s="2" t="str">
        <x:v>Iron ore / steel inputs is linked to Gasification of waste because it is typically used in load-bearing structures, pressure vessels, piping or machinery; the assignment follows component function, not a sector-wide keyword.</x:v>
      </x:c>
      <x:c r="I378" s="2" t="str">
        <x:v>Presence and quantity in Gasification of waste depend on the selected design, chemistry, capacity, supplier and recycled content. This analytical link is not a verified bill of materials or supplier traceability statement.</x:v>
      </x:c>
      <x:c r="J378" s="2" t="str">
        <x:v>https://pubs.usgs.gov/periodicals/mcs2026/mcs2026.pdf</x:v>
      </x:c>
    </x:row>
    <x:row r="379" ht="66" customHeight="1">
      <x:c r="A379" s="2" t="str">
        <x:v>MIT-0136</x:v>
      </x:c>
      <x:c r="B379" s="2" t="str">
        <x:v>Mitigation</x:v>
      </x:c>
      <x:c r="C379" s="2" t="str">
        <x:v>Waste Management</x:v>
      </x:c>
      <x:c r="D379" s="2" t="str">
        <x:v>Solid waste</x:v>
      </x:c>
      <x:c r="E379" s="2" t="str">
        <x:v>Landfill biocovers</x:v>
      </x:c>
      <x:c r="F379" s="2" t="str">
        <x:v>Iron ore / steel inputs</x:v>
      </x:c>
      <x:c r="G379" s="2" t="str">
        <x:v>Bulk and strategic mineral input</x:v>
      </x:c>
      <x:c r="H379" s="2" t="str">
        <x:v>Iron ore / steel inputs is linked to Landfill biocovers because it is typically used in load-bearing structures, pressure vessels, piping or machinery; the assignment follows component function, not a sector-wide keyword.</x:v>
      </x:c>
      <x:c r="I379" s="2" t="str">
        <x:v>Presence and quantity in Landfill biocovers depend on the selected design, chemistry, capacity, supplier and recycled content. This analytical link is not a verified bill of materials or supplier traceability statement.</x:v>
      </x:c>
      <x:c r="J379" s="2" t="str">
        <x:v>https://pubs.usgs.gov/periodicals/mcs2026/mcs2026.pdf</x:v>
      </x:c>
    </x:row>
    <x:row r="380" ht="66" customHeight="1">
      <x:c r="A380" s="2" t="str">
        <x:v>MIT-0137</x:v>
      </x:c>
      <x:c r="B380" s="2" t="str">
        <x:v>Mitigation</x:v>
      </x:c>
      <x:c r="C380" s="2" t="str">
        <x:v>Waste Management</x:v>
      </x:c>
      <x:c r="D380" s="2" t="str">
        <x:v>Solid waste</x:v>
      </x:c>
      <x:c r="E380" s="2" t="str">
        <x:v>Landfill composting</x:v>
      </x:c>
      <x:c r="F380" s="2" t="str">
        <x:v>Iron ore / steel inputs</x:v>
      </x:c>
      <x:c r="G380" s="2" t="str">
        <x:v>Bulk and strategic mineral input</x:v>
      </x:c>
      <x:c r="H380" s="2" t="str">
        <x:v>Iron ore / steel inputs is linked to Landfill composting because it is typically used in load-bearing structures, pressure vessels, piping or machinery; the assignment follows component function, not a sector-wide keyword.</x:v>
      </x:c>
      <x:c r="I380" s="2" t="str">
        <x:v>Presence and quantity in Landfill composting depend on the selected design, chemistry, capacity, supplier and recycled content. This analytical link is not a verified bill of materials or supplier traceability statement.</x:v>
      </x:c>
      <x:c r="J380" s="2" t="str">
        <x:v>https://pubs.usgs.gov/periodicals/mcs2026/mcs2026.pdf</x:v>
      </x:c>
    </x:row>
    <x:row r="381" ht="66" customHeight="1">
      <x:c r="A381" s="2" t="str">
        <x:v>MIT-0138</x:v>
      </x:c>
      <x:c r="B381" s="2" t="str">
        <x:v>Mitigation</x:v>
      </x:c>
      <x:c r="C381" s="2" t="str">
        <x:v>Waste Management</x:v>
      </x:c>
      <x:c r="D381" s="2" t="str">
        <x:v>Solid waste</x:v>
      </x:c>
      <x:c r="E381" s="2" t="str">
        <x:v>Industrial solid waste</x:v>
      </x:c>
      <x:c r="F381" s="2" t="str">
        <x:v>Iron ore / steel inputs</x:v>
      </x:c>
      <x:c r="G381" s="2" t="str">
        <x:v>Bulk and strategic mineral input</x:v>
      </x:c>
      <x:c r="H381" s="2" t="str">
        <x:v>Iron ore / steel inputs is linked to Industrial solid waste because it is typically used in load-bearing structures, pressure vessels, piping or machinery; the assignment follows component function, not a sector-wide keyword.</x:v>
      </x:c>
      <x:c r="I381" s="2" t="str">
        <x:v>Presence and quantity in Industrial solid waste depend on the selected design, chemistry, capacity, supplier and recycled content. This analytical link is not a verified bill of materials or supplier traceability statement.</x:v>
      </x:c>
      <x:c r="J381" s="2" t="str">
        <x:v>https://pubs.usgs.gov/periodicals/mcs2026/mcs2026.pdf</x:v>
      </x:c>
    </x:row>
    <x:row r="382" ht="66" customHeight="1">
      <x:c r="A382" s="2" t="str">
        <x:v>MIT-0139</x:v>
      </x:c>
      <x:c r="B382" s="2" t="str">
        <x:v>Mitigation</x:v>
      </x:c>
      <x:c r="C382" s="2" t="str">
        <x:v>Waste Management</x:v>
      </x:c>
      <x:c r="D382" s="2" t="str">
        <x:v>Solid waste</x:v>
      </x:c>
      <x:c r="E382" s="2" t="str">
        <x:v>Municipal solid waste</x:v>
      </x:c>
      <x:c r="F382" s="2" t="str">
        <x:v>Iron ore / steel inputs</x:v>
      </x:c>
      <x:c r="G382" s="2" t="str">
        <x:v>Bulk and strategic mineral input</x:v>
      </x:c>
      <x:c r="H382" s="2" t="str">
        <x:v>Iron ore / steel inputs is linked to Municipal solid waste because it is typically used in load-bearing structures, pressure vessels, piping or machinery; the assignment follows component function, not a sector-wide keyword.</x:v>
      </x:c>
      <x:c r="I382" s="2" t="str">
        <x:v>Presence and quantity in Municipal solid waste depend on the selected design, chemistry, capacity, supplier and recycled content. This analytical link is not a verified bill of materials or supplier traceability statement.</x:v>
      </x:c>
      <x:c r="J382" s="2" t="str">
        <x:v>https://pubs.usgs.gov/periodicals/mcs2026/mcs2026.pdf</x:v>
      </x:c>
    </x:row>
    <x:row r="383" ht="66" customHeight="1">
      <x:c r="A383" s="2" t="str">
        <x:v>MIT-0140</x:v>
      </x:c>
      <x:c r="B383" s="2" t="str">
        <x:v>Mitigation</x:v>
      </x:c>
      <x:c r="C383" s="2" t="str">
        <x:v>Waste Management</x:v>
      </x:c>
      <x:c r="D383" s="2" t="str">
        <x:v>Solid waste</x:v>
      </x:c>
      <x:c r="E383" s="2" t="str">
        <x:v>Landfill gas power</x:v>
      </x:c>
      <x:c r="F383" s="2" t="str">
        <x:v>Iron ore / steel inputs</x:v>
      </x:c>
      <x:c r="G383" s="2" t="str">
        <x:v>Bulk and strategic mineral input</x:v>
      </x:c>
      <x:c r="H383" s="2" t="str">
        <x:v>Iron ore / steel inputs is linked to Landfill gas power because it is typically used in load-bearing structures, pressure vessels, piping or machinery; the assignment follows component function, not a sector-wide keyword.</x:v>
      </x:c>
      <x:c r="I383" s="2" t="str">
        <x:v>Presence and quantity in Landfill gas power depend on the selected design, chemistry, capacity, supplier and recycled content. This analytical link is not a verified bill of materials or supplier traceability statement.</x:v>
      </x:c>
      <x:c r="J383" s="2" t="str">
        <x:v>https://pubs.usgs.gov/periodicals/mcs2026/mcs2026.pdf</x:v>
      </x:c>
    </x:row>
    <x:row r="384" ht="66" customHeight="1">
      <x:c r="A384" s="2" t="str">
        <x:v>MIT-0141</x:v>
      </x:c>
      <x:c r="B384" s="2" t="str">
        <x:v>Mitigation</x:v>
      </x:c>
      <x:c r="C384" s="2" t="str">
        <x:v>Waste Management</x:v>
      </x:c>
      <x:c r="D384" s="2" t="str">
        <x:v>Solid waste</x:v>
      </x:c>
      <x:c r="E384" s="2" t="str">
        <x:v>Incineration of waste</x:v>
      </x:c>
      <x:c r="F384" s="2" t="str">
        <x:v>Iron ore / steel inputs</x:v>
      </x:c>
      <x:c r="G384" s="2" t="str">
        <x:v>Bulk and strategic mineral input</x:v>
      </x:c>
      <x:c r="H384" s="2" t="str">
        <x:v>Iron ore / steel inputs is linked to Incineration of waste because it is typically used in load-bearing structures, pressure vessels, piping or machinery; the assignment follows component function, not a sector-wide keyword.</x:v>
      </x:c>
      <x:c r="I384" s="2" t="str">
        <x:v>Presence and quantity in Incineration of waste depend on the selected design, chemistry, capacity, supplier and recycled content. This analytical link is not a verified bill of materials or supplier traceability statement.</x:v>
      </x:c>
      <x:c r="J384" s="2" t="str">
        <x:v>https://pubs.usgs.gov/periodicals/mcs2026/mcs2026.pdf</x:v>
      </x:c>
    </x:row>
    <x:row r="385" ht="66" customHeight="1">
      <x:c r="A385" s="2" t="str">
        <x:v>MIT-0142</x:v>
      </x:c>
      <x:c r="B385" s="2" t="str">
        <x:v>Mitigation</x:v>
      </x:c>
      <x:c r="C385" s="2" t="str">
        <x:v>Waste Management</x:v>
      </x:c>
      <x:c r="D385" s="2" t="str">
        <x:v>Solid waste</x:v>
      </x:c>
      <x:c r="E385" s="2" t="str">
        <x:v>Landfill gas flaring</x:v>
      </x:c>
      <x:c r="F385" s="2" t="str">
        <x:v>Iron ore / steel inputs</x:v>
      </x:c>
      <x:c r="G385" s="2" t="str">
        <x:v>Bulk and strategic mineral input</x:v>
      </x:c>
      <x:c r="H385" s="2" t="str">
        <x:v>Iron ore / steel inputs is linked to Landfill gas flaring because it is typically used in load-bearing structures, pressure vessels, piping or machinery; the assignment follows component function, not a sector-wide keyword.</x:v>
      </x:c>
      <x:c r="I385" s="2" t="str">
        <x:v>Presence and quantity in Landfill gas flaring depend on the selected design, chemistry, capacity, supplier and recycled content. This analytical link is not a verified bill of materials or supplier traceability statement.</x:v>
      </x:c>
      <x:c r="J385" s="2" t="str">
        <x:v>https://pubs.usgs.gov/periodicals/mcs2026/mcs2026.pdf</x:v>
      </x:c>
    </x:row>
    <x:row r="386" ht="66" customHeight="1">
      <x:c r="A386" s="2" t="str">
        <x:v>MIT-0143</x:v>
      </x:c>
      <x:c r="B386" s="2" t="str">
        <x:v>Mitigation</x:v>
      </x:c>
      <x:c r="C386" s="2" t="str">
        <x:v>Waste Management</x:v>
      </x:c>
      <x:c r="D386" s="2" t="str">
        <x:v>Recycling</x:v>
      </x:c>
      <x:c r="E386" s="2" t="str">
        <x:v>Recycling of Waste Electronic and Electrical Equipment</x:v>
      </x:c>
      <x:c r="F386" s="2" t="str">
        <x:v>Iron ore / steel inputs</x:v>
      </x:c>
      <x:c r="G386" s="2" t="str">
        <x:v>Bulk and strategic mineral input</x:v>
      </x:c>
      <x:c r="H386" s="2" t="str">
        <x:v>Iron ore / steel inputs is linked to Recycling of Waste Electronic and Electrical Equipment because it is typically used in load-bearing structures, pressure vessels, piping or machinery; the assignment follows component function, not a sector-wide keyword.</x:v>
      </x:c>
      <x:c r="I386" s="2" t="str">
        <x:v>Presence and quantity in Recycling of Waste Electronic and Electrical Equipment depend on the selected design, chemistry, capacity, supplier and recycled content. This analytical link is not a verified bill of materials or supplier traceability statement.</x:v>
      </x:c>
      <x:c r="J386" s="2" t="str">
        <x:v>https://pubs.usgs.gov/periodicals/mcs2026/mcs2026.pdf</x:v>
      </x:c>
    </x:row>
    <x:row r="387" ht="66" customHeight="1">
      <x:c r="A387" s="2" t="str">
        <x:v>MIT-0143</x:v>
      </x:c>
      <x:c r="B387" s="2" t="str">
        <x:v>Mitigation</x:v>
      </x:c>
      <x:c r="C387" s="2" t="str">
        <x:v>Waste Management</x:v>
      </x:c>
      <x:c r="D387" s="2" t="str">
        <x:v>Recycling</x:v>
      </x:c>
      <x:c r="E387" s="2" t="str">
        <x:v>Recycling of Waste Electronic and Electrical Equipment</x:v>
      </x:c>
      <x:c r="F387" s="2" t="str">
        <x:v>Copper</x:v>
      </x:c>
      <x:c r="G387" s="2" t="str">
        <x:v>Critical or strategic metal</x:v>
      </x:c>
      <x:c r="H387" s="2" t="str">
        <x:v>Copper is linked to Recycling of Waste Electronic and Electrical Equipment because it is typically used in power cables, windings, busbars, grounding and electrical connectors; the assignment follows component function, not a sector-wide keyword.</x:v>
      </x:c>
      <x:c r="I387" s="2" t="str">
        <x:v>Presence and quantity in Recycling of Waste Electronic and Electrical Equipment depend on the selected design, chemistry, capacity, supplier and recycled content. This analytical link is not a verified bill of materials or supplier traceability statement.</x:v>
      </x:c>
      <x:c r="J387" s="2" t="str">
        <x:v>https://pubs.usgs.gov/periodicals/mcs2026/mcs2026.pdf</x:v>
      </x:c>
    </x:row>
    <x:row r="388" ht="66" customHeight="1">
      <x:c r="A388" s="2" t="str">
        <x:v>MIT-0143</x:v>
      </x:c>
      <x:c r="B388" s="2" t="str">
        <x:v>Mitigation</x:v>
      </x:c>
      <x:c r="C388" s="2" t="str">
        <x:v>Waste Management</x:v>
      </x:c>
      <x:c r="D388" s="2" t="str">
        <x:v>Recycling</x:v>
      </x:c>
      <x:c r="E388" s="2" t="str">
        <x:v>Recycling of Waste Electronic and Electrical Equipment</x:v>
      </x:c>
      <x:c r="F388" s="2" t="str">
        <x:v>Tin</x:v>
      </x:c>
      <x:c r="G388" s="2" t="str">
        <x:v>Electronics strategic metal</x:v>
      </x:c>
      <x:c r="H388" s="2" t="str">
        <x:v>Tin is linked to Recycling of Waste Electronic and Electrical Equipment because it is typically used in electronic solder and selected coatings; the assignment follows component function, not a sector-wide keyword.</x:v>
      </x:c>
      <x:c r="I388" s="2" t="str">
        <x:v>Presence and quantity in Recycling of Waste Electronic and Electrical Equipment depend on the selected design, chemistry, capacity, supplier and recycled content. This analytical link is not a verified bill of materials or supplier traceability statement.</x:v>
      </x:c>
      <x:c r="J388" s="2" t="str">
        <x:v>https://pubs.usgs.gov/periodicals/mcs2026/mcs2026.pdf</x:v>
      </x:c>
    </x:row>
    <x:row r="389" ht="66" customHeight="1">
      <x:c r="A389" s="2" t="str">
        <x:v>MIT-0144</x:v>
      </x:c>
      <x:c r="B389" s="2" t="str">
        <x:v>Mitigation</x:v>
      </x:c>
      <x:c r="C389" s="2" t="str">
        <x:v>Waste Management</x:v>
      </x:c>
      <x:c r="D389" s="2" t="str">
        <x:v>Recycling</x:v>
      </x:c>
      <x:c r="E389" s="2" t="str">
        <x:v>Glass recycling</x:v>
      </x:c>
      <x:c r="F389" s="2" t="str">
        <x:v>Iron ore / steel inputs</x:v>
      </x:c>
      <x:c r="G389" s="2" t="str">
        <x:v>Bulk and strategic mineral input</x:v>
      </x:c>
      <x:c r="H389" s="2" t="str">
        <x:v>Iron ore / steel inputs is linked to Glass recycling because it is typically used in load-bearing structures, pressure vessels, piping or machinery; the assignment follows component function, not a sector-wide keyword.</x:v>
      </x:c>
      <x:c r="I389" s="2" t="str">
        <x:v>Presence and quantity in Glass recycling depend on the selected design, chemistry, capacity, supplier and recycled content. This analytical link is not a verified bill of materials or supplier traceability statement.</x:v>
      </x:c>
      <x:c r="J389" s="2" t="str">
        <x:v>https://pubs.usgs.gov/periodicals/mcs2026/mcs2026.pdf</x:v>
      </x:c>
    </x:row>
    <x:row r="390" ht="66" customHeight="1">
      <x:c r="A390" s="2" t="str">
        <x:v>MIT-0145</x:v>
      </x:c>
      <x:c r="B390" s="2" t="str">
        <x:v>Mitigation</x:v>
      </x:c>
      <x:c r="C390" s="2" t="str">
        <x:v>Waste Management</x:v>
      </x:c>
      <x:c r="D390" s="2" t="str">
        <x:v>Recycling</x:v>
      </x:c>
      <x:c r="E390" s="2" t="str">
        <x:v>Advanced paper recycling</x:v>
      </x:c>
      <x:c r="F390" s="2" t="str">
        <x:v>Iron ore / steel inputs</x:v>
      </x:c>
      <x:c r="G390" s="2" t="str">
        <x:v>Bulk and strategic mineral input</x:v>
      </x:c>
      <x:c r="H390" s="2" t="str">
        <x:v>Iron ore / steel inputs is linked to Advanced paper recycling because it is typically used in load-bearing structures, pressure vessels, piping or machinery; the assignment follows component function, not a sector-wide keyword.</x:v>
      </x:c>
      <x:c r="I390" s="2" t="str">
        <x:v>Presence and quantity in Advanced paper recycling depend on the selected design, chemistry, capacity, supplier and recycled content. This analytical link is not a verified bill of materials or supplier traceability statement.</x:v>
      </x:c>
      <x:c r="J390" s="2" t="str">
        <x:v>https://pubs.usgs.gov/periodicals/mcs2026/mcs2026.pdf</x:v>
      </x:c>
    </x:row>
    <x:row r="391" ht="66" customHeight="1">
      <x:c r="A391" s="2" t="str">
        <x:v>MIT-0146</x:v>
      </x:c>
      <x:c r="B391" s="2" t="str">
        <x:v>Mitigation</x:v>
      </x:c>
      <x:c r="C391" s="2" t="str">
        <x:v>Waste Management</x:v>
      </x:c>
      <x:c r="D391" s="2" t="str">
        <x:v>Recycling</x:v>
      </x:c>
      <x:c r="E391" s="2" t="str">
        <x:v>Product component and materials recycling</x:v>
      </x:c>
      <x:c r="F391" s="2" t="str">
        <x:v>Iron ore / steel inputs</x:v>
      </x:c>
      <x:c r="G391" s="2" t="str">
        <x:v>Bulk and strategic mineral input</x:v>
      </x:c>
      <x:c r="H391" s="2" t="str">
        <x:v>Iron ore / steel inputs is linked to Product component and materials recycling because it is typically used in load-bearing structures, pressure vessels, piping or machinery; the assignment follows component function, not a sector-wide keyword.</x:v>
      </x:c>
      <x:c r="I391" s="2" t="str">
        <x:v>Presence and quantity in Product component and materials recycling depend on the selected design, chemistry, capacity, supplier and recycled content. This analytical link is not a verified bill of materials or supplier traceability statement.</x:v>
      </x:c>
      <x:c r="J391" s="2" t="str">
        <x:v>https://pubs.usgs.gov/periodicals/mcs2026/mcs2026.pdf</x:v>
      </x:c>
    </x:row>
    <x:row r="392" ht="66" customHeight="1">
      <x:c r="A392" s="2" t="str">
        <x:v>MIT-0147</x:v>
      </x:c>
      <x:c r="B392" s="2" t="str">
        <x:v>Mitigation</x:v>
      </x:c>
      <x:c r="C392" s="2" t="str">
        <x:v>Waste Management</x:v>
      </x:c>
      <x:c r="D392" s="2" t="str">
        <x:v>Wastewater</x:v>
      </x:c>
      <x:c r="E392" s="2" t="str">
        <x:v>Wastewater management systems</x:v>
      </x:c>
      <x:c r="F392" s="2" t="str">
        <x:v>Iron ore / steel inputs</x:v>
      </x:c>
      <x:c r="G392" s="2" t="str">
        <x:v>Bulk and strategic mineral input</x:v>
      </x:c>
      <x:c r="H392" s="2" t="str">
        <x:v>Iron ore / steel inputs is linked to Wastewater management systems because it is typically used in load-bearing structures, pressure vessels, piping or machinery; the assignment follows component function, not a sector-wide keyword.</x:v>
      </x:c>
      <x:c r="I392" s="2" t="str">
        <x:v>Presence and quantity in Wastewater management systems depend on the selected design, chemistry, capacity, supplier and recycled content. This analytical link is not a verified bill of materials or supplier traceability statement.</x:v>
      </x:c>
      <x:c r="J392" s="2" t="str">
        <x:v>https://pubs.usgs.gov/periodicals/mcs2026/mcs2026.pdf</x:v>
      </x:c>
    </x:row>
    <x:row r="393" ht="66" customHeight="1">
      <x:c r="A393" s="2" t="str">
        <x:v>MIT-0147</x:v>
      </x:c>
      <x:c r="B393" s="2" t="str">
        <x:v>Mitigation</x:v>
      </x:c>
      <x:c r="C393" s="2" t="str">
        <x:v>Waste Management</x:v>
      </x:c>
      <x:c r="D393" s="2" t="str">
        <x:v>Wastewater</x:v>
      </x:c>
      <x:c r="E393" s="2" t="str">
        <x:v>Wastewater management systems</x:v>
      </x:c>
      <x:c r="F393" s="2" t="str">
        <x:v>Nickel</x:v>
      </x:c>
      <x:c r="G393" s="2" t="str">
        <x:v>Battery and alloy critical mineral</x:v>
      </x:c>
      <x:c r="H393" s="2" t="str">
        <x:v>Nickel is linked to Wastewater management systems because it is typically used in battery cathodes, high-temperature alloys or corrosion-resistant steels; the assignment follows component function, not a sector-wide keyword.</x:v>
      </x:c>
      <x:c r="I393" s="2" t="str">
        <x:v>Presence and quantity in Wastewater management systems depend on the selected design, chemistry, capacity, supplier and recycled content. This analytical link is not a verified bill of materials or supplier traceability statement.</x:v>
      </x:c>
      <x:c r="J393" s="2" t="str">
        <x:v>https://www.iea.org/reports/global-critical-minerals-outlook-2025</x:v>
      </x:c>
    </x:row>
    <x:row r="394" ht="66" customHeight="1">
      <x:c r="A394" s="2" t="str">
        <x:v>MIT-0147</x:v>
      </x:c>
      <x:c r="B394" s="2" t="str">
        <x:v>Mitigation</x:v>
      </x:c>
      <x:c r="C394" s="2" t="str">
        <x:v>Waste Management</x:v>
      </x:c>
      <x:c r="D394" s="2" t="str">
        <x:v>Wastewater</x:v>
      </x:c>
      <x:c r="E394" s="2" t="str">
        <x:v>Wastewater management systems</x:v>
      </x:c>
      <x:c r="F394" s="2" t="str">
        <x:v>Chromium</x:v>
      </x:c>
      <x:c r="G394" s="2" t="str">
        <x:v>Alloy strategic mineral</x:v>
      </x:c>
      <x:c r="H394" s="2" t="str">
        <x:v>Chromium is linked to Wastewater management systems because it is typically used in stainless and heat- or corrosion-resistant alloys; the assignment follows component function, not a sector-wide keyword.</x:v>
      </x:c>
      <x:c r="I394" s="2" t="str">
        <x:v>Presence and quantity in Wastewater management systems depend on the selected design, chemistry, capacity, supplier and recycled content. This analytical link is not a verified bill of materials or supplier traceability statement.</x:v>
      </x:c>
      <x:c r="J394" s="2" t="str">
        <x:v>https://pubs.usgs.gov/periodicals/mcs2026/mcs2026.pdf</x:v>
      </x:c>
    </x:row>
    <x:row r="395" ht="66" customHeight="1">
      <x:c r="A395" s="2" t="str">
        <x:v>MIT-0148</x:v>
      </x:c>
      <x:c r="B395" s="2" t="str">
        <x:v>Mitigation</x:v>
      </x:c>
      <x:c r="C395" s="2" t="str">
        <x:v>Waste Management</x:v>
      </x:c>
      <x:c r="D395" s="2" t="str">
        <x:v>Wastewater</x:v>
      </x:c>
      <x:c r="E395" s="2" t="str">
        <x:v>Aerobic wastewater treatment</x:v>
      </x:c>
      <x:c r="F395" s="2" t="str">
        <x:v>Iron ore / steel inputs</x:v>
      </x:c>
      <x:c r="G395" s="2" t="str">
        <x:v>Bulk and strategic mineral input</x:v>
      </x:c>
      <x:c r="H395" s="2" t="str">
        <x:v>Iron ore / steel inputs is linked to Aerobic wastewater treatment because it is typically used in load-bearing structures, pressure vessels, piping or machinery; the assignment follows component function, not a sector-wide keyword.</x:v>
      </x:c>
      <x:c r="I395" s="2" t="str">
        <x:v>Presence and quantity in Aerobic wastewater treatment depend on the selected design, chemistry, capacity, supplier and recycled content. This analytical link is not a verified bill of materials or supplier traceability statement.</x:v>
      </x:c>
      <x:c r="J395" s="2" t="str">
        <x:v>https://pubs.usgs.gov/periodicals/mcs2026/mcs2026.pdf</x:v>
      </x:c>
    </x:row>
    <x:row r="396" ht="66" customHeight="1">
      <x:c r="A396" s="2" t="str">
        <x:v>MIT-0148</x:v>
      </x:c>
      <x:c r="B396" s="2" t="str">
        <x:v>Mitigation</x:v>
      </x:c>
      <x:c r="C396" s="2" t="str">
        <x:v>Waste Management</x:v>
      </x:c>
      <x:c r="D396" s="2" t="str">
        <x:v>Wastewater</x:v>
      </x:c>
      <x:c r="E396" s="2" t="str">
        <x:v>Aerobic wastewater treatment</x:v>
      </x:c>
      <x:c r="F396" s="2" t="str">
        <x:v>Nickel</x:v>
      </x:c>
      <x:c r="G396" s="2" t="str">
        <x:v>Battery and alloy critical mineral</x:v>
      </x:c>
      <x:c r="H396" s="2" t="str">
        <x:v>Nickel is linked to Aerobic wastewater treatment because it is typically used in battery cathodes, high-temperature alloys or corrosion-resistant steels; the assignment follows component function, not a sector-wide keyword.</x:v>
      </x:c>
      <x:c r="I396" s="2" t="str">
        <x:v>Presence and quantity in Aerobic wastewater treatment depend on the selected design, chemistry, capacity, supplier and recycled content. This analytical link is not a verified bill of materials or supplier traceability statement.</x:v>
      </x:c>
      <x:c r="J396" s="2" t="str">
        <x:v>https://www.iea.org/reports/global-critical-minerals-outlook-2025</x:v>
      </x:c>
    </x:row>
    <x:row r="397" ht="66" customHeight="1">
      <x:c r="A397" s="2" t="str">
        <x:v>MIT-0148</x:v>
      </x:c>
      <x:c r="B397" s="2" t="str">
        <x:v>Mitigation</x:v>
      </x:c>
      <x:c r="C397" s="2" t="str">
        <x:v>Waste Management</x:v>
      </x:c>
      <x:c r="D397" s="2" t="str">
        <x:v>Wastewater</x:v>
      </x:c>
      <x:c r="E397" s="2" t="str">
        <x:v>Aerobic wastewater treatment</x:v>
      </x:c>
      <x:c r="F397" s="2" t="str">
        <x:v>Chromium</x:v>
      </x:c>
      <x:c r="G397" s="2" t="str">
        <x:v>Alloy strategic mineral</x:v>
      </x:c>
      <x:c r="H397" s="2" t="str">
        <x:v>Chromium is linked to Aerobic wastewater treatment because it is typically used in stainless and heat- or corrosion-resistant alloys; the assignment follows component function, not a sector-wide keyword.</x:v>
      </x:c>
      <x:c r="I397" s="2" t="str">
        <x:v>Presence and quantity in Aerobic wastewater treatment depend on the selected design, chemistry, capacity, supplier and recycled content. This analytical link is not a verified bill of materials or supplier traceability statement.</x:v>
      </x:c>
      <x:c r="J397" s="2" t="str">
        <x:v>https://pubs.usgs.gov/periodicals/mcs2026/mcs2026.pdf</x:v>
      </x:c>
    </x:row>
    <x:row r="398" ht="66" customHeight="1">
      <x:c r="A398" s="2" t="str">
        <x:v>MIT-0154</x:v>
      </x:c>
      <x:c r="B398" s="2" t="str">
        <x:v>Mitigation</x:v>
      </x:c>
      <x:c r="C398" s="2" t="str">
        <x:v>Forestry</x:v>
      </x:c>
      <x:c r="D398" s="2" t="str">
        <x:v>Soil carbon measurement</x:v>
      </x:c>
      <x:c r="E398" s="2" t="str">
        <x:v>Soil carbon measurement</x:v>
      </x:c>
      <x:c r="F398" s="2" t="str">
        <x:v>Phosphate rock</x:v>
      </x:c>
      <x:c r="G398" s="2" t="str">
        <x:v>Agricultural strategic mineral</x:v>
      </x:c>
      <x:c r="H398" s="2" t="str">
        <x:v>Phosphate rock is linked to Soil carbon measurement because it is typically used in phosphorus fertiliser used by the agricultural system; the assignment follows component function, not a sector-wide keyword.</x:v>
      </x:c>
      <x:c r="I398" s="2" t="str">
        <x:v>Presence and quantity in Soil carbon measurement depend on the selected design, chemistry, capacity, supplier and recycled content. This analytical link is not a verified bill of materials or supplier traceability statement.</x:v>
      </x:c>
      <x:c r="J398" s="2" t="str">
        <x:v>https://pubs.usgs.gov/periodicals/mcs2026/mcs2026.pdf</x:v>
      </x:c>
    </x:row>
    <x:row r="399" ht="66" customHeight="1">
      <x:c r="A399" s="2" t="str">
        <x:v>MIT-0154</x:v>
      </x:c>
      <x:c r="B399" s="2" t="str">
        <x:v>Mitigation</x:v>
      </x:c>
      <x:c r="C399" s="2" t="str">
        <x:v>Forestry</x:v>
      </x:c>
      <x:c r="D399" s="2" t="str">
        <x:v>Soil carbon measurement</x:v>
      </x:c>
      <x:c r="E399" s="2" t="str">
        <x:v>Soil carbon measurement</x:v>
      </x:c>
      <x:c r="F399" s="2" t="str">
        <x:v>Potash</x:v>
      </x:c>
      <x:c r="G399" s="2" t="str">
        <x:v>Agricultural strategic mineral</x:v>
      </x:c>
      <x:c r="H399" s="2" t="str">
        <x:v>Potash is linked to Soil carbon measurement because it is typically used in potassium fertiliser used by the agricultural system; the assignment follows component function, not a sector-wide keyword.</x:v>
      </x:c>
      <x:c r="I399" s="2" t="str">
        <x:v>Presence and quantity in Soil carbon measurement depend on the selected design, chemistry, capacity, supplier and recycled content. This analytical link is not a verified bill of materials or supplier traceability statement.</x:v>
      </x:c>
      <x:c r="J399" s="2" t="str">
        <x:v>https://pubs.usgs.gov/periodicals/mcs2026/mcs2026.pdf</x:v>
      </x:c>
    </x:row>
    <x:row r="400" ht="66" customHeight="1">
      <x:c r="A400" s="2" t="str">
        <x:v>MIT-0155</x:v>
      </x:c>
      <x:c r="B400" s="2" t="str">
        <x:v>Mitigation</x:v>
      </x:c>
      <x:c r="C400" s="2" t="str">
        <x:v>Forestry</x:v>
      </x:c>
      <x:c r="D400" s="2" t="str">
        <x:v>Carbon stock measurement, monitoring and verification</x:v>
      </x:c>
      <x:c r="E400" s="2" t="str">
        <x:v>Carbon stock measurement, monitoring and verification</x:v>
      </x:c>
      <x:c r="F400" s="2" t="str">
        <x:v>Copper</x:v>
      </x:c>
      <x:c r="G400" s="2" t="str">
        <x:v>Critical or strategic metal</x:v>
      </x:c>
      <x:c r="H400" s="2" t="str">
        <x:v>Copper is linked to Carbon stock measurement, monitoring and verification because it is typically used in power cables, windings, busbars, grounding and electrical connectors; the assignment follows component function, not a sector-wide keyword.</x:v>
      </x:c>
      <x:c r="I400" s="2" t="str">
        <x:v>Presence and quantity in Carbon stock measurement, monitoring and verification depend on the selected design, chemistry, capacity, supplier and recycled content. This analytical link is not a verified bill of materials or supplier traceability statement.</x:v>
      </x:c>
      <x:c r="J400" s="2" t="str">
        <x:v>https://pubs.usgs.gov/periodicals/mcs2026/mcs2026.pdf</x:v>
      </x:c>
    </x:row>
    <x:row r="401" ht="66" customHeight="1">
      <x:c r="A401" s="2" t="str">
        <x:v>MIT-0155</x:v>
      </x:c>
      <x:c r="B401" s="2" t="str">
        <x:v>Mitigation</x:v>
      </x:c>
      <x:c r="C401" s="2" t="str">
        <x:v>Forestry</x:v>
      </x:c>
      <x:c r="D401" s="2" t="str">
        <x:v>Carbon stock measurement, monitoring and verification</x:v>
      </x:c>
      <x:c r="E401" s="2" t="str">
        <x:v>Carbon stock measurement, monitoring and verification</x:v>
      </x:c>
      <x:c r="F401" s="2" t="str">
        <x:v>Tin</x:v>
      </x:c>
      <x:c r="G401" s="2" t="str">
        <x:v>Electronics strategic metal</x:v>
      </x:c>
      <x:c r="H401" s="2" t="str">
        <x:v>Tin is linked to Carbon stock measurement, monitoring and verification because it is typically used in electronic solder and selected coatings; the assignment follows component function, not a sector-wide keyword.</x:v>
      </x:c>
      <x:c r="I401" s="2" t="str">
        <x:v>Presence and quantity in Carbon stock measurement, monitoring and verification depend on the selected design, chemistry, capacity, supplier and recycled content. This analytical link is not a verified bill of materials or supplier traceability statement.</x:v>
      </x:c>
      <x:c r="J401" s="2" t="str">
        <x:v>https://pubs.usgs.gov/periodicals/mcs2026/mcs2026.pdf</x:v>
      </x:c>
    </x:row>
    <x:row r="402" ht="66" customHeight="1">
      <x:c r="A402" s="2" t="str">
        <x:v>MIT-0157</x:v>
      </x:c>
      <x:c r="B402" s="2" t="str">
        <x:v>Mitigation</x:v>
      </x:c>
      <x:c r="C402" s="2" t="str">
        <x:v>Forestry</x:v>
      </x:c>
      <x:c r="D402" s="2" t="str">
        <x:v>Biomass carbon measurement and monitoring</x:v>
      </x:c>
      <x:c r="E402" s="2" t="str">
        <x:v>Biomass carbon measurement and monitoring</x:v>
      </x:c>
      <x:c r="F402" s="2" t="str">
        <x:v>Iron ore / steel inputs</x:v>
      </x:c>
      <x:c r="G402" s="2" t="str">
        <x:v>Bulk and strategic mineral input</x:v>
      </x:c>
      <x:c r="H402" s="2" t="str">
        <x:v>Iron ore / steel inputs is linked to Biomass carbon measurement and monitoring because it is typically used in load-bearing structures, pressure vessels, piping or machinery; the assignment follows component function, not a sector-wide keyword.</x:v>
      </x:c>
      <x:c r="I402" s="2" t="str">
        <x:v>Presence and quantity in Biomass carbon measurement and monitoring depend on the selected design, chemistry, capacity, supplier and recycled content. This analytical link is not a verified bill of materials or supplier traceability statement.</x:v>
      </x:c>
      <x:c r="J402" s="2" t="str">
        <x:v>https://pubs.usgs.gov/periodicals/mcs2026/mcs2026.pdf</x:v>
      </x:c>
    </x:row>
    <x:row r="403" ht="66" customHeight="1">
      <x:c r="A403" s="2" t="str">
        <x:v>MIT-0157</x:v>
      </x:c>
      <x:c r="B403" s="2" t="str">
        <x:v>Mitigation</x:v>
      </x:c>
      <x:c r="C403" s="2" t="str">
        <x:v>Forestry</x:v>
      </x:c>
      <x:c r="D403" s="2" t="str">
        <x:v>Biomass carbon measurement and monitoring</x:v>
      </x:c>
      <x:c r="E403" s="2" t="str">
        <x:v>Biomass carbon measurement and monitoring</x:v>
      </x:c>
      <x:c r="F403" s="2" t="str">
        <x:v>Copper</x:v>
      </x:c>
      <x:c r="G403" s="2" t="str">
        <x:v>Critical or strategic metal</x:v>
      </x:c>
      <x:c r="H403" s="2" t="str">
        <x:v>Copper is linked to Biomass carbon measurement and monitoring because it is typically used in power cables, windings, busbars, grounding and electrical connectors; the assignment follows component function, not a sector-wide keyword.</x:v>
      </x:c>
      <x:c r="I403" s="2" t="str">
        <x:v>Presence and quantity in Biomass carbon measurement and monitoring depend on the selected design, chemistry, capacity, supplier and recycled content. This analytical link is not a verified bill of materials or supplier traceability statement.</x:v>
      </x:c>
      <x:c r="J403" s="2" t="str">
        <x:v>https://pubs.usgs.gov/periodicals/mcs2026/mcs2026.pdf</x:v>
      </x:c>
    </x:row>
    <x:row r="404" ht="66" customHeight="1">
      <x:c r="A404" s="2" t="str">
        <x:v>MIT-0157</x:v>
      </x:c>
      <x:c r="B404" s="2" t="str">
        <x:v>Mitigation</x:v>
      </x:c>
      <x:c r="C404" s="2" t="str">
        <x:v>Forestry</x:v>
      </x:c>
      <x:c r="D404" s="2" t="str">
        <x:v>Biomass carbon measurement and monitoring</x:v>
      </x:c>
      <x:c r="E404" s="2" t="str">
        <x:v>Biomass carbon measurement and monitoring</x:v>
      </x:c>
      <x:c r="F404" s="2" t="str">
        <x:v>Tin</x:v>
      </x:c>
      <x:c r="G404" s="2" t="str">
        <x:v>Electronics strategic metal</x:v>
      </x:c>
      <x:c r="H404" s="2" t="str">
        <x:v>Tin is linked to Biomass carbon measurement and monitoring because it is typically used in electronic solder and selected coatings; the assignment follows component function, not a sector-wide keyword.</x:v>
      </x:c>
      <x:c r="I404" s="2" t="str">
        <x:v>Presence and quantity in Biomass carbon measurement and monitoring depend on the selected design, chemistry, capacity, supplier and recycled content. This analytical link is not a verified bill of materials or supplier traceability statement.</x:v>
      </x:c>
      <x:c r="J404" s="2" t="str">
        <x:v>https://pubs.usgs.gov/periodicals/mcs2026/mcs2026.pdf</x:v>
      </x:c>
    </x:row>
    <x:row r="405" ht="66" customHeight="1">
      <x:c r="A405" s="2" t="str">
        <x:v>MIT-0159</x:v>
      </x:c>
      <x:c r="B405" s="2" t="str">
        <x:v>Mitigation</x:v>
      </x:c>
      <x:c r="C405" s="2" t="str">
        <x:v>Agriculture</x:v>
      </x:c>
      <x:c r="D405" s="2" t="str">
        <x:v>Demand efficiency</x:v>
      </x:c>
      <x:c r="E405" s="2" t="str">
        <x:v>Minimizing food waste</x:v>
      </x:c>
      <x:c r="F405" s="2" t="str">
        <x:v>Iron ore / steel inputs</x:v>
      </x:c>
      <x:c r="G405" s="2" t="str">
        <x:v>Bulk and strategic mineral input</x:v>
      </x:c>
      <x:c r="H405" s="2" t="str">
        <x:v>Iron ore / steel inputs is linked to Minimizing food waste because it is typically used in load-bearing structures, pressure vessels, piping or machinery; the assignment follows component function, not a sector-wide keyword.</x:v>
      </x:c>
      <x:c r="I405" s="2" t="str">
        <x:v>Presence and quantity in Minimizing food waste depend on the selected design, chemistry, capacity, supplier and recycled content. This analytical link is not a verified bill of materials or supplier traceability statement.</x:v>
      </x:c>
      <x:c r="J405" s="2" t="str">
        <x:v>https://pubs.usgs.gov/periodicals/mcs2026/mcs2026.pdf</x:v>
      </x:c>
    </x:row>
    <x:row r="406" ht="66" customHeight="1">
      <x:c r="A406" s="2" t="str">
        <x:v>MIT-0161</x:v>
      </x:c>
      <x:c r="B406" s="2" t="str">
        <x:v>Mitigation</x:v>
      </x:c>
      <x:c r="C406" s="2" t="str">
        <x:v>Agriculture</x:v>
      </x:c>
      <x:c r="D406" s="2" t="str">
        <x:v>Cropland</x:v>
      </x:c>
      <x:c r="E406" s="2" t="str">
        <x:v>Crop varieties with enhanced carbon sequestration</x:v>
      </x:c>
      <x:c r="F406" s="2" t="str">
        <x:v>Phosphate rock</x:v>
      </x:c>
      <x:c r="G406" s="2" t="str">
        <x:v>Agricultural strategic mineral</x:v>
      </x:c>
      <x:c r="H406" s="2" t="str">
        <x:v>Phosphate rock is linked to Crop varieties with enhanced carbon sequestration because it is typically used in phosphorus fertiliser used by the agricultural system; the assignment follows component function, not a sector-wide keyword.</x:v>
      </x:c>
      <x:c r="I406" s="2" t="str">
        <x:v>Presence and quantity in Crop varieties with enhanced carbon sequestration depend on the selected design, chemistry, capacity, supplier and recycled content. This analytical link is not a verified bill of materials or supplier traceability statement.</x:v>
      </x:c>
      <x:c r="J406" s="2" t="str">
        <x:v>https://pubs.usgs.gov/periodicals/mcs2026/mcs2026.pdf</x:v>
      </x:c>
    </x:row>
    <x:row r="407" ht="66" customHeight="1">
      <x:c r="A407" s="2" t="str">
        <x:v>MIT-0161</x:v>
      </x:c>
      <x:c r="B407" s="2" t="str">
        <x:v>Mitigation</x:v>
      </x:c>
      <x:c r="C407" s="2" t="str">
        <x:v>Agriculture</x:v>
      </x:c>
      <x:c r="D407" s="2" t="str">
        <x:v>Cropland</x:v>
      </x:c>
      <x:c r="E407" s="2" t="str">
        <x:v>Crop varieties with enhanced carbon sequestration</x:v>
      </x:c>
      <x:c r="F407" s="2" t="str">
        <x:v>Potash</x:v>
      </x:c>
      <x:c r="G407" s="2" t="str">
        <x:v>Agricultural strategic mineral</x:v>
      </x:c>
      <x:c r="H407" s="2" t="str">
        <x:v>Potash is linked to Crop varieties with enhanced carbon sequestration because it is typically used in potassium fertiliser used by the agricultural system; the assignment follows component function, not a sector-wide keyword.</x:v>
      </x:c>
      <x:c r="I407" s="2" t="str">
        <x:v>Presence and quantity in Crop varieties with enhanced carbon sequestration depend on the selected design, chemistry, capacity, supplier and recycled content. This analytical link is not a verified bill of materials or supplier traceability statement.</x:v>
      </x:c>
      <x:c r="J407" s="2" t="str">
        <x:v>https://pubs.usgs.gov/periodicals/mcs2026/mcs2026.pdf</x:v>
      </x:c>
    </x:row>
    <x:row r="408" ht="66" customHeight="1">
      <x:c r="A408" s="2" t="str">
        <x:v>MIT-0162</x:v>
      </x:c>
      <x:c r="B408" s="2" t="str">
        <x:v>Mitigation</x:v>
      </x:c>
      <x:c r="C408" s="2" t="str">
        <x:v>Agriculture</x:v>
      </x:c>
      <x:c r="D408" s="2" t="str">
        <x:v>Cropland</x:v>
      </x:c>
      <x:c r="E408" s="2" t="str">
        <x:v>Nutrient management: mycorrhiza</x:v>
      </x:c>
      <x:c r="F408" s="2" t="str">
        <x:v>Phosphate rock</x:v>
      </x:c>
      <x:c r="G408" s="2" t="str">
        <x:v>Agricultural strategic mineral</x:v>
      </x:c>
      <x:c r="H408" s="2" t="str">
        <x:v>Phosphate rock is linked to Nutrient management: mycorrhiza because it is typically used in phosphorus fertiliser used by the agricultural system; the assignment follows component function, not a sector-wide keyword.</x:v>
      </x:c>
      <x:c r="I408" s="2" t="str">
        <x:v>Presence and quantity in Nutrient management: mycorrhiza depend on the selected design, chemistry, capacity, supplier and recycled content. This analytical link is not a verified bill of materials or supplier traceability statement.</x:v>
      </x:c>
      <x:c r="J408" s="2" t="str">
        <x:v>https://pubs.usgs.gov/periodicals/mcs2026/mcs2026.pdf</x:v>
      </x:c>
    </x:row>
    <x:row r="409" ht="66" customHeight="1">
      <x:c r="A409" s="2" t="str">
        <x:v>MIT-0162</x:v>
      </x:c>
      <x:c r="B409" s="2" t="str">
        <x:v>Mitigation</x:v>
      </x:c>
      <x:c r="C409" s="2" t="str">
        <x:v>Agriculture</x:v>
      </x:c>
      <x:c r="D409" s="2" t="str">
        <x:v>Cropland</x:v>
      </x:c>
      <x:c r="E409" s="2" t="str">
        <x:v>Nutrient management: mycorrhiza</x:v>
      </x:c>
      <x:c r="F409" s="2" t="str">
        <x:v>Potash</x:v>
      </x:c>
      <x:c r="G409" s="2" t="str">
        <x:v>Agricultural strategic mineral</x:v>
      </x:c>
      <x:c r="H409" s="2" t="str">
        <x:v>Potash is linked to Nutrient management: mycorrhiza because it is typically used in potassium fertiliser used by the agricultural system; the assignment follows component function, not a sector-wide keyword.</x:v>
      </x:c>
      <x:c r="I409" s="2" t="str">
        <x:v>Presence and quantity in Nutrient management: mycorrhiza depend on the selected design, chemistry, capacity, supplier and recycled content. This analytical link is not a verified bill of materials or supplier traceability statement.</x:v>
      </x:c>
      <x:c r="J409" s="2" t="str">
        <x:v>https://pubs.usgs.gov/periodicals/mcs2026/mcs2026.pdf</x:v>
      </x:c>
    </x:row>
    <x:row r="410" ht="66" customHeight="1">
      <x:c r="A410" s="2" t="str">
        <x:v>MIT-0163</x:v>
      </x:c>
      <x:c r="B410" s="2" t="str">
        <x:v>Mitigation</x:v>
      </x:c>
      <x:c r="C410" s="2" t="str">
        <x:v>Agriculture</x:v>
      </x:c>
      <x:c r="D410" s="2" t="str">
        <x:v>Cropland</x:v>
      </x:c>
      <x:c r="E410" s="2" t="str">
        <x:v>N2O reduction</x:v>
      </x:c>
      <x:c r="F410" s="2" t="str">
        <x:v>Phosphate rock</x:v>
      </x:c>
      <x:c r="G410" s="2" t="str">
        <x:v>Agricultural strategic mineral</x:v>
      </x:c>
      <x:c r="H410" s="2" t="str">
        <x:v>Phosphate rock is linked to N2O reduction because it is typically used in phosphorus fertiliser used by the agricultural system; the assignment follows component function, not a sector-wide keyword.</x:v>
      </x:c>
      <x:c r="I410" s="2" t="str">
        <x:v>Presence and quantity in N2O reduction depend on the selected design, chemistry, capacity, supplier and recycled content. This analytical link is not a verified bill of materials or supplier traceability statement.</x:v>
      </x:c>
      <x:c r="J410" s="2" t="str">
        <x:v>https://pubs.usgs.gov/periodicals/mcs2026/mcs2026.pdf</x:v>
      </x:c>
    </x:row>
    <x:row r="411" ht="66" customHeight="1">
      <x:c r="A411" s="2" t="str">
        <x:v>MIT-0163</x:v>
      </x:c>
      <x:c r="B411" s="2" t="str">
        <x:v>Mitigation</x:v>
      </x:c>
      <x:c r="C411" s="2" t="str">
        <x:v>Agriculture</x:v>
      </x:c>
      <x:c r="D411" s="2" t="str">
        <x:v>Cropland</x:v>
      </x:c>
      <x:c r="E411" s="2" t="str">
        <x:v>N2O reduction</x:v>
      </x:c>
      <x:c r="F411" s="2" t="str">
        <x:v>Potash</x:v>
      </x:c>
      <x:c r="G411" s="2" t="str">
        <x:v>Agricultural strategic mineral</x:v>
      </x:c>
      <x:c r="H411" s="2" t="str">
        <x:v>Potash is linked to N2O reduction because it is typically used in potassium fertiliser used by the agricultural system; the assignment follows component function, not a sector-wide keyword.</x:v>
      </x:c>
      <x:c r="I411" s="2" t="str">
        <x:v>Presence and quantity in N2O reduction depend on the selected design, chemistry, capacity, supplier and recycled content. This analytical link is not a verified bill of materials or supplier traceability statement.</x:v>
      </x:c>
      <x:c r="J411" s="2" t="str">
        <x:v>https://pubs.usgs.gov/periodicals/mcs2026/mcs2026.pdf</x:v>
      </x:c>
    </x:row>
    <x:row r="412" ht="66" customHeight="1">
      <x:c r="A412" s="2" t="str">
        <x:v>MIT-0164</x:v>
      </x:c>
      <x:c r="B412" s="2" t="str">
        <x:v>Mitigation</x:v>
      </x:c>
      <x:c r="C412" s="2" t="str">
        <x:v>Agriculture</x:v>
      </x:c>
      <x:c r="D412" s="2" t="str">
        <x:v>Cropland</x:v>
      </x:c>
      <x:c r="E412" s="2" t="str">
        <x:v>Cropland management</x:v>
      </x:c>
      <x:c r="F412" s="2" t="str">
        <x:v>Phosphate rock</x:v>
      </x:c>
      <x:c r="G412" s="2" t="str">
        <x:v>Agricultural strategic mineral</x:v>
      </x:c>
      <x:c r="H412" s="2" t="str">
        <x:v>Phosphate rock is linked to Cropland management because it is typically used in phosphorus fertiliser used by the agricultural system; the assignment follows component function, not a sector-wide keyword.</x:v>
      </x:c>
      <x:c r="I412" s="2" t="str">
        <x:v>Presence and quantity in Cropland management depend on the selected design, chemistry, capacity, supplier and recycled content. This analytical link is not a verified bill of materials or supplier traceability statement.</x:v>
      </x:c>
      <x:c r="J412" s="2" t="str">
        <x:v>https://pubs.usgs.gov/periodicals/mcs2026/mcs2026.pdf</x:v>
      </x:c>
    </x:row>
    <x:row r="413" ht="66" customHeight="1">
      <x:c r="A413" s="2" t="str">
        <x:v>MIT-0164</x:v>
      </x:c>
      <x:c r="B413" s="2" t="str">
        <x:v>Mitigation</x:v>
      </x:c>
      <x:c r="C413" s="2" t="str">
        <x:v>Agriculture</x:v>
      </x:c>
      <x:c r="D413" s="2" t="str">
        <x:v>Cropland</x:v>
      </x:c>
      <x:c r="E413" s="2" t="str">
        <x:v>Cropland management</x:v>
      </x:c>
      <x:c r="F413" s="2" t="str">
        <x:v>Potash</x:v>
      </x:c>
      <x:c r="G413" s="2" t="str">
        <x:v>Agricultural strategic mineral</x:v>
      </x:c>
      <x:c r="H413" s="2" t="str">
        <x:v>Potash is linked to Cropland management because it is typically used in potassium fertiliser used by the agricultural system; the assignment follows component function, not a sector-wide keyword.</x:v>
      </x:c>
      <x:c r="I413" s="2" t="str">
        <x:v>Presence and quantity in Cropland management depend on the selected design, chemistry, capacity, supplier and recycled content. This analytical link is not a verified bill of materials or supplier traceability statement.</x:v>
      </x:c>
      <x:c r="J413" s="2" t="str">
        <x:v>https://pubs.usgs.gov/periodicals/mcs2026/mcs2026.pdf</x:v>
      </x:c>
    </x:row>
    <x:row r="414" ht="66" customHeight="1">
      <x:c r="A414" s="2" t="str">
        <x:v>MIT-0165</x:v>
      </x:c>
      <x:c r="B414" s="2" t="str">
        <x:v>Mitigation</x:v>
      </x:c>
      <x:c r="C414" s="2" t="str">
        <x:v>Agriculture</x:v>
      </x:c>
      <x:c r="D414" s="2" t="str">
        <x:v>Cropland</x:v>
      </x:c>
      <x:c r="E414" s="2" t="str">
        <x:v>Machinery</x:v>
      </x:c>
      <x:c r="F414" s="2" t="str">
        <x:v>Phosphate rock</x:v>
      </x:c>
      <x:c r="G414" s="2" t="str">
        <x:v>Agricultural strategic mineral</x:v>
      </x:c>
      <x:c r="H414" s="2" t="str">
        <x:v>Phosphate rock is linked to Machinery because it is typically used in phosphorus fertiliser used by the agricultural system; the assignment follows component function, not a sector-wide keyword.</x:v>
      </x:c>
      <x:c r="I414" s="2" t="str">
        <x:v>Presence and quantity in Machinery depend on the selected design, chemistry, capacity, supplier and recycled content. This analytical link is not a verified bill of materials or supplier traceability statement.</x:v>
      </x:c>
      <x:c r="J414" s="2" t="str">
        <x:v>https://pubs.usgs.gov/periodicals/mcs2026/mcs2026.pdf</x:v>
      </x:c>
    </x:row>
    <x:row r="415" ht="66" customHeight="1">
      <x:c r="A415" s="2" t="str">
        <x:v>MIT-0165</x:v>
      </x:c>
      <x:c r="B415" s="2" t="str">
        <x:v>Mitigation</x:v>
      </x:c>
      <x:c r="C415" s="2" t="str">
        <x:v>Agriculture</x:v>
      </x:c>
      <x:c r="D415" s="2" t="str">
        <x:v>Cropland</x:v>
      </x:c>
      <x:c r="E415" s="2" t="str">
        <x:v>Machinery</x:v>
      </x:c>
      <x:c r="F415" s="2" t="str">
        <x:v>Potash</x:v>
      </x:c>
      <x:c r="G415" s="2" t="str">
        <x:v>Agricultural strategic mineral</x:v>
      </x:c>
      <x:c r="H415" s="2" t="str">
        <x:v>Potash is linked to Machinery because it is typically used in potassium fertiliser used by the agricultural system; the assignment follows component function, not a sector-wide keyword.</x:v>
      </x:c>
      <x:c r="I415" s="2" t="str">
        <x:v>Presence and quantity in Machinery depend on the selected design, chemistry, capacity, supplier and recycled content. This analytical link is not a verified bill of materials or supplier traceability statement.</x:v>
      </x:c>
      <x:c r="J415" s="2" t="str">
        <x:v>https://pubs.usgs.gov/periodicals/mcs2026/mcs2026.pdf</x:v>
      </x:c>
    </x:row>
    <x:row r="416" ht="66" customHeight="1">
      <x:c r="A416" s="2" t="str">
        <x:v>MIT-0166</x:v>
      </x:c>
      <x:c r="B416" s="2" t="str">
        <x:v>Mitigation</x:v>
      </x:c>
      <x:c r="C416" s="2" t="str">
        <x:v>Agriculture</x:v>
      </x:c>
      <x:c r="D416" s="2" t="str">
        <x:v>Cropland</x:v>
      </x:c>
      <x:c r="E416" s="2" t="str">
        <x:v>Mineral fertilisers</x:v>
      </x:c>
      <x:c r="F416" s="2" t="str">
        <x:v>Phosphate rock</x:v>
      </x:c>
      <x:c r="G416" s="2" t="str">
        <x:v>Agricultural strategic mineral</x:v>
      </x:c>
      <x:c r="H416" s="2" t="str">
        <x:v>Phosphate rock is linked to Mineral fertilisers because it is typically used in phosphorus fertiliser used by the agricultural system; the assignment follows component function, not a sector-wide keyword.</x:v>
      </x:c>
      <x:c r="I416" s="2" t="str">
        <x:v>Presence and quantity in Mineral fertilisers depend on the selected design, chemistry, capacity, supplier and recycled content. This analytical link is not a verified bill of materials or supplier traceability statement.</x:v>
      </x:c>
      <x:c r="J416" s="2" t="str">
        <x:v>https://pubs.usgs.gov/periodicals/mcs2026/mcs2026.pdf</x:v>
      </x:c>
    </x:row>
    <x:row r="417" ht="66" customHeight="1">
      <x:c r="A417" s="2" t="str">
        <x:v>MIT-0166</x:v>
      </x:c>
      <x:c r="B417" s="2" t="str">
        <x:v>Mitigation</x:v>
      </x:c>
      <x:c r="C417" s="2" t="str">
        <x:v>Agriculture</x:v>
      </x:c>
      <x:c r="D417" s="2" t="str">
        <x:v>Cropland</x:v>
      </x:c>
      <x:c r="E417" s="2" t="str">
        <x:v>Mineral fertilisers</x:v>
      </x:c>
      <x:c r="F417" s="2" t="str">
        <x:v>Potash</x:v>
      </x:c>
      <x:c r="G417" s="2" t="str">
        <x:v>Agricultural strategic mineral</x:v>
      </x:c>
      <x:c r="H417" s="2" t="str">
        <x:v>Potash is linked to Mineral fertilisers because it is typically used in potassium fertiliser used by the agricultural system; the assignment follows component function, not a sector-wide keyword.</x:v>
      </x:c>
      <x:c r="I417" s="2" t="str">
        <x:v>Presence and quantity in Mineral fertilisers depend on the selected design, chemistry, capacity, supplier and recycled content. This analytical link is not a verified bill of materials or supplier traceability statement.</x:v>
      </x:c>
      <x:c r="J417" s="2" t="str">
        <x:v>https://pubs.usgs.gov/periodicals/mcs2026/mcs2026.pdf</x:v>
      </x:c>
    </x:row>
    <x:row r="418" ht="66" customHeight="1">
      <x:c r="A418" s="2" t="str">
        <x:v>MIT-0167</x:v>
      </x:c>
      <x:c r="B418" s="2" t="str">
        <x:v>Mitigation</x:v>
      </x:c>
      <x:c r="C418" s="2" t="str">
        <x:v>Agriculture</x:v>
      </x:c>
      <x:c r="D418" s="2" t="str">
        <x:v>Cropland</x:v>
      </x:c>
      <x:c r="E418" s="2" t="str">
        <x:v>Irrigation</x:v>
      </x:c>
      <x:c r="F418" s="2" t="str">
        <x:v>Phosphate rock</x:v>
      </x:c>
      <x:c r="G418" s="2" t="str">
        <x:v>Agricultural strategic mineral</x:v>
      </x:c>
      <x:c r="H418" s="2" t="str">
        <x:v>Phosphate rock is linked to Irrigation because it is typically used in phosphorus fertiliser used by the agricultural system; the assignment follows component function, not a sector-wide keyword.</x:v>
      </x:c>
      <x:c r="I418" s="2" t="str">
        <x:v>Presence and quantity in Irrigation depend on the selected design, chemistry, capacity, supplier and recycled content. This analytical link is not a verified bill of materials or supplier traceability statement.</x:v>
      </x:c>
      <x:c r="J418" s="2" t="str">
        <x:v>https://pubs.usgs.gov/periodicals/mcs2026/mcs2026.pdf</x:v>
      </x:c>
    </x:row>
    <x:row r="419" ht="66" customHeight="1">
      <x:c r="A419" s="2" t="str">
        <x:v>MIT-0167</x:v>
      </x:c>
      <x:c r="B419" s="2" t="str">
        <x:v>Mitigation</x:v>
      </x:c>
      <x:c r="C419" s="2" t="str">
        <x:v>Agriculture</x:v>
      </x:c>
      <x:c r="D419" s="2" t="str">
        <x:v>Cropland</x:v>
      </x:c>
      <x:c r="E419" s="2" t="str">
        <x:v>Irrigation</x:v>
      </x:c>
      <x:c r="F419" s="2" t="str">
        <x:v>Potash</x:v>
      </x:c>
      <x:c r="G419" s="2" t="str">
        <x:v>Agricultural strategic mineral</x:v>
      </x:c>
      <x:c r="H419" s="2" t="str">
        <x:v>Potash is linked to Irrigation because it is typically used in potassium fertiliser used by the agricultural system; the assignment follows component function, not a sector-wide keyword.</x:v>
      </x:c>
      <x:c r="I419" s="2" t="str">
        <x:v>Presence and quantity in Irrigation depend on the selected design, chemistry, capacity, supplier and recycled content. This analytical link is not a verified bill of materials or supplier traceability statement.</x:v>
      </x:c>
      <x:c r="J419" s="2" t="str">
        <x:v>https://pubs.usgs.gov/periodicals/mcs2026/mcs2026.pdf</x:v>
      </x:c>
    </x:row>
    <x:row r="420" ht="66" customHeight="1">
      <x:c r="A420" s="2" t="str">
        <x:v>MIT-0168</x:v>
      </x:c>
      <x:c r="B420" s="2" t="str">
        <x:v>Mitigation</x:v>
      </x:c>
      <x:c r="C420" s="2" t="str">
        <x:v>Agriculture</x:v>
      </x:c>
      <x:c r="D420" s="2" t="str">
        <x:v>Cropland</x:v>
      </x:c>
      <x:c r="E420" s="2" t="str">
        <x:v>Rice cultivation</x:v>
      </x:c>
      <x:c r="F420" s="2" t="str">
        <x:v>Phosphate rock</x:v>
      </x:c>
      <x:c r="G420" s="2" t="str">
        <x:v>Agricultural strategic mineral</x:v>
      </x:c>
      <x:c r="H420" s="2" t="str">
        <x:v>Phosphate rock is linked to Rice cultivation because it is typically used in phosphorus fertiliser used by the agricultural system; the assignment follows component function, not a sector-wide keyword.</x:v>
      </x:c>
      <x:c r="I420" s="2" t="str">
        <x:v>Presence and quantity in Rice cultivation depend on the selected design, chemistry, capacity, supplier and recycled content. This analytical link is not a verified bill of materials or supplier traceability statement.</x:v>
      </x:c>
      <x:c r="J420" s="2" t="str">
        <x:v>https://pubs.usgs.gov/periodicals/mcs2026/mcs2026.pdf</x:v>
      </x:c>
    </x:row>
    <x:row r="421" ht="66" customHeight="1">
      <x:c r="A421" s="2" t="str">
        <x:v>MIT-0168</x:v>
      </x:c>
      <x:c r="B421" s="2" t="str">
        <x:v>Mitigation</x:v>
      </x:c>
      <x:c r="C421" s="2" t="str">
        <x:v>Agriculture</x:v>
      </x:c>
      <x:c r="D421" s="2" t="str">
        <x:v>Cropland</x:v>
      </x:c>
      <x:c r="E421" s="2" t="str">
        <x:v>Rice cultivation</x:v>
      </x:c>
      <x:c r="F421" s="2" t="str">
        <x:v>Potash</x:v>
      </x:c>
      <x:c r="G421" s="2" t="str">
        <x:v>Agricultural strategic mineral</x:v>
      </x:c>
      <x:c r="H421" s="2" t="str">
        <x:v>Potash is linked to Rice cultivation because it is typically used in potassium fertiliser used by the agricultural system; the assignment follows component function, not a sector-wide keyword.</x:v>
      </x:c>
      <x:c r="I421" s="2" t="str">
        <x:v>Presence and quantity in Rice cultivation depend on the selected design, chemistry, capacity, supplier and recycled content. This analytical link is not a verified bill of materials or supplier traceability statement.</x:v>
      </x:c>
      <x:c r="J421" s="2" t="str">
        <x:v>https://pubs.usgs.gov/periodicals/mcs2026/mcs2026.pdf</x:v>
      </x:c>
    </x:row>
    <x:row r="422" ht="66" customHeight="1">
      <x:c r="A422" s="2" t="str">
        <x:v>MIT-0169</x:v>
      </x:c>
      <x:c r="B422" s="2" t="str">
        <x:v>Mitigation</x:v>
      </x:c>
      <x:c r="C422" s="2" t="str">
        <x:v>Agriculture</x:v>
      </x:c>
      <x:c r="D422" s="2" t="str">
        <x:v>Cropland</x:v>
      </x:c>
      <x:c r="E422" s="2" t="str">
        <x:v>CH4 reduction</x:v>
      </x:c>
      <x:c r="F422" s="2" t="str">
        <x:v>Phosphate rock</x:v>
      </x:c>
      <x:c r="G422" s="2" t="str">
        <x:v>Agricultural strategic mineral</x:v>
      </x:c>
      <x:c r="H422" s="2" t="str">
        <x:v>Phosphate rock is linked to CH4 reduction because it is typically used in phosphorus fertiliser used by the agricultural system; the assignment follows component function, not a sector-wide keyword.</x:v>
      </x:c>
      <x:c r="I422" s="2" t="str">
        <x:v>Presence and quantity in CH4 reduction depend on the selected design, chemistry, capacity, supplier and recycled content. This analytical link is not a verified bill of materials or supplier traceability statement.</x:v>
      </x:c>
      <x:c r="J422" s="2" t="str">
        <x:v>https://pubs.usgs.gov/periodicals/mcs2026/mcs2026.pdf</x:v>
      </x:c>
    </x:row>
    <x:row r="423" ht="66" customHeight="1">
      <x:c r="A423" s="2" t="str">
        <x:v>MIT-0169</x:v>
      </x:c>
      <x:c r="B423" s="2" t="str">
        <x:v>Mitigation</x:v>
      </x:c>
      <x:c r="C423" s="2" t="str">
        <x:v>Agriculture</x:v>
      </x:c>
      <x:c r="D423" s="2" t="str">
        <x:v>Cropland</x:v>
      </x:c>
      <x:c r="E423" s="2" t="str">
        <x:v>CH4 reduction</x:v>
      </x:c>
      <x:c r="F423" s="2" t="str">
        <x:v>Potash</x:v>
      </x:c>
      <x:c r="G423" s="2" t="str">
        <x:v>Agricultural strategic mineral</x:v>
      </x:c>
      <x:c r="H423" s="2" t="str">
        <x:v>Potash is linked to CH4 reduction because it is typically used in potassium fertiliser used by the agricultural system; the assignment follows component function, not a sector-wide keyword.</x:v>
      </x:c>
      <x:c r="I423" s="2" t="str">
        <x:v>Presence and quantity in CH4 reduction depend on the selected design, chemistry, capacity, supplier and recycled content. This analytical link is not a verified bill of materials or supplier traceability statement.</x:v>
      </x:c>
      <x:c r="J423" s="2" t="str">
        <x:v>https://pubs.usgs.gov/periodicals/mcs2026/mcs2026.pdf</x:v>
      </x:c>
    </x:row>
    <x:row r="424" ht="66" customHeight="1">
      <x:c r="A424" s="2" t="str">
        <x:v>MIT-0170</x:v>
      </x:c>
      <x:c r="B424" s="2" t="str">
        <x:v>Mitigation</x:v>
      </x:c>
      <x:c r="C424" s="2" t="str">
        <x:v>Agriculture</x:v>
      </x:c>
      <x:c r="D424" s="2" t="str">
        <x:v>Cropland</x:v>
      </x:c>
      <x:c r="E424" s="2" t="str">
        <x:v>Soil management</x:v>
      </x:c>
      <x:c r="F424" s="2" t="str">
        <x:v>Phosphate rock</x:v>
      </x:c>
      <x:c r="G424" s="2" t="str">
        <x:v>Agricultural strategic mineral</x:v>
      </x:c>
      <x:c r="H424" s="2" t="str">
        <x:v>Phosphate rock is linked to Soil management because it is typically used in phosphorus fertiliser used by the agricultural system; the assignment follows component function, not a sector-wide keyword.</x:v>
      </x:c>
      <x:c r="I424" s="2" t="str">
        <x:v>Presence and quantity in Soil management depend on the selected design, chemistry, capacity, supplier and recycled content. This analytical link is not a verified bill of materials or supplier traceability statement.</x:v>
      </x:c>
      <x:c r="J424" s="2" t="str">
        <x:v>https://pubs.usgs.gov/periodicals/mcs2026/mcs2026.pdf</x:v>
      </x:c>
    </x:row>
    <x:row r="425" ht="66" customHeight="1">
      <x:c r="A425" s="2" t="str">
        <x:v>MIT-0170</x:v>
      </x:c>
      <x:c r="B425" s="2" t="str">
        <x:v>Mitigation</x:v>
      </x:c>
      <x:c r="C425" s="2" t="str">
        <x:v>Agriculture</x:v>
      </x:c>
      <x:c r="D425" s="2" t="str">
        <x:v>Cropland</x:v>
      </x:c>
      <x:c r="E425" s="2" t="str">
        <x:v>Soil management</x:v>
      </x:c>
      <x:c r="F425" s="2" t="str">
        <x:v>Potash</x:v>
      </x:c>
      <x:c r="G425" s="2" t="str">
        <x:v>Agricultural strategic mineral</x:v>
      </x:c>
      <x:c r="H425" s="2" t="str">
        <x:v>Potash is linked to Soil management because it is typically used in potassium fertiliser used by the agricultural system; the assignment follows component function, not a sector-wide keyword.</x:v>
      </x:c>
      <x:c r="I425" s="2" t="str">
        <x:v>Presence and quantity in Soil management depend on the selected design, chemistry, capacity, supplier and recycled content. This analytical link is not a verified bill of materials or supplier traceability statement.</x:v>
      </x:c>
      <x:c r="J425" s="2" t="str">
        <x:v>https://pubs.usgs.gov/periodicals/mcs2026/mcs2026.pdf</x:v>
      </x:c>
    </x:row>
    <x:row r="426" ht="66" customHeight="1">
      <x:c r="A426" s="2" t="str">
        <x:v>MIT-0171</x:v>
      </x:c>
      <x:c r="B426" s="2" t="str">
        <x:v>Mitigation</x:v>
      </x:c>
      <x:c r="C426" s="2" t="str">
        <x:v>Agriculture</x:v>
      </x:c>
      <x:c r="D426" s="2" t="str">
        <x:v>Cropland</x:v>
      </x:c>
      <x:c r="E426" s="2" t="str">
        <x:v>Restoration of organic soils</x:v>
      </x:c>
      <x:c r="F426" s="2" t="str">
        <x:v>Phosphate rock</x:v>
      </x:c>
      <x:c r="G426" s="2" t="str">
        <x:v>Agricultural strategic mineral</x:v>
      </x:c>
      <x:c r="H426" s="2" t="str">
        <x:v>Phosphate rock is linked to Restoration of organic soils because it is typically used in phosphorus fertiliser used by the agricultural system; the assignment follows component function, not a sector-wide keyword.</x:v>
      </x:c>
      <x:c r="I426" s="2" t="str">
        <x:v>Presence and quantity in Restoration of organic soils depend on the selected design, chemistry, capacity, supplier and recycled content. This analytical link is not a verified bill of materials or supplier traceability statement.</x:v>
      </x:c>
      <x:c r="J426" s="2" t="str">
        <x:v>https://pubs.usgs.gov/periodicals/mcs2026/mcs2026.pdf</x:v>
      </x:c>
    </x:row>
    <x:row r="427" ht="66" customHeight="1">
      <x:c r="A427" s="2" t="str">
        <x:v>MIT-0171</x:v>
      </x:c>
      <x:c r="B427" s="2" t="str">
        <x:v>Mitigation</x:v>
      </x:c>
      <x:c r="C427" s="2" t="str">
        <x:v>Agriculture</x:v>
      </x:c>
      <x:c r="D427" s="2" t="str">
        <x:v>Cropland</x:v>
      </x:c>
      <x:c r="E427" s="2" t="str">
        <x:v>Restoration of organic soils</x:v>
      </x:c>
      <x:c r="F427" s="2" t="str">
        <x:v>Potash</x:v>
      </x:c>
      <x:c r="G427" s="2" t="str">
        <x:v>Agricultural strategic mineral</x:v>
      </x:c>
      <x:c r="H427" s="2" t="str">
        <x:v>Potash is linked to Restoration of organic soils because it is typically used in potassium fertiliser used by the agricultural system; the assignment follows component function, not a sector-wide keyword.</x:v>
      </x:c>
      <x:c r="I427" s="2" t="str">
        <x:v>Presence and quantity in Restoration of organic soils depend on the selected design, chemistry, capacity, supplier and recycled content. This analytical link is not a verified bill of materials or supplier traceability statement.</x:v>
      </x:c>
      <x:c r="J427" s="2" t="str">
        <x:v>https://pubs.usgs.gov/periodicals/mcs2026/mcs2026.pdf</x:v>
      </x:c>
    </x:row>
    <x:row r="428" ht="66" customHeight="1">
      <x:c r="A428" s="2" t="str">
        <x:v>MIT-0172</x:v>
      </x:c>
      <x:c r="B428" s="2" t="str">
        <x:v>Mitigation</x:v>
      </x:c>
      <x:c r="C428" s="2" t="str">
        <x:v>Agriculture</x:v>
      </x:c>
      <x:c r="D428" s="2" t="str">
        <x:v>Cropland</x:v>
      </x:c>
      <x:c r="E428" s="2" t="str">
        <x:v>Restoration of degraded lands</x:v>
      </x:c>
      <x:c r="F428" s="2" t="str">
        <x:v>Phosphate rock</x:v>
      </x:c>
      <x:c r="G428" s="2" t="str">
        <x:v>Agricultural strategic mineral</x:v>
      </x:c>
      <x:c r="H428" s="2" t="str">
        <x:v>Phosphate rock is linked to Restoration of degraded lands because it is typically used in phosphorus fertiliser used by the agricultural system; the assignment follows component function, not a sector-wide keyword.</x:v>
      </x:c>
      <x:c r="I428" s="2" t="str">
        <x:v>Presence and quantity in Restoration of degraded lands depend on the selected design, chemistry, capacity, supplier and recycled content. This analytical link is not a verified bill of materials or supplier traceability statement.</x:v>
      </x:c>
      <x:c r="J428" s="2" t="str">
        <x:v>https://pubs.usgs.gov/periodicals/mcs2026/mcs2026.pdf</x:v>
      </x:c>
    </x:row>
    <x:row r="429" ht="66" customHeight="1">
      <x:c r="A429" s="2" t="str">
        <x:v>MIT-0172</x:v>
      </x:c>
      <x:c r="B429" s="2" t="str">
        <x:v>Mitigation</x:v>
      </x:c>
      <x:c r="C429" s="2" t="str">
        <x:v>Agriculture</x:v>
      </x:c>
      <x:c r="D429" s="2" t="str">
        <x:v>Cropland</x:v>
      </x:c>
      <x:c r="E429" s="2" t="str">
        <x:v>Restoration of degraded lands</x:v>
      </x:c>
      <x:c r="F429" s="2" t="str">
        <x:v>Potash</x:v>
      </x:c>
      <x:c r="G429" s="2" t="str">
        <x:v>Agricultural strategic mineral</x:v>
      </x:c>
      <x:c r="H429" s="2" t="str">
        <x:v>Potash is linked to Restoration of degraded lands because it is typically used in potassium fertiliser used by the agricultural system; the assignment follows component function, not a sector-wide keyword.</x:v>
      </x:c>
      <x:c r="I429" s="2" t="str">
        <x:v>Presence and quantity in Restoration of degraded lands depend on the selected design, chemistry, capacity, supplier and recycled content. This analytical link is not a verified bill of materials or supplier traceability statement.</x:v>
      </x:c>
      <x:c r="J429" s="2" t="str">
        <x:v>https://pubs.usgs.gov/periodicals/mcs2026/mcs2026.pdf</x:v>
      </x:c>
    </x:row>
    <x:row r="430" ht="66" customHeight="1">
      <x:c r="A430" s="2" t="str">
        <x:v>MIT-0173</x:v>
      </x:c>
      <x:c r="B430" s="2" t="str">
        <x:v>Mitigation</x:v>
      </x:c>
      <x:c r="C430" s="2" t="str">
        <x:v>Agriculture</x:v>
      </x:c>
      <x:c r="D430" s="2" t="str">
        <x:v>Cropland</x:v>
      </x:c>
      <x:c r="E430" s="2" t="str">
        <x:v>Organic agriculture</x:v>
      </x:c>
      <x:c r="F430" s="2" t="str">
        <x:v>Phosphate rock</x:v>
      </x:c>
      <x:c r="G430" s="2" t="str">
        <x:v>Agricultural strategic mineral</x:v>
      </x:c>
      <x:c r="H430" s="2" t="str">
        <x:v>Phosphate rock is linked to Organic agriculture because it is typically used in phosphorus fertiliser used by the agricultural system; the assignment follows component function, not a sector-wide keyword.</x:v>
      </x:c>
      <x:c r="I430" s="2" t="str">
        <x:v>Presence and quantity in Organic agriculture depend on the selected design, chemistry, capacity, supplier and recycled content. This analytical link is not a verified bill of materials or supplier traceability statement.</x:v>
      </x:c>
      <x:c r="J430" s="2" t="str">
        <x:v>https://pubs.usgs.gov/periodicals/mcs2026/mcs2026.pdf</x:v>
      </x:c>
    </x:row>
    <x:row r="431" ht="66" customHeight="1">
      <x:c r="A431" s="2" t="str">
        <x:v>MIT-0173</x:v>
      </x:c>
      <x:c r="B431" s="2" t="str">
        <x:v>Mitigation</x:v>
      </x:c>
      <x:c r="C431" s="2" t="str">
        <x:v>Agriculture</x:v>
      </x:c>
      <x:c r="D431" s="2" t="str">
        <x:v>Cropland</x:v>
      </x:c>
      <x:c r="E431" s="2" t="str">
        <x:v>Organic agriculture</x:v>
      </x:c>
      <x:c r="F431" s="2" t="str">
        <x:v>Potash</x:v>
      </x:c>
      <x:c r="G431" s="2" t="str">
        <x:v>Agricultural strategic mineral</x:v>
      </x:c>
      <x:c r="H431" s="2" t="str">
        <x:v>Potash is linked to Organic agriculture because it is typically used in potassium fertiliser used by the agricultural system; the assignment follows component function, not a sector-wide keyword.</x:v>
      </x:c>
      <x:c r="I431" s="2" t="str">
        <x:v>Presence and quantity in Organic agriculture depend on the selected design, chemistry, capacity, supplier and recycled content. This analytical link is not a verified bill of materials or supplier traceability statement.</x:v>
      </x:c>
      <x:c r="J431" s="2" t="str">
        <x:v>https://pubs.usgs.gov/periodicals/mcs2026/mcs2026.pdf</x:v>
      </x:c>
    </x:row>
    <x:row r="432" ht="66" customHeight="1">
      <x:c r="A432" s="2" t="str">
        <x:v>MIT-0174</x:v>
      </x:c>
      <x:c r="B432" s="2" t="str">
        <x:v>Mitigation</x:v>
      </x:c>
      <x:c r="C432" s="2" t="str">
        <x:v>Agriculture</x:v>
      </x:c>
      <x:c r="D432" s="2" t="str">
        <x:v>Cropland</x:v>
      </x:c>
      <x:c r="E432" s="2" t="str">
        <x:v>Reduction of energy use in traction</x:v>
      </x:c>
      <x:c r="F432" s="2" t="str">
        <x:v>Phosphate rock</x:v>
      </x:c>
      <x:c r="G432" s="2" t="str">
        <x:v>Agricultural strategic mineral</x:v>
      </x:c>
      <x:c r="H432" s="2" t="str">
        <x:v>Phosphate rock is linked to Reduction of energy use in traction because it is typically used in phosphorus fertiliser used by the agricultural system; the assignment follows component function, not a sector-wide keyword.</x:v>
      </x:c>
      <x:c r="I432" s="2" t="str">
        <x:v>Presence and quantity in Reduction of energy use in traction depend on the selected design, chemistry, capacity, supplier and recycled content. This analytical link is not a verified bill of materials or supplier traceability statement.</x:v>
      </x:c>
      <x:c r="J432" s="2" t="str">
        <x:v>https://pubs.usgs.gov/periodicals/mcs2026/mcs2026.pdf</x:v>
      </x:c>
    </x:row>
    <x:row r="433" ht="66" customHeight="1">
      <x:c r="A433" s="2" t="str">
        <x:v>MIT-0174</x:v>
      </x:c>
      <x:c r="B433" s="2" t="str">
        <x:v>Mitigation</x:v>
      </x:c>
      <x:c r="C433" s="2" t="str">
        <x:v>Agriculture</x:v>
      </x:c>
      <x:c r="D433" s="2" t="str">
        <x:v>Cropland</x:v>
      </x:c>
      <x:c r="E433" s="2" t="str">
        <x:v>Reduction of energy use in traction</x:v>
      </x:c>
      <x:c r="F433" s="2" t="str">
        <x:v>Potash</x:v>
      </x:c>
      <x:c r="G433" s="2" t="str">
        <x:v>Agricultural strategic mineral</x:v>
      </x:c>
      <x:c r="H433" s="2" t="str">
        <x:v>Potash is linked to Reduction of energy use in traction because it is typically used in potassium fertiliser used by the agricultural system; the assignment follows component function, not a sector-wide keyword.</x:v>
      </x:c>
      <x:c r="I433" s="2" t="str">
        <x:v>Presence and quantity in Reduction of energy use in traction depend on the selected design, chemistry, capacity, supplier and recycled content. This analytical link is not a verified bill of materials or supplier traceability statement.</x:v>
      </x:c>
      <x:c r="J433" s="2" t="str">
        <x:v>https://pubs.usgs.gov/periodicals/mcs2026/mcs2026.pdf</x:v>
      </x:c>
    </x:row>
    <x:row r="434" ht="66" customHeight="1">
      <x:c r="A434" s="2" t="str">
        <x:v>MIT-0175</x:v>
      </x:c>
      <x:c r="B434" s="2" t="str">
        <x:v>Mitigation</x:v>
      </x:c>
      <x:c r="C434" s="2" t="str">
        <x:v>Agriculture</x:v>
      </x:c>
      <x:c r="D434" s="2" t="str">
        <x:v>Cropland</x:v>
      </x:c>
      <x:c r="E434" s="2" t="str">
        <x:v>Field burning of agricultural residues</x:v>
      </x:c>
      <x:c r="F434" s="2" t="str">
        <x:v>Phosphate rock</x:v>
      </x:c>
      <x:c r="G434" s="2" t="str">
        <x:v>Agricultural strategic mineral</x:v>
      </x:c>
      <x:c r="H434" s="2" t="str">
        <x:v>Phosphate rock is linked to Field burning of agricultural residues because it is typically used in phosphorus fertiliser used by the agricultural system; the assignment follows component function, not a sector-wide keyword.</x:v>
      </x:c>
      <x:c r="I434" s="2" t="str">
        <x:v>Presence and quantity in Field burning of agricultural residues depend on the selected design, chemistry, capacity, supplier and recycled content. This analytical link is not a verified bill of materials or supplier traceability statement.</x:v>
      </x:c>
      <x:c r="J434" s="2" t="str">
        <x:v>https://pubs.usgs.gov/periodicals/mcs2026/mcs2026.pdf</x:v>
      </x:c>
    </x:row>
    <x:row r="435" ht="66" customHeight="1">
      <x:c r="A435" s="2" t="str">
        <x:v>MIT-0175</x:v>
      </x:c>
      <x:c r="B435" s="2" t="str">
        <x:v>Mitigation</x:v>
      </x:c>
      <x:c r="C435" s="2" t="str">
        <x:v>Agriculture</x:v>
      </x:c>
      <x:c r="D435" s="2" t="str">
        <x:v>Cropland</x:v>
      </x:c>
      <x:c r="E435" s="2" t="str">
        <x:v>Field burning of agricultural residues</x:v>
      </x:c>
      <x:c r="F435" s="2" t="str">
        <x:v>Potash</x:v>
      </x:c>
      <x:c r="G435" s="2" t="str">
        <x:v>Agricultural strategic mineral</x:v>
      </x:c>
      <x:c r="H435" s="2" t="str">
        <x:v>Potash is linked to Field burning of agricultural residues because it is typically used in potassium fertiliser used by the agricultural system; the assignment follows component function, not a sector-wide keyword.</x:v>
      </x:c>
      <x:c r="I435" s="2" t="str">
        <x:v>Presence and quantity in Field burning of agricultural residues depend on the selected design, chemistry, capacity, supplier and recycled content. This analytical link is not a verified bill of materials or supplier traceability statement.</x:v>
      </x:c>
      <x:c r="J435" s="2" t="str">
        <x:v>https://pubs.usgs.gov/periodicals/mcs2026/mcs2026.pdf</x:v>
      </x:c>
    </x:row>
    <x:row r="436" ht="66" customHeight="1">
      <x:c r="A436" s="2" t="str">
        <x:v>MIT-0176</x:v>
      </x:c>
      <x:c r="B436" s="2" t="str">
        <x:v>Mitigation</x:v>
      </x:c>
      <x:c r="C436" s="2" t="str">
        <x:v>Agriculture</x:v>
      </x:c>
      <x:c r="D436" s="2" t="str">
        <x:v>Cropland</x:v>
      </x:c>
      <x:c r="E436" s="2" t="str">
        <x:v>Precision agriculture</x:v>
      </x:c>
      <x:c r="F436" s="2" t="str">
        <x:v>Phosphate rock</x:v>
      </x:c>
      <x:c r="G436" s="2" t="str">
        <x:v>Agricultural strategic mineral</x:v>
      </x:c>
      <x:c r="H436" s="2" t="str">
        <x:v>Phosphate rock is linked to Precision agriculture because it is typically used in phosphorus fertiliser used by the agricultural system; the assignment follows component function, not a sector-wide keyword.</x:v>
      </x:c>
      <x:c r="I436" s="2" t="str">
        <x:v>Presence and quantity in Precision agriculture depend on the selected design, chemistry, capacity, supplier and recycled content. This analytical link is not a verified bill of materials or supplier traceability statement.</x:v>
      </x:c>
      <x:c r="J436" s="2" t="str">
        <x:v>https://pubs.usgs.gov/periodicals/mcs2026/mcs2026.pdf</x:v>
      </x:c>
    </x:row>
    <x:row r="437" ht="66" customHeight="1">
      <x:c r="A437" s="2" t="str">
        <x:v>MIT-0176</x:v>
      </x:c>
      <x:c r="B437" s="2" t="str">
        <x:v>Mitigation</x:v>
      </x:c>
      <x:c r="C437" s="2" t="str">
        <x:v>Agriculture</x:v>
      </x:c>
      <x:c r="D437" s="2" t="str">
        <x:v>Cropland</x:v>
      </x:c>
      <x:c r="E437" s="2" t="str">
        <x:v>Precision agriculture</x:v>
      </x:c>
      <x:c r="F437" s="2" t="str">
        <x:v>Potash</x:v>
      </x:c>
      <x:c r="G437" s="2" t="str">
        <x:v>Agricultural strategic mineral</x:v>
      </x:c>
      <x:c r="H437" s="2" t="str">
        <x:v>Potash is linked to Precision agriculture because it is typically used in potassium fertiliser used by the agricultural system; the assignment follows component function, not a sector-wide keyword.</x:v>
      </x:c>
      <x:c r="I437" s="2" t="str">
        <x:v>Presence and quantity in Precision agriculture depend on the selected design, chemistry, capacity, supplier and recycled content. This analytical link is not a verified bill of materials or supplier traceability statement.</x:v>
      </x:c>
      <x:c r="J437" s="2" t="str">
        <x:v>https://pubs.usgs.gov/periodicals/mcs2026/mcs2026.pdf</x:v>
      </x:c>
    </x:row>
    <x:row r="438" ht="66" customHeight="1">
      <x:c r="A438" s="2" t="str">
        <x:v>MIT-0177</x:v>
      </x:c>
      <x:c r="B438" s="2" t="str">
        <x:v>Mitigation</x:v>
      </x:c>
      <x:c r="C438" s="2" t="str">
        <x:v>Agriculture</x:v>
      </x:c>
      <x:c r="D438" s="2" t="str">
        <x:v>Cropland</x:v>
      </x:c>
      <x:c r="E438" s="2" t="str">
        <x:v>Conservation tillage</x:v>
      </x:c>
      <x:c r="F438" s="2" t="str">
        <x:v>Phosphate rock</x:v>
      </x:c>
      <x:c r="G438" s="2" t="str">
        <x:v>Agricultural strategic mineral</x:v>
      </x:c>
      <x:c r="H438" s="2" t="str">
        <x:v>Phosphate rock is linked to Conservation tillage because it is typically used in phosphorus fertiliser used by the agricultural system; the assignment follows component function, not a sector-wide keyword.</x:v>
      </x:c>
      <x:c r="I438" s="2" t="str">
        <x:v>Presence and quantity in Conservation tillage depend on the selected design, chemistry, capacity, supplier and recycled content. This analytical link is not a verified bill of materials or supplier traceability statement.</x:v>
      </x:c>
      <x:c r="J438" s="2" t="str">
        <x:v>https://pubs.usgs.gov/periodicals/mcs2026/mcs2026.pdf</x:v>
      </x:c>
    </x:row>
    <x:row r="439" ht="66" customHeight="1">
      <x:c r="A439" s="2" t="str">
        <x:v>MIT-0177</x:v>
      </x:c>
      <x:c r="B439" s="2" t="str">
        <x:v>Mitigation</x:v>
      </x:c>
      <x:c r="C439" s="2" t="str">
        <x:v>Agriculture</x:v>
      </x:c>
      <x:c r="D439" s="2" t="str">
        <x:v>Cropland</x:v>
      </x:c>
      <x:c r="E439" s="2" t="str">
        <x:v>Conservation tillage</x:v>
      </x:c>
      <x:c r="F439" s="2" t="str">
        <x:v>Potash</x:v>
      </x:c>
      <x:c r="G439" s="2" t="str">
        <x:v>Agricultural strategic mineral</x:v>
      </x:c>
      <x:c r="H439" s="2" t="str">
        <x:v>Potash is linked to Conservation tillage because it is typically used in potassium fertiliser used by the agricultural system; the assignment follows component function, not a sector-wide keyword.</x:v>
      </x:c>
      <x:c r="I439" s="2" t="str">
        <x:v>Presence and quantity in Conservation tillage depend on the selected design, chemistry, capacity, supplier and recycled content. This analytical link is not a verified bill of materials or supplier traceability statement.</x:v>
      </x:c>
      <x:c r="J439" s="2" t="str">
        <x:v>https://pubs.usgs.gov/periodicals/mcs2026/mcs2026.pdf</x:v>
      </x:c>
    </x:row>
    <x:row r="440" ht="66" customHeight="1">
      <x:c r="A440" s="2" t="str">
        <x:v>MIT-0178</x:v>
      </x:c>
      <x:c r="B440" s="2" t="str">
        <x:v>Mitigation</x:v>
      </x:c>
      <x:c r="C440" s="2" t="str">
        <x:v>Agriculture</x:v>
      </x:c>
      <x:c r="D440" s="2" t="str">
        <x:v>Cropland</x:v>
      </x:c>
      <x:c r="E440" s="2" t="str">
        <x:v>Peat carbon management</x:v>
      </x:c>
      <x:c r="F440" s="2" t="str">
        <x:v>Phosphate rock</x:v>
      </x:c>
      <x:c r="G440" s="2" t="str">
        <x:v>Agricultural strategic mineral</x:v>
      </x:c>
      <x:c r="H440" s="2" t="str">
        <x:v>Phosphate rock is linked to Peat carbon management because it is typically used in phosphorus fertiliser used by the agricultural system; the assignment follows component function, not a sector-wide keyword.</x:v>
      </x:c>
      <x:c r="I440" s="2" t="str">
        <x:v>Presence and quantity in Peat carbon management depend on the selected design, chemistry, capacity, supplier and recycled content. This analytical link is not a verified bill of materials or supplier traceability statement.</x:v>
      </x:c>
      <x:c r="J440" s="2" t="str">
        <x:v>https://pubs.usgs.gov/periodicals/mcs2026/mcs2026.pdf</x:v>
      </x:c>
    </x:row>
    <x:row r="441" ht="66" customHeight="1">
      <x:c r="A441" s="2" t="str">
        <x:v>MIT-0178</x:v>
      </x:c>
      <x:c r="B441" s="2" t="str">
        <x:v>Mitigation</x:v>
      </x:c>
      <x:c r="C441" s="2" t="str">
        <x:v>Agriculture</x:v>
      </x:c>
      <x:c r="D441" s="2" t="str">
        <x:v>Cropland</x:v>
      </x:c>
      <x:c r="E441" s="2" t="str">
        <x:v>Peat carbon management</x:v>
      </x:c>
      <x:c r="F441" s="2" t="str">
        <x:v>Potash</x:v>
      </x:c>
      <x:c r="G441" s="2" t="str">
        <x:v>Agricultural strategic mineral</x:v>
      </x:c>
      <x:c r="H441" s="2" t="str">
        <x:v>Potash is linked to Peat carbon management because it is typically used in potassium fertiliser used by the agricultural system; the assignment follows component function, not a sector-wide keyword.</x:v>
      </x:c>
      <x:c r="I441" s="2" t="str">
        <x:v>Presence and quantity in Peat carbon management depend on the selected design, chemistry, capacity, supplier and recycled content. This analytical link is not a verified bill of materials or supplier traceability statement.</x:v>
      </x:c>
      <x:c r="J441" s="2" t="str">
        <x:v>https://pubs.usgs.gov/periodicals/mcs2026/mcs2026.pdf</x:v>
      </x:c>
    </x:row>
    <x:row r="442" ht="66" customHeight="1">
      <x:c r="A442" s="2" t="str">
        <x:v>MIT-0179</x:v>
      </x:c>
      <x:c r="B442" s="2" t="str">
        <x:v>Mitigation</x:v>
      </x:c>
      <x:c r="C442" s="2" t="str">
        <x:v>Agriculture</x:v>
      </x:c>
      <x:c r="D442" s="2" t="str">
        <x:v>Cropland</x:v>
      </x:c>
      <x:c r="E442" s="2" t="str">
        <x:v>Biochar</x:v>
      </x:c>
      <x:c r="F442" s="2" t="str">
        <x:v>Phosphate rock</x:v>
      </x:c>
      <x:c r="G442" s="2" t="str">
        <x:v>Agricultural strategic mineral</x:v>
      </x:c>
      <x:c r="H442" s="2" t="str">
        <x:v>Phosphate rock is linked to Biochar because it is typically used in phosphorus fertiliser used by the agricultural system; the assignment follows component function, not a sector-wide keyword.</x:v>
      </x:c>
      <x:c r="I442" s="2" t="str">
        <x:v>Presence and quantity in Biochar depend on the selected design, chemistry, capacity, supplier and recycled content. This analytical link is not a verified bill of materials or supplier traceability statement.</x:v>
      </x:c>
      <x:c r="J442" s="2" t="str">
        <x:v>https://pubs.usgs.gov/periodicals/mcs2026/mcs2026.pdf</x:v>
      </x:c>
    </x:row>
    <x:row r="443" ht="66" customHeight="1">
      <x:c r="A443" s="2" t="str">
        <x:v>MIT-0179</x:v>
      </x:c>
      <x:c r="B443" s="2" t="str">
        <x:v>Mitigation</x:v>
      </x:c>
      <x:c r="C443" s="2" t="str">
        <x:v>Agriculture</x:v>
      </x:c>
      <x:c r="D443" s="2" t="str">
        <x:v>Cropland</x:v>
      </x:c>
      <x:c r="E443" s="2" t="str">
        <x:v>Biochar</x:v>
      </x:c>
      <x:c r="F443" s="2" t="str">
        <x:v>Potash</x:v>
      </x:c>
      <x:c r="G443" s="2" t="str">
        <x:v>Agricultural strategic mineral</x:v>
      </x:c>
      <x:c r="H443" s="2" t="str">
        <x:v>Potash is linked to Biochar because it is typically used in potassium fertiliser used by the agricultural system; the assignment follows component function, not a sector-wide keyword.</x:v>
      </x:c>
      <x:c r="I443" s="2" t="str">
        <x:v>Presence and quantity in Biochar depend on the selected design, chemistry, capacity, supplier and recycled content. This analytical link is not a verified bill of materials or supplier traceability statement.</x:v>
      </x:c>
      <x:c r="J443" s="2" t="str">
        <x:v>https://pubs.usgs.gov/periodicals/mcs2026/mcs2026.pdf</x:v>
      </x:c>
    </x:row>
    <x:row r="444" ht="66" customHeight="1">
      <x:c r="A444" s="2" t="str">
        <x:v>MIT-0180</x:v>
      </x:c>
      <x:c r="B444" s="2" t="str">
        <x:v>Mitigation</x:v>
      </x:c>
      <x:c r="C444" s="2" t="str">
        <x:v>Agriculture</x:v>
      </x:c>
      <x:c r="D444" s="2" t="str">
        <x:v>Cropland</x:v>
      </x:c>
      <x:c r="E444" s="2" t="str">
        <x:v>Landscape multifunctionality</x:v>
      </x:c>
      <x:c r="F444" s="2" t="str">
        <x:v>Phosphate rock</x:v>
      </x:c>
      <x:c r="G444" s="2" t="str">
        <x:v>Agricultural strategic mineral</x:v>
      </x:c>
      <x:c r="H444" s="2" t="str">
        <x:v>Phosphate rock is linked to Landscape multifunctionality because it is typically used in phosphorus fertiliser used by the agricultural system; the assignment follows component function, not a sector-wide keyword.</x:v>
      </x:c>
      <x:c r="I444" s="2" t="str">
        <x:v>Presence and quantity in Landscape multifunctionality depend on the selected design, chemistry, capacity, supplier and recycled content. This analytical link is not a verified bill of materials or supplier traceability statement.</x:v>
      </x:c>
      <x:c r="J444" s="2" t="str">
        <x:v>https://pubs.usgs.gov/periodicals/mcs2026/mcs2026.pdf</x:v>
      </x:c>
    </x:row>
    <x:row r="445" ht="66" customHeight="1">
      <x:c r="A445" s="2" t="str">
        <x:v>MIT-0180</x:v>
      </x:c>
      <x:c r="B445" s="2" t="str">
        <x:v>Mitigation</x:v>
      </x:c>
      <x:c r="C445" s="2" t="str">
        <x:v>Agriculture</x:v>
      </x:c>
      <x:c r="D445" s="2" t="str">
        <x:v>Cropland</x:v>
      </x:c>
      <x:c r="E445" s="2" t="str">
        <x:v>Landscape multifunctionality</x:v>
      </x:c>
      <x:c r="F445" s="2" t="str">
        <x:v>Potash</x:v>
      </x:c>
      <x:c r="G445" s="2" t="str">
        <x:v>Agricultural strategic mineral</x:v>
      </x:c>
      <x:c r="H445" s="2" t="str">
        <x:v>Potash is linked to Landscape multifunctionality because it is typically used in potassium fertiliser used by the agricultural system; the assignment follows component function, not a sector-wide keyword.</x:v>
      </x:c>
      <x:c r="I445" s="2" t="str">
        <x:v>Presence and quantity in Landscape multifunctionality depend on the selected design, chemistry, capacity, supplier and recycled content. This analytical link is not a verified bill of materials or supplier traceability statement.</x:v>
      </x:c>
      <x:c r="J445" s="2" t="str">
        <x:v>https://pubs.usgs.gov/periodicals/mcs2026/mcs2026.pdf</x:v>
      </x:c>
    </x:row>
    <x:row r="446" ht="66" customHeight="1">
      <x:c r="A446" s="2" t="str">
        <x:v>MIT-0181</x:v>
      </x:c>
      <x:c r="B446" s="2" t="str">
        <x:v>Mitigation</x:v>
      </x:c>
      <x:c r="C446" s="2" t="str">
        <x:v>Agriculture</x:v>
      </x:c>
      <x:c r="D446" s="2" t="str">
        <x:v>Cropland</x:v>
      </x:c>
      <x:c r="E446" s="2" t="str">
        <x:v>Cover crop technology</x:v>
      </x:c>
      <x:c r="F446" s="2" t="str">
        <x:v>Phosphate rock</x:v>
      </x:c>
      <x:c r="G446" s="2" t="str">
        <x:v>Agricultural strategic mineral</x:v>
      </x:c>
      <x:c r="H446" s="2" t="str">
        <x:v>Phosphate rock is linked to Cover crop technology because it is typically used in phosphorus fertiliser used by the agricultural system; the assignment follows component function, not a sector-wide keyword.</x:v>
      </x:c>
      <x:c r="I446" s="2" t="str">
        <x:v>Presence and quantity in Cover crop technology depend on the selected design, chemistry, capacity, supplier and recycled content. This analytical link is not a verified bill of materials or supplier traceability statement.</x:v>
      </x:c>
      <x:c r="J446" s="2" t="str">
        <x:v>https://pubs.usgs.gov/periodicals/mcs2026/mcs2026.pdf</x:v>
      </x:c>
    </x:row>
    <x:row r="447" ht="66" customHeight="1">
      <x:c r="A447" s="2" t="str">
        <x:v>MIT-0181</x:v>
      </x:c>
      <x:c r="B447" s="2" t="str">
        <x:v>Mitigation</x:v>
      </x:c>
      <x:c r="C447" s="2" t="str">
        <x:v>Agriculture</x:v>
      </x:c>
      <x:c r="D447" s="2" t="str">
        <x:v>Cropland</x:v>
      </x:c>
      <x:c r="E447" s="2" t="str">
        <x:v>Cover crop technology</x:v>
      </x:c>
      <x:c r="F447" s="2" t="str">
        <x:v>Potash</x:v>
      </x:c>
      <x:c r="G447" s="2" t="str">
        <x:v>Agricultural strategic mineral</x:v>
      </x:c>
      <x:c r="H447" s="2" t="str">
        <x:v>Potash is linked to Cover crop technology because it is typically used in potassium fertiliser used by the agricultural system; the assignment follows component function, not a sector-wide keyword.</x:v>
      </x:c>
      <x:c r="I447" s="2" t="str">
        <x:v>Presence and quantity in Cover crop technology depend on the selected design, chemistry, capacity, supplier and recycled content. This analytical link is not a verified bill of materials or supplier traceability statement.</x:v>
      </x:c>
      <x:c r="J447" s="2" t="str">
        <x:v>https://pubs.usgs.gov/periodicals/mcs2026/mcs2026.pdf</x:v>
      </x:c>
    </x:row>
    <x:row r="448" ht="66" customHeight="1">
      <x:c r="A448" s="2" t="str">
        <x:v>MIT-0182</x:v>
      </x:c>
      <x:c r="B448" s="2" t="str">
        <x:v>Mitigation</x:v>
      </x:c>
      <x:c r="C448" s="2" t="str">
        <x:v>Agriculture</x:v>
      </x:c>
      <x:c r="D448" s="2" t="str">
        <x:v>Cropland</x:v>
      </x:c>
      <x:c r="E448" s="2" t="str">
        <x:v>Manure coverage</x:v>
      </x:c>
      <x:c r="F448" s="2" t="str">
        <x:v>Phosphate rock</x:v>
      </x:c>
      <x:c r="G448" s="2" t="str">
        <x:v>Agricultural strategic mineral</x:v>
      </x:c>
      <x:c r="H448" s="2" t="str">
        <x:v>Phosphate rock is linked to Manure coverage because it is typically used in phosphorus fertiliser used by the agricultural system; the assignment follows component function, not a sector-wide keyword.</x:v>
      </x:c>
      <x:c r="I448" s="2" t="str">
        <x:v>Presence and quantity in Manure coverage depend on the selected design, chemistry, capacity, supplier and recycled content. This analytical link is not a verified bill of materials or supplier traceability statement.</x:v>
      </x:c>
      <x:c r="J448" s="2" t="str">
        <x:v>https://pubs.usgs.gov/periodicals/mcs2026/mcs2026.pdf</x:v>
      </x:c>
    </x:row>
    <x:row r="449" ht="66" customHeight="1">
      <x:c r="A449" s="2" t="str">
        <x:v>MIT-0182</x:v>
      </x:c>
      <x:c r="B449" s="2" t="str">
        <x:v>Mitigation</x:v>
      </x:c>
      <x:c r="C449" s="2" t="str">
        <x:v>Agriculture</x:v>
      </x:c>
      <x:c r="D449" s="2" t="str">
        <x:v>Cropland</x:v>
      </x:c>
      <x:c r="E449" s="2" t="str">
        <x:v>Manure coverage</x:v>
      </x:c>
      <x:c r="F449" s="2" t="str">
        <x:v>Potash</x:v>
      </x:c>
      <x:c r="G449" s="2" t="str">
        <x:v>Agricultural strategic mineral</x:v>
      </x:c>
      <x:c r="H449" s="2" t="str">
        <x:v>Potash is linked to Manure coverage because it is typically used in potassium fertiliser used by the agricultural system; the assignment follows component function, not a sector-wide keyword.</x:v>
      </x:c>
      <x:c r="I449" s="2" t="str">
        <x:v>Presence and quantity in Manure coverage depend on the selected design, chemistry, capacity, supplier and recycled content. This analytical link is not a verified bill of materials or supplier traceability statement.</x:v>
      </x:c>
      <x:c r="J449" s="2" t="str">
        <x:v>https://pubs.usgs.gov/periodicals/mcs2026/mcs2026.pdf</x:v>
      </x:c>
    </x:row>
    <x:row r="450" ht="66" customHeight="1">
      <x:c r="A450" s="2" t="str">
        <x:v>MIT-0183</x:v>
      </x:c>
      <x:c r="B450" s="2" t="str">
        <x:v>Mitigation</x:v>
      </x:c>
      <x:c r="C450" s="2" t="str">
        <x:v>Agriculture</x:v>
      </x:c>
      <x:c r="D450" s="2" t="str">
        <x:v>Cropland</x:v>
      </x:c>
      <x:c r="E450" s="2" t="str">
        <x:v>Crop drying</x:v>
      </x:c>
      <x:c r="F450" s="2" t="str">
        <x:v>Phosphate rock</x:v>
      </x:c>
      <x:c r="G450" s="2" t="str">
        <x:v>Agricultural strategic mineral</x:v>
      </x:c>
      <x:c r="H450" s="2" t="str">
        <x:v>Phosphate rock is linked to Crop drying because it is typically used in phosphorus fertiliser used by the agricultural system; the assignment follows component function, not a sector-wide keyword.</x:v>
      </x:c>
      <x:c r="I450" s="2" t="str">
        <x:v>Presence and quantity in Crop drying depend on the selected design, chemistry, capacity, supplier and recycled content. This analytical link is not a verified bill of materials or supplier traceability statement.</x:v>
      </x:c>
      <x:c r="J450" s="2" t="str">
        <x:v>https://pubs.usgs.gov/periodicals/mcs2026/mcs2026.pdf</x:v>
      </x:c>
    </x:row>
    <x:row r="451" ht="66" customHeight="1">
      <x:c r="A451" s="2" t="str">
        <x:v>MIT-0183</x:v>
      </x:c>
      <x:c r="B451" s="2" t="str">
        <x:v>Mitigation</x:v>
      </x:c>
      <x:c r="C451" s="2" t="str">
        <x:v>Agriculture</x:v>
      </x:c>
      <x:c r="D451" s="2" t="str">
        <x:v>Cropland</x:v>
      </x:c>
      <x:c r="E451" s="2" t="str">
        <x:v>Crop drying</x:v>
      </x:c>
      <x:c r="F451" s="2" t="str">
        <x:v>Potash</x:v>
      </x:c>
      <x:c r="G451" s="2" t="str">
        <x:v>Agricultural strategic mineral</x:v>
      </x:c>
      <x:c r="H451" s="2" t="str">
        <x:v>Potash is linked to Crop drying because it is typically used in potassium fertiliser used by the agricultural system; the assignment follows component function, not a sector-wide keyword.</x:v>
      </x:c>
      <x:c r="I451" s="2" t="str">
        <x:v>Presence and quantity in Crop drying depend on the selected design, chemistry, capacity, supplier and recycled content. This analytical link is not a verified bill of materials or supplier traceability statement.</x:v>
      </x:c>
      <x:c r="J451" s="2" t="str">
        <x:v>https://pubs.usgs.gov/periodicals/mcs2026/mcs2026.pdf</x:v>
      </x:c>
    </x:row>
    <x:row r="452" ht="66" customHeight="1">
      <x:c r="A452" s="2" t="str">
        <x:v>MIT-0185</x:v>
      </x:c>
      <x:c r="B452" s="2" t="str">
        <x:v>Mitigation</x:v>
      </x:c>
      <x:c r="C452" s="2" t="str">
        <x:v>Agriculture</x:v>
      </x:c>
      <x:c r="D452" s="2" t="str">
        <x:v>Soil carbon measurement</x:v>
      </x:c>
      <x:c r="E452" s="2" t="str">
        <x:v>Soil carbon measurement</x:v>
      </x:c>
      <x:c r="F452" s="2" t="str">
        <x:v>Phosphate rock</x:v>
      </x:c>
      <x:c r="G452" s="2" t="str">
        <x:v>Agricultural strategic mineral</x:v>
      </x:c>
      <x:c r="H452" s="2" t="str">
        <x:v>Phosphate rock is linked to Soil carbon measurement because it is typically used in phosphorus fertiliser used by the agricultural system; the assignment follows component function, not a sector-wide keyword.</x:v>
      </x:c>
      <x:c r="I452" s="2" t="str">
        <x:v>Presence and quantity in Soil carbon measurement depend on the selected design, chemistry, capacity, supplier and recycled content. This analytical link is not a verified bill of materials or supplier traceability statement.</x:v>
      </x:c>
      <x:c r="J452" s="2" t="str">
        <x:v>https://pubs.usgs.gov/periodicals/mcs2026/mcs2026.pdf</x:v>
      </x:c>
    </x:row>
    <x:row r="453" ht="66" customHeight="1">
      <x:c r="A453" s="2" t="str">
        <x:v>MIT-0185</x:v>
      </x:c>
      <x:c r="B453" s="2" t="str">
        <x:v>Mitigation</x:v>
      </x:c>
      <x:c r="C453" s="2" t="str">
        <x:v>Agriculture</x:v>
      </x:c>
      <x:c r="D453" s="2" t="str">
        <x:v>Soil carbon measurement</x:v>
      </x:c>
      <x:c r="E453" s="2" t="str">
        <x:v>Soil carbon measurement</x:v>
      </x:c>
      <x:c r="F453" s="2" t="str">
        <x:v>Potash</x:v>
      </x:c>
      <x:c r="G453" s="2" t="str">
        <x:v>Agricultural strategic mineral</x:v>
      </x:c>
      <x:c r="H453" s="2" t="str">
        <x:v>Potash is linked to Soil carbon measurement because it is typically used in potassium fertiliser used by the agricultural system; the assignment follows component function, not a sector-wide keyword.</x:v>
      </x:c>
      <x:c r="I453" s="2" t="str">
        <x:v>Presence and quantity in Soil carbon measurement depend on the selected design, chemistry, capacity, supplier and recycled content. This analytical link is not a verified bill of materials or supplier traceability statement.</x:v>
      </x:c>
      <x:c r="J453" s="2" t="str">
        <x:v>https://pubs.usgs.gov/periodicals/mcs2026/mcs2026.pdf</x:v>
      </x:c>
    </x:row>
    <x:row r="454" ht="66" customHeight="1">
      <x:c r="A454" s="2" t="str">
        <x:v>MIT-0186</x:v>
      </x:c>
      <x:c r="B454" s="2" t="str">
        <x:v>Mitigation</x:v>
      </x:c>
      <x:c r="C454" s="2" t="str">
        <x:v>Agriculture</x:v>
      </x:c>
      <x:c r="D454" s="2" t="str">
        <x:v>Carbon stock measurement, monitoring and verification</x:v>
      </x:c>
      <x:c r="E454" s="2" t="str">
        <x:v>Carbon stock measurement, monitoring and verification</x:v>
      </x:c>
      <x:c r="F454" s="2" t="str">
        <x:v>Copper</x:v>
      </x:c>
      <x:c r="G454" s="2" t="str">
        <x:v>Critical or strategic metal</x:v>
      </x:c>
      <x:c r="H454" s="2" t="str">
        <x:v>Copper is linked to Carbon stock measurement, monitoring and verification because it is typically used in power cables, windings, busbars, grounding and electrical connectors; the assignment follows component function, not a sector-wide keyword.</x:v>
      </x:c>
      <x:c r="I454" s="2" t="str">
        <x:v>Presence and quantity in Carbon stock measurement, monitoring and verification depend on the selected design, chemistry, capacity, supplier and recycled content. This analytical link is not a verified bill of materials or supplier traceability statement.</x:v>
      </x:c>
      <x:c r="J454" s="2" t="str">
        <x:v>https://pubs.usgs.gov/periodicals/mcs2026/mcs2026.pdf</x:v>
      </x:c>
    </x:row>
    <x:row r="455" ht="66" customHeight="1">
      <x:c r="A455" s="2" t="str">
        <x:v>MIT-0186</x:v>
      </x:c>
      <x:c r="B455" s="2" t="str">
        <x:v>Mitigation</x:v>
      </x:c>
      <x:c r="C455" s="2" t="str">
        <x:v>Agriculture</x:v>
      </x:c>
      <x:c r="D455" s="2" t="str">
        <x:v>Carbon stock measurement, monitoring and verification</x:v>
      </x:c>
      <x:c r="E455" s="2" t="str">
        <x:v>Carbon stock measurement, monitoring and verification</x:v>
      </x:c>
      <x:c r="F455" s="2" t="str">
        <x:v>Tin</x:v>
      </x:c>
      <x:c r="G455" s="2" t="str">
        <x:v>Electronics strategic metal</x:v>
      </x:c>
      <x:c r="H455" s="2" t="str">
        <x:v>Tin is linked to Carbon stock measurement, monitoring and verification because it is typically used in electronic solder and selected coatings; the assignment follows component function, not a sector-wide keyword.</x:v>
      </x:c>
      <x:c r="I455" s="2" t="str">
        <x:v>Presence and quantity in Carbon stock measurement, monitoring and verification depend on the selected design, chemistry, capacity, supplier and recycled content. This analytical link is not a verified bill of materials or supplier traceability statement.</x:v>
      </x:c>
      <x:c r="J455" s="2" t="str">
        <x:v>https://pubs.usgs.gov/periodicals/mcs2026/mcs2026.pdf</x:v>
      </x:c>
    </x:row>
    <x:row r="456" ht="66" customHeight="1">
      <x:c r="A456" s="2" t="str">
        <x:v>MIT-0189</x:v>
      </x:c>
      <x:c r="B456" s="2" t="str">
        <x:v>Mitigation</x:v>
      </x:c>
      <x:c r="C456" s="2" t="str">
        <x:v>Agriculture</x:v>
      </x:c>
      <x:c r="D456" s="2" t="str">
        <x:v>Livestock management</x:v>
      </x:c>
      <x:c r="E456" s="2" t="str">
        <x:v>Selective breeding via controlled mating</x:v>
      </x:c>
      <x:c r="F456" s="2" t="str">
        <x:v>Copper</x:v>
      </x:c>
      <x:c r="G456" s="2" t="str">
        <x:v>Critical or strategic metal</x:v>
      </x:c>
      <x:c r="H456" s="2" t="str">
        <x:v>Copper is linked to Selective breeding via controlled mating because it is typically used in power cables, windings, busbars, grounding and electrical connectors; the assignment follows component function, not a sector-wide keyword.</x:v>
      </x:c>
      <x:c r="I456" s="2" t="str">
        <x:v>Presence and quantity in Selective breeding via controlled mating depend on the selected design, chemistry, capacity, supplier and recycled content. This analytical link is not a verified bill of materials or supplier traceability statement.</x:v>
      </x:c>
      <x:c r="J456" s="2" t="str">
        <x:v>https://pubs.usgs.gov/periodicals/mcs2026/mcs2026.pdf</x:v>
      </x:c>
    </x:row>
    <x:row r="457" ht="66" customHeight="1">
      <x:c r="A457" s="2" t="str">
        <x:v>MIT-0189</x:v>
      </x:c>
      <x:c r="B457" s="2" t="str">
        <x:v>Mitigation</x:v>
      </x:c>
      <x:c r="C457" s="2" t="str">
        <x:v>Agriculture</x:v>
      </x:c>
      <x:c r="D457" s="2" t="str">
        <x:v>Livestock management</x:v>
      </x:c>
      <x:c r="E457" s="2" t="str">
        <x:v>Selective breeding via controlled mating</x:v>
      </x:c>
      <x:c r="F457" s="2" t="str">
        <x:v>Tin</x:v>
      </x:c>
      <x:c r="G457" s="2" t="str">
        <x:v>Electronics strategic metal</x:v>
      </x:c>
      <x:c r="H457" s="2" t="str">
        <x:v>Tin is linked to Selective breeding via controlled mating because it is typically used in electronic solder and selected coatings; the assignment follows component function, not a sector-wide keyword.</x:v>
      </x:c>
      <x:c r="I457" s="2" t="str">
        <x:v>Presence and quantity in Selective breeding via controlled mating depend on the selected design, chemistry, capacity, supplier and recycled content. This analytical link is not a verified bill of materials or supplier traceability statement.</x:v>
      </x:c>
      <x:c r="J457" s="2" t="str">
        <x:v>https://pubs.usgs.gov/periodicals/mcs2026/mcs2026.pdf</x:v>
      </x:c>
    </x:row>
    <x:row r="458" ht="66" customHeight="1">
      <x:c r="A458" s="2" t="str">
        <x:v>MIT-0191</x:v>
      </x:c>
      <x:c r="B458" s="2" t="str">
        <x:v>Mitigation</x:v>
      </x:c>
      <x:c r="C458" s="2" t="str">
        <x:v>Agriculture</x:v>
      </x:c>
      <x:c r="D458" s="2" t="str">
        <x:v>Livestock management</x:v>
      </x:c>
      <x:c r="E458" s="2" t="str">
        <x:v>Straw ammoniation and silage</x:v>
      </x:c>
      <x:c r="F458" s="2" t="str">
        <x:v>Platinum-group metals</x:v>
      </x:c>
      <x:c r="G458" s="2" t="str">
        <x:v>Catalyst critical minerals</x:v>
      </x:c>
      <x:c r="H458" s="2" t="str">
        <x:v>Platinum-group metals is linked to Straw ammoniation and silage because it is typically used in electrochemical electrodes or catalytic conversion; the assignment follows component function, not a sector-wide keyword.</x:v>
      </x:c>
      <x:c r="I458" s="2" t="str">
        <x:v>Presence and quantity in Straw ammoniation and silage depend on the selected design, chemistry, capacity, supplier and recycled content. This analytical link is not a verified bill of materials or supplier traceability statement.</x:v>
      </x:c>
      <x:c r="J458" s="2" t="str">
        <x:v>https://pubs.usgs.gov/periodicals/mcs2026/mcs2026.pdf</x:v>
      </x:c>
    </x:row>
    <x:row r="459" ht="66" customHeight="1">
      <x:c r="A459" s="2" t="str">
        <x:v>MIT-0196</x:v>
      </x:c>
      <x:c r="B459" s="2" t="str">
        <x:v>Mitigation</x:v>
      </x:c>
      <x:c r="C459" s="2" t="str">
        <x:v>Agriculture</x:v>
      </x:c>
      <x:c r="D459" s="2" t="str">
        <x:v>Livestock management</x:v>
      </x:c>
      <x:c r="E459" s="2" t="str">
        <x:v>Fodder banks</x:v>
      </x:c>
      <x:c r="F459" s="2" t="str">
        <x:v>Phosphate rock</x:v>
      </x:c>
      <x:c r="G459" s="2" t="str">
        <x:v>Agricultural strategic mineral</x:v>
      </x:c>
      <x:c r="H459" s="2" t="str">
        <x:v>Phosphate rock is linked to Fodder banks because it is typically used in phosphorus fertiliser used by the agricultural system; the assignment follows component function, not a sector-wide keyword.</x:v>
      </x:c>
      <x:c r="I459" s="2" t="str">
        <x:v>Presence and quantity in Fodder banks depend on the selected design, chemistry, capacity, supplier and recycled content. This analytical link is not a verified bill of materials or supplier traceability statement.</x:v>
      </x:c>
      <x:c r="J459" s="2" t="str">
        <x:v>https://pubs.usgs.gov/periodicals/mcs2026/mcs2026.pdf</x:v>
      </x:c>
    </x:row>
    <x:row r="460" ht="66" customHeight="1">
      <x:c r="A460" s="2" t="str">
        <x:v>MIT-0196</x:v>
      </x:c>
      <x:c r="B460" s="2" t="str">
        <x:v>Mitigation</x:v>
      </x:c>
      <x:c r="C460" s="2" t="str">
        <x:v>Agriculture</x:v>
      </x:c>
      <x:c r="D460" s="2" t="str">
        <x:v>Livestock management</x:v>
      </x:c>
      <x:c r="E460" s="2" t="str">
        <x:v>Fodder banks</x:v>
      </x:c>
      <x:c r="F460" s="2" t="str">
        <x:v>Potash</x:v>
      </x:c>
      <x:c r="G460" s="2" t="str">
        <x:v>Agricultural strategic mineral</x:v>
      </x:c>
      <x:c r="H460" s="2" t="str">
        <x:v>Potash is linked to Fodder banks because it is typically used in potassium fertiliser used by the agricultural system; the assignment follows component function, not a sector-wide keyword.</x:v>
      </x:c>
      <x:c r="I460" s="2" t="str">
        <x:v>Presence and quantity in Fodder banks depend on the selected design, chemistry, capacity, supplier and recycled content. This analytical link is not a verified bill of materials or supplier traceability statement.</x:v>
      </x:c>
      <x:c r="J460" s="2" t="str">
        <x:v>https://pubs.usgs.gov/periodicals/mcs2026/mcs2026.pdf</x:v>
      </x:c>
    </x:row>
    <x:row r="461" ht="66" customHeight="1">
      <x:c r="A461" s="2" t="str">
        <x:v>MIT-0199</x:v>
      </x:c>
      <x:c r="B461" s="2" t="str">
        <x:v>Mitigation</x:v>
      </x:c>
      <x:c r="C461" s="2" t="str">
        <x:v>Agriculture</x:v>
      </x:c>
      <x:c r="D461" s="2" t="str">
        <x:v>Livestock management</x:v>
      </x:c>
      <x:c r="E461" s="2" t="str">
        <x:v>Pasture management</x:v>
      </x:c>
      <x:c r="F461" s="2" t="str">
        <x:v>Phosphate rock</x:v>
      </x:c>
      <x:c r="G461" s="2" t="str">
        <x:v>Agricultural strategic mineral</x:v>
      </x:c>
      <x:c r="H461" s="2" t="str">
        <x:v>Phosphate rock is linked to Pasture management because it is typically used in phosphorus fertiliser used by the agricultural system; the assignment follows component function, not a sector-wide keyword.</x:v>
      </x:c>
      <x:c r="I461" s="2" t="str">
        <x:v>Presence and quantity in Pasture management depend on the selected design, chemistry, capacity, supplier and recycled content. This analytical link is not a verified bill of materials or supplier traceability statement.</x:v>
      </x:c>
      <x:c r="J461" s="2" t="str">
        <x:v>https://pubs.usgs.gov/periodicals/mcs2026/mcs2026.pdf</x:v>
      </x:c>
    </x:row>
    <x:row r="462" ht="66" customHeight="1">
      <x:c r="A462" s="2" t="str">
        <x:v>MIT-0199</x:v>
      </x:c>
      <x:c r="B462" s="2" t="str">
        <x:v>Mitigation</x:v>
      </x:c>
      <x:c r="C462" s="2" t="str">
        <x:v>Agriculture</x:v>
      </x:c>
      <x:c r="D462" s="2" t="str">
        <x:v>Livestock management</x:v>
      </x:c>
      <x:c r="E462" s="2" t="str">
        <x:v>Pasture management</x:v>
      </x:c>
      <x:c r="F462" s="2" t="str">
        <x:v>Potash</x:v>
      </x:c>
      <x:c r="G462" s="2" t="str">
        <x:v>Agricultural strategic mineral</x:v>
      </x:c>
      <x:c r="H462" s="2" t="str">
        <x:v>Potash is linked to Pasture management because it is typically used in potassium fertiliser used by the agricultural system; the assignment follows component function, not a sector-wide keyword.</x:v>
      </x:c>
      <x:c r="I462" s="2" t="str">
        <x:v>Presence and quantity in Pasture management depend on the selected design, chemistry, capacity, supplier and recycled content. This analytical link is not a verified bill of materials or supplier traceability statement.</x:v>
      </x:c>
      <x:c r="J462" s="2" t="str">
        <x:v>https://pubs.usgs.gov/periodicals/mcs2026/mcs2026.pdf</x:v>
      </x:c>
    </x:row>
    <x:row r="463" ht="66" customHeight="1">
      <x:c r="A463" s="2" t="str">
        <x:v>MIT-0201</x:v>
      </x:c>
      <x:c r="B463" s="2" t="str">
        <x:v>Mitigation</x:v>
      </x:c>
      <x:c r="C463" s="2" t="str">
        <x:v>Agriculture</x:v>
      </x:c>
      <x:c r="D463" s="2" t="str">
        <x:v>Biomass carbon measurement and monitoring</x:v>
      </x:c>
      <x:c r="E463" s="2" t="str">
        <x:v>Biomass carbon measurement and monitoring</x:v>
      </x:c>
      <x:c r="F463" s="2" t="str">
        <x:v>Iron ore / steel inputs</x:v>
      </x:c>
      <x:c r="G463" s="2" t="str">
        <x:v>Bulk and strategic mineral input</x:v>
      </x:c>
      <x:c r="H463" s="2" t="str">
        <x:v>Iron ore / steel inputs is linked to Biomass carbon measurement and monitoring because it is typically used in load-bearing structures, pressure vessels, piping or machinery; the assignment follows component function, not a sector-wide keyword.</x:v>
      </x:c>
      <x:c r="I463" s="2" t="str">
        <x:v>Presence and quantity in Biomass carbon measurement and monitoring depend on the selected design, chemistry, capacity, supplier and recycled content. This analytical link is not a verified bill of materials or supplier traceability statement.</x:v>
      </x:c>
      <x:c r="J463" s="2" t="str">
        <x:v>https://pubs.usgs.gov/periodicals/mcs2026/mcs2026.pdf</x:v>
      </x:c>
    </x:row>
    <x:row r="464" ht="66" customHeight="1">
      <x:c r="A464" s="2" t="str">
        <x:v>MIT-0201</x:v>
      </x:c>
      <x:c r="B464" s="2" t="str">
        <x:v>Mitigation</x:v>
      </x:c>
      <x:c r="C464" s="2" t="str">
        <x:v>Agriculture</x:v>
      </x:c>
      <x:c r="D464" s="2" t="str">
        <x:v>Biomass carbon measurement and monitoring</x:v>
      </x:c>
      <x:c r="E464" s="2" t="str">
        <x:v>Biomass carbon measurement and monitoring</x:v>
      </x:c>
      <x:c r="F464" s="2" t="str">
        <x:v>Copper</x:v>
      </x:c>
      <x:c r="G464" s="2" t="str">
        <x:v>Critical or strategic metal</x:v>
      </x:c>
      <x:c r="H464" s="2" t="str">
        <x:v>Copper is linked to Biomass carbon measurement and monitoring because it is typically used in power cables, windings, busbars, grounding and electrical connectors; the assignment follows component function, not a sector-wide keyword.</x:v>
      </x:c>
      <x:c r="I464" s="2" t="str">
        <x:v>Presence and quantity in Biomass carbon measurement and monitoring depend on the selected design, chemistry, capacity, supplier and recycled content. This analytical link is not a verified bill of materials or supplier traceability statement.</x:v>
      </x:c>
      <x:c r="J464" s="2" t="str">
        <x:v>https://pubs.usgs.gov/periodicals/mcs2026/mcs2026.pdf</x:v>
      </x:c>
    </x:row>
    <x:row r="465" ht="66" customHeight="1">
      <x:c r="A465" s="2" t="str">
        <x:v>MIT-0201</x:v>
      </x:c>
      <x:c r="B465" s="2" t="str">
        <x:v>Mitigation</x:v>
      </x:c>
      <x:c r="C465" s="2" t="str">
        <x:v>Agriculture</x:v>
      </x:c>
      <x:c r="D465" s="2" t="str">
        <x:v>Biomass carbon measurement and monitoring</x:v>
      </x:c>
      <x:c r="E465" s="2" t="str">
        <x:v>Biomass carbon measurement and monitoring</x:v>
      </x:c>
      <x:c r="F465" s="2" t="str">
        <x:v>Tin</x:v>
      </x:c>
      <x:c r="G465" s="2" t="str">
        <x:v>Electronics strategic metal</x:v>
      </x:c>
      <x:c r="H465" s="2" t="str">
        <x:v>Tin is linked to Biomass carbon measurement and monitoring because it is typically used in electronic solder and selected coatings; the assignment follows component function, not a sector-wide keyword.</x:v>
      </x:c>
      <x:c r="I465" s="2" t="str">
        <x:v>Presence and quantity in Biomass carbon measurement and monitoring depend on the selected design, chemistry, capacity, supplier and recycled content. This analytical link is not a verified bill of materials or supplier traceability statement.</x:v>
      </x:c>
      <x:c r="J465" s="2" t="str">
        <x:v>https://pubs.usgs.gov/periodicals/mcs2026/mcs2026.pdf</x:v>
      </x:c>
    </x:row>
    <x:row r="466" ht="66" customHeight="1">
      <x:c r="A466" s="2" t="str">
        <x:v>MIT-0202</x:v>
      </x:c>
      <x:c r="B466" s="2" t="str">
        <x:v>Mitigation</x:v>
      </x:c>
      <x:c r="C466" s="2" t="str">
        <x:v>Industry</x:v>
      </x:c>
      <x:c r="D466" s="2" t="str">
        <x:v>Mining &amp; production</x:v>
      </x:c>
      <x:c r="E466" s="2" t="str">
        <x:v>Non-ferrous metals</x:v>
      </x:c>
      <x:c r="F466" s="2" t="str">
        <x:v>Iron ore / steel inputs</x:v>
      </x:c>
      <x:c r="G466" s="2" t="str">
        <x:v>Bulk and strategic mineral input</x:v>
      </x:c>
      <x:c r="H466" s="2" t="str">
        <x:v>Iron ore / steel inputs is linked to Non-ferrous metals because it is typically used in load-bearing structures, pressure vessels, piping or machinery; the assignment follows component function, not a sector-wide keyword.</x:v>
      </x:c>
      <x:c r="I466" s="2" t="str">
        <x:v>Presence and quantity in Non-ferrous metals depend on the selected design, chemistry, capacity, supplier and recycled content. This analytical link is not a verified bill of materials or supplier traceability statement.</x:v>
      </x:c>
      <x:c r="J466" s="2" t="str">
        <x:v>https://pubs.usgs.gov/periodicals/mcs2026/mcs2026.pdf</x:v>
      </x:c>
    </x:row>
    <x:row r="467" ht="66" customHeight="1">
      <x:c r="A467" s="2" t="str">
        <x:v>MIT-0203</x:v>
      </x:c>
      <x:c r="B467" s="2" t="str">
        <x:v>Mitigation</x:v>
      </x:c>
      <x:c r="C467" s="2" t="str">
        <x:v>Industry</x:v>
      </x:c>
      <x:c r="D467" s="2" t="str">
        <x:v>Mining &amp; production</x:v>
      </x:c>
      <x:c r="E467" s="2" t="str">
        <x:v>Reducing air and steam leaks</x:v>
      </x:c>
      <x:c r="F467" s="2" t="str">
        <x:v>Iron ore / steel inputs</x:v>
      </x:c>
      <x:c r="G467" s="2" t="str">
        <x:v>Bulk and strategic mineral input</x:v>
      </x:c>
      <x:c r="H467" s="2" t="str">
        <x:v>Iron ore / steel inputs is linked to Reducing air and steam leaks because it is typically used in load-bearing structures, pressure vessels, piping or machinery; the assignment follows component function, not a sector-wide keyword.</x:v>
      </x:c>
      <x:c r="I467" s="2" t="str">
        <x:v>Presence and quantity in Reducing air and steam leaks depend on the selected design, chemistry, capacity, supplier and recycled content. This analytical link is not a verified bill of materials or supplier traceability statement.</x:v>
      </x:c>
      <x:c r="J467" s="2" t="str">
        <x:v>https://pubs.usgs.gov/periodicals/mcs2026/mcs2026.pdf</x:v>
      </x:c>
    </x:row>
    <x:row r="468" ht="66" customHeight="1">
      <x:c r="A468" s="2" t="str">
        <x:v>MIT-0204</x:v>
      </x:c>
      <x:c r="B468" s="2" t="str">
        <x:v>Mitigation</x:v>
      </x:c>
      <x:c r="C468" s="2" t="str">
        <x:v>Industry</x:v>
      </x:c>
      <x:c r="D468" s="2" t="str">
        <x:v>Mining &amp; production</x:v>
      </x:c>
      <x:c r="E468" s="2" t="str">
        <x:v>Blast furnace slag granulation</x:v>
      </x:c>
      <x:c r="F468" s="2" t="str">
        <x:v>Iron ore / steel inputs</x:v>
      </x:c>
      <x:c r="G468" s="2" t="str">
        <x:v>Bulk and strategic mineral input</x:v>
      </x:c>
      <x:c r="H468" s="2" t="str">
        <x:v>Iron ore / steel inputs is linked to Blast furnace slag granulation because it is typically used in load-bearing structures, pressure vessels, piping or machinery; the assignment follows component function, not a sector-wide keyword.</x:v>
      </x:c>
      <x:c r="I468" s="2" t="str">
        <x:v>Presence and quantity in Blast furnace slag granulation depend on the selected design, chemistry, capacity, supplier and recycled content. This analytical link is not a verified bill of materials or supplier traceability statement.</x:v>
      </x:c>
      <x:c r="J468" s="2" t="str">
        <x:v>https://pubs.usgs.gov/periodicals/mcs2026/mcs2026.pdf</x:v>
      </x:c>
    </x:row>
    <x:row r="469" ht="66" customHeight="1">
      <x:c r="A469" s="2" t="str">
        <x:v>MIT-0204</x:v>
      </x:c>
      <x:c r="B469" s="2" t="str">
        <x:v>Mitigation</x:v>
      </x:c>
      <x:c r="C469" s="2" t="str">
        <x:v>Industry</x:v>
      </x:c>
      <x:c r="D469" s="2" t="str">
        <x:v>Mining &amp; production</x:v>
      </x:c>
      <x:c r="E469" s="2" t="str">
        <x:v>Blast furnace slag granulation</x:v>
      </x:c>
      <x:c r="F469" s="2" t="str">
        <x:v>Nickel</x:v>
      </x:c>
      <x:c r="G469" s="2" t="str">
        <x:v>Battery and alloy critical mineral</x:v>
      </x:c>
      <x:c r="H469" s="2" t="str">
        <x:v>Nickel is linked to Blast furnace slag granulation because it is typically used in battery cathodes, high-temperature alloys or corrosion-resistant steels; the assignment follows component function, not a sector-wide keyword.</x:v>
      </x:c>
      <x:c r="I469" s="2" t="str">
        <x:v>Presence and quantity in Blast furnace slag granulation depend on the selected design, chemistry, capacity, supplier and recycled content. This analytical link is not a verified bill of materials or supplier traceability statement.</x:v>
      </x:c>
      <x:c r="J469" s="2" t="str">
        <x:v>https://www.iea.org/reports/global-critical-minerals-outlook-2025</x:v>
      </x:c>
    </x:row>
    <x:row r="470" ht="66" customHeight="1">
      <x:c r="A470" s="2" t="str">
        <x:v>MIT-0204</x:v>
      </x:c>
      <x:c r="B470" s="2" t="str">
        <x:v>Mitigation</x:v>
      </x:c>
      <x:c r="C470" s="2" t="str">
        <x:v>Industry</x:v>
      </x:c>
      <x:c r="D470" s="2" t="str">
        <x:v>Mining &amp; production</x:v>
      </x:c>
      <x:c r="E470" s="2" t="str">
        <x:v>Blast furnace slag granulation</x:v>
      </x:c>
      <x:c r="F470" s="2" t="str">
        <x:v>Chromium</x:v>
      </x:c>
      <x:c r="G470" s="2" t="str">
        <x:v>Alloy strategic mineral</x:v>
      </x:c>
      <x:c r="H470" s="2" t="str">
        <x:v>Chromium is linked to Blast furnace slag granulation because it is typically used in stainless and heat- or corrosion-resistant alloys; the assignment follows component function, not a sector-wide keyword.</x:v>
      </x:c>
      <x:c r="I470" s="2" t="str">
        <x:v>Presence and quantity in Blast furnace slag granulation depend on the selected design, chemistry, capacity, supplier and recycled content. This analytical link is not a verified bill of materials or supplier traceability statement.</x:v>
      </x:c>
      <x:c r="J470" s="2" t="str">
        <x:v>https://pubs.usgs.gov/periodicals/mcs2026/mcs2026.pdf</x:v>
      </x:c>
    </x:row>
    <x:row r="471" ht="66" customHeight="1">
      <x:c r="A471" s="2" t="str">
        <x:v>MIT-0205</x:v>
      </x:c>
      <x:c r="B471" s="2" t="str">
        <x:v>Mitigation</x:v>
      </x:c>
      <x:c r="C471" s="2" t="str">
        <x:v>Industry</x:v>
      </x:c>
      <x:c r="D471" s="2" t="str">
        <x:v>Mining &amp; production</x:v>
      </x:c>
      <x:c r="E471" s="2" t="str">
        <x:v>Direct casting for iron and steel sector</x:v>
      </x:c>
      <x:c r="F471" s="2" t="str">
        <x:v>Iron ore / steel inputs</x:v>
      </x:c>
      <x:c r="G471" s="2" t="str">
        <x:v>Bulk and strategic mineral input</x:v>
      </x:c>
      <x:c r="H471" s="2" t="str">
        <x:v>Iron ore / steel inputs is linked to Direct casting for iron and steel sector because it is typically used in load-bearing structures, pressure vessels, piping or machinery; the assignment follows component function, not a sector-wide keyword.</x:v>
      </x:c>
      <x:c r="I471" s="2" t="str">
        <x:v>Presence and quantity in Direct casting for iron and steel sector depend on the selected design, chemistry, capacity, supplier and recycled content. This analytical link is not a verified bill of materials or supplier traceability statement.</x:v>
      </x:c>
      <x:c r="J471" s="2" t="str">
        <x:v>https://pubs.usgs.gov/periodicals/mcs2026/mcs2026.pdf</x:v>
      </x:c>
    </x:row>
    <x:row r="472" ht="66" customHeight="1">
      <x:c r="A472" s="2" t="str">
        <x:v>MIT-0205</x:v>
      </x:c>
      <x:c r="B472" s="2" t="str">
        <x:v>Mitigation</x:v>
      </x:c>
      <x:c r="C472" s="2" t="str">
        <x:v>Industry</x:v>
      </x:c>
      <x:c r="D472" s="2" t="str">
        <x:v>Mining &amp; production</x:v>
      </x:c>
      <x:c r="E472" s="2" t="str">
        <x:v>Direct casting for iron and steel sector</x:v>
      </x:c>
      <x:c r="F472" s="2" t="str">
        <x:v>Nickel</x:v>
      </x:c>
      <x:c r="G472" s="2" t="str">
        <x:v>Battery and alloy critical mineral</x:v>
      </x:c>
      <x:c r="H472" s="2" t="str">
        <x:v>Nickel is linked to Direct casting for iron and steel sector because it is typically used in battery cathodes, high-temperature alloys or corrosion-resistant steels; the assignment follows component function, not a sector-wide keyword.</x:v>
      </x:c>
      <x:c r="I472" s="2" t="str">
        <x:v>Presence and quantity in Direct casting for iron and steel sector depend on the selected design, chemistry, capacity, supplier and recycled content. This analytical link is not a verified bill of materials or supplier traceability statement.</x:v>
      </x:c>
      <x:c r="J472" s="2" t="str">
        <x:v>https://www.iea.org/reports/global-critical-minerals-outlook-2025</x:v>
      </x:c>
    </x:row>
    <x:row r="473" ht="66" customHeight="1">
      <x:c r="A473" s="2" t="str">
        <x:v>MIT-0205</x:v>
      </x:c>
      <x:c r="B473" s="2" t="str">
        <x:v>Mitigation</x:v>
      </x:c>
      <x:c r="C473" s="2" t="str">
        <x:v>Industry</x:v>
      </x:c>
      <x:c r="D473" s="2" t="str">
        <x:v>Mining &amp; production</x:v>
      </x:c>
      <x:c r="E473" s="2" t="str">
        <x:v>Direct casting for iron and steel sector</x:v>
      </x:c>
      <x:c r="F473" s="2" t="str">
        <x:v>Chromium</x:v>
      </x:c>
      <x:c r="G473" s="2" t="str">
        <x:v>Alloy strategic mineral</x:v>
      </x:c>
      <x:c r="H473" s="2" t="str">
        <x:v>Chromium is linked to Direct casting for iron and steel sector because it is typically used in stainless and heat- or corrosion-resistant alloys; the assignment follows component function, not a sector-wide keyword.</x:v>
      </x:c>
      <x:c r="I473" s="2" t="str">
        <x:v>Presence and quantity in Direct casting for iron and steel sector depend on the selected design, chemistry, capacity, supplier and recycled content. This analytical link is not a verified bill of materials or supplier traceability statement.</x:v>
      </x:c>
      <x:c r="J473" s="2" t="str">
        <x:v>https://pubs.usgs.gov/periodicals/mcs2026/mcs2026.pdf</x:v>
      </x:c>
    </x:row>
    <x:row r="474" ht="66" customHeight="1">
      <x:c r="A474" s="2" t="str">
        <x:v>MIT-0206</x:v>
      </x:c>
      <x:c r="B474" s="2" t="str">
        <x:v>Mitigation</x:v>
      </x:c>
      <x:c r="C474" s="2" t="str">
        <x:v>Industry</x:v>
      </x:c>
      <x:c r="D474" s="2" t="str">
        <x:v>Mining &amp; production</x:v>
      </x:c>
      <x:c r="E474" s="2" t="str">
        <x:v>Coke dry quenching for iron and steel sector</x:v>
      </x:c>
      <x:c r="F474" s="2" t="str">
        <x:v>Iron ore / steel inputs</x:v>
      </x:c>
      <x:c r="G474" s="2" t="str">
        <x:v>Bulk and strategic mineral input</x:v>
      </x:c>
      <x:c r="H474" s="2" t="str">
        <x:v>Iron ore / steel inputs is linked to Coke dry quenching for iron and steel sector because it is typically used in load-bearing structures, pressure vessels, piping or machinery; the assignment follows component function, not a sector-wide keyword.</x:v>
      </x:c>
      <x:c r="I474" s="2" t="str">
        <x:v>Presence and quantity in Coke dry quenching for iron and steel sector depend on the selected design, chemistry, capacity, supplier and recycled content. This analytical link is not a verified bill of materials or supplier traceability statement.</x:v>
      </x:c>
      <x:c r="J474" s="2" t="str">
        <x:v>https://pubs.usgs.gov/periodicals/mcs2026/mcs2026.pdf</x:v>
      </x:c>
    </x:row>
    <x:row r="475" ht="66" customHeight="1">
      <x:c r="A475" s="2" t="str">
        <x:v>MIT-0206</x:v>
      </x:c>
      <x:c r="B475" s="2" t="str">
        <x:v>Mitigation</x:v>
      </x:c>
      <x:c r="C475" s="2" t="str">
        <x:v>Industry</x:v>
      </x:c>
      <x:c r="D475" s="2" t="str">
        <x:v>Mining &amp; production</x:v>
      </x:c>
      <x:c r="E475" s="2" t="str">
        <x:v>Coke dry quenching for iron and steel sector</x:v>
      </x:c>
      <x:c r="F475" s="2" t="str">
        <x:v>Nickel</x:v>
      </x:c>
      <x:c r="G475" s="2" t="str">
        <x:v>Battery and alloy critical mineral</x:v>
      </x:c>
      <x:c r="H475" s="2" t="str">
        <x:v>Nickel is linked to Coke dry quenching for iron and steel sector because it is typically used in battery cathodes, high-temperature alloys or corrosion-resistant steels; the assignment follows component function, not a sector-wide keyword.</x:v>
      </x:c>
      <x:c r="I475" s="2" t="str">
        <x:v>Presence and quantity in Coke dry quenching for iron and steel sector depend on the selected design, chemistry, capacity, supplier and recycled content. This analytical link is not a verified bill of materials or supplier traceability statement.</x:v>
      </x:c>
      <x:c r="J475" s="2" t="str">
        <x:v>https://www.iea.org/reports/global-critical-minerals-outlook-2025</x:v>
      </x:c>
    </x:row>
    <x:row r="476" ht="66" customHeight="1">
      <x:c r="A476" s="2" t="str">
        <x:v>MIT-0206</x:v>
      </x:c>
      <x:c r="B476" s="2" t="str">
        <x:v>Mitigation</x:v>
      </x:c>
      <x:c r="C476" s="2" t="str">
        <x:v>Industry</x:v>
      </x:c>
      <x:c r="D476" s="2" t="str">
        <x:v>Mining &amp; production</x:v>
      </x:c>
      <x:c r="E476" s="2" t="str">
        <x:v>Coke dry quenching for iron and steel sector</x:v>
      </x:c>
      <x:c r="F476" s="2" t="str">
        <x:v>Chromium</x:v>
      </x:c>
      <x:c r="G476" s="2" t="str">
        <x:v>Alloy strategic mineral</x:v>
      </x:c>
      <x:c r="H476" s="2" t="str">
        <x:v>Chromium is linked to Coke dry quenching for iron and steel sector because it is typically used in stainless and heat- or corrosion-resistant alloys; the assignment follows component function, not a sector-wide keyword.</x:v>
      </x:c>
      <x:c r="I476" s="2" t="str">
        <x:v>Presence and quantity in Coke dry quenching for iron and steel sector depend on the selected design, chemistry, capacity, supplier and recycled content. This analytical link is not a verified bill of materials or supplier traceability statement.</x:v>
      </x:c>
      <x:c r="J476" s="2" t="str">
        <x:v>https://pubs.usgs.gov/periodicals/mcs2026/mcs2026.pdf</x:v>
      </x:c>
    </x:row>
    <x:row r="477" ht="66" customHeight="1">
      <x:c r="A477" s="2" t="str">
        <x:v>MIT-0207</x:v>
      </x:c>
      <x:c r="B477" s="2" t="str">
        <x:v>Mitigation</x:v>
      </x:c>
      <x:c r="C477" s="2" t="str">
        <x:v>Industry</x:v>
      </x:c>
      <x:c r="D477" s="2" t="str">
        <x:v>Mining &amp; production</x:v>
      </x:c>
      <x:c r="E477" s="2" t="str">
        <x:v>Inert anode technology for aluminium smelters</x:v>
      </x:c>
      <x:c r="F477" s="2" t="str">
        <x:v>Iron ore / steel inputs</x:v>
      </x:c>
      <x:c r="G477" s="2" t="str">
        <x:v>Bulk and strategic mineral input</x:v>
      </x:c>
      <x:c r="H477" s="2" t="str">
        <x:v>Iron ore / steel inputs is linked to Inert anode technology for aluminium smelters because it is typically used in load-bearing structures, pressure vessels, piping or machinery; the assignment follows component function, not a sector-wide keyword.</x:v>
      </x:c>
      <x:c r="I477" s="2" t="str">
        <x:v>Presence and quantity in Inert anode technology for aluminium smelters depend on the selected design, chemistry, capacity, supplier and recycled content. This analytical link is not a verified bill of materials or supplier traceability statement.</x:v>
      </x:c>
      <x:c r="J477" s="2" t="str">
        <x:v>https://pubs.usgs.gov/periodicals/mcs2026/mcs2026.pdf</x:v>
      </x:c>
    </x:row>
    <x:row r="478" ht="66" customHeight="1">
      <x:c r="A478" s="2" t="str">
        <x:v>MIT-0208</x:v>
      </x:c>
      <x:c r="B478" s="2" t="str">
        <x:v>Mitigation</x:v>
      </x:c>
      <x:c r="C478" s="2" t="str">
        <x:v>Industry</x:v>
      </x:c>
      <x:c r="D478" s="2" t="str">
        <x:v>Mining &amp; production</x:v>
      </x:c>
      <x:c r="E478" s="2" t="str">
        <x:v>Iron &amp; steel processing</x:v>
      </x:c>
      <x:c r="F478" s="2" t="str">
        <x:v>Iron ore / steel inputs</x:v>
      </x:c>
      <x:c r="G478" s="2" t="str">
        <x:v>Bulk and strategic mineral input</x:v>
      </x:c>
      <x:c r="H478" s="2" t="str">
        <x:v>Iron ore / steel inputs is linked to Iron &amp; steel processing because it is typically used in load-bearing structures, pressure vessels, piping or machinery; the assignment follows component function, not a sector-wide keyword.</x:v>
      </x:c>
      <x:c r="I478" s="2" t="str">
        <x:v>Presence and quantity in Iron &amp; steel processing depend on the selected design, chemistry, capacity, supplier and recycled content. This analytical link is not a verified bill of materials or supplier traceability statement.</x:v>
      </x:c>
      <x:c r="J478" s="2" t="str">
        <x:v>https://pubs.usgs.gov/periodicals/mcs2026/mcs2026.pdf</x:v>
      </x:c>
    </x:row>
    <x:row r="479" ht="66" customHeight="1">
      <x:c r="A479" s="2" t="str">
        <x:v>MIT-0208</x:v>
      </x:c>
      <x:c r="B479" s="2" t="str">
        <x:v>Mitigation</x:v>
      </x:c>
      <x:c r="C479" s="2" t="str">
        <x:v>Industry</x:v>
      </x:c>
      <x:c r="D479" s="2" t="str">
        <x:v>Mining &amp; production</x:v>
      </x:c>
      <x:c r="E479" s="2" t="str">
        <x:v>Iron &amp; steel processing</x:v>
      </x:c>
      <x:c r="F479" s="2" t="str">
        <x:v>Nickel</x:v>
      </x:c>
      <x:c r="G479" s="2" t="str">
        <x:v>Battery and alloy critical mineral</x:v>
      </x:c>
      <x:c r="H479" s="2" t="str">
        <x:v>Nickel is linked to Iron &amp; steel processing because it is typically used in battery cathodes, high-temperature alloys or corrosion-resistant steels; the assignment follows component function, not a sector-wide keyword.</x:v>
      </x:c>
      <x:c r="I479" s="2" t="str">
        <x:v>Presence and quantity in Iron &amp; steel processing depend on the selected design, chemistry, capacity, supplier and recycled content. This analytical link is not a verified bill of materials or supplier traceability statement.</x:v>
      </x:c>
      <x:c r="J479" s="2" t="str">
        <x:v>https://www.iea.org/reports/global-critical-minerals-outlook-2025</x:v>
      </x:c>
    </x:row>
    <x:row r="480" ht="66" customHeight="1">
      <x:c r="A480" s="2" t="str">
        <x:v>MIT-0208</x:v>
      </x:c>
      <x:c r="B480" s="2" t="str">
        <x:v>Mitigation</x:v>
      </x:c>
      <x:c r="C480" s="2" t="str">
        <x:v>Industry</x:v>
      </x:c>
      <x:c r="D480" s="2" t="str">
        <x:v>Mining &amp; production</x:v>
      </x:c>
      <x:c r="E480" s="2" t="str">
        <x:v>Iron &amp; steel processing</x:v>
      </x:c>
      <x:c r="F480" s="2" t="str">
        <x:v>Chromium</x:v>
      </x:c>
      <x:c r="G480" s="2" t="str">
        <x:v>Alloy strategic mineral</x:v>
      </x:c>
      <x:c r="H480" s="2" t="str">
        <x:v>Chromium is linked to Iron &amp; steel processing because it is typically used in stainless and heat- or corrosion-resistant alloys; the assignment follows component function, not a sector-wide keyword.</x:v>
      </x:c>
      <x:c r="I480" s="2" t="str">
        <x:v>Presence and quantity in Iron &amp; steel processing depend on the selected design, chemistry, capacity, supplier and recycled content. This analytical link is not a verified bill of materials or supplier traceability statement.</x:v>
      </x:c>
      <x:c r="J480" s="2" t="str">
        <x:v>https://pubs.usgs.gov/periodicals/mcs2026/mcs2026.pdf</x:v>
      </x:c>
    </x:row>
    <x:row r="481" ht="66" customHeight="1">
      <x:c r="A481" s="2" t="str">
        <x:v>MIT-0209</x:v>
      </x:c>
      <x:c r="B481" s="2" t="str">
        <x:v>Mitigation</x:v>
      </x:c>
      <x:c r="C481" s="2" t="str">
        <x:v>Industry</x:v>
      </x:c>
      <x:c r="D481" s="2" t="str">
        <x:v>Mining &amp; production</x:v>
      </x:c>
      <x:c r="E481" s="2" t="str">
        <x:v>Aluminium industry</x:v>
      </x:c>
      <x:c r="F481" s="2" t="str">
        <x:v>Iron ore / steel inputs</x:v>
      </x:c>
      <x:c r="G481" s="2" t="str">
        <x:v>Bulk and strategic mineral input</x:v>
      </x:c>
      <x:c r="H481" s="2" t="str">
        <x:v>Iron ore / steel inputs is linked to Aluminium industry because it is typically used in load-bearing structures, pressure vessels, piping or machinery; the assignment follows component function, not a sector-wide keyword.</x:v>
      </x:c>
      <x:c r="I481" s="2" t="str">
        <x:v>Presence and quantity in Aluminium industry depend on the selected design, chemistry, capacity, supplier and recycled content. This analytical link is not a verified bill of materials or supplier traceability statement.</x:v>
      </x:c>
      <x:c r="J481" s="2" t="str">
        <x:v>https://pubs.usgs.gov/periodicals/mcs2026/mcs2026.pdf</x:v>
      </x:c>
    </x:row>
    <x:row r="482" ht="66" customHeight="1">
      <x:c r="A482" s="2" t="str">
        <x:v>MIT-0210</x:v>
      </x:c>
      <x:c r="B482" s="2" t="str">
        <x:v>Mitigation</x:v>
      </x:c>
      <x:c r="C482" s="2" t="str">
        <x:v>Industry</x:v>
      </x:c>
      <x:c r="D482" s="2" t="str">
        <x:v>Mining &amp; production</x:v>
      </x:c>
      <x:c r="E482" s="2" t="str">
        <x:v>Scrap preheating for iron and steel</x:v>
      </x:c>
      <x:c r="F482" s="2" t="str">
        <x:v>Iron ore / steel inputs</x:v>
      </x:c>
      <x:c r="G482" s="2" t="str">
        <x:v>Bulk and strategic mineral input</x:v>
      </x:c>
      <x:c r="H482" s="2" t="str">
        <x:v>Iron ore / steel inputs is linked to Scrap preheating for iron and steel because it is typically used in load-bearing structures, pressure vessels, piping or machinery; the assignment follows component function, not a sector-wide keyword.</x:v>
      </x:c>
      <x:c r="I482" s="2" t="str">
        <x:v>Presence and quantity in Scrap preheating for iron and steel depend on the selected design, chemistry, capacity, supplier and recycled content. This analytical link is not a verified bill of materials or supplier traceability statement.</x:v>
      </x:c>
      <x:c r="J482" s="2" t="str">
        <x:v>https://pubs.usgs.gov/periodicals/mcs2026/mcs2026.pdf</x:v>
      </x:c>
    </x:row>
    <x:row r="483" ht="66" customHeight="1">
      <x:c r="A483" s="2" t="str">
        <x:v>MIT-0210</x:v>
      </x:c>
      <x:c r="B483" s="2" t="str">
        <x:v>Mitigation</x:v>
      </x:c>
      <x:c r="C483" s="2" t="str">
        <x:v>Industry</x:v>
      </x:c>
      <x:c r="D483" s="2" t="str">
        <x:v>Mining &amp; production</x:v>
      </x:c>
      <x:c r="E483" s="2" t="str">
        <x:v>Scrap preheating for iron and steel</x:v>
      </x:c>
      <x:c r="F483" s="2" t="str">
        <x:v>Nickel</x:v>
      </x:c>
      <x:c r="G483" s="2" t="str">
        <x:v>Battery and alloy critical mineral</x:v>
      </x:c>
      <x:c r="H483" s="2" t="str">
        <x:v>Nickel is linked to Scrap preheating for iron and steel because it is typically used in battery cathodes, high-temperature alloys or corrosion-resistant steels; the assignment follows component function, not a sector-wide keyword.</x:v>
      </x:c>
      <x:c r="I483" s="2" t="str">
        <x:v>Presence and quantity in Scrap preheating for iron and steel depend on the selected design, chemistry, capacity, supplier and recycled content. This analytical link is not a verified bill of materials or supplier traceability statement.</x:v>
      </x:c>
      <x:c r="J483" s="2" t="str">
        <x:v>https://www.iea.org/reports/global-critical-minerals-outlook-2025</x:v>
      </x:c>
    </x:row>
    <x:row r="484" ht="66" customHeight="1">
      <x:c r="A484" s="2" t="str">
        <x:v>MIT-0210</x:v>
      </x:c>
      <x:c r="B484" s="2" t="str">
        <x:v>Mitigation</x:v>
      </x:c>
      <x:c r="C484" s="2" t="str">
        <x:v>Industry</x:v>
      </x:c>
      <x:c r="D484" s="2" t="str">
        <x:v>Mining &amp; production</x:v>
      </x:c>
      <x:c r="E484" s="2" t="str">
        <x:v>Scrap preheating for iron and steel</x:v>
      </x:c>
      <x:c r="F484" s="2" t="str">
        <x:v>Chromium</x:v>
      </x:c>
      <x:c r="G484" s="2" t="str">
        <x:v>Alloy strategic mineral</x:v>
      </x:c>
      <x:c r="H484" s="2" t="str">
        <x:v>Chromium is linked to Scrap preheating for iron and steel because it is typically used in stainless and heat- or corrosion-resistant alloys; the assignment follows component function, not a sector-wide keyword.</x:v>
      </x:c>
      <x:c r="I484" s="2" t="str">
        <x:v>Presence and quantity in Scrap preheating for iron and steel depend on the selected design, chemistry, capacity, supplier and recycled content. This analytical link is not a verified bill of materials or supplier traceability statement.</x:v>
      </x:c>
      <x:c r="J484" s="2" t="str">
        <x:v>https://pubs.usgs.gov/periodicals/mcs2026/mcs2026.pdf</x:v>
      </x:c>
    </x:row>
    <x:row r="485" ht="66" customHeight="1">
      <x:c r="A485" s="2" t="str">
        <x:v>MIT-0211</x:v>
      </x:c>
      <x:c r="B485" s="2" t="str">
        <x:v>Mitigation</x:v>
      </x:c>
      <x:c r="C485" s="2" t="str">
        <x:v>Industry</x:v>
      </x:c>
      <x:c r="D485" s="2" t="str">
        <x:v>Mining &amp; production</x:v>
      </x:c>
      <x:c r="E485" s="2" t="str">
        <x:v>Improved efficiency in mining and resource extraction</x:v>
      </x:c>
      <x:c r="F485" s="2" t="str">
        <x:v>Iron ore / steel inputs</x:v>
      </x:c>
      <x:c r="G485" s="2" t="str">
        <x:v>Bulk and strategic mineral input</x:v>
      </x:c>
      <x:c r="H485" s="2" t="str">
        <x:v>Iron ore / steel inputs is linked to Improved efficiency in mining and resource extraction because it is typically used in load-bearing structures, pressure vessels, piping or machinery; the assignment follows component function, not a sector-wide keyword.</x:v>
      </x:c>
      <x:c r="I485" s="2" t="str">
        <x:v>Presence and quantity in Improved efficiency in mining and resource extraction depend on the selected design, chemistry, capacity, supplier and recycled content. This analytical link is not a verified bill of materials or supplier traceability statement.</x:v>
      </x:c>
      <x:c r="J485" s="2" t="str">
        <x:v>https://pubs.usgs.gov/periodicals/mcs2026/mcs2026.pdf</x:v>
      </x:c>
    </x:row>
    <x:row r="486" ht="66" customHeight="1">
      <x:c r="A486" s="2" t="str">
        <x:v>MIT-0212</x:v>
      </x:c>
      <x:c r="B486" s="2" t="str">
        <x:v>Mitigation</x:v>
      </x:c>
      <x:c r="C486" s="2" t="str">
        <x:v>Industry</x:v>
      </x:c>
      <x:c r="D486" s="2" t="str">
        <x:v>Mining &amp; production</x:v>
      </x:c>
      <x:c r="E486" s="2" t="str">
        <x:v>Smelt reduction for iron and steel sector</x:v>
      </x:c>
      <x:c r="F486" s="2" t="str">
        <x:v>Iron ore / steel inputs</x:v>
      </x:c>
      <x:c r="G486" s="2" t="str">
        <x:v>Bulk and strategic mineral input</x:v>
      </x:c>
      <x:c r="H486" s="2" t="str">
        <x:v>Iron ore / steel inputs is linked to Smelt reduction for iron and steel sector because it is typically used in load-bearing structures, pressure vessels, piping or machinery; the assignment follows component function, not a sector-wide keyword.</x:v>
      </x:c>
      <x:c r="I486" s="2" t="str">
        <x:v>Presence and quantity in Smelt reduction for iron and steel sector depend on the selected design, chemistry, capacity, supplier and recycled content. This analytical link is not a verified bill of materials or supplier traceability statement.</x:v>
      </x:c>
      <x:c r="J486" s="2" t="str">
        <x:v>https://pubs.usgs.gov/periodicals/mcs2026/mcs2026.pdf</x:v>
      </x:c>
    </x:row>
    <x:row r="487" ht="66" customHeight="1">
      <x:c r="A487" s="2" t="str">
        <x:v>MIT-0212</x:v>
      </x:c>
      <x:c r="B487" s="2" t="str">
        <x:v>Mitigation</x:v>
      </x:c>
      <x:c r="C487" s="2" t="str">
        <x:v>Industry</x:v>
      </x:c>
      <x:c r="D487" s="2" t="str">
        <x:v>Mining &amp; production</x:v>
      </x:c>
      <x:c r="E487" s="2" t="str">
        <x:v>Smelt reduction for iron and steel sector</x:v>
      </x:c>
      <x:c r="F487" s="2" t="str">
        <x:v>Nickel</x:v>
      </x:c>
      <x:c r="G487" s="2" t="str">
        <x:v>Battery and alloy critical mineral</x:v>
      </x:c>
      <x:c r="H487" s="2" t="str">
        <x:v>Nickel is linked to Smelt reduction for iron and steel sector because it is typically used in battery cathodes, high-temperature alloys or corrosion-resistant steels; the assignment follows component function, not a sector-wide keyword.</x:v>
      </x:c>
      <x:c r="I487" s="2" t="str">
        <x:v>Presence and quantity in Smelt reduction for iron and steel sector depend on the selected design, chemistry, capacity, supplier and recycled content. This analytical link is not a verified bill of materials or supplier traceability statement.</x:v>
      </x:c>
      <x:c r="J487" s="2" t="str">
        <x:v>https://www.iea.org/reports/global-critical-minerals-outlook-2025</x:v>
      </x:c>
    </x:row>
    <x:row r="488" ht="66" customHeight="1">
      <x:c r="A488" s="2" t="str">
        <x:v>MIT-0212</x:v>
      </x:c>
      <x:c r="B488" s="2" t="str">
        <x:v>Mitigation</x:v>
      </x:c>
      <x:c r="C488" s="2" t="str">
        <x:v>Industry</x:v>
      </x:c>
      <x:c r="D488" s="2" t="str">
        <x:v>Mining &amp; production</x:v>
      </x:c>
      <x:c r="E488" s="2" t="str">
        <x:v>Smelt reduction for iron and steel sector</x:v>
      </x:c>
      <x:c r="F488" s="2" t="str">
        <x:v>Chromium</x:v>
      </x:c>
      <x:c r="G488" s="2" t="str">
        <x:v>Alloy strategic mineral</x:v>
      </x:c>
      <x:c r="H488" s="2" t="str">
        <x:v>Chromium is linked to Smelt reduction for iron and steel sector because it is typically used in stainless and heat- or corrosion-resistant alloys; the assignment follows component function, not a sector-wide keyword.</x:v>
      </x:c>
      <x:c r="I488" s="2" t="str">
        <x:v>Presence and quantity in Smelt reduction for iron and steel sector depend on the selected design, chemistry, capacity, supplier and recycled content. This analytical link is not a verified bill of materials or supplier traceability statement.</x:v>
      </x:c>
      <x:c r="J488" s="2" t="str">
        <x:v>https://pubs.usgs.gov/periodicals/mcs2026/mcs2026.pdf</x:v>
      </x:c>
    </x:row>
    <x:row r="489" ht="66" customHeight="1">
      <x:c r="A489" s="2" t="str">
        <x:v>MIT-0213</x:v>
      </x:c>
      <x:c r="B489" s="2" t="str">
        <x:v>Mitigation</x:v>
      </x:c>
      <x:c r="C489" s="2" t="str">
        <x:v>Industry</x:v>
      </x:c>
      <x:c r="D489" s="2" t="str">
        <x:v>Mining &amp; production</x:v>
      </x:c>
      <x:c r="E489" s="2" t="str">
        <x:v>Advanced wet quenching for iron and steel sector</x:v>
      </x:c>
      <x:c r="F489" s="2" t="str">
        <x:v>Iron ore / steel inputs</x:v>
      </x:c>
      <x:c r="G489" s="2" t="str">
        <x:v>Bulk and strategic mineral input</x:v>
      </x:c>
      <x:c r="H489" s="2" t="str">
        <x:v>Iron ore / steel inputs is linked to Advanced wet quenching for iron and steel sector because it is typically used in load-bearing structures, pressure vessels, piping or machinery; the assignment follows component function, not a sector-wide keyword.</x:v>
      </x:c>
      <x:c r="I489" s="2" t="str">
        <x:v>Presence and quantity in Advanced wet quenching for iron and steel sector depend on the selected design, chemistry, capacity, supplier and recycled content. This analytical link is not a verified bill of materials or supplier traceability statement.</x:v>
      </x:c>
      <x:c r="J489" s="2" t="str">
        <x:v>https://pubs.usgs.gov/periodicals/mcs2026/mcs2026.pdf</x:v>
      </x:c>
    </x:row>
    <x:row r="490" ht="66" customHeight="1">
      <x:c r="A490" s="2" t="str">
        <x:v>MIT-0213</x:v>
      </x:c>
      <x:c r="B490" s="2" t="str">
        <x:v>Mitigation</x:v>
      </x:c>
      <x:c r="C490" s="2" t="str">
        <x:v>Industry</x:v>
      </x:c>
      <x:c r="D490" s="2" t="str">
        <x:v>Mining &amp; production</x:v>
      </x:c>
      <x:c r="E490" s="2" t="str">
        <x:v>Advanced wet quenching for iron and steel sector</x:v>
      </x:c>
      <x:c r="F490" s="2" t="str">
        <x:v>Nickel</x:v>
      </x:c>
      <x:c r="G490" s="2" t="str">
        <x:v>Battery and alloy critical mineral</x:v>
      </x:c>
      <x:c r="H490" s="2" t="str">
        <x:v>Nickel is linked to Advanced wet quenching for iron and steel sector because it is typically used in battery cathodes, high-temperature alloys or corrosion-resistant steels; the assignment follows component function, not a sector-wide keyword.</x:v>
      </x:c>
      <x:c r="I490" s="2" t="str">
        <x:v>Presence and quantity in Advanced wet quenching for iron and steel sector depend on the selected design, chemistry, capacity, supplier and recycled content. This analytical link is not a verified bill of materials or supplier traceability statement.</x:v>
      </x:c>
      <x:c r="J490" s="2" t="str">
        <x:v>https://www.iea.org/reports/global-critical-minerals-outlook-2025</x:v>
      </x:c>
    </x:row>
    <x:row r="491" ht="66" customHeight="1">
      <x:c r="A491" s="2" t="str">
        <x:v>MIT-0213</x:v>
      </x:c>
      <x:c r="B491" s="2" t="str">
        <x:v>Mitigation</x:v>
      </x:c>
      <x:c r="C491" s="2" t="str">
        <x:v>Industry</x:v>
      </x:c>
      <x:c r="D491" s="2" t="str">
        <x:v>Mining &amp; production</x:v>
      </x:c>
      <x:c r="E491" s="2" t="str">
        <x:v>Advanced wet quenching for iron and steel sector</x:v>
      </x:c>
      <x:c r="F491" s="2" t="str">
        <x:v>Chromium</x:v>
      </x:c>
      <x:c r="G491" s="2" t="str">
        <x:v>Alloy strategic mineral</x:v>
      </x:c>
      <x:c r="H491" s="2" t="str">
        <x:v>Chromium is linked to Advanced wet quenching for iron and steel sector because it is typically used in stainless and heat- or corrosion-resistant alloys; the assignment follows component function, not a sector-wide keyword.</x:v>
      </x:c>
      <x:c r="I491" s="2" t="str">
        <x:v>Presence and quantity in Advanced wet quenching for iron and steel sector depend on the selected design, chemistry, capacity, supplier and recycled content. This analytical link is not a verified bill of materials or supplier traceability statement.</x:v>
      </x:c>
      <x:c r="J491" s="2" t="str">
        <x:v>https://pubs.usgs.gov/periodicals/mcs2026/mcs2026.pdf</x:v>
      </x:c>
    </x:row>
    <x:row r="492" ht="66" customHeight="1">
      <x:c r="A492" s="2" t="str">
        <x:v>MIT-0214</x:v>
      </x:c>
      <x:c r="B492" s="2" t="str">
        <x:v>Mitigation</x:v>
      </x:c>
      <x:c r="C492" s="2" t="str">
        <x:v>Industry</x:v>
      </x:c>
      <x:c r="D492" s="2" t="str">
        <x:v>Fossil fuel shift</x:v>
      </x:c>
      <x:c r="E492" s="2" t="str">
        <x:v>Oil to electricity</x:v>
      </x:c>
      <x:c r="F492" s="2" t="str">
        <x:v>Iron ore / steel inputs</x:v>
      </x:c>
      <x:c r="G492" s="2" t="str">
        <x:v>Bulk and strategic mineral input</x:v>
      </x:c>
      <x:c r="H492" s="2" t="str">
        <x:v>Iron ore / steel inputs is linked to Oil to electricity because it is typically used in load-bearing structures, pressure vessels, piping or machinery; the assignment follows component function, not a sector-wide keyword.</x:v>
      </x:c>
      <x:c r="I492" s="2" t="str">
        <x:v>Presence and quantity in Oil to electricity depend on the selected design, chemistry, capacity, supplier and recycled content. This analytical link is not a verified bill of materials or supplier traceability statement.</x:v>
      </x:c>
      <x:c r="J492" s="2" t="str">
        <x:v>https://pubs.usgs.gov/periodicals/mcs2026/mcs2026.pdf</x:v>
      </x:c>
    </x:row>
    <x:row r="493" ht="66" customHeight="1">
      <x:c r="A493" s="2" t="str">
        <x:v>MIT-0214</x:v>
      </x:c>
      <x:c r="B493" s="2" t="str">
        <x:v>Mitigation</x:v>
      </x:c>
      <x:c r="C493" s="2" t="str">
        <x:v>Industry</x:v>
      </x:c>
      <x:c r="D493" s="2" t="str">
        <x:v>Fossil fuel shift</x:v>
      </x:c>
      <x:c r="E493" s="2" t="str">
        <x:v>Oil to electricity</x:v>
      </x:c>
      <x:c r="F493" s="2" t="str">
        <x:v>Copper</x:v>
      </x:c>
      <x:c r="G493" s="2" t="str">
        <x:v>Critical or strategic metal</x:v>
      </x:c>
      <x:c r="H493" s="2" t="str">
        <x:v>Copper is linked to Oil to electricity because it is typically used in power cables, windings, busbars, grounding and electrical connectors; the assignment follows component function, not a sector-wide keyword.</x:v>
      </x:c>
      <x:c r="I493" s="2" t="str">
        <x:v>Presence and quantity in Oil to electricity depend on the selected design, chemistry, capacity, supplier and recycled content. This analytical link is not a verified bill of materials or supplier traceability statement.</x:v>
      </x:c>
      <x:c r="J493" s="2" t="str">
        <x:v>https://pubs.usgs.gov/periodicals/mcs2026/mcs2026.pdf</x:v>
      </x:c>
    </x:row>
    <x:row r="494" ht="66" customHeight="1">
      <x:c r="A494" s="2" t="str">
        <x:v>MIT-0214</x:v>
      </x:c>
      <x:c r="B494" s="2" t="str">
        <x:v>Mitigation</x:v>
      </x:c>
      <x:c r="C494" s="2" t="str">
        <x:v>Industry</x:v>
      </x:c>
      <x:c r="D494" s="2" t="str">
        <x:v>Fossil fuel shift</x:v>
      </x:c>
      <x:c r="E494" s="2" t="str">
        <x:v>Oil to electricity</x:v>
      </x:c>
      <x:c r="F494" s="2" t="str">
        <x:v>Tin</x:v>
      </x:c>
      <x:c r="G494" s="2" t="str">
        <x:v>Electronics strategic metal</x:v>
      </x:c>
      <x:c r="H494" s="2" t="str">
        <x:v>Tin is linked to Oil to electricity because it is typically used in electronic solder and selected coatings; the assignment follows component function, not a sector-wide keyword.</x:v>
      </x:c>
      <x:c r="I494" s="2" t="str">
        <x:v>Presence and quantity in Oil to electricity depend on the selected design, chemistry, capacity, supplier and recycled content. This analytical link is not a verified bill of materials or supplier traceability statement.</x:v>
      </x:c>
      <x:c r="J494" s="2" t="str">
        <x:v>https://pubs.usgs.gov/periodicals/mcs2026/mcs2026.pdf</x:v>
      </x:c>
    </x:row>
    <x:row r="495" ht="66" customHeight="1">
      <x:c r="A495" s="2" t="str">
        <x:v>MIT-0215</x:v>
      </x:c>
      <x:c r="B495" s="2" t="str">
        <x:v>Mitigation</x:v>
      </x:c>
      <x:c r="C495" s="2" t="str">
        <x:v>Industry</x:v>
      </x:c>
      <x:c r="D495" s="2" t="str">
        <x:v>Fossil fuel shift</x:v>
      </x:c>
      <x:c r="E495" s="2" t="str">
        <x:v>Oil to LPG</x:v>
      </x:c>
      <x:c r="F495" s="2" t="str">
        <x:v>Iron ore / steel inputs</x:v>
      </x:c>
      <x:c r="G495" s="2" t="str">
        <x:v>Bulk and strategic mineral input</x:v>
      </x:c>
      <x:c r="H495" s="2" t="str">
        <x:v>Iron ore / steel inputs is linked to Oil to LPG because it is typically used in load-bearing structures, pressure vessels, piping or machinery; the assignment follows component function, not a sector-wide keyword.</x:v>
      </x:c>
      <x:c r="I495" s="2" t="str">
        <x:v>Presence and quantity in Oil to LPG depend on the selected design, chemistry, capacity, supplier and recycled content. This analytical link is not a verified bill of materials or supplier traceability statement.</x:v>
      </x:c>
      <x:c r="J495" s="2" t="str">
        <x:v>https://pubs.usgs.gov/periodicals/mcs2026/mcs2026.pdf</x:v>
      </x:c>
    </x:row>
    <x:row r="496" ht="66" customHeight="1">
      <x:c r="A496" s="2" t="str">
        <x:v>MIT-0216</x:v>
      </x:c>
      <x:c r="B496" s="2" t="str">
        <x:v>Mitigation</x:v>
      </x:c>
      <x:c r="C496" s="2" t="str">
        <x:v>Industry</x:v>
      </x:c>
      <x:c r="D496" s="2" t="str">
        <x:v>Fossil fuel shift</x:v>
      </x:c>
      <x:c r="E496" s="2" t="str">
        <x:v>Fossil fuels to natural gas</x:v>
      </x:c>
      <x:c r="F496" s="2" t="str">
        <x:v>Iron ore / steel inputs</x:v>
      </x:c>
      <x:c r="G496" s="2" t="str">
        <x:v>Bulk and strategic mineral input</x:v>
      </x:c>
      <x:c r="H496" s="2" t="str">
        <x:v>Iron ore / steel inputs is linked to Fossil fuels to natural gas because it is typically used in load-bearing structures, pressure vessels, piping or machinery; the assignment follows component function, not a sector-wide keyword.</x:v>
      </x:c>
      <x:c r="I496" s="2" t="str">
        <x:v>Presence and quantity in Fossil fuels to natural gas depend on the selected design, chemistry, capacity, supplier and recycled content. This analytical link is not a verified bill of materials or supplier traceability statement.</x:v>
      </x:c>
      <x:c r="J496" s="2" t="str">
        <x:v>https://pubs.usgs.gov/periodicals/mcs2026/mcs2026.pdf</x:v>
      </x:c>
    </x:row>
    <x:row r="497" ht="66" customHeight="1">
      <x:c r="A497" s="2" t="str">
        <x:v>MIT-0217</x:v>
      </x:c>
      <x:c r="B497" s="2" t="str">
        <x:v>Mitigation</x:v>
      </x:c>
      <x:c r="C497" s="2" t="str">
        <x:v>Industry</x:v>
      </x:c>
      <x:c r="D497" s="2" t="str">
        <x:v>Fossil fuel shift</x:v>
      </x:c>
      <x:c r="E497" s="2" t="str">
        <x:v>New natural gas plant</x:v>
      </x:c>
      <x:c r="F497" s="2" t="str">
        <x:v>Iron ore / steel inputs</x:v>
      </x:c>
      <x:c r="G497" s="2" t="str">
        <x:v>Bulk and strategic mineral input</x:v>
      </x:c>
      <x:c r="H497" s="2" t="str">
        <x:v>Iron ore / steel inputs is linked to New natural gas plant because it is typically used in load-bearing structures, pressure vessels, piping or machinery; the assignment follows component function, not a sector-wide keyword.</x:v>
      </x:c>
      <x:c r="I497" s="2" t="str">
        <x:v>Presence and quantity in New natural gas plant depend on the selected design, chemistry, capacity, supplier and recycled content. This analytical link is not a verified bill of materials or supplier traceability statement.</x:v>
      </x:c>
      <x:c r="J497" s="2" t="str">
        <x:v>https://pubs.usgs.gov/periodicals/mcs2026/mcs2026.pdf</x:v>
      </x:c>
    </x:row>
    <x:row r="498" ht="66" customHeight="1">
      <x:c r="A498" s="2" t="str">
        <x:v>MIT-0218</x:v>
      </x:c>
      <x:c r="B498" s="2" t="str">
        <x:v>Mitigation</x:v>
      </x:c>
      <x:c r="C498" s="2" t="str">
        <x:v>Industry</x:v>
      </x:c>
      <x:c r="D498" s="2" t="str">
        <x:v>Fossil fuel shift</x:v>
      </x:c>
      <x:c r="E498" s="2" t="str">
        <x:v>Fuel switch in industry</x:v>
      </x:c>
      <x:c r="F498" s="2" t="str">
        <x:v>Iron ore / steel inputs</x:v>
      </x:c>
      <x:c r="G498" s="2" t="str">
        <x:v>Bulk and strategic mineral input</x:v>
      </x:c>
      <x:c r="H498" s="2" t="str">
        <x:v>Iron ore / steel inputs is linked to Fuel switch in industry because it is typically used in load-bearing structures, pressure vessels, piping or machinery; the assignment follows component function, not a sector-wide keyword.</x:v>
      </x:c>
      <x:c r="I498" s="2" t="str">
        <x:v>Presence and quantity in Fuel switch in industry depend on the selected design, chemistry, capacity, supplier and recycled content. This analytical link is not a verified bill of materials or supplier traceability statement.</x:v>
      </x:c>
      <x:c r="J498" s="2" t="str">
        <x:v>https://pubs.usgs.gov/periodicals/mcs2026/mcs2026.pdf</x:v>
      </x:c>
    </x:row>
    <x:row r="499" ht="66" customHeight="1">
      <x:c r="A499" s="2" t="str">
        <x:v>MIT-0219</x:v>
      </x:c>
      <x:c r="B499" s="2" t="str">
        <x:v>Mitigation</x:v>
      </x:c>
      <x:c r="C499" s="2" t="str">
        <x:v>Industry</x:v>
      </x:c>
      <x:c r="D499" s="2" t="str">
        <x:v>Construction</x:v>
      </x:c>
      <x:c r="E499" s="2" t="str">
        <x:v>Efficient brick kiln</x:v>
      </x:c>
      <x:c r="F499" s="2" t="str">
        <x:v>Iron ore / steel inputs</x:v>
      </x:c>
      <x:c r="G499" s="2" t="str">
        <x:v>Bulk and strategic mineral input</x:v>
      </x:c>
      <x:c r="H499" s="2" t="str">
        <x:v>Iron ore / steel inputs is linked to Efficient brick kiln because it is typically used in load-bearing structures, pressure vessels, piping or machinery; the assignment follows component function, not a sector-wide keyword.</x:v>
      </x:c>
      <x:c r="I499" s="2" t="str">
        <x:v>Presence and quantity in Efficient brick kiln depend on the selected design, chemistry, capacity, supplier and recycled content. This analytical link is not a verified bill of materials or supplier traceability statement.</x:v>
      </x:c>
      <x:c r="J499" s="2" t="str">
        <x:v>https://pubs.usgs.gov/periodicals/mcs2026/mcs2026.pdf</x:v>
      </x:c>
    </x:row>
    <x:row r="500" ht="66" customHeight="1">
      <x:c r="A500" s="2" t="str">
        <x:v>MIT-0219</x:v>
      </x:c>
      <x:c r="B500" s="2" t="str">
        <x:v>Mitigation</x:v>
      </x:c>
      <x:c r="C500" s="2" t="str">
        <x:v>Industry</x:v>
      </x:c>
      <x:c r="D500" s="2" t="str">
        <x:v>Construction</x:v>
      </x:c>
      <x:c r="E500" s="2" t="str">
        <x:v>Efficient brick kiln</x:v>
      </x:c>
      <x:c r="F500" s="2" t="str">
        <x:v>Limestone / cement raw materials</x:v>
      </x:c>
      <x:c r="G500" s="2" t="str">
        <x:v>Bulk construction material</x:v>
      </x:c>
      <x:c r="H500" s="2" t="str">
        <x:v>Limestone / cement raw materials is linked to Efficient brick kiln because it is typically used in concrete foundations, channels, buildings or protective civil works; the assignment follows component function, not a sector-wide keyword.</x:v>
      </x:c>
      <x:c r="I500" s="2" t="str">
        <x:v>Presence and quantity in Efficient brick kiln depend on the selected design, chemistry, capacity, supplier and recycled content. This analytical link is not a verified bill of materials or supplier traceability statement.</x:v>
      </x:c>
      <x:c r="J500" s="2" t="str">
        <x:v>https://pubs.usgs.gov/periodicals/mcs2026/mcs2026.pdf</x:v>
      </x:c>
    </x:row>
    <x:row r="501" ht="66" customHeight="1">
      <x:c r="A501" s="2" t="str">
        <x:v>MIT-0220</x:v>
      </x:c>
      <x:c r="B501" s="2" t="str">
        <x:v>Mitigation</x:v>
      </x:c>
      <x:c r="C501" s="2" t="str">
        <x:v>Industry</x:v>
      </x:c>
      <x:c r="D501" s="2" t="str">
        <x:v>Construction</x:v>
      </x:c>
      <x:c r="E501" s="2" t="str">
        <x:v>Clinker replacement</x:v>
      </x:c>
      <x:c r="F501" s="2" t="str">
        <x:v>Iron ore / steel inputs</x:v>
      </x:c>
      <x:c r="G501" s="2" t="str">
        <x:v>Bulk and strategic mineral input</x:v>
      </x:c>
      <x:c r="H501" s="2" t="str">
        <x:v>Iron ore / steel inputs is linked to Clinker replacement because it is typically used in load-bearing structures, pressure vessels, piping or machinery; the assignment follows component function, not a sector-wide keyword.</x:v>
      </x:c>
      <x:c r="I501" s="2" t="str">
        <x:v>Presence and quantity in Clinker replacement depend on the selected design, chemistry, capacity, supplier and recycled content. This analytical link is not a verified bill of materials or supplier traceability statement.</x:v>
      </x:c>
      <x:c r="J501" s="2" t="str">
        <x:v>https://pubs.usgs.gov/periodicals/mcs2026/mcs2026.pdf</x:v>
      </x:c>
    </x:row>
    <x:row r="502" ht="66" customHeight="1">
      <x:c r="A502" s="2" t="str">
        <x:v>MIT-0220</x:v>
      </x:c>
      <x:c r="B502" s="2" t="str">
        <x:v>Mitigation</x:v>
      </x:c>
      <x:c r="C502" s="2" t="str">
        <x:v>Industry</x:v>
      </x:c>
      <x:c r="D502" s="2" t="str">
        <x:v>Construction</x:v>
      </x:c>
      <x:c r="E502" s="2" t="str">
        <x:v>Clinker replacement</x:v>
      </x:c>
      <x:c r="F502" s="2" t="str">
        <x:v>Nickel</x:v>
      </x:c>
      <x:c r="G502" s="2" t="str">
        <x:v>Battery and alloy critical mineral</x:v>
      </x:c>
      <x:c r="H502" s="2" t="str">
        <x:v>Nickel is linked to Clinker replacement because it is typically used in battery cathodes, high-temperature alloys or corrosion-resistant steels; the assignment follows component function, not a sector-wide keyword.</x:v>
      </x:c>
      <x:c r="I502" s="2" t="str">
        <x:v>Presence and quantity in Clinker replacement depend on the selected design, chemistry, capacity, supplier and recycled content. This analytical link is not a verified bill of materials or supplier traceability statement.</x:v>
      </x:c>
      <x:c r="J502" s="2" t="str">
        <x:v>https://www.iea.org/reports/global-critical-minerals-outlook-2025</x:v>
      </x:c>
    </x:row>
    <x:row r="503" ht="66" customHeight="1">
      <x:c r="A503" s="2" t="str">
        <x:v>MIT-0220</x:v>
      </x:c>
      <x:c r="B503" s="2" t="str">
        <x:v>Mitigation</x:v>
      </x:c>
      <x:c r="C503" s="2" t="str">
        <x:v>Industry</x:v>
      </x:c>
      <x:c r="D503" s="2" t="str">
        <x:v>Construction</x:v>
      </x:c>
      <x:c r="E503" s="2" t="str">
        <x:v>Clinker replacement</x:v>
      </x:c>
      <x:c r="F503" s="2" t="str">
        <x:v>Chromium</x:v>
      </x:c>
      <x:c r="G503" s="2" t="str">
        <x:v>Alloy strategic mineral</x:v>
      </x:c>
      <x:c r="H503" s="2" t="str">
        <x:v>Chromium is linked to Clinker replacement because it is typically used in stainless and heat- or corrosion-resistant alloys; the assignment follows component function, not a sector-wide keyword.</x:v>
      </x:c>
      <x:c r="I503" s="2" t="str">
        <x:v>Presence and quantity in Clinker replacement depend on the selected design, chemistry, capacity, supplier and recycled content. This analytical link is not a verified bill of materials or supplier traceability statement.</x:v>
      </x:c>
      <x:c r="J503" s="2" t="str">
        <x:v>https://pubs.usgs.gov/periodicals/mcs2026/mcs2026.pdf</x:v>
      </x:c>
    </x:row>
    <x:row r="504" ht="66" customHeight="1">
      <x:c r="A504" s="2" t="str">
        <x:v>MIT-0220</x:v>
      </x:c>
      <x:c r="B504" s="2" t="str">
        <x:v>Mitigation</x:v>
      </x:c>
      <x:c r="C504" s="2" t="str">
        <x:v>Industry</x:v>
      </x:c>
      <x:c r="D504" s="2" t="str">
        <x:v>Construction</x:v>
      </x:c>
      <x:c r="E504" s="2" t="str">
        <x:v>Clinker replacement</x:v>
      </x:c>
      <x:c r="F504" s="2" t="str">
        <x:v>Limestone / cement raw materials</x:v>
      </x:c>
      <x:c r="G504" s="2" t="str">
        <x:v>Bulk construction material</x:v>
      </x:c>
      <x:c r="H504" s="2" t="str">
        <x:v>Limestone / cement raw materials is linked to Clinker replacement because it is typically used in concrete foundations, channels, buildings or protective civil works; the assignment follows component function, not a sector-wide keyword.</x:v>
      </x:c>
      <x:c r="I504" s="2" t="str">
        <x:v>Presence and quantity in Clinker replacement depend on the selected design, chemistry, capacity, supplier and recycled content. This analytical link is not a verified bill of materials or supplier traceability statement.</x:v>
      </x:c>
      <x:c r="J504" s="2" t="str">
        <x:v>https://pubs.usgs.gov/periodicals/mcs2026/mcs2026.pdf</x:v>
      </x:c>
    </x:row>
    <x:row r="505" ht="66" customHeight="1">
      <x:c r="A505" s="2" t="str">
        <x:v>MIT-0221</x:v>
      </x:c>
      <x:c r="B505" s="2" t="str">
        <x:v>Mitigation</x:v>
      </x:c>
      <x:c r="C505" s="2" t="str">
        <x:v>Industry</x:v>
      </x:c>
      <x:c r="D505" s="2" t="str">
        <x:v>Construction</x:v>
      </x:c>
      <x:c r="E505" s="2" t="str">
        <x:v>CCS from cement production</x:v>
      </x:c>
      <x:c r="F505" s="2" t="str">
        <x:v>Iron ore / steel inputs</x:v>
      </x:c>
      <x:c r="G505" s="2" t="str">
        <x:v>Bulk and strategic mineral input</x:v>
      </x:c>
      <x:c r="H505" s="2" t="str">
        <x:v>Iron ore / steel inputs is linked to CCS from cement production because it is typically used in load-bearing structures, pressure vessels, piping or machinery; the assignment follows component function, not a sector-wide keyword.</x:v>
      </x:c>
      <x:c r="I505" s="2" t="str">
        <x:v>Presence and quantity in CCS from cement production depend on the selected design, chemistry, capacity, supplier and recycled content. This analytical link is not a verified bill of materials or supplier traceability statement.</x:v>
      </x:c>
      <x:c r="J505" s="2" t="str">
        <x:v>https://pubs.usgs.gov/periodicals/mcs2026/mcs2026.pdf</x:v>
      </x:c>
    </x:row>
    <x:row r="506" ht="66" customHeight="1">
      <x:c r="A506" s="2" t="str">
        <x:v>MIT-0221</x:v>
      </x:c>
      <x:c r="B506" s="2" t="str">
        <x:v>Mitigation</x:v>
      </x:c>
      <x:c r="C506" s="2" t="str">
        <x:v>Industry</x:v>
      </x:c>
      <x:c r="D506" s="2" t="str">
        <x:v>Construction</x:v>
      </x:c>
      <x:c r="E506" s="2" t="str">
        <x:v>CCS from cement production</x:v>
      </x:c>
      <x:c r="F506" s="2" t="str">
        <x:v>Nickel</x:v>
      </x:c>
      <x:c r="G506" s="2" t="str">
        <x:v>Battery and alloy critical mineral</x:v>
      </x:c>
      <x:c r="H506" s="2" t="str">
        <x:v>Nickel is linked to CCS from cement production because it is typically used in battery cathodes, high-temperature alloys or corrosion-resistant steels; the assignment follows component function, not a sector-wide keyword.</x:v>
      </x:c>
      <x:c r="I506" s="2" t="str">
        <x:v>Presence and quantity in CCS from cement production depend on the selected design, chemistry, capacity, supplier and recycled content. This analytical link is not a verified bill of materials or supplier traceability statement.</x:v>
      </x:c>
      <x:c r="J506" s="2" t="str">
        <x:v>https://www.iea.org/reports/global-critical-minerals-outlook-2025</x:v>
      </x:c>
    </x:row>
    <x:row r="507" ht="66" customHeight="1">
      <x:c r="A507" s="2" t="str">
        <x:v>MIT-0221</x:v>
      </x:c>
      <x:c r="B507" s="2" t="str">
        <x:v>Mitigation</x:v>
      </x:c>
      <x:c r="C507" s="2" t="str">
        <x:v>Industry</x:v>
      </x:c>
      <x:c r="D507" s="2" t="str">
        <x:v>Construction</x:v>
      </x:c>
      <x:c r="E507" s="2" t="str">
        <x:v>CCS from cement production</x:v>
      </x:c>
      <x:c r="F507" s="2" t="str">
        <x:v>Chromium</x:v>
      </x:c>
      <x:c r="G507" s="2" t="str">
        <x:v>Alloy strategic mineral</x:v>
      </x:c>
      <x:c r="H507" s="2" t="str">
        <x:v>Chromium is linked to CCS from cement production because it is typically used in stainless and heat- or corrosion-resistant alloys; the assignment follows component function, not a sector-wide keyword.</x:v>
      </x:c>
      <x:c r="I507" s="2" t="str">
        <x:v>Presence and quantity in CCS from cement production depend on the selected design, chemistry, capacity, supplier and recycled content. This analytical link is not a verified bill of materials or supplier traceability statement.</x:v>
      </x:c>
      <x:c r="J507" s="2" t="str">
        <x:v>https://pubs.usgs.gov/periodicals/mcs2026/mcs2026.pdf</x:v>
      </x:c>
    </x:row>
    <x:row r="508" ht="66" customHeight="1">
      <x:c r="A508" s="2" t="str">
        <x:v>MIT-0221</x:v>
      </x:c>
      <x:c r="B508" s="2" t="str">
        <x:v>Mitigation</x:v>
      </x:c>
      <x:c r="C508" s="2" t="str">
        <x:v>Industry</x:v>
      </x:c>
      <x:c r="D508" s="2" t="str">
        <x:v>Construction</x:v>
      </x:c>
      <x:c r="E508" s="2" t="str">
        <x:v>CCS from cement production</x:v>
      </x:c>
      <x:c r="F508" s="2" t="str">
        <x:v>Limestone / cement raw materials</x:v>
      </x:c>
      <x:c r="G508" s="2" t="str">
        <x:v>Bulk construction material</x:v>
      </x:c>
      <x:c r="H508" s="2" t="str">
        <x:v>Limestone / cement raw materials is linked to CCS from cement production because it is typically used in concrete foundations, channels, buildings or protective civil works; the assignment follows component function, not a sector-wide keyword.</x:v>
      </x:c>
      <x:c r="I508" s="2" t="str">
        <x:v>Presence and quantity in CCS from cement production depend on the selected design, chemistry, capacity, supplier and recycled content. This analytical link is not a verified bill of materials or supplier traceability statement.</x:v>
      </x:c>
      <x:c r="J508" s="2" t="str">
        <x:v>https://pubs.usgs.gov/periodicals/mcs2026/mcs2026.pdf</x:v>
      </x:c>
    </x:row>
    <x:row r="509" ht="66" customHeight="1">
      <x:c r="A509" s="2" t="str">
        <x:v>MIT-0222</x:v>
      </x:c>
      <x:c r="B509" s="2" t="str">
        <x:v>Mitigation</x:v>
      </x:c>
      <x:c r="C509" s="2" t="str">
        <x:v>Industry</x:v>
      </x:c>
      <x:c r="D509" s="2" t="str">
        <x:v>Construction</x:v>
      </x:c>
      <x:c r="E509" s="2" t="str">
        <x:v>Cement production</x:v>
      </x:c>
      <x:c r="F509" s="2" t="str">
        <x:v>Iron ore / steel inputs</x:v>
      </x:c>
      <x:c r="G509" s="2" t="str">
        <x:v>Bulk and strategic mineral input</x:v>
      </x:c>
      <x:c r="H509" s="2" t="str">
        <x:v>Iron ore / steel inputs is linked to Cement production because it is typically used in load-bearing structures, pressure vessels, piping or machinery; the assignment follows component function, not a sector-wide keyword.</x:v>
      </x:c>
      <x:c r="I509" s="2" t="str">
        <x:v>Presence and quantity in Cement production depend on the selected design, chemistry, capacity, supplier and recycled content. This analytical link is not a verified bill of materials or supplier traceability statement.</x:v>
      </x:c>
      <x:c r="J509" s="2" t="str">
        <x:v>https://pubs.usgs.gov/periodicals/mcs2026/mcs2026.pdf</x:v>
      </x:c>
    </x:row>
    <x:row r="510" ht="66" customHeight="1">
      <x:c r="A510" s="2" t="str">
        <x:v>MIT-0222</x:v>
      </x:c>
      <x:c r="B510" s="2" t="str">
        <x:v>Mitigation</x:v>
      </x:c>
      <x:c r="C510" s="2" t="str">
        <x:v>Industry</x:v>
      </x:c>
      <x:c r="D510" s="2" t="str">
        <x:v>Construction</x:v>
      </x:c>
      <x:c r="E510" s="2" t="str">
        <x:v>Cement production</x:v>
      </x:c>
      <x:c r="F510" s="2" t="str">
        <x:v>Nickel</x:v>
      </x:c>
      <x:c r="G510" s="2" t="str">
        <x:v>Battery and alloy critical mineral</x:v>
      </x:c>
      <x:c r="H510" s="2" t="str">
        <x:v>Nickel is linked to Cement production because it is typically used in battery cathodes, high-temperature alloys or corrosion-resistant steels; the assignment follows component function, not a sector-wide keyword.</x:v>
      </x:c>
      <x:c r="I510" s="2" t="str">
        <x:v>Presence and quantity in Cement production depend on the selected design, chemistry, capacity, supplier and recycled content. This analytical link is not a verified bill of materials or supplier traceability statement.</x:v>
      </x:c>
      <x:c r="J510" s="2" t="str">
        <x:v>https://www.iea.org/reports/global-critical-minerals-outlook-2025</x:v>
      </x:c>
    </x:row>
    <x:row r="511" ht="66" customHeight="1">
      <x:c r="A511" s="2" t="str">
        <x:v>MIT-0222</x:v>
      </x:c>
      <x:c r="B511" s="2" t="str">
        <x:v>Mitigation</x:v>
      </x:c>
      <x:c r="C511" s="2" t="str">
        <x:v>Industry</x:v>
      </x:c>
      <x:c r="D511" s="2" t="str">
        <x:v>Construction</x:v>
      </x:c>
      <x:c r="E511" s="2" t="str">
        <x:v>Cement production</x:v>
      </x:c>
      <x:c r="F511" s="2" t="str">
        <x:v>Chromium</x:v>
      </x:c>
      <x:c r="G511" s="2" t="str">
        <x:v>Alloy strategic mineral</x:v>
      </x:c>
      <x:c r="H511" s="2" t="str">
        <x:v>Chromium is linked to Cement production because it is typically used in stainless and heat- or corrosion-resistant alloys; the assignment follows component function, not a sector-wide keyword.</x:v>
      </x:c>
      <x:c r="I511" s="2" t="str">
        <x:v>Presence and quantity in Cement production depend on the selected design, chemistry, capacity, supplier and recycled content. This analytical link is not a verified bill of materials or supplier traceability statement.</x:v>
      </x:c>
      <x:c r="J511" s="2" t="str">
        <x:v>https://pubs.usgs.gov/periodicals/mcs2026/mcs2026.pdf</x:v>
      </x:c>
    </x:row>
    <x:row r="512" ht="66" customHeight="1">
      <x:c r="A512" s="2" t="str">
        <x:v>MIT-0222</x:v>
      </x:c>
      <x:c r="B512" s="2" t="str">
        <x:v>Mitigation</x:v>
      </x:c>
      <x:c r="C512" s="2" t="str">
        <x:v>Industry</x:v>
      </x:c>
      <x:c r="D512" s="2" t="str">
        <x:v>Construction</x:v>
      </x:c>
      <x:c r="E512" s="2" t="str">
        <x:v>Cement production</x:v>
      </x:c>
      <x:c r="F512" s="2" t="str">
        <x:v>Limestone / cement raw materials</x:v>
      </x:c>
      <x:c r="G512" s="2" t="str">
        <x:v>Bulk construction material</x:v>
      </x:c>
      <x:c r="H512" s="2" t="str">
        <x:v>Limestone / cement raw materials is linked to Cement production because it is typically used in concrete foundations, channels, buildings or protective civil works; the assignment follows component function, not a sector-wide keyword.</x:v>
      </x:c>
      <x:c r="I512" s="2" t="str">
        <x:v>Presence and quantity in Cement production depend on the selected design, chemistry, capacity, supplier and recycled content. This analytical link is not a verified bill of materials or supplier traceability statement.</x:v>
      </x:c>
      <x:c r="J512" s="2" t="str">
        <x:v>https://pubs.usgs.gov/periodicals/mcs2026/mcs2026.pdf</x:v>
      </x:c>
    </x:row>
    <x:row r="513" ht="66" customHeight="1">
      <x:c r="A513" s="2" t="str">
        <x:v>MIT-0223</x:v>
      </x:c>
      <x:c r="B513" s="2" t="str">
        <x:v>Mitigation</x:v>
      </x:c>
      <x:c r="C513" s="2" t="str">
        <x:v>Industry</x:v>
      </x:c>
      <x:c r="D513" s="2" t="str">
        <x:v>Construction</x:v>
      </x:c>
      <x:c r="E513" s="2" t="str">
        <x:v>Cement heat</x:v>
      </x:c>
      <x:c r="F513" s="2" t="str">
        <x:v>Iron ore / steel inputs</x:v>
      </x:c>
      <x:c r="G513" s="2" t="str">
        <x:v>Bulk and strategic mineral input</x:v>
      </x:c>
      <x:c r="H513" s="2" t="str">
        <x:v>Iron ore / steel inputs is linked to Cement heat because it is typically used in load-bearing structures, pressure vessels, piping or machinery; the assignment follows component function, not a sector-wide keyword.</x:v>
      </x:c>
      <x:c r="I513" s="2" t="str">
        <x:v>Presence and quantity in Cement heat depend on the selected design, chemistry, capacity, supplier and recycled content. This analytical link is not a verified bill of materials or supplier traceability statement.</x:v>
      </x:c>
      <x:c r="J513" s="2" t="str">
        <x:v>https://pubs.usgs.gov/periodicals/mcs2026/mcs2026.pdf</x:v>
      </x:c>
    </x:row>
    <x:row r="514" ht="66" customHeight="1">
      <x:c r="A514" s="2" t="str">
        <x:v>MIT-0223</x:v>
      </x:c>
      <x:c r="B514" s="2" t="str">
        <x:v>Mitigation</x:v>
      </x:c>
      <x:c r="C514" s="2" t="str">
        <x:v>Industry</x:v>
      </x:c>
      <x:c r="D514" s="2" t="str">
        <x:v>Construction</x:v>
      </x:c>
      <x:c r="E514" s="2" t="str">
        <x:v>Cement heat</x:v>
      </x:c>
      <x:c r="F514" s="2" t="str">
        <x:v>Nickel</x:v>
      </x:c>
      <x:c r="G514" s="2" t="str">
        <x:v>Battery and alloy critical mineral</x:v>
      </x:c>
      <x:c r="H514" s="2" t="str">
        <x:v>Nickel is linked to Cement heat because it is typically used in battery cathodes, high-temperature alloys or corrosion-resistant steels; the assignment follows component function, not a sector-wide keyword.</x:v>
      </x:c>
      <x:c r="I514" s="2" t="str">
        <x:v>Presence and quantity in Cement heat depend on the selected design, chemistry, capacity, supplier and recycled content. This analytical link is not a verified bill of materials or supplier traceability statement.</x:v>
      </x:c>
      <x:c r="J514" s="2" t="str">
        <x:v>https://www.iea.org/reports/global-critical-minerals-outlook-2025</x:v>
      </x:c>
    </x:row>
    <x:row r="515" ht="66" customHeight="1">
      <x:c r="A515" s="2" t="str">
        <x:v>MIT-0223</x:v>
      </x:c>
      <x:c r="B515" s="2" t="str">
        <x:v>Mitigation</x:v>
      </x:c>
      <x:c r="C515" s="2" t="str">
        <x:v>Industry</x:v>
      </x:c>
      <x:c r="D515" s="2" t="str">
        <x:v>Construction</x:v>
      </x:c>
      <x:c r="E515" s="2" t="str">
        <x:v>Cement heat</x:v>
      </x:c>
      <x:c r="F515" s="2" t="str">
        <x:v>Chromium</x:v>
      </x:c>
      <x:c r="G515" s="2" t="str">
        <x:v>Alloy strategic mineral</x:v>
      </x:c>
      <x:c r="H515" s="2" t="str">
        <x:v>Chromium is linked to Cement heat because it is typically used in stainless and heat- or corrosion-resistant alloys; the assignment follows component function, not a sector-wide keyword.</x:v>
      </x:c>
      <x:c r="I515" s="2" t="str">
        <x:v>Presence and quantity in Cement heat depend on the selected design, chemistry, capacity, supplier and recycled content. This analytical link is not a verified bill of materials or supplier traceability statement.</x:v>
      </x:c>
      <x:c r="J515" s="2" t="str">
        <x:v>https://pubs.usgs.gov/periodicals/mcs2026/mcs2026.pdf</x:v>
      </x:c>
    </x:row>
    <x:row r="516" ht="66" customHeight="1">
      <x:c r="A516" s="2" t="str">
        <x:v>MIT-0223</x:v>
      </x:c>
      <x:c r="B516" s="2" t="str">
        <x:v>Mitigation</x:v>
      </x:c>
      <x:c r="C516" s="2" t="str">
        <x:v>Industry</x:v>
      </x:c>
      <x:c r="D516" s="2" t="str">
        <x:v>Construction</x:v>
      </x:c>
      <x:c r="E516" s="2" t="str">
        <x:v>Cement heat</x:v>
      </x:c>
      <x:c r="F516" s="2" t="str">
        <x:v>Limestone / cement raw materials</x:v>
      </x:c>
      <x:c r="G516" s="2" t="str">
        <x:v>Bulk construction material</x:v>
      </x:c>
      <x:c r="H516" s="2" t="str">
        <x:v>Limestone / cement raw materials is linked to Cement heat because it is typically used in concrete foundations, channels, buildings or protective civil works; the assignment follows component function, not a sector-wide keyword.</x:v>
      </x:c>
      <x:c r="I516" s="2" t="str">
        <x:v>Presence and quantity in Cement heat depend on the selected design, chemistry, capacity, supplier and recycled content. This analytical link is not a verified bill of materials or supplier traceability statement.</x:v>
      </x:c>
      <x:c r="J516" s="2" t="str">
        <x:v>https://pubs.usgs.gov/periodicals/mcs2026/mcs2026.pdf</x:v>
      </x:c>
    </x:row>
    <x:row r="517" ht="66" customHeight="1">
      <x:c r="A517" s="2" t="str">
        <x:v>MIT-0224</x:v>
      </x:c>
      <x:c r="B517" s="2" t="str">
        <x:v>Mitigation</x:v>
      </x:c>
      <x:c r="C517" s="2" t="str">
        <x:v>Industry</x:v>
      </x:c>
      <x:c r="D517" s="2" t="str">
        <x:v>Construction</x:v>
      </x:c>
      <x:c r="E517" s="2" t="str">
        <x:v>Glass production</x:v>
      </x:c>
      <x:c r="F517" s="2" t="str">
        <x:v>Iron ore / steel inputs</x:v>
      </x:c>
      <x:c r="G517" s="2" t="str">
        <x:v>Bulk and strategic mineral input</x:v>
      </x:c>
      <x:c r="H517" s="2" t="str">
        <x:v>Iron ore / steel inputs is linked to Glass production because it is typically used in load-bearing structures, pressure vessels, piping or machinery; the assignment follows component function, not a sector-wide keyword.</x:v>
      </x:c>
      <x:c r="I517" s="2" t="str">
        <x:v>Presence and quantity in Glass production depend on the selected design, chemistry, capacity, supplier and recycled content. This analytical link is not a verified bill of materials or supplier traceability statement.</x:v>
      </x:c>
      <x:c r="J517" s="2" t="str">
        <x:v>https://pubs.usgs.gov/periodicals/mcs2026/mcs2026.pdf</x:v>
      </x:c>
    </x:row>
    <x:row r="518" ht="66" customHeight="1">
      <x:c r="A518" s="2" t="str">
        <x:v>MIT-0224</x:v>
      </x:c>
      <x:c r="B518" s="2" t="str">
        <x:v>Mitigation</x:v>
      </x:c>
      <x:c r="C518" s="2" t="str">
        <x:v>Industry</x:v>
      </x:c>
      <x:c r="D518" s="2" t="str">
        <x:v>Construction</x:v>
      </x:c>
      <x:c r="E518" s="2" t="str">
        <x:v>Glass production</x:v>
      </x:c>
      <x:c r="F518" s="2" t="str">
        <x:v>Limestone / cement raw materials</x:v>
      </x:c>
      <x:c r="G518" s="2" t="str">
        <x:v>Bulk construction material</x:v>
      </x:c>
      <x:c r="H518" s="2" t="str">
        <x:v>Limestone / cement raw materials is linked to Glass production because it is typically used in concrete foundations, channels, buildings or protective civil works; the assignment follows component function, not a sector-wide keyword.</x:v>
      </x:c>
      <x:c r="I518" s="2" t="str">
        <x:v>Presence and quantity in Glass production depend on the selected design, chemistry, capacity, supplier and recycled content. This analytical link is not a verified bill of materials or supplier traceability statement.</x:v>
      </x:c>
      <x:c r="J518" s="2" t="str">
        <x:v>https://pubs.usgs.gov/periodicals/mcs2026/mcs2026.pdf</x:v>
      </x:c>
    </x:row>
    <x:row r="519" ht="66" customHeight="1">
      <x:c r="A519" s="2" t="str">
        <x:v>MIT-0225</x:v>
      </x:c>
      <x:c r="B519" s="2" t="str">
        <x:v>Mitigation</x:v>
      </x:c>
      <x:c r="C519" s="2" t="str">
        <x:v>Industry</x:v>
      </x:c>
      <x:c r="D519" s="2" t="str">
        <x:v>Manufacturing industry</x:v>
      </x:c>
      <x:c r="E519" s="2" t="str">
        <x:v>Machinery</x:v>
      </x:c>
      <x:c r="F519" s="2" t="str">
        <x:v>Iron ore / steel inputs</x:v>
      </x:c>
      <x:c r="G519" s="2" t="str">
        <x:v>Bulk and strategic mineral input</x:v>
      </x:c>
      <x:c r="H519" s="2" t="str">
        <x:v>Iron ore / steel inputs is linked to Machinery because it is typically used in load-bearing structures, pressure vessels, piping or machinery; the assignment follows component function, not a sector-wide keyword.</x:v>
      </x:c>
      <x:c r="I519" s="2" t="str">
        <x:v>Presence and quantity in Machinery depend on the selected design, chemistry, capacity, supplier and recycled content. This analytical link is not a verified bill of materials or supplier traceability statement.</x:v>
      </x:c>
      <x:c r="J519" s="2" t="str">
        <x:v>https://pubs.usgs.gov/periodicals/mcs2026/mcs2026.pdf</x:v>
      </x:c>
    </x:row>
    <x:row r="520" ht="66" customHeight="1">
      <x:c r="A520" s="2" t="str">
        <x:v>MIT-0226</x:v>
      </x:c>
      <x:c r="B520" s="2" t="str">
        <x:v>Mitigation</x:v>
      </x:c>
      <x:c r="C520" s="2" t="str">
        <x:v>Industry</x:v>
      </x:c>
      <x:c r="D520" s="2" t="str">
        <x:v>Manufacturing industry</x:v>
      </x:c>
      <x:c r="E520" s="2" t="str">
        <x:v>Efficient supply chains</x:v>
      </x:c>
      <x:c r="F520" s="2" t="str">
        <x:v>Iron ore / steel inputs</x:v>
      </x:c>
      <x:c r="G520" s="2" t="str">
        <x:v>Bulk and strategic mineral input</x:v>
      </x:c>
      <x:c r="H520" s="2" t="str">
        <x:v>Iron ore / steel inputs is linked to Efficient supply chains because it is typically used in load-bearing structures, pressure vessels, piping or machinery; the assignment follows component function, not a sector-wide keyword.</x:v>
      </x:c>
      <x:c r="I520" s="2" t="str">
        <x:v>Presence and quantity in Efficient supply chains depend on the selected design, chemistry, capacity, supplier and recycled content. This analytical link is not a verified bill of materials or supplier traceability statement.</x:v>
      </x:c>
      <x:c r="J520" s="2" t="str">
        <x:v>https://pubs.usgs.gov/periodicals/mcs2026/mcs2026.pdf</x:v>
      </x:c>
    </x:row>
    <x:row r="521" ht="66" customHeight="1">
      <x:c r="A521" s="2" t="str">
        <x:v>MIT-0227</x:v>
      </x:c>
      <x:c r="B521" s="2" t="str">
        <x:v>Mitigation</x:v>
      </x:c>
      <x:c r="C521" s="2" t="str">
        <x:v>Industry</x:v>
      </x:c>
      <x:c r="D521" s="2" t="str">
        <x:v>Manufacturing industry</x:v>
      </x:c>
      <x:c r="E521" s="2" t="str">
        <x:v>Mitigation in the textiles and leather industry</x:v>
      </x:c>
      <x:c r="F521" s="2" t="str">
        <x:v>Iron ore / steel inputs</x:v>
      </x:c>
      <x:c r="G521" s="2" t="str">
        <x:v>Bulk and strategic mineral input</x:v>
      </x:c>
      <x:c r="H521" s="2" t="str">
        <x:v>Iron ore / steel inputs is linked to Mitigation in the textiles and leather industry because it is typically used in load-bearing structures, pressure vessels, piping or machinery; the assignment follows component function, not a sector-wide keyword.</x:v>
      </x:c>
      <x:c r="I521" s="2" t="str">
        <x:v>Presence and quantity in Mitigation in the textiles and leather industry depend on the selected design, chemistry, capacity, supplier and recycled content. This analytical link is not a verified bill of materials or supplier traceability statement.</x:v>
      </x:c>
      <x:c r="J521" s="2" t="str">
        <x:v>https://pubs.usgs.gov/periodicals/mcs2026/mcs2026.pdf</x:v>
      </x:c>
    </x:row>
    <x:row r="522" ht="66" customHeight="1">
      <x:c r="A522" s="2" t="str">
        <x:v>MIT-0228</x:v>
      </x:c>
      <x:c r="B522" s="2" t="str">
        <x:v>Mitigation</x:v>
      </x:c>
      <x:c r="C522" s="2" t="str">
        <x:v>Industry</x:v>
      </x:c>
      <x:c r="D522" s="2" t="str">
        <x:v>Manufacturing industry</x:v>
      </x:c>
      <x:c r="E522" s="2" t="str">
        <x:v>Industrial symbiosis</x:v>
      </x:c>
      <x:c r="F522" s="2" t="str">
        <x:v>Iron ore / steel inputs</x:v>
      </x:c>
      <x:c r="G522" s="2" t="str">
        <x:v>Bulk and strategic mineral input</x:v>
      </x:c>
      <x:c r="H522" s="2" t="str">
        <x:v>Iron ore / steel inputs is linked to Industrial symbiosis because it is typically used in load-bearing structures, pressure vessels, piping or machinery; the assignment follows component function, not a sector-wide keyword.</x:v>
      </x:c>
      <x:c r="I522" s="2" t="str">
        <x:v>Presence and quantity in Industrial symbiosis depend on the selected design, chemistry, capacity, supplier and recycled content. This analytical link is not a verified bill of materials or supplier traceability statement.</x:v>
      </x:c>
      <x:c r="J522" s="2" t="str">
        <x:v>https://pubs.usgs.gov/periodicals/mcs2026/mcs2026.pdf</x:v>
      </x:c>
    </x:row>
    <x:row r="523" ht="66" customHeight="1">
      <x:c r="A523" s="2" t="str">
        <x:v>MIT-0229</x:v>
      </x:c>
      <x:c r="B523" s="2" t="str">
        <x:v>Mitigation</x:v>
      </x:c>
      <x:c r="C523" s="2" t="str">
        <x:v>Industry</x:v>
      </x:c>
      <x:c r="D523" s="2" t="str">
        <x:v>Manufacturing industry</x:v>
      </x:c>
      <x:c r="E523" s="2" t="str">
        <x:v>Electronic control systems</x:v>
      </x:c>
      <x:c r="F523" s="2" t="str">
        <x:v>Iron ore / steel inputs</x:v>
      </x:c>
      <x:c r="G523" s="2" t="str">
        <x:v>Bulk and strategic mineral input</x:v>
      </x:c>
      <x:c r="H523" s="2" t="str">
        <x:v>Iron ore / steel inputs is linked to Electronic control systems because it is typically used in load-bearing structures, pressure vessels, piping or machinery; the assignment follows component function, not a sector-wide keyword.</x:v>
      </x:c>
      <x:c r="I523" s="2" t="str">
        <x:v>Presence and quantity in Electronic control systems depend on the selected design, chemistry, capacity, supplier and recycled content. This analytical link is not a verified bill of materials or supplier traceability statement.</x:v>
      </x:c>
      <x:c r="J523" s="2" t="str">
        <x:v>https://pubs.usgs.gov/periodicals/mcs2026/mcs2026.pdf</x:v>
      </x:c>
    </x:row>
    <x:row r="524" ht="66" customHeight="1">
      <x:c r="A524" s="2" t="str">
        <x:v>MIT-0229</x:v>
      </x:c>
      <x:c r="B524" s="2" t="str">
        <x:v>Mitigation</x:v>
      </x:c>
      <x:c r="C524" s="2" t="str">
        <x:v>Industry</x:v>
      </x:c>
      <x:c r="D524" s="2" t="str">
        <x:v>Manufacturing industry</x:v>
      </x:c>
      <x:c r="E524" s="2" t="str">
        <x:v>Electronic control systems</x:v>
      </x:c>
      <x:c r="F524" s="2" t="str">
        <x:v>Copper</x:v>
      </x:c>
      <x:c r="G524" s="2" t="str">
        <x:v>Critical or strategic metal</x:v>
      </x:c>
      <x:c r="H524" s="2" t="str">
        <x:v>Copper is linked to Electronic control systems because it is typically used in power cables, windings, busbars, grounding and electrical connectors; the assignment follows component function, not a sector-wide keyword.</x:v>
      </x:c>
      <x:c r="I524" s="2" t="str">
        <x:v>Presence and quantity in Electronic control systems depend on the selected design, chemistry, capacity, supplier and recycled content. This analytical link is not a verified bill of materials or supplier traceability statement.</x:v>
      </x:c>
      <x:c r="J524" s="2" t="str">
        <x:v>https://pubs.usgs.gov/periodicals/mcs2026/mcs2026.pdf</x:v>
      </x:c>
    </x:row>
    <x:row r="525" ht="66" customHeight="1">
      <x:c r="A525" s="2" t="str">
        <x:v>MIT-0229</x:v>
      </x:c>
      <x:c r="B525" s="2" t="str">
        <x:v>Mitigation</x:v>
      </x:c>
      <x:c r="C525" s="2" t="str">
        <x:v>Industry</x:v>
      </x:c>
      <x:c r="D525" s="2" t="str">
        <x:v>Manufacturing industry</x:v>
      </x:c>
      <x:c r="E525" s="2" t="str">
        <x:v>Electronic control systems</x:v>
      </x:c>
      <x:c r="F525" s="2" t="str">
        <x:v>Tin</x:v>
      </x:c>
      <x:c r="G525" s="2" t="str">
        <x:v>Electronics strategic metal</x:v>
      </x:c>
      <x:c r="H525" s="2" t="str">
        <x:v>Tin is linked to Electronic control systems because it is typically used in electronic solder and selected coatings; the assignment follows component function, not a sector-wide keyword.</x:v>
      </x:c>
      <x:c r="I525" s="2" t="str">
        <x:v>Presence and quantity in Electronic control systems depend on the selected design, chemistry, capacity, supplier and recycled content. This analytical link is not a verified bill of materials or supplier traceability statement.</x:v>
      </x:c>
      <x:c r="J525" s="2" t="str">
        <x:v>https://pubs.usgs.gov/periodicals/mcs2026/mcs2026.pdf</x:v>
      </x:c>
    </x:row>
    <x:row r="526" ht="66" customHeight="1">
      <x:c r="A526" s="2" t="str">
        <x:v>MIT-0229</x:v>
      </x:c>
      <x:c r="B526" s="2" t="str">
        <x:v>Mitigation</x:v>
      </x:c>
      <x:c r="C526" s="2" t="str">
        <x:v>Industry</x:v>
      </x:c>
      <x:c r="D526" s="2" t="str">
        <x:v>Manufacturing industry</x:v>
      </x:c>
      <x:c r="E526" s="2" t="str">
        <x:v>Electronic control systems</x:v>
      </x:c>
      <x:c r="F526" s="2" t="str">
        <x:v>Tantalum</x:v>
      </x:c>
      <x:c r="G526" s="2" t="str">
        <x:v>Electronics critical mineral</x:v>
      </x:c>
      <x:c r="H526" s="2" t="str">
        <x:v>Tantalum is linked to Electronic control systems because it is typically used in high-reliability electronic capacitors; the assignment follows component function, not a sector-wide keyword.</x:v>
      </x:c>
      <x:c r="I526" s="2" t="str">
        <x:v>Presence and quantity in Electronic control systems depend on the selected design, chemistry, capacity, supplier and recycled content. This analytical link is not a verified bill of materials or supplier traceability statement.</x:v>
      </x:c>
      <x:c r="J526" s="2" t="str">
        <x:v>https://pubs.usgs.gov/periodicals/mcs2026/mcs2026.pdf</x:v>
      </x:c>
    </x:row>
    <x:row r="527" ht="66" customHeight="1">
      <x:c r="A527" s="2" t="str">
        <x:v>MIT-0230</x:v>
      </x:c>
      <x:c r="B527" s="2" t="str">
        <x:v>Mitigation</x:v>
      </x:c>
      <x:c r="C527" s="2" t="str">
        <x:v>Industry</x:v>
      </x:c>
      <x:c r="D527" s="2" t="str">
        <x:v>Manufacturing industry</x:v>
      </x:c>
      <x:c r="E527" s="2" t="str">
        <x:v>Eco-design</x:v>
      </x:c>
      <x:c r="F527" s="2" t="str">
        <x:v>Iron ore / steel inputs</x:v>
      </x:c>
      <x:c r="G527" s="2" t="str">
        <x:v>Bulk and strategic mineral input</x:v>
      </x:c>
      <x:c r="H527" s="2" t="str">
        <x:v>Iron ore / steel inputs is linked to Eco-design because it is typically used in load-bearing structures, pressure vessels, piping or machinery; the assignment follows component function, not a sector-wide keyword.</x:v>
      </x:c>
      <x:c r="I527" s="2" t="str">
        <x:v>Presence and quantity in Eco-design depend on the selected design, chemistry, capacity, supplier and recycled content. This analytical link is not a verified bill of materials or supplier traceability statement.</x:v>
      </x:c>
      <x:c r="J527" s="2" t="str">
        <x:v>https://pubs.usgs.gov/periodicals/mcs2026/mcs2026.pdf</x:v>
      </x:c>
    </x:row>
    <x:row r="528" ht="66" customHeight="1">
      <x:c r="A528" s="2" t="str">
        <x:v>MIT-0231</x:v>
      </x:c>
      <x:c r="B528" s="2" t="str">
        <x:v>Mitigation</x:v>
      </x:c>
      <x:c r="C528" s="2" t="str">
        <x:v>Industry</x:v>
      </x:c>
      <x:c r="D528" s="2" t="str">
        <x:v>Manufacturing industry</x:v>
      </x:c>
      <x:c r="E528" s="2" t="str">
        <x:v>Wood products</x:v>
      </x:c>
      <x:c r="F528" s="2" t="str">
        <x:v>Iron ore / steel inputs</x:v>
      </x:c>
      <x:c r="G528" s="2" t="str">
        <x:v>Bulk and strategic mineral input</x:v>
      </x:c>
      <x:c r="H528" s="2" t="str">
        <x:v>Iron ore / steel inputs is linked to Wood products because it is typically used in load-bearing structures, pressure vessels, piping or machinery; the assignment follows component function, not a sector-wide keyword.</x:v>
      </x:c>
      <x:c r="I528" s="2" t="str">
        <x:v>Presence and quantity in Wood products depend on the selected design, chemistry, capacity, supplier and recycled content. This analytical link is not a verified bill of materials or supplier traceability statement.</x:v>
      </x:c>
      <x:c r="J528" s="2" t="str">
        <x:v>https://pubs.usgs.gov/periodicals/mcs2026/mcs2026.pdf</x:v>
      </x:c>
    </x:row>
    <x:row r="529" ht="66" customHeight="1">
      <x:c r="A529" s="2" t="str">
        <x:v>MIT-0232</x:v>
      </x:c>
      <x:c r="B529" s="2" t="str">
        <x:v>Mitigation</x:v>
      </x:c>
      <x:c r="C529" s="2" t="str">
        <x:v>Industry</x:v>
      </x:c>
      <x:c r="D529" s="2" t="str">
        <x:v>Manufacturing industry</x:v>
      </x:c>
      <x:c r="E529" s="2" t="str">
        <x:v>Mitigation in the pulp and paper industry</x:v>
      </x:c>
      <x:c r="F529" s="2" t="str">
        <x:v>Iron ore / steel inputs</x:v>
      </x:c>
      <x:c r="G529" s="2" t="str">
        <x:v>Bulk and strategic mineral input</x:v>
      </x:c>
      <x:c r="H529" s="2" t="str">
        <x:v>Iron ore / steel inputs is linked to Mitigation in the pulp and paper industry because it is typically used in load-bearing structures, pressure vessels, piping or machinery; the assignment follows component function, not a sector-wide keyword.</x:v>
      </x:c>
      <x:c r="I529" s="2" t="str">
        <x:v>Presence and quantity in Mitigation in the pulp and paper industry depend on the selected design, chemistry, capacity, supplier and recycled content. This analytical link is not a verified bill of materials or supplier traceability statement.</x:v>
      </x:c>
      <x:c r="J529" s="2" t="str">
        <x:v>https://pubs.usgs.gov/periodicals/mcs2026/mcs2026.pdf</x:v>
      </x:c>
    </x:row>
    <x:row r="530" ht="66" customHeight="1">
      <x:c r="A530" s="2" t="str">
        <x:v>MIT-0233</x:v>
      </x:c>
      <x:c r="B530" s="2" t="str">
        <x:v>Mitigation</x:v>
      </x:c>
      <x:c r="C530" s="2" t="str">
        <x:v>Industry</x:v>
      </x:c>
      <x:c r="D530" s="2" t="str">
        <x:v>Manufacturing industry</x:v>
      </x:c>
      <x:c r="E530" s="2" t="str">
        <x:v>Electronic devices</x:v>
      </x:c>
      <x:c r="F530" s="2" t="str">
        <x:v>Iron ore / steel inputs</x:v>
      </x:c>
      <x:c r="G530" s="2" t="str">
        <x:v>Bulk and strategic mineral input</x:v>
      </x:c>
      <x:c r="H530" s="2" t="str">
        <x:v>Iron ore / steel inputs is linked to Electronic devices because it is typically used in load-bearing structures, pressure vessels, piping or machinery; the assignment follows component function, not a sector-wide keyword.</x:v>
      </x:c>
      <x:c r="I530" s="2" t="str">
        <x:v>Presence and quantity in Electronic devices depend on the selected design, chemistry, capacity, supplier and recycled content. This analytical link is not a verified bill of materials or supplier traceability statement.</x:v>
      </x:c>
      <x:c r="J530" s="2" t="str">
        <x:v>https://pubs.usgs.gov/periodicals/mcs2026/mcs2026.pdf</x:v>
      </x:c>
    </x:row>
    <x:row r="531" ht="66" customHeight="1">
      <x:c r="A531" s="2" t="str">
        <x:v>MIT-0233</x:v>
      </x:c>
      <x:c r="B531" s="2" t="str">
        <x:v>Mitigation</x:v>
      </x:c>
      <x:c r="C531" s="2" t="str">
        <x:v>Industry</x:v>
      </x:c>
      <x:c r="D531" s="2" t="str">
        <x:v>Manufacturing industry</x:v>
      </x:c>
      <x:c r="E531" s="2" t="str">
        <x:v>Electronic devices</x:v>
      </x:c>
      <x:c r="F531" s="2" t="str">
        <x:v>Copper</x:v>
      </x:c>
      <x:c r="G531" s="2" t="str">
        <x:v>Critical or strategic metal</x:v>
      </x:c>
      <x:c r="H531" s="2" t="str">
        <x:v>Copper is linked to Electronic devices because it is typically used in power cables, windings, busbars, grounding and electrical connectors; the assignment follows component function, not a sector-wide keyword.</x:v>
      </x:c>
      <x:c r="I531" s="2" t="str">
        <x:v>Presence and quantity in Electronic devices depend on the selected design, chemistry, capacity, supplier and recycled content. This analytical link is not a verified bill of materials or supplier traceability statement.</x:v>
      </x:c>
      <x:c r="J531" s="2" t="str">
        <x:v>https://pubs.usgs.gov/periodicals/mcs2026/mcs2026.pdf</x:v>
      </x:c>
    </x:row>
    <x:row r="532" ht="66" customHeight="1">
      <x:c r="A532" s="2" t="str">
        <x:v>MIT-0233</x:v>
      </x:c>
      <x:c r="B532" s="2" t="str">
        <x:v>Mitigation</x:v>
      </x:c>
      <x:c r="C532" s="2" t="str">
        <x:v>Industry</x:v>
      </x:c>
      <x:c r="D532" s="2" t="str">
        <x:v>Manufacturing industry</x:v>
      </x:c>
      <x:c r="E532" s="2" t="str">
        <x:v>Electronic devices</x:v>
      </x:c>
      <x:c r="F532" s="2" t="str">
        <x:v>Tin</x:v>
      </x:c>
      <x:c r="G532" s="2" t="str">
        <x:v>Electronics strategic metal</x:v>
      </x:c>
      <x:c r="H532" s="2" t="str">
        <x:v>Tin is linked to Electronic devices because it is typically used in electronic solder and selected coatings; the assignment follows component function, not a sector-wide keyword.</x:v>
      </x:c>
      <x:c r="I532" s="2" t="str">
        <x:v>Presence and quantity in Electronic devices depend on the selected design, chemistry, capacity, supplier and recycled content. This analytical link is not a verified bill of materials or supplier traceability statement.</x:v>
      </x:c>
      <x:c r="J532" s="2" t="str">
        <x:v>https://pubs.usgs.gov/periodicals/mcs2026/mcs2026.pdf</x:v>
      </x:c>
    </x:row>
    <x:row r="533" ht="66" customHeight="1">
      <x:c r="A533" s="2" t="str">
        <x:v>MIT-0234</x:v>
      </x:c>
      <x:c r="B533" s="2" t="str">
        <x:v>Mitigation</x:v>
      </x:c>
      <x:c r="C533" s="2" t="str">
        <x:v>Industry</x:v>
      </x:c>
      <x:c r="D533" s="2" t="str">
        <x:v>Manufacturing industry</x:v>
      </x:c>
      <x:c r="E533" s="2" t="str">
        <x:v>Bioplastics</x:v>
      </x:c>
      <x:c r="F533" s="2" t="str">
        <x:v>Iron ore / steel inputs</x:v>
      </x:c>
      <x:c r="G533" s="2" t="str">
        <x:v>Bulk and strategic mineral input</x:v>
      </x:c>
      <x:c r="H533" s="2" t="str">
        <x:v>Iron ore / steel inputs is linked to Bioplastics because it is typically used in load-bearing structures, pressure vessels, piping or machinery; the assignment follows component function, not a sector-wide keyword.</x:v>
      </x:c>
      <x:c r="I533" s="2" t="str">
        <x:v>Presence and quantity in Bioplastics depend on the selected design, chemistry, capacity, supplier and recycled content. This analytical link is not a verified bill of materials or supplier traceability statement.</x:v>
      </x:c>
      <x:c r="J533" s="2" t="str">
        <x:v>https://pubs.usgs.gov/periodicals/mcs2026/mcs2026.pdf</x:v>
      </x:c>
    </x:row>
    <x:row r="534" ht="66" customHeight="1">
      <x:c r="A534" s="2" t="str">
        <x:v>MIT-0235</x:v>
      </x:c>
      <x:c r="B534" s="2" t="str">
        <x:v>Mitigation</x:v>
      </x:c>
      <x:c r="C534" s="2" t="str">
        <x:v>Industry</x:v>
      </x:c>
      <x:c r="D534" s="2" t="str">
        <x:v>Conventional power plant efficiency</x:v>
      </x:c>
      <x:c r="E534" s="2" t="str">
        <x:v>Power plant rehabilitation</x:v>
      </x:c>
      <x:c r="F534" s="2" t="str">
        <x:v>Iron ore / steel inputs</x:v>
      </x:c>
      <x:c r="G534" s="2" t="str">
        <x:v>Bulk and strategic mineral input</x:v>
      </x:c>
      <x:c r="H534" s="2" t="str">
        <x:v>Iron ore / steel inputs is linked to Power plant rehabilitation because it is typically used in load-bearing structures, pressure vessels, piping or machinery; the assignment follows component function, not a sector-wide keyword.</x:v>
      </x:c>
      <x:c r="I534" s="2" t="str">
        <x:v>Presence and quantity in Power plant rehabilitation depend on the selected design, chemistry, capacity, supplier and recycled content. This analytical link is not a verified bill of materials or supplier traceability statement.</x:v>
      </x:c>
      <x:c r="J534" s="2" t="str">
        <x:v>https://pubs.usgs.gov/periodicals/mcs2026/mcs2026.pdf</x:v>
      </x:c>
    </x:row>
    <x:row r="535" ht="66" customHeight="1">
      <x:c r="A535" s="2" t="str">
        <x:v>MIT-0236</x:v>
      </x:c>
      <x:c r="B535" s="2" t="str">
        <x:v>Mitigation</x:v>
      </x:c>
      <x:c r="C535" s="2" t="str">
        <x:v>Industry</x:v>
      </x:c>
      <x:c r="D535" s="2" t="str">
        <x:v>Conventional power plant efficiency</x:v>
      </x:c>
      <x:c r="E535" s="2" t="str">
        <x:v>Stirling engine</x:v>
      </x:c>
      <x:c r="F535" s="2" t="str">
        <x:v>Iron ore / steel inputs</x:v>
      </x:c>
      <x:c r="G535" s="2" t="str">
        <x:v>Bulk and strategic mineral input</x:v>
      </x:c>
      <x:c r="H535" s="2" t="str">
        <x:v>Iron ore / steel inputs is linked to Stirling engine because it is typically used in load-bearing structures, pressure vessels, piping or machinery; the assignment follows component function, not a sector-wide keyword.</x:v>
      </x:c>
      <x:c r="I535" s="2" t="str">
        <x:v>Presence and quantity in Stirling engine depend on the selected design, chemistry, capacity, supplier and recycled content. This analytical link is not a verified bill of materials or supplier traceability statement.</x:v>
      </x:c>
      <x:c r="J535" s="2" t="str">
        <x:v>https://pubs.usgs.gov/periodicals/mcs2026/mcs2026.pdf</x:v>
      </x:c>
    </x:row>
    <x:row r="536" ht="66" customHeight="1">
      <x:c r="A536" s="2" t="str">
        <x:v>MIT-0237</x:v>
      </x:c>
      <x:c r="B536" s="2" t="str">
        <x:v>Mitigation</x:v>
      </x:c>
      <x:c r="C536" s="2" t="str">
        <x:v>Industry</x:v>
      </x:c>
      <x:c r="D536" s="2" t="str">
        <x:v>Conventional power plant efficiency</x:v>
      </x:c>
      <x:c r="E536" s="2" t="str">
        <x:v>Natural gas combined cycle plants</x:v>
      </x:c>
      <x:c r="F536" s="2" t="str">
        <x:v>Iron ore / steel inputs</x:v>
      </x:c>
      <x:c r="G536" s="2" t="str">
        <x:v>Bulk and strategic mineral input</x:v>
      </x:c>
      <x:c r="H536" s="2" t="str">
        <x:v>Iron ore / steel inputs is linked to Natural gas combined cycle plants because it is typically used in load-bearing structures, pressure vessels, piping or machinery; the assignment follows component function, not a sector-wide keyword.</x:v>
      </x:c>
      <x:c r="I536" s="2" t="str">
        <x:v>Presence and quantity in Natural gas combined cycle plants depend on the selected design, chemistry, capacity, supplier and recycled content. This analytical link is not a verified bill of materials or supplier traceability statement.</x:v>
      </x:c>
      <x:c r="J536" s="2" t="str">
        <x:v>https://pubs.usgs.gov/periodicals/mcs2026/mcs2026.pdf</x:v>
      </x:c>
    </x:row>
    <x:row r="537" ht="66" customHeight="1">
      <x:c r="A537" s="2" t="str">
        <x:v>MIT-0238</x:v>
      </x:c>
      <x:c r="B537" s="2" t="str">
        <x:v>Mitigation</x:v>
      </x:c>
      <x:c r="C537" s="2" t="str">
        <x:v>Industry</x:v>
      </x:c>
      <x:c r="D537" s="2" t="str">
        <x:v>Conventional power plant efficiency</x:v>
      </x:c>
      <x:c r="E537" s="2" t="str">
        <x:v>Integrated gasification combined-cycle</x:v>
      </x:c>
      <x:c r="F537" s="2" t="str">
        <x:v>Iron ore / steel inputs</x:v>
      </x:c>
      <x:c r="G537" s="2" t="str">
        <x:v>Bulk and strategic mineral input</x:v>
      </x:c>
      <x:c r="H537" s="2" t="str">
        <x:v>Iron ore / steel inputs is linked to Integrated gasification combined-cycle because it is typically used in load-bearing structures, pressure vessels, piping or machinery; the assignment follows component function, not a sector-wide keyword.</x:v>
      </x:c>
      <x:c r="I537" s="2" t="str">
        <x:v>Presence and quantity in Integrated gasification combined-cycle depend on the selected design, chemistry, capacity, supplier and recycled content. This analytical link is not a verified bill of materials or supplier traceability statement.</x:v>
      </x:c>
      <x:c r="J537" s="2" t="str">
        <x:v>https://pubs.usgs.gov/periodicals/mcs2026/mcs2026.pdf</x:v>
      </x:c>
    </x:row>
    <x:row r="538" ht="66" customHeight="1">
      <x:c r="A538" s="2" t="str">
        <x:v>MIT-0239</x:v>
      </x:c>
      <x:c r="B538" s="2" t="str">
        <x:v>Mitigation</x:v>
      </x:c>
      <x:c r="C538" s="2" t="str">
        <x:v>Industry</x:v>
      </x:c>
      <x:c r="D538" s="2" t="str">
        <x:v>Conventional power plant efficiency</x:v>
      </x:c>
      <x:c r="E538" s="2" t="str">
        <x:v>Single cycle to combined cycle power generation</x:v>
      </x:c>
      <x:c r="F538" s="2" t="str">
        <x:v>Iron ore / steel inputs</x:v>
      </x:c>
      <x:c r="G538" s="2" t="str">
        <x:v>Bulk and strategic mineral input</x:v>
      </x:c>
      <x:c r="H538" s="2" t="str">
        <x:v>Iron ore / steel inputs is linked to Single cycle to combined cycle power generation because it is typically used in load-bearing structures, pressure vessels, piping or machinery; the assignment follows component function, not a sector-wide keyword.</x:v>
      </x:c>
      <x:c r="I538" s="2" t="str">
        <x:v>Presence and quantity in Single cycle to combined cycle power generation depend on the selected design, chemistry, capacity, supplier and recycled content. This analytical link is not a verified bill of materials or supplier traceability statement.</x:v>
      </x:c>
      <x:c r="J538" s="2" t="str">
        <x:v>https://pubs.usgs.gov/periodicals/mcs2026/mcs2026.pdf</x:v>
      </x:c>
    </x:row>
    <x:row r="539" ht="66" customHeight="1">
      <x:c r="A539" s="2" t="str">
        <x:v>MIT-0240</x:v>
      </x:c>
      <x:c r="B539" s="2" t="str">
        <x:v>Mitigation</x:v>
      </x:c>
      <x:c r="C539" s="2" t="str">
        <x:v>Industry</x:v>
      </x:c>
      <x:c r="D539" s="2" t="str">
        <x:v>Conventional power plant efficiency</x:v>
      </x:c>
      <x:c r="E539" s="2" t="str">
        <x:v>Replacement of district heating boilers</x:v>
      </x:c>
      <x:c r="F539" s="2" t="str">
        <x:v>Iron ore / steel inputs</x:v>
      </x:c>
      <x:c r="G539" s="2" t="str">
        <x:v>Bulk and strategic mineral input</x:v>
      </x:c>
      <x:c r="H539" s="2" t="str">
        <x:v>Iron ore / steel inputs is linked to Replacement of district heating boilers because it is typically used in load-bearing structures, pressure vessels, piping or machinery; the assignment follows component function, not a sector-wide keyword.</x:v>
      </x:c>
      <x:c r="I539" s="2" t="str">
        <x:v>Presence and quantity in Replacement of district heating boilers depend on the selected design, chemistry, capacity, supplier and recycled content. This analytical link is not a verified bill of materials or supplier traceability statement.</x:v>
      </x:c>
      <x:c r="J539" s="2" t="str">
        <x:v>https://pubs.usgs.gov/periodicals/mcs2026/mcs2026.pdf</x:v>
      </x:c>
    </x:row>
    <x:row r="540" ht="66" customHeight="1">
      <x:c r="A540" s="2" t="str">
        <x:v>MIT-0240</x:v>
      </x:c>
      <x:c r="B540" s="2" t="str">
        <x:v>Mitigation</x:v>
      </x:c>
      <x:c r="C540" s="2" t="str">
        <x:v>Industry</x:v>
      </x:c>
      <x:c r="D540" s="2" t="str">
        <x:v>Conventional power plant efficiency</x:v>
      </x:c>
      <x:c r="E540" s="2" t="str">
        <x:v>Replacement of district heating boilers</x:v>
      </x:c>
      <x:c r="F540" s="2" t="str">
        <x:v>Nickel</x:v>
      </x:c>
      <x:c r="G540" s="2" t="str">
        <x:v>Battery and alloy critical mineral</x:v>
      </x:c>
      <x:c r="H540" s="2" t="str">
        <x:v>Nickel is linked to Replacement of district heating boilers because it is typically used in battery cathodes, high-temperature alloys or corrosion-resistant steels; the assignment follows component function, not a sector-wide keyword.</x:v>
      </x:c>
      <x:c r="I540" s="2" t="str">
        <x:v>Presence and quantity in Replacement of district heating boilers depend on the selected design, chemistry, capacity, supplier and recycled content. This analytical link is not a verified bill of materials or supplier traceability statement.</x:v>
      </x:c>
      <x:c r="J540" s="2" t="str">
        <x:v>https://www.iea.org/reports/global-critical-minerals-outlook-2025</x:v>
      </x:c>
    </x:row>
    <x:row r="541" ht="66" customHeight="1">
      <x:c r="A541" s="2" t="str">
        <x:v>MIT-0240</x:v>
      </x:c>
      <x:c r="B541" s="2" t="str">
        <x:v>Mitigation</x:v>
      </x:c>
      <x:c r="C541" s="2" t="str">
        <x:v>Industry</x:v>
      </x:c>
      <x:c r="D541" s="2" t="str">
        <x:v>Conventional power plant efficiency</x:v>
      </x:c>
      <x:c r="E541" s="2" t="str">
        <x:v>Replacement of district heating boilers</x:v>
      </x:c>
      <x:c r="F541" s="2" t="str">
        <x:v>Chromium</x:v>
      </x:c>
      <x:c r="G541" s="2" t="str">
        <x:v>Alloy strategic mineral</x:v>
      </x:c>
      <x:c r="H541" s="2" t="str">
        <x:v>Chromium is linked to Replacement of district heating boilers because it is typically used in stainless and heat- or corrosion-resistant alloys; the assignment follows component function, not a sector-wide keyword.</x:v>
      </x:c>
      <x:c r="I541" s="2" t="str">
        <x:v>Presence and quantity in Replacement of district heating boilers depend on the selected design, chemistry, capacity, supplier and recycled content. This analytical link is not a verified bill of materials or supplier traceability statement.</x:v>
      </x:c>
      <x:c r="J541" s="2" t="str">
        <x:v>https://pubs.usgs.gov/periodicals/mcs2026/mcs2026.pdf</x:v>
      </x:c>
    </x:row>
    <x:row r="542" ht="66" customHeight="1">
      <x:c r="A542" s="2" t="str">
        <x:v>MIT-0240</x:v>
      </x:c>
      <x:c r="B542" s="2" t="str">
        <x:v>Mitigation</x:v>
      </x:c>
      <x:c r="C542" s="2" t="str">
        <x:v>Industry</x:v>
      </x:c>
      <x:c r="D542" s="2" t="str">
        <x:v>Conventional power plant efficiency</x:v>
      </x:c>
      <x:c r="E542" s="2" t="str">
        <x:v>Replacement of district heating boilers</x:v>
      </x:c>
      <x:c r="F542" s="2" t="str">
        <x:v>Limestone / cement raw materials</x:v>
      </x:c>
      <x:c r="G542" s="2" t="str">
        <x:v>Bulk construction material</x:v>
      </x:c>
      <x:c r="H542" s="2" t="str">
        <x:v>Limestone / cement raw materials is linked to Replacement of district heating boilers because it is typically used in concrete foundations, channels, buildings or protective civil works; the assignment follows component function, not a sector-wide keyword.</x:v>
      </x:c>
      <x:c r="I542" s="2" t="str">
        <x:v>Presence and quantity in Replacement of district heating boilers depend on the selected design, chemistry, capacity, supplier and recycled content. This analytical link is not a verified bill of materials or supplier traceability statement.</x:v>
      </x:c>
      <x:c r="J542" s="2" t="str">
        <x:v>https://pubs.usgs.gov/periodicals/mcs2026/mcs2026.pdf</x:v>
      </x:c>
    </x:row>
    <x:row r="543" ht="66" customHeight="1">
      <x:c r="A543" s="2" t="str">
        <x:v>MIT-0241</x:v>
      </x:c>
      <x:c r="B543" s="2" t="str">
        <x:v>Mitigation</x:v>
      </x:c>
      <x:c r="C543" s="2" t="str">
        <x:v>Industry</x:v>
      </x:c>
      <x:c r="D543" s="2" t="str">
        <x:v>Conventional power plant efficiency</x:v>
      </x:c>
      <x:c r="E543" s="2" t="str">
        <x:v>Higher efficiency oil power</x:v>
      </x:c>
      <x:c r="F543" s="2" t="str">
        <x:v>Iron ore / steel inputs</x:v>
      </x:c>
      <x:c r="G543" s="2" t="str">
        <x:v>Bulk and strategic mineral input</x:v>
      </x:c>
      <x:c r="H543" s="2" t="str">
        <x:v>Iron ore / steel inputs is linked to Higher efficiency oil power because it is typically used in load-bearing structures, pressure vessels, piping or machinery; the assignment follows component function, not a sector-wide keyword.</x:v>
      </x:c>
      <x:c r="I543" s="2" t="str">
        <x:v>Presence and quantity in Higher efficiency oil power depend on the selected design, chemistry, capacity, supplier and recycled content. This analytical link is not a verified bill of materials or supplier traceability statement.</x:v>
      </x:c>
      <x:c r="J543" s="2" t="str">
        <x:v>https://pubs.usgs.gov/periodicals/mcs2026/mcs2026.pdf</x:v>
      </x:c>
    </x:row>
    <x:row r="544" ht="66" customHeight="1">
      <x:c r="A544" s="2" t="str">
        <x:v>MIT-0242</x:v>
      </x:c>
      <x:c r="B544" s="2" t="str">
        <x:v>Mitigation</x:v>
      </x:c>
      <x:c r="C544" s="2" t="str">
        <x:v>Industry</x:v>
      </x:c>
      <x:c r="D544" s="2" t="str">
        <x:v>Conventional power plant efficiency</x:v>
      </x:c>
      <x:c r="E544" s="2" t="str">
        <x:v>Higher efficiency steam boiler</x:v>
      </x:c>
      <x:c r="F544" s="2" t="str">
        <x:v>Iron ore / steel inputs</x:v>
      </x:c>
      <x:c r="G544" s="2" t="str">
        <x:v>Bulk and strategic mineral input</x:v>
      </x:c>
      <x:c r="H544" s="2" t="str">
        <x:v>Iron ore / steel inputs is linked to Higher efficiency steam boiler because it is typically used in load-bearing structures, pressure vessels, piping or machinery; the assignment follows component function, not a sector-wide keyword.</x:v>
      </x:c>
      <x:c r="I544" s="2" t="str">
        <x:v>Presence and quantity in Higher efficiency steam boiler depend on the selected design, chemistry, capacity, supplier and recycled content. This analytical link is not a verified bill of materials or supplier traceability statement.</x:v>
      </x:c>
      <x:c r="J544" s="2" t="str">
        <x:v>https://pubs.usgs.gov/periodicals/mcs2026/mcs2026.pdf</x:v>
      </x:c>
    </x:row>
    <x:row r="545" ht="66" customHeight="1">
      <x:c r="A545" s="2" t="str">
        <x:v>MIT-0243</x:v>
      </x:c>
      <x:c r="B545" s="2" t="str">
        <x:v>Mitigation</x:v>
      </x:c>
      <x:c r="C545" s="2" t="str">
        <x:v>Industry</x:v>
      </x:c>
      <x:c r="D545" s="2" t="str">
        <x:v>Conventional power plant efficiency</x:v>
      </x:c>
      <x:c r="E545" s="2" t="str">
        <x:v>Waste heat recovery</x:v>
      </x:c>
      <x:c r="F545" s="2" t="str">
        <x:v>Iron ore / steel inputs</x:v>
      </x:c>
      <x:c r="G545" s="2" t="str">
        <x:v>Bulk and strategic mineral input</x:v>
      </x:c>
      <x:c r="H545" s="2" t="str">
        <x:v>Iron ore / steel inputs is linked to Waste heat recovery because it is typically used in load-bearing structures, pressure vessels, piping or machinery; the assignment follows component function, not a sector-wide keyword.</x:v>
      </x:c>
      <x:c r="I545" s="2" t="str">
        <x:v>Presence and quantity in Waste heat recovery depend on the selected design, chemistry, capacity, supplier and recycled content. This analytical link is not a verified bill of materials or supplier traceability statement.</x:v>
      </x:c>
      <x:c r="J545" s="2" t="str">
        <x:v>https://pubs.usgs.gov/periodicals/mcs2026/mcs2026.pdf</x:v>
      </x:c>
    </x:row>
    <x:row r="546" ht="66" customHeight="1">
      <x:c r="A546" s="2" t="str">
        <x:v>MIT-0244</x:v>
      </x:c>
      <x:c r="B546" s="2" t="str">
        <x:v>Mitigation</x:v>
      </x:c>
      <x:c r="C546" s="2" t="str">
        <x:v>Industry</x:v>
      </x:c>
      <x:c r="D546" s="2" t="str">
        <x:v>Conventional power plant efficiency</x:v>
      </x:c>
      <x:c r="E546" s="2" t="str">
        <x:v>Trigeneration</x:v>
      </x:c>
      <x:c r="F546" s="2" t="str">
        <x:v>Iron ore / steel inputs</x:v>
      </x:c>
      <x:c r="G546" s="2" t="str">
        <x:v>Bulk and strategic mineral input</x:v>
      </x:c>
      <x:c r="H546" s="2" t="str">
        <x:v>Iron ore / steel inputs is linked to Trigeneration because it is typically used in load-bearing structures, pressure vessels, piping or machinery; the assignment follows component function, not a sector-wide keyword.</x:v>
      </x:c>
      <x:c r="I546" s="2" t="str">
        <x:v>Presence and quantity in Trigeneration depend on the selected design, chemistry, capacity, supplier and recycled content. This analytical link is not a verified bill of materials or supplier traceability statement.</x:v>
      </x:c>
      <x:c r="J546" s="2" t="str">
        <x:v>https://pubs.usgs.gov/periodicals/mcs2026/mcs2026.pdf</x:v>
      </x:c>
    </x:row>
    <x:row r="547" ht="66" customHeight="1">
      <x:c r="A547" s="2" t="str">
        <x:v>MIT-0245</x:v>
      </x:c>
      <x:c r="B547" s="2" t="str">
        <x:v>Mitigation</x:v>
      </x:c>
      <x:c r="C547" s="2" t="str">
        <x:v>Industry</x:v>
      </x:c>
      <x:c r="D547" s="2" t="str">
        <x:v>Conventional power plant efficiency</x:v>
      </x:c>
      <x:c r="E547" s="2" t="str">
        <x:v>Small-scale Combined Heat and Power</x:v>
      </x:c>
      <x:c r="F547" s="2" t="str">
        <x:v>Iron ore / steel inputs</x:v>
      </x:c>
      <x:c r="G547" s="2" t="str">
        <x:v>Bulk and strategic mineral input</x:v>
      </x:c>
      <x:c r="H547" s="2" t="str">
        <x:v>Iron ore / steel inputs is linked to Small-scale Combined Heat and Power because it is typically used in load-bearing structures, pressure vessels, piping or machinery; the assignment follows component function, not a sector-wide keyword.</x:v>
      </x:c>
      <x:c r="I547" s="2" t="str">
        <x:v>Presence and quantity in Small-scale Combined Heat and Power depend on the selected design, chemistry, capacity, supplier and recycled content. This analytical link is not a verified bill of materials or supplier traceability statement.</x:v>
      </x:c>
      <x:c r="J547" s="2" t="str">
        <x:v>https://pubs.usgs.gov/periodicals/mcs2026/mcs2026.pdf</x:v>
      </x:c>
    </x:row>
    <x:row r="548" ht="66" customHeight="1">
      <x:c r="A548" s="2" t="str">
        <x:v>MIT-0246</x:v>
      </x:c>
      <x:c r="B548" s="2" t="str">
        <x:v>Mitigation</x:v>
      </x:c>
      <x:c r="C548" s="2" t="str">
        <x:v>Industry</x:v>
      </x:c>
      <x:c r="D548" s="2" t="str">
        <x:v>Conventional power plant efficiency</x:v>
      </x:c>
      <x:c r="E548" s="2" t="str">
        <x:v>Large-scale Combined Heat and Power</x:v>
      </x:c>
      <x:c r="F548" s="2" t="str">
        <x:v>Iron ore / steel inputs</x:v>
      </x:c>
      <x:c r="G548" s="2" t="str">
        <x:v>Bulk and strategic mineral input</x:v>
      </x:c>
      <x:c r="H548" s="2" t="str">
        <x:v>Iron ore / steel inputs is linked to Large-scale Combined Heat and Power because it is typically used in load-bearing structures, pressure vessels, piping or machinery; the assignment follows component function, not a sector-wide keyword.</x:v>
      </x:c>
      <x:c r="I548" s="2" t="str">
        <x:v>Presence and quantity in Large-scale Combined Heat and Power depend on the selected design, chemistry, capacity, supplier and recycled content. This analytical link is not a verified bill of materials or supplier traceability statement.</x:v>
      </x:c>
      <x:c r="J548" s="2" t="str">
        <x:v>https://pubs.usgs.gov/periodicals/mcs2026/mcs2026.pdf</x:v>
      </x:c>
    </x:row>
    <x:row r="549" ht="66" customHeight="1">
      <x:c r="A549" s="2" t="str">
        <x:v>MIT-0247</x:v>
      </x:c>
      <x:c r="B549" s="2" t="str">
        <x:v>Mitigation</x:v>
      </x:c>
      <x:c r="C549" s="2" t="str">
        <x:v>Industry</x:v>
      </x:c>
      <x:c r="D549" s="2" t="str">
        <x:v>Chemicals management</x:v>
      </x:c>
      <x:c r="E549" s="2" t="str">
        <x:v>N2O reduction</x:v>
      </x:c>
      <x:c r="F549" s="2" t="str">
        <x:v>Iron ore / steel inputs</x:v>
      </x:c>
      <x:c r="G549" s="2" t="str">
        <x:v>Bulk and strategic mineral input</x:v>
      </x:c>
      <x:c r="H549" s="2" t="str">
        <x:v>Iron ore / steel inputs is linked to N2O reduction because it is typically used in load-bearing structures, pressure vessels, piping or machinery; the assignment follows component function, not a sector-wide keyword.</x:v>
      </x:c>
      <x:c r="I549" s="2" t="str">
        <x:v>Presence and quantity in N2O reduction depend on the selected design, chemistry, capacity, supplier and recycled content. This analytical link is not a verified bill of materials or supplier traceability statement.</x:v>
      </x:c>
      <x:c r="J549" s="2" t="str">
        <x:v>https://pubs.usgs.gov/periodicals/mcs2026/mcs2026.pdf</x:v>
      </x:c>
    </x:row>
    <x:row r="550" ht="66" customHeight="1">
      <x:c r="A550" s="2" t="str">
        <x:v>MIT-0247</x:v>
      </x:c>
      <x:c r="B550" s="2" t="str">
        <x:v>Mitigation</x:v>
      </x:c>
      <x:c r="C550" s="2" t="str">
        <x:v>Industry</x:v>
      </x:c>
      <x:c r="D550" s="2" t="str">
        <x:v>Chemicals management</x:v>
      </x:c>
      <x:c r="E550" s="2" t="str">
        <x:v>N2O reduction</x:v>
      </x:c>
      <x:c r="F550" s="2" t="str">
        <x:v>Nickel</x:v>
      </x:c>
      <x:c r="G550" s="2" t="str">
        <x:v>Battery and alloy critical mineral</x:v>
      </x:c>
      <x:c r="H550" s="2" t="str">
        <x:v>Nickel is linked to N2O reduction because it is typically used in battery cathodes, high-temperature alloys or corrosion-resistant steels; the assignment follows component function, not a sector-wide keyword.</x:v>
      </x:c>
      <x:c r="I550" s="2" t="str">
        <x:v>Presence and quantity in N2O reduction depend on the selected design, chemistry, capacity, supplier and recycled content. This analytical link is not a verified bill of materials or supplier traceability statement.</x:v>
      </x:c>
      <x:c r="J550" s="2" t="str">
        <x:v>https://www.iea.org/reports/global-critical-minerals-outlook-2025</x:v>
      </x:c>
    </x:row>
    <x:row r="551" ht="66" customHeight="1">
      <x:c r="A551" s="2" t="str">
        <x:v>MIT-0247</x:v>
      </x:c>
      <x:c r="B551" s="2" t="str">
        <x:v>Mitigation</x:v>
      </x:c>
      <x:c r="C551" s="2" t="str">
        <x:v>Industry</x:v>
      </x:c>
      <x:c r="D551" s="2" t="str">
        <x:v>Chemicals management</x:v>
      </x:c>
      <x:c r="E551" s="2" t="str">
        <x:v>N2O reduction</x:v>
      </x:c>
      <x:c r="F551" s="2" t="str">
        <x:v>Chromium</x:v>
      </x:c>
      <x:c r="G551" s="2" t="str">
        <x:v>Alloy strategic mineral</x:v>
      </x:c>
      <x:c r="H551" s="2" t="str">
        <x:v>Chromium is linked to N2O reduction because it is typically used in stainless and heat- or corrosion-resistant alloys; the assignment follows component function, not a sector-wide keyword.</x:v>
      </x:c>
      <x:c r="I551" s="2" t="str">
        <x:v>Presence and quantity in N2O reduction depend on the selected design, chemistry, capacity, supplier and recycled content. This analytical link is not a verified bill of materials or supplier traceability statement.</x:v>
      </x:c>
      <x:c r="J551" s="2" t="str">
        <x:v>https://pubs.usgs.gov/periodicals/mcs2026/mcs2026.pdf</x:v>
      </x:c>
    </x:row>
    <x:row r="552" ht="66" customHeight="1">
      <x:c r="A552" s="2" t="str">
        <x:v>MIT-0248</x:v>
      </x:c>
      <x:c r="B552" s="2" t="str">
        <x:v>Mitigation</x:v>
      </x:c>
      <x:c r="C552" s="2" t="str">
        <x:v>Industry</x:v>
      </x:c>
      <x:c r="D552" s="2" t="str">
        <x:v>Chemicals management</x:v>
      </x:c>
      <x:c r="E552" s="2" t="str">
        <x:v>Shift to coolants and refrigerants with lower GWP</x:v>
      </x:c>
      <x:c r="F552" s="2" t="str">
        <x:v>Iron ore / steel inputs</x:v>
      </x:c>
      <x:c r="G552" s="2" t="str">
        <x:v>Bulk and strategic mineral input</x:v>
      </x:c>
      <x:c r="H552" s="2" t="str">
        <x:v>Iron ore / steel inputs is linked to Shift to coolants and refrigerants with lower GWP because it is typically used in load-bearing structures, pressure vessels, piping or machinery; the assignment follows component function, not a sector-wide keyword.</x:v>
      </x:c>
      <x:c r="I552" s="2" t="str">
        <x:v>Presence and quantity in Shift to coolants and refrigerants with lower GWP depend on the selected design, chemistry, capacity, supplier and recycled content. This analytical link is not a verified bill of materials or supplier traceability statement.</x:v>
      </x:c>
      <x:c r="J552" s="2" t="str">
        <x:v>https://pubs.usgs.gov/periodicals/mcs2026/mcs2026.pdf</x:v>
      </x:c>
    </x:row>
    <x:row r="553" ht="66" customHeight="1">
      <x:c r="A553" s="2" t="str">
        <x:v>MIT-0248</x:v>
      </x:c>
      <x:c r="B553" s="2" t="str">
        <x:v>Mitigation</x:v>
      </x:c>
      <x:c r="C553" s="2" t="str">
        <x:v>Industry</x:v>
      </x:c>
      <x:c r="D553" s="2" t="str">
        <x:v>Chemicals management</x:v>
      </x:c>
      <x:c r="E553" s="2" t="str">
        <x:v>Shift to coolants and refrigerants with lower GWP</x:v>
      </x:c>
      <x:c r="F553" s="2" t="str">
        <x:v>Copper</x:v>
      </x:c>
      <x:c r="G553" s="2" t="str">
        <x:v>Critical or strategic metal</x:v>
      </x:c>
      <x:c r="H553" s="2" t="str">
        <x:v>Copper is linked to Shift to coolants and refrigerants with lower GWP because it is typically used in power cables, windings, busbars, grounding and electrical connectors; the assignment follows component function, not a sector-wide keyword.</x:v>
      </x:c>
      <x:c r="I553" s="2" t="str">
        <x:v>Presence and quantity in Shift to coolants and refrigerants with lower GWP depend on the selected design, chemistry, capacity, supplier and recycled content. This analytical link is not a verified bill of materials or supplier traceability statement.</x:v>
      </x:c>
      <x:c r="J553" s="2" t="str">
        <x:v>https://pubs.usgs.gov/periodicals/mcs2026/mcs2026.pdf</x:v>
      </x:c>
    </x:row>
    <x:row r="554" ht="66" customHeight="1">
      <x:c r="A554" s="2" t="str">
        <x:v>MIT-0248</x:v>
      </x:c>
      <x:c r="B554" s="2" t="str">
        <x:v>Mitigation</x:v>
      </x:c>
      <x:c r="C554" s="2" t="str">
        <x:v>Industry</x:v>
      </x:c>
      <x:c r="D554" s="2" t="str">
        <x:v>Chemicals management</x:v>
      </x:c>
      <x:c r="E554" s="2" t="str">
        <x:v>Shift to coolants and refrigerants with lower GWP</x:v>
      </x:c>
      <x:c r="F554" s="2" t="str">
        <x:v>Tin</x:v>
      </x:c>
      <x:c r="G554" s="2" t="str">
        <x:v>Electronics strategic metal</x:v>
      </x:c>
      <x:c r="H554" s="2" t="str">
        <x:v>Tin is linked to Shift to coolants and refrigerants with lower GWP because it is typically used in electronic solder and selected coatings; the assignment follows component function, not a sector-wide keyword.</x:v>
      </x:c>
      <x:c r="I554" s="2" t="str">
        <x:v>Presence and quantity in Shift to coolants and refrigerants with lower GWP depend on the selected design, chemistry, capacity, supplier and recycled content. This analytical link is not a verified bill of materials or supplier traceability statement.</x:v>
      </x:c>
      <x:c r="J554" s="2" t="str">
        <x:v>https://pubs.usgs.gov/periodicals/mcs2026/mcs2026.pdf</x:v>
      </x:c>
    </x:row>
    <x:row r="555" ht="66" customHeight="1">
      <x:c r="A555" s="2" t="str">
        <x:v>MIT-0248</x:v>
      </x:c>
      <x:c r="B555" s="2" t="str">
        <x:v>Mitigation</x:v>
      </x:c>
      <x:c r="C555" s="2" t="str">
        <x:v>Industry</x:v>
      </x:c>
      <x:c r="D555" s="2" t="str">
        <x:v>Chemicals management</x:v>
      </x:c>
      <x:c r="E555" s="2" t="str">
        <x:v>Shift to coolants and refrigerants with lower GWP</x:v>
      </x:c>
      <x:c r="F555" s="2" t="str">
        <x:v>Nickel</x:v>
      </x:c>
      <x:c r="G555" s="2" t="str">
        <x:v>Battery and alloy critical mineral</x:v>
      </x:c>
      <x:c r="H555" s="2" t="str">
        <x:v>Nickel is linked to Shift to coolants and refrigerants with lower GWP because it is typically used in battery cathodes, high-temperature alloys or corrosion-resistant steels; the assignment follows component function, not a sector-wide keyword.</x:v>
      </x:c>
      <x:c r="I555" s="2" t="str">
        <x:v>Presence and quantity in Shift to coolants and refrigerants with lower GWP depend on the selected design, chemistry, capacity, supplier and recycled content. This analytical link is not a verified bill of materials or supplier traceability statement.</x:v>
      </x:c>
      <x:c r="J555" s="2" t="str">
        <x:v>https://www.iea.org/reports/global-critical-minerals-outlook-2025</x:v>
      </x:c>
    </x:row>
    <x:row r="556" ht="66" customHeight="1">
      <x:c r="A556" s="2" t="str">
        <x:v>MIT-0248</x:v>
      </x:c>
      <x:c r="B556" s="2" t="str">
        <x:v>Mitigation</x:v>
      </x:c>
      <x:c r="C556" s="2" t="str">
        <x:v>Industry</x:v>
      </x:c>
      <x:c r="D556" s="2" t="str">
        <x:v>Chemicals management</x:v>
      </x:c>
      <x:c r="E556" s="2" t="str">
        <x:v>Shift to coolants and refrigerants with lower GWP</x:v>
      </x:c>
      <x:c r="F556" s="2" t="str">
        <x:v>Chromium</x:v>
      </x:c>
      <x:c r="G556" s="2" t="str">
        <x:v>Alloy strategic mineral</x:v>
      </x:c>
      <x:c r="H556" s="2" t="str">
        <x:v>Chromium is linked to Shift to coolants and refrigerants with lower GWP because it is typically used in stainless and heat- or corrosion-resistant alloys; the assignment follows component function, not a sector-wide keyword.</x:v>
      </x:c>
      <x:c r="I556" s="2" t="str">
        <x:v>Presence and quantity in Shift to coolants and refrigerants with lower GWP depend on the selected design, chemistry, capacity, supplier and recycled content. This analytical link is not a verified bill of materials or supplier traceability statement.</x:v>
      </x:c>
      <x:c r="J556" s="2" t="str">
        <x:v>https://pubs.usgs.gov/periodicals/mcs2026/mcs2026.pdf</x:v>
      </x:c>
    </x:row>
    <x:row r="557" ht="66" customHeight="1">
      <x:c r="A557" s="2" t="str">
        <x:v>MIT-0249</x:v>
      </x:c>
      <x:c r="B557" s="2" t="str">
        <x:v>Mitigation</x:v>
      </x:c>
      <x:c r="C557" s="2" t="str">
        <x:v>Industry</x:v>
      </x:c>
      <x:c r="D557" s="2" t="str">
        <x:v>Chemicals management</x:v>
      </x:c>
      <x:c r="E557" s="2" t="str">
        <x:v>SF6 reduction</x:v>
      </x:c>
      <x:c r="F557" s="2" t="str">
        <x:v>Iron ore / steel inputs</x:v>
      </x:c>
      <x:c r="G557" s="2" t="str">
        <x:v>Bulk and strategic mineral input</x:v>
      </x:c>
      <x:c r="H557" s="2" t="str">
        <x:v>Iron ore / steel inputs is linked to SF6 reduction because it is typically used in load-bearing structures, pressure vessels, piping or machinery; the assignment follows component function, not a sector-wide keyword.</x:v>
      </x:c>
      <x:c r="I557" s="2" t="str">
        <x:v>Presence and quantity in SF6 reduction depend on the selected design, chemistry, capacity, supplier and recycled content. This analytical link is not a verified bill of materials or supplier traceability statement.</x:v>
      </x:c>
      <x:c r="J557" s="2" t="str">
        <x:v>https://pubs.usgs.gov/periodicals/mcs2026/mcs2026.pdf</x:v>
      </x:c>
    </x:row>
    <x:row r="558" ht="66" customHeight="1">
      <x:c r="A558" s="2" t="str">
        <x:v>MIT-0249</x:v>
      </x:c>
      <x:c r="B558" s="2" t="str">
        <x:v>Mitigation</x:v>
      </x:c>
      <x:c r="C558" s="2" t="str">
        <x:v>Industry</x:v>
      </x:c>
      <x:c r="D558" s="2" t="str">
        <x:v>Chemicals management</x:v>
      </x:c>
      <x:c r="E558" s="2" t="str">
        <x:v>SF6 reduction</x:v>
      </x:c>
      <x:c r="F558" s="2" t="str">
        <x:v>Nickel</x:v>
      </x:c>
      <x:c r="G558" s="2" t="str">
        <x:v>Battery and alloy critical mineral</x:v>
      </x:c>
      <x:c r="H558" s="2" t="str">
        <x:v>Nickel is linked to SF6 reduction because it is typically used in battery cathodes, high-temperature alloys or corrosion-resistant steels; the assignment follows component function, not a sector-wide keyword.</x:v>
      </x:c>
      <x:c r="I558" s="2" t="str">
        <x:v>Presence and quantity in SF6 reduction depend on the selected design, chemistry, capacity, supplier and recycled content. This analytical link is not a verified bill of materials or supplier traceability statement.</x:v>
      </x:c>
      <x:c r="J558" s="2" t="str">
        <x:v>https://www.iea.org/reports/global-critical-minerals-outlook-2025</x:v>
      </x:c>
    </x:row>
    <x:row r="559" ht="66" customHeight="1">
      <x:c r="A559" s="2" t="str">
        <x:v>MIT-0249</x:v>
      </x:c>
      <x:c r="B559" s="2" t="str">
        <x:v>Mitigation</x:v>
      </x:c>
      <x:c r="C559" s="2" t="str">
        <x:v>Industry</x:v>
      </x:c>
      <x:c r="D559" s="2" t="str">
        <x:v>Chemicals management</x:v>
      </x:c>
      <x:c r="E559" s="2" t="str">
        <x:v>SF6 reduction</x:v>
      </x:c>
      <x:c r="F559" s="2" t="str">
        <x:v>Chromium</x:v>
      </x:c>
      <x:c r="G559" s="2" t="str">
        <x:v>Alloy strategic mineral</x:v>
      </x:c>
      <x:c r="H559" s="2" t="str">
        <x:v>Chromium is linked to SF6 reduction because it is typically used in stainless and heat- or corrosion-resistant alloys; the assignment follows component function, not a sector-wide keyword.</x:v>
      </x:c>
      <x:c r="I559" s="2" t="str">
        <x:v>Presence and quantity in SF6 reduction depend on the selected design, chemistry, capacity, supplier and recycled content. This analytical link is not a verified bill of materials or supplier traceability statement.</x:v>
      </x:c>
      <x:c r="J559" s="2" t="str">
        <x:v>https://pubs.usgs.gov/periodicals/mcs2026/mcs2026.pdf</x:v>
      </x:c>
    </x:row>
    <x:row r="560" ht="66" customHeight="1">
      <x:c r="A560" s="2" t="str">
        <x:v>MIT-0250</x:v>
      </x:c>
      <x:c r="B560" s="2" t="str">
        <x:v>Mitigation</x:v>
      </x:c>
      <x:c r="C560" s="2" t="str">
        <x:v>Industry</x:v>
      </x:c>
      <x:c r="D560" s="2" t="str">
        <x:v>Chemicals management</x:v>
      </x:c>
      <x:c r="E560" s="2" t="str">
        <x:v>Adipic acid</x:v>
      </x:c>
      <x:c r="F560" s="2" t="str">
        <x:v>Iron ore / steel inputs</x:v>
      </x:c>
      <x:c r="G560" s="2" t="str">
        <x:v>Bulk and strategic mineral input</x:v>
      </x:c>
      <x:c r="H560" s="2" t="str">
        <x:v>Iron ore / steel inputs is linked to Adipic acid because it is typically used in load-bearing structures, pressure vessels, piping or machinery; the assignment follows component function, not a sector-wide keyword.</x:v>
      </x:c>
      <x:c r="I560" s="2" t="str">
        <x:v>Presence and quantity in Adipic acid depend on the selected design, chemistry, capacity, supplier and recycled content. This analytical link is not a verified bill of materials or supplier traceability statement.</x:v>
      </x:c>
      <x:c r="J560" s="2" t="str">
        <x:v>https://pubs.usgs.gov/periodicals/mcs2026/mcs2026.pdf</x:v>
      </x:c>
    </x:row>
    <x:row r="561" ht="66" customHeight="1">
      <x:c r="A561" s="2" t="str">
        <x:v>MIT-0250</x:v>
      </x:c>
      <x:c r="B561" s="2" t="str">
        <x:v>Mitigation</x:v>
      </x:c>
      <x:c r="C561" s="2" t="str">
        <x:v>Industry</x:v>
      </x:c>
      <x:c r="D561" s="2" t="str">
        <x:v>Chemicals management</x:v>
      </x:c>
      <x:c r="E561" s="2" t="str">
        <x:v>Adipic acid</x:v>
      </x:c>
      <x:c r="F561" s="2" t="str">
        <x:v>Platinum-group metals</x:v>
      </x:c>
      <x:c r="G561" s="2" t="str">
        <x:v>Catalyst critical minerals</x:v>
      </x:c>
      <x:c r="H561" s="2" t="str">
        <x:v>Platinum-group metals is linked to Adipic acid because it is typically used in electrochemical electrodes or catalytic conversion; the assignment follows component function, not a sector-wide keyword.</x:v>
      </x:c>
      <x:c r="I561" s="2" t="str">
        <x:v>Presence and quantity in Adipic acid depend on the selected design, chemistry, capacity, supplier and recycled content. This analytical link is not a verified bill of materials or supplier traceability statement.</x:v>
      </x:c>
      <x:c r="J561" s="2" t="str">
        <x:v>https://pubs.usgs.gov/periodicals/mcs2026/mcs2026.pdf</x:v>
      </x:c>
    </x:row>
    <x:row r="562" ht="66" customHeight="1">
      <x:c r="A562" s="2" t="str">
        <x:v>MIT-0250</x:v>
      </x:c>
      <x:c r="B562" s="2" t="str">
        <x:v>Mitigation</x:v>
      </x:c>
      <x:c r="C562" s="2" t="str">
        <x:v>Industry</x:v>
      </x:c>
      <x:c r="D562" s="2" t="str">
        <x:v>Chemicals management</x:v>
      </x:c>
      <x:c r="E562" s="2" t="str">
        <x:v>Adipic acid</x:v>
      </x:c>
      <x:c r="F562" s="2" t="str">
        <x:v>Nickel</x:v>
      </x:c>
      <x:c r="G562" s="2" t="str">
        <x:v>Battery and alloy critical mineral</x:v>
      </x:c>
      <x:c r="H562" s="2" t="str">
        <x:v>Nickel is linked to Adipic acid because it is typically used in battery cathodes, high-temperature alloys or corrosion-resistant steels; the assignment follows component function, not a sector-wide keyword.</x:v>
      </x:c>
      <x:c r="I562" s="2" t="str">
        <x:v>Presence and quantity in Adipic acid depend on the selected design, chemistry, capacity, supplier and recycled content. This analytical link is not a verified bill of materials or supplier traceability statement.</x:v>
      </x:c>
      <x:c r="J562" s="2" t="str">
        <x:v>https://www.iea.org/reports/global-critical-minerals-outlook-2025</x:v>
      </x:c>
    </x:row>
    <x:row r="563" ht="66" customHeight="1">
      <x:c r="A563" s="2" t="str">
        <x:v>MIT-0250</x:v>
      </x:c>
      <x:c r="B563" s="2" t="str">
        <x:v>Mitigation</x:v>
      </x:c>
      <x:c r="C563" s="2" t="str">
        <x:v>Industry</x:v>
      </x:c>
      <x:c r="D563" s="2" t="str">
        <x:v>Chemicals management</x:v>
      </x:c>
      <x:c r="E563" s="2" t="str">
        <x:v>Adipic acid</x:v>
      </x:c>
      <x:c r="F563" s="2" t="str">
        <x:v>Chromium</x:v>
      </x:c>
      <x:c r="G563" s="2" t="str">
        <x:v>Alloy strategic mineral</x:v>
      </x:c>
      <x:c r="H563" s="2" t="str">
        <x:v>Chromium is linked to Adipic acid because it is typically used in stainless and heat- or corrosion-resistant alloys; the assignment follows component function, not a sector-wide keyword.</x:v>
      </x:c>
      <x:c r="I563" s="2" t="str">
        <x:v>Presence and quantity in Adipic acid depend on the selected design, chemistry, capacity, supplier and recycled content. This analytical link is not a verified bill of materials or supplier traceability statement.</x:v>
      </x:c>
      <x:c r="J563" s="2" t="str">
        <x:v>https://pubs.usgs.gov/periodicals/mcs2026/mcs2026.pdf</x:v>
      </x:c>
    </x:row>
    <x:row r="564" ht="66" customHeight="1">
      <x:c r="A564" s="2" t="str">
        <x:v>MIT-0251</x:v>
      </x:c>
      <x:c r="B564" s="2" t="str">
        <x:v>Mitigation</x:v>
      </x:c>
      <x:c r="C564" s="2" t="str">
        <x:v>Industry</x:v>
      </x:c>
      <x:c r="D564" s="2" t="str">
        <x:v>Chemicals management</x:v>
      </x:c>
      <x:c r="E564" s="2" t="str">
        <x:v>Biopolymer production for petrochemical sector</x:v>
      </x:c>
      <x:c r="F564" s="2" t="str">
        <x:v>Iron ore / steel inputs</x:v>
      </x:c>
      <x:c r="G564" s="2" t="str">
        <x:v>Bulk and strategic mineral input</x:v>
      </x:c>
      <x:c r="H564" s="2" t="str">
        <x:v>Iron ore / steel inputs is linked to Biopolymer production for petrochemical sector because it is typically used in load-bearing structures, pressure vessels, piping or machinery; the assignment follows component function, not a sector-wide keyword.</x:v>
      </x:c>
      <x:c r="I564" s="2" t="str">
        <x:v>Presence and quantity in Biopolymer production for petrochemical sector depend on the selected design, chemistry, capacity, supplier and recycled content. This analytical link is not a verified bill of materials or supplier traceability statement.</x:v>
      </x:c>
      <x:c r="J564" s="2" t="str">
        <x:v>https://pubs.usgs.gov/periodicals/mcs2026/mcs2026.pdf</x:v>
      </x:c>
    </x:row>
    <x:row r="565" ht="66" customHeight="1">
      <x:c r="A565" s="2" t="str">
        <x:v>MIT-0251</x:v>
      </x:c>
      <x:c r="B565" s="2" t="str">
        <x:v>Mitigation</x:v>
      </x:c>
      <x:c r="C565" s="2" t="str">
        <x:v>Industry</x:v>
      </x:c>
      <x:c r="D565" s="2" t="str">
        <x:v>Chemicals management</x:v>
      </x:c>
      <x:c r="E565" s="2" t="str">
        <x:v>Biopolymer production for petrochemical sector</x:v>
      </x:c>
      <x:c r="F565" s="2" t="str">
        <x:v>Nickel</x:v>
      </x:c>
      <x:c r="G565" s="2" t="str">
        <x:v>Battery and alloy critical mineral</x:v>
      </x:c>
      <x:c r="H565" s="2" t="str">
        <x:v>Nickel is linked to Biopolymer production for petrochemical sector because it is typically used in battery cathodes, high-temperature alloys or corrosion-resistant steels; the assignment follows component function, not a sector-wide keyword.</x:v>
      </x:c>
      <x:c r="I565" s="2" t="str">
        <x:v>Presence and quantity in Biopolymer production for petrochemical sector depend on the selected design, chemistry, capacity, supplier and recycled content. This analytical link is not a verified bill of materials or supplier traceability statement.</x:v>
      </x:c>
      <x:c r="J565" s="2" t="str">
        <x:v>https://www.iea.org/reports/global-critical-minerals-outlook-2025</x:v>
      </x:c>
    </x:row>
    <x:row r="566" ht="66" customHeight="1">
      <x:c r="A566" s="2" t="str">
        <x:v>MIT-0251</x:v>
      </x:c>
      <x:c r="B566" s="2" t="str">
        <x:v>Mitigation</x:v>
      </x:c>
      <x:c r="C566" s="2" t="str">
        <x:v>Industry</x:v>
      </x:c>
      <x:c r="D566" s="2" t="str">
        <x:v>Chemicals management</x:v>
      </x:c>
      <x:c r="E566" s="2" t="str">
        <x:v>Biopolymer production for petrochemical sector</x:v>
      </x:c>
      <x:c r="F566" s="2" t="str">
        <x:v>Chromium</x:v>
      </x:c>
      <x:c r="G566" s="2" t="str">
        <x:v>Alloy strategic mineral</x:v>
      </x:c>
      <x:c r="H566" s="2" t="str">
        <x:v>Chromium is linked to Biopolymer production for petrochemical sector because it is typically used in stainless and heat- or corrosion-resistant alloys; the assignment follows component function, not a sector-wide keyword.</x:v>
      </x:c>
      <x:c r="I566" s="2" t="str">
        <x:v>Presence and quantity in Biopolymer production for petrochemical sector depend on the selected design, chemistry, capacity, supplier and recycled content. This analytical link is not a verified bill of materials or supplier traceability statement.</x:v>
      </x:c>
      <x:c r="J566" s="2" t="str">
        <x:v>https://pubs.usgs.gov/periodicals/mcs2026/mcs2026.pdf</x:v>
      </x:c>
    </x:row>
    <x:row r="567" ht="66" customHeight="1">
      <x:c r="A567" s="2" t="str">
        <x:v>MIT-0252</x:v>
      </x:c>
      <x:c r="B567" s="2" t="str">
        <x:v>Mitigation</x:v>
      </x:c>
      <x:c r="C567" s="2" t="str">
        <x:v>Industry</x:v>
      </x:c>
      <x:c r="D567" s="2" t="str">
        <x:v>Chemicals management</x:v>
      </x:c>
      <x:c r="E567" s="2" t="str">
        <x:v>CH4 reduction</x:v>
      </x:c>
      <x:c r="F567" s="2" t="str">
        <x:v>Iron ore / steel inputs</x:v>
      </x:c>
      <x:c r="G567" s="2" t="str">
        <x:v>Bulk and strategic mineral input</x:v>
      </x:c>
      <x:c r="H567" s="2" t="str">
        <x:v>Iron ore / steel inputs is linked to CH4 reduction because it is typically used in load-bearing structures, pressure vessels, piping or machinery; the assignment follows component function, not a sector-wide keyword.</x:v>
      </x:c>
      <x:c r="I567" s="2" t="str">
        <x:v>Presence and quantity in CH4 reduction depend on the selected design, chemistry, capacity, supplier and recycled content. This analytical link is not a verified bill of materials or supplier traceability statement.</x:v>
      </x:c>
      <x:c r="J567" s="2" t="str">
        <x:v>https://pubs.usgs.gov/periodicals/mcs2026/mcs2026.pdf</x:v>
      </x:c>
    </x:row>
    <x:row r="568" ht="66" customHeight="1">
      <x:c r="A568" s="2" t="str">
        <x:v>MIT-0252</x:v>
      </x:c>
      <x:c r="B568" s="2" t="str">
        <x:v>Mitigation</x:v>
      </x:c>
      <x:c r="C568" s="2" t="str">
        <x:v>Industry</x:v>
      </x:c>
      <x:c r="D568" s="2" t="str">
        <x:v>Chemicals management</x:v>
      </x:c>
      <x:c r="E568" s="2" t="str">
        <x:v>CH4 reduction</x:v>
      </x:c>
      <x:c r="F568" s="2" t="str">
        <x:v>Nickel</x:v>
      </x:c>
      <x:c r="G568" s="2" t="str">
        <x:v>Battery and alloy critical mineral</x:v>
      </x:c>
      <x:c r="H568" s="2" t="str">
        <x:v>Nickel is linked to CH4 reduction because it is typically used in battery cathodes, high-temperature alloys or corrosion-resistant steels; the assignment follows component function, not a sector-wide keyword.</x:v>
      </x:c>
      <x:c r="I568" s="2" t="str">
        <x:v>Presence and quantity in CH4 reduction depend on the selected design, chemistry, capacity, supplier and recycled content. This analytical link is not a verified bill of materials or supplier traceability statement.</x:v>
      </x:c>
      <x:c r="J568" s="2" t="str">
        <x:v>https://www.iea.org/reports/global-critical-minerals-outlook-2025</x:v>
      </x:c>
    </x:row>
    <x:row r="569" ht="66" customHeight="1">
      <x:c r="A569" s="2" t="str">
        <x:v>MIT-0252</x:v>
      </x:c>
      <x:c r="B569" s="2" t="str">
        <x:v>Mitigation</x:v>
      </x:c>
      <x:c r="C569" s="2" t="str">
        <x:v>Industry</x:v>
      </x:c>
      <x:c r="D569" s="2" t="str">
        <x:v>Chemicals management</x:v>
      </x:c>
      <x:c r="E569" s="2" t="str">
        <x:v>CH4 reduction</x:v>
      </x:c>
      <x:c r="F569" s="2" t="str">
        <x:v>Chromium</x:v>
      </x:c>
      <x:c r="G569" s="2" t="str">
        <x:v>Alloy strategic mineral</x:v>
      </x:c>
      <x:c r="H569" s="2" t="str">
        <x:v>Chromium is linked to CH4 reduction because it is typically used in stainless and heat- or corrosion-resistant alloys; the assignment follows component function, not a sector-wide keyword.</x:v>
      </x:c>
      <x:c r="I569" s="2" t="str">
        <x:v>Presence and quantity in CH4 reduction depend on the selected design, chemistry, capacity, supplier and recycled content. This analytical link is not a verified bill of materials or supplier traceability statement.</x:v>
      </x:c>
      <x:c r="J569" s="2" t="str">
        <x:v>https://pubs.usgs.gov/periodicals/mcs2026/mcs2026.pdf</x:v>
      </x:c>
    </x:row>
    <x:row r="570" ht="66" customHeight="1">
      <x:c r="A570" s="2" t="str">
        <x:v>MIT-0253</x:v>
      </x:c>
      <x:c r="B570" s="2" t="str">
        <x:v>Mitigation</x:v>
      </x:c>
      <x:c r="C570" s="2" t="str">
        <x:v>Industry</x:v>
      </x:c>
      <x:c r="D570" s="2" t="str">
        <x:v>Chemicals management</x:v>
      </x:c>
      <x:c r="E570" s="2" t="str">
        <x:v>CO2 replacement</x:v>
      </x:c>
      <x:c r="F570" s="2" t="str">
        <x:v>Iron ore / steel inputs</x:v>
      </x:c>
      <x:c r="G570" s="2" t="str">
        <x:v>Bulk and strategic mineral input</x:v>
      </x:c>
      <x:c r="H570" s="2" t="str">
        <x:v>Iron ore / steel inputs is linked to CO2 replacement because it is typically used in load-bearing structures, pressure vessels, piping or machinery; the assignment follows component function, not a sector-wide keyword.</x:v>
      </x:c>
      <x:c r="I570" s="2" t="str">
        <x:v>Presence and quantity in CO2 replacement depend on the selected design, chemistry, capacity, supplier and recycled content. This analytical link is not a verified bill of materials or supplier traceability statement.</x:v>
      </x:c>
      <x:c r="J570" s="2" t="str">
        <x:v>https://pubs.usgs.gov/periodicals/mcs2026/mcs2026.pdf</x:v>
      </x:c>
    </x:row>
    <x:row r="571" ht="66" customHeight="1">
      <x:c r="A571" s="2" t="str">
        <x:v>MIT-0253</x:v>
      </x:c>
      <x:c r="B571" s="2" t="str">
        <x:v>Mitigation</x:v>
      </x:c>
      <x:c r="C571" s="2" t="str">
        <x:v>Industry</x:v>
      </x:c>
      <x:c r="D571" s="2" t="str">
        <x:v>Chemicals management</x:v>
      </x:c>
      <x:c r="E571" s="2" t="str">
        <x:v>CO2 replacement</x:v>
      </x:c>
      <x:c r="F571" s="2" t="str">
        <x:v>Nickel</x:v>
      </x:c>
      <x:c r="G571" s="2" t="str">
        <x:v>Battery and alloy critical mineral</x:v>
      </x:c>
      <x:c r="H571" s="2" t="str">
        <x:v>Nickel is linked to CO2 replacement because it is typically used in battery cathodes, high-temperature alloys or corrosion-resistant steels; the assignment follows component function, not a sector-wide keyword.</x:v>
      </x:c>
      <x:c r="I571" s="2" t="str">
        <x:v>Presence and quantity in CO2 replacement depend on the selected design, chemistry, capacity, supplier and recycled content. This analytical link is not a verified bill of materials or supplier traceability statement.</x:v>
      </x:c>
      <x:c r="J571" s="2" t="str">
        <x:v>https://www.iea.org/reports/global-critical-minerals-outlook-2025</x:v>
      </x:c>
    </x:row>
    <x:row r="572" ht="66" customHeight="1">
      <x:c r="A572" s="2" t="str">
        <x:v>MIT-0253</x:v>
      </x:c>
      <x:c r="B572" s="2" t="str">
        <x:v>Mitigation</x:v>
      </x:c>
      <x:c r="C572" s="2" t="str">
        <x:v>Industry</x:v>
      </x:c>
      <x:c r="D572" s="2" t="str">
        <x:v>Chemicals management</x:v>
      </x:c>
      <x:c r="E572" s="2" t="str">
        <x:v>CO2 replacement</x:v>
      </x:c>
      <x:c r="F572" s="2" t="str">
        <x:v>Chromium</x:v>
      </x:c>
      <x:c r="G572" s="2" t="str">
        <x:v>Alloy strategic mineral</x:v>
      </x:c>
      <x:c r="H572" s="2" t="str">
        <x:v>Chromium is linked to CO2 replacement because it is typically used in stainless and heat- or corrosion-resistant alloys; the assignment follows component function, not a sector-wide keyword.</x:v>
      </x:c>
      <x:c r="I572" s="2" t="str">
        <x:v>Presence and quantity in CO2 replacement depend on the selected design, chemistry, capacity, supplier and recycled content. This analytical link is not a verified bill of materials or supplier traceability statement.</x:v>
      </x:c>
      <x:c r="J572" s="2" t="str">
        <x:v>https://pubs.usgs.gov/periodicals/mcs2026/mcs2026.pdf</x:v>
      </x:c>
    </x:row>
    <x:row r="573" ht="66" customHeight="1">
      <x:c r="A573" s="2" t="str">
        <x:v>MIT-0253</x:v>
      </x:c>
      <x:c r="B573" s="2" t="str">
        <x:v>Mitigation</x:v>
      </x:c>
      <x:c r="C573" s="2" t="str">
        <x:v>Industry</x:v>
      </x:c>
      <x:c r="D573" s="2" t="str">
        <x:v>Chemicals management</x:v>
      </x:c>
      <x:c r="E573" s="2" t="str">
        <x:v>CO2 replacement</x:v>
      </x:c>
      <x:c r="F573" s="2" t="str">
        <x:v>Limestone / cement raw materials</x:v>
      </x:c>
      <x:c r="G573" s="2" t="str">
        <x:v>Bulk construction material</x:v>
      </x:c>
      <x:c r="H573" s="2" t="str">
        <x:v>Limestone / cement raw materials is linked to CO2 replacement because it is typically used in concrete foundations, channels, buildings or protective civil works; the assignment follows component function, not a sector-wide keyword.</x:v>
      </x:c>
      <x:c r="I573" s="2" t="str">
        <x:v>Presence and quantity in CO2 replacement depend on the selected design, chemistry, capacity, supplier and recycled content. This analytical link is not a verified bill of materials or supplier traceability statement.</x:v>
      </x:c>
      <x:c r="J573" s="2" t="str">
        <x:v>https://pubs.usgs.gov/periodicals/mcs2026/mcs2026.pdf</x:v>
      </x:c>
    </x:row>
    <x:row r="574" ht="66" customHeight="1">
      <x:c r="A574" s="2" t="str">
        <x:v>MIT-0254</x:v>
      </x:c>
      <x:c r="B574" s="2" t="str">
        <x:v>Mitigation</x:v>
      </x:c>
      <x:c r="C574" s="2" t="str">
        <x:v>Industry</x:v>
      </x:c>
      <x:c r="D574" s="2" t="str">
        <x:v>Chemicals management</x:v>
      </x:c>
      <x:c r="E574" s="2" t="str">
        <x:v>CO2 recycling</x:v>
      </x:c>
      <x:c r="F574" s="2" t="str">
        <x:v>Iron ore / steel inputs</x:v>
      </x:c>
      <x:c r="G574" s="2" t="str">
        <x:v>Bulk and strategic mineral input</x:v>
      </x:c>
      <x:c r="H574" s="2" t="str">
        <x:v>Iron ore / steel inputs is linked to CO2 recycling because it is typically used in load-bearing structures, pressure vessels, piping or machinery; the assignment follows component function, not a sector-wide keyword.</x:v>
      </x:c>
      <x:c r="I574" s="2" t="str">
        <x:v>Presence and quantity in CO2 recycling depend on the selected design, chemistry, capacity, supplier and recycled content. This analytical link is not a verified bill of materials or supplier traceability statement.</x:v>
      </x:c>
      <x:c r="J574" s="2" t="str">
        <x:v>https://pubs.usgs.gov/periodicals/mcs2026/mcs2026.pdf</x:v>
      </x:c>
    </x:row>
    <x:row r="575" ht="66" customHeight="1">
      <x:c r="A575" s="2" t="str">
        <x:v>MIT-0254</x:v>
      </x:c>
      <x:c r="B575" s="2" t="str">
        <x:v>Mitigation</x:v>
      </x:c>
      <x:c r="C575" s="2" t="str">
        <x:v>Industry</x:v>
      </x:c>
      <x:c r="D575" s="2" t="str">
        <x:v>Chemicals management</x:v>
      </x:c>
      <x:c r="E575" s="2" t="str">
        <x:v>CO2 recycling</x:v>
      </x:c>
      <x:c r="F575" s="2" t="str">
        <x:v>Nickel</x:v>
      </x:c>
      <x:c r="G575" s="2" t="str">
        <x:v>Battery and alloy critical mineral</x:v>
      </x:c>
      <x:c r="H575" s="2" t="str">
        <x:v>Nickel is linked to CO2 recycling because it is typically used in battery cathodes, high-temperature alloys or corrosion-resistant steels; the assignment follows component function, not a sector-wide keyword.</x:v>
      </x:c>
      <x:c r="I575" s="2" t="str">
        <x:v>Presence and quantity in CO2 recycling depend on the selected design, chemistry, capacity, supplier and recycled content. This analytical link is not a verified bill of materials or supplier traceability statement.</x:v>
      </x:c>
      <x:c r="J575" s="2" t="str">
        <x:v>https://www.iea.org/reports/global-critical-minerals-outlook-2025</x:v>
      </x:c>
    </x:row>
    <x:row r="576" ht="66" customHeight="1">
      <x:c r="A576" s="2" t="str">
        <x:v>MIT-0254</x:v>
      </x:c>
      <x:c r="B576" s="2" t="str">
        <x:v>Mitigation</x:v>
      </x:c>
      <x:c r="C576" s="2" t="str">
        <x:v>Industry</x:v>
      </x:c>
      <x:c r="D576" s="2" t="str">
        <x:v>Chemicals management</x:v>
      </x:c>
      <x:c r="E576" s="2" t="str">
        <x:v>CO2 recycling</x:v>
      </x:c>
      <x:c r="F576" s="2" t="str">
        <x:v>Chromium</x:v>
      </x:c>
      <x:c r="G576" s="2" t="str">
        <x:v>Alloy strategic mineral</x:v>
      </x:c>
      <x:c r="H576" s="2" t="str">
        <x:v>Chromium is linked to CO2 recycling because it is typically used in stainless and heat- or corrosion-resistant alloys; the assignment follows component function, not a sector-wide keyword.</x:v>
      </x:c>
      <x:c r="I576" s="2" t="str">
        <x:v>Presence and quantity in CO2 recycling depend on the selected design, chemistry, capacity, supplier and recycled content. This analytical link is not a verified bill of materials or supplier traceability statement.</x:v>
      </x:c>
      <x:c r="J576" s="2" t="str">
        <x:v>https://pubs.usgs.gov/periodicals/mcs2026/mcs2026.pdf</x:v>
      </x:c>
    </x:row>
    <x:row r="577" ht="66" customHeight="1">
      <x:c r="A577" s="2" t="str">
        <x:v>MIT-0255</x:v>
      </x:c>
      <x:c r="B577" s="2" t="str">
        <x:v>Mitigation</x:v>
      </x:c>
      <x:c r="C577" s="2" t="str">
        <x:v>Industry</x:v>
      </x:c>
      <x:c r="D577" s="2" t="str">
        <x:v>Chemicals management</x:v>
      </x:c>
      <x:c r="E577" s="2" t="str">
        <x:v>PFCs reduction</x:v>
      </x:c>
      <x:c r="F577" s="2" t="str">
        <x:v>Iron ore / steel inputs</x:v>
      </x:c>
      <x:c r="G577" s="2" t="str">
        <x:v>Bulk and strategic mineral input</x:v>
      </x:c>
      <x:c r="H577" s="2" t="str">
        <x:v>Iron ore / steel inputs is linked to PFCs reduction because it is typically used in load-bearing structures, pressure vessels, piping or machinery; the assignment follows component function, not a sector-wide keyword.</x:v>
      </x:c>
      <x:c r="I577" s="2" t="str">
        <x:v>Presence and quantity in PFCs reduction depend on the selected design, chemistry, capacity, supplier and recycled content. This analytical link is not a verified bill of materials or supplier traceability statement.</x:v>
      </x:c>
      <x:c r="J577" s="2" t="str">
        <x:v>https://pubs.usgs.gov/periodicals/mcs2026/mcs2026.pdf</x:v>
      </x:c>
    </x:row>
    <x:row r="578" ht="66" customHeight="1">
      <x:c r="A578" s="2" t="str">
        <x:v>MIT-0255</x:v>
      </x:c>
      <x:c r="B578" s="2" t="str">
        <x:v>Mitigation</x:v>
      </x:c>
      <x:c r="C578" s="2" t="str">
        <x:v>Industry</x:v>
      </x:c>
      <x:c r="D578" s="2" t="str">
        <x:v>Chemicals management</x:v>
      </x:c>
      <x:c r="E578" s="2" t="str">
        <x:v>PFCs reduction</x:v>
      </x:c>
      <x:c r="F578" s="2" t="str">
        <x:v>Nickel</x:v>
      </x:c>
      <x:c r="G578" s="2" t="str">
        <x:v>Battery and alloy critical mineral</x:v>
      </x:c>
      <x:c r="H578" s="2" t="str">
        <x:v>Nickel is linked to PFCs reduction because it is typically used in battery cathodes, high-temperature alloys or corrosion-resistant steels; the assignment follows component function, not a sector-wide keyword.</x:v>
      </x:c>
      <x:c r="I578" s="2" t="str">
        <x:v>Presence and quantity in PFCs reduction depend on the selected design, chemistry, capacity, supplier and recycled content. This analytical link is not a verified bill of materials or supplier traceability statement.</x:v>
      </x:c>
      <x:c r="J578" s="2" t="str">
        <x:v>https://www.iea.org/reports/global-critical-minerals-outlook-2025</x:v>
      </x:c>
    </x:row>
    <x:row r="579" ht="66" customHeight="1">
      <x:c r="A579" s="2" t="str">
        <x:v>MIT-0255</x:v>
      </x:c>
      <x:c r="B579" s="2" t="str">
        <x:v>Mitigation</x:v>
      </x:c>
      <x:c r="C579" s="2" t="str">
        <x:v>Industry</x:v>
      </x:c>
      <x:c r="D579" s="2" t="str">
        <x:v>Chemicals management</x:v>
      </x:c>
      <x:c r="E579" s="2" t="str">
        <x:v>PFCs reduction</x:v>
      </x:c>
      <x:c r="F579" s="2" t="str">
        <x:v>Chromium</x:v>
      </x:c>
      <x:c r="G579" s="2" t="str">
        <x:v>Alloy strategic mineral</x:v>
      </x:c>
      <x:c r="H579" s="2" t="str">
        <x:v>Chromium is linked to PFCs reduction because it is typically used in stainless and heat- or corrosion-resistant alloys; the assignment follows component function, not a sector-wide keyword.</x:v>
      </x:c>
      <x:c r="I579" s="2" t="str">
        <x:v>Presence and quantity in PFCs reduction depend on the selected design, chemistry, capacity, supplier and recycled content. This analytical link is not a verified bill of materials or supplier traceability statement.</x:v>
      </x:c>
      <x:c r="J579" s="2" t="str">
        <x:v>https://pubs.usgs.gov/periodicals/mcs2026/mcs2026.pdf</x:v>
      </x:c>
    </x:row>
    <x:row r="580" ht="66" customHeight="1">
      <x:c r="A580" s="2" t="str">
        <x:v>MIT-0256</x:v>
      </x:c>
      <x:c r="B580" s="2" t="str">
        <x:v>Mitigation</x:v>
      </x:c>
      <x:c r="C580" s="2" t="str">
        <x:v>Industry</x:v>
      </x:c>
      <x:c r="D580" s="2" t="str">
        <x:v>Chemicals management</x:v>
      </x:c>
      <x:c r="E580" s="2" t="str">
        <x:v>Carbon black</x:v>
      </x:c>
      <x:c r="F580" s="2" t="str">
        <x:v>Iron ore / steel inputs</x:v>
      </x:c>
      <x:c r="G580" s="2" t="str">
        <x:v>Bulk and strategic mineral input</x:v>
      </x:c>
      <x:c r="H580" s="2" t="str">
        <x:v>Iron ore / steel inputs is linked to Carbon black because it is typically used in load-bearing structures, pressure vessels, piping or machinery; the assignment follows component function, not a sector-wide keyword.</x:v>
      </x:c>
      <x:c r="I580" s="2" t="str">
        <x:v>Presence and quantity in Carbon black depend on the selected design, chemistry, capacity, supplier and recycled content. This analytical link is not a verified bill of materials or supplier traceability statement.</x:v>
      </x:c>
      <x:c r="J580" s="2" t="str">
        <x:v>https://pubs.usgs.gov/periodicals/mcs2026/mcs2026.pdf</x:v>
      </x:c>
    </x:row>
    <x:row r="581" ht="66" customHeight="1">
      <x:c r="A581" s="2" t="str">
        <x:v>MIT-0256</x:v>
      </x:c>
      <x:c r="B581" s="2" t="str">
        <x:v>Mitigation</x:v>
      </x:c>
      <x:c r="C581" s="2" t="str">
        <x:v>Industry</x:v>
      </x:c>
      <x:c r="D581" s="2" t="str">
        <x:v>Chemicals management</x:v>
      </x:c>
      <x:c r="E581" s="2" t="str">
        <x:v>Carbon black</x:v>
      </x:c>
      <x:c r="F581" s="2" t="str">
        <x:v>Nickel</x:v>
      </x:c>
      <x:c r="G581" s="2" t="str">
        <x:v>Battery and alloy critical mineral</x:v>
      </x:c>
      <x:c r="H581" s="2" t="str">
        <x:v>Nickel is linked to Carbon black because it is typically used in battery cathodes, high-temperature alloys or corrosion-resistant steels; the assignment follows component function, not a sector-wide keyword.</x:v>
      </x:c>
      <x:c r="I581" s="2" t="str">
        <x:v>Presence and quantity in Carbon black depend on the selected design, chemistry, capacity, supplier and recycled content. This analytical link is not a verified bill of materials or supplier traceability statement.</x:v>
      </x:c>
      <x:c r="J581" s="2" t="str">
        <x:v>https://www.iea.org/reports/global-critical-minerals-outlook-2025</x:v>
      </x:c>
    </x:row>
    <x:row r="582" ht="66" customHeight="1">
      <x:c r="A582" s="2" t="str">
        <x:v>MIT-0256</x:v>
      </x:c>
      <x:c r="B582" s="2" t="str">
        <x:v>Mitigation</x:v>
      </x:c>
      <x:c r="C582" s="2" t="str">
        <x:v>Industry</x:v>
      </x:c>
      <x:c r="D582" s="2" t="str">
        <x:v>Chemicals management</x:v>
      </x:c>
      <x:c r="E582" s="2" t="str">
        <x:v>Carbon black</x:v>
      </x:c>
      <x:c r="F582" s="2" t="str">
        <x:v>Chromium</x:v>
      </x:c>
      <x:c r="G582" s="2" t="str">
        <x:v>Alloy strategic mineral</x:v>
      </x:c>
      <x:c r="H582" s="2" t="str">
        <x:v>Chromium is linked to Carbon black because it is typically used in stainless and heat- or corrosion-resistant alloys; the assignment follows component function, not a sector-wide keyword.</x:v>
      </x:c>
      <x:c r="I582" s="2" t="str">
        <x:v>Presence and quantity in Carbon black depend on the selected design, chemistry, capacity, supplier and recycled content. This analytical link is not a verified bill of materials or supplier traceability statement.</x:v>
      </x:c>
      <x:c r="J582" s="2" t="str">
        <x:v>https://pubs.usgs.gov/periodicals/mcs2026/mcs2026.pdf</x:v>
      </x:c>
    </x:row>
    <x:row r="583" ht="66" customHeight="1">
      <x:c r="A583" s="2" t="str">
        <x:v>MIT-0257</x:v>
      </x:c>
      <x:c r="B583" s="2" t="str">
        <x:v>Mitigation</x:v>
      </x:c>
      <x:c r="C583" s="2" t="str">
        <x:v>Industry</x:v>
      </x:c>
      <x:c r="D583" s="2" t="str">
        <x:v>Chemicals management</x:v>
      </x:c>
      <x:c r="E583" s="2" t="str">
        <x:v>Ammonia</x:v>
      </x:c>
      <x:c r="F583" s="2" t="str">
        <x:v>Iron ore / steel inputs</x:v>
      </x:c>
      <x:c r="G583" s="2" t="str">
        <x:v>Bulk and strategic mineral input</x:v>
      </x:c>
      <x:c r="H583" s="2" t="str">
        <x:v>Iron ore / steel inputs is linked to Ammonia because it is typically used in load-bearing structures, pressure vessels, piping or machinery; the assignment follows component function, not a sector-wide keyword.</x:v>
      </x:c>
      <x:c r="I583" s="2" t="str">
        <x:v>Presence and quantity in Ammonia depend on the selected design, chemistry, capacity, supplier and recycled content. This analytical link is not a verified bill of materials or supplier traceability statement.</x:v>
      </x:c>
      <x:c r="J583" s="2" t="str">
        <x:v>https://pubs.usgs.gov/periodicals/mcs2026/mcs2026.pdf</x:v>
      </x:c>
    </x:row>
    <x:row r="584" ht="66" customHeight="1">
      <x:c r="A584" s="2" t="str">
        <x:v>MIT-0257</x:v>
      </x:c>
      <x:c r="B584" s="2" t="str">
        <x:v>Mitigation</x:v>
      </x:c>
      <x:c r="C584" s="2" t="str">
        <x:v>Industry</x:v>
      </x:c>
      <x:c r="D584" s="2" t="str">
        <x:v>Chemicals management</x:v>
      </x:c>
      <x:c r="E584" s="2" t="str">
        <x:v>Ammonia</x:v>
      </x:c>
      <x:c r="F584" s="2" t="str">
        <x:v>Platinum-group metals</x:v>
      </x:c>
      <x:c r="G584" s="2" t="str">
        <x:v>Catalyst critical minerals</x:v>
      </x:c>
      <x:c r="H584" s="2" t="str">
        <x:v>Platinum-group metals is linked to Ammonia because it is typically used in electrochemical electrodes or catalytic conversion; the assignment follows component function, not a sector-wide keyword.</x:v>
      </x:c>
      <x:c r="I584" s="2" t="str">
        <x:v>Presence and quantity in Ammonia depend on the selected design, chemistry, capacity, supplier and recycled content. This analytical link is not a verified bill of materials or supplier traceability statement.</x:v>
      </x:c>
      <x:c r="J584" s="2" t="str">
        <x:v>https://pubs.usgs.gov/periodicals/mcs2026/mcs2026.pdf</x:v>
      </x:c>
    </x:row>
    <x:row r="585" ht="66" customHeight="1">
      <x:c r="A585" s="2" t="str">
        <x:v>MIT-0257</x:v>
      </x:c>
      <x:c r="B585" s="2" t="str">
        <x:v>Mitigation</x:v>
      </x:c>
      <x:c r="C585" s="2" t="str">
        <x:v>Industry</x:v>
      </x:c>
      <x:c r="D585" s="2" t="str">
        <x:v>Chemicals management</x:v>
      </x:c>
      <x:c r="E585" s="2" t="str">
        <x:v>Ammonia</x:v>
      </x:c>
      <x:c r="F585" s="2" t="str">
        <x:v>Nickel</x:v>
      </x:c>
      <x:c r="G585" s="2" t="str">
        <x:v>Battery and alloy critical mineral</x:v>
      </x:c>
      <x:c r="H585" s="2" t="str">
        <x:v>Nickel is linked to Ammonia because it is typically used in battery cathodes, high-temperature alloys or corrosion-resistant steels; the assignment follows component function, not a sector-wide keyword.</x:v>
      </x:c>
      <x:c r="I585" s="2" t="str">
        <x:v>Presence and quantity in Ammonia depend on the selected design, chemistry, capacity, supplier and recycled content. This analytical link is not a verified bill of materials or supplier traceability statement.</x:v>
      </x:c>
      <x:c r="J585" s="2" t="str">
        <x:v>https://www.iea.org/reports/global-critical-minerals-outlook-2025</x:v>
      </x:c>
    </x:row>
    <x:row r="586" ht="66" customHeight="1">
      <x:c r="A586" s="2" t="str">
        <x:v>MIT-0257</x:v>
      </x:c>
      <x:c r="B586" s="2" t="str">
        <x:v>Mitigation</x:v>
      </x:c>
      <x:c r="C586" s="2" t="str">
        <x:v>Industry</x:v>
      </x:c>
      <x:c r="D586" s="2" t="str">
        <x:v>Chemicals management</x:v>
      </x:c>
      <x:c r="E586" s="2" t="str">
        <x:v>Ammonia</x:v>
      </x:c>
      <x:c r="F586" s="2" t="str">
        <x:v>Chromium</x:v>
      </x:c>
      <x:c r="G586" s="2" t="str">
        <x:v>Alloy strategic mineral</x:v>
      </x:c>
      <x:c r="H586" s="2" t="str">
        <x:v>Chromium is linked to Ammonia because it is typically used in stainless and heat- or corrosion-resistant alloys; the assignment follows component function, not a sector-wide keyword.</x:v>
      </x:c>
      <x:c r="I586" s="2" t="str">
        <x:v>Presence and quantity in Ammonia depend on the selected design, chemistry, capacity, supplier and recycled content. This analytical link is not a verified bill of materials or supplier traceability statement.</x:v>
      </x:c>
      <x:c r="J586" s="2" t="str">
        <x:v>https://pubs.usgs.gov/periodicals/mcs2026/mcs2026.pdf</x:v>
      </x:c>
    </x:row>
    <x:row r="587" ht="66" customHeight="1">
      <x:c r="A587" s="2" t="str">
        <x:v>MIT-0258</x:v>
      </x:c>
      <x:c r="B587" s="2" t="str">
        <x:v>Mitigation</x:v>
      </x:c>
      <x:c r="C587" s="2" t="str">
        <x:v>Industry</x:v>
      </x:c>
      <x:c r="D587" s="2" t="str">
        <x:v>Chemicals management</x:v>
      </x:c>
      <x:c r="E587" s="2" t="str">
        <x:v>Nitric acid</x:v>
      </x:c>
      <x:c r="F587" s="2" t="str">
        <x:v>Iron ore / steel inputs</x:v>
      </x:c>
      <x:c r="G587" s="2" t="str">
        <x:v>Bulk and strategic mineral input</x:v>
      </x:c>
      <x:c r="H587" s="2" t="str">
        <x:v>Iron ore / steel inputs is linked to Nitric acid because it is typically used in load-bearing structures, pressure vessels, piping or machinery; the assignment follows component function, not a sector-wide keyword.</x:v>
      </x:c>
      <x:c r="I587" s="2" t="str">
        <x:v>Presence and quantity in Nitric acid depend on the selected design, chemistry, capacity, supplier and recycled content. This analytical link is not a verified bill of materials or supplier traceability statement.</x:v>
      </x:c>
      <x:c r="J587" s="2" t="str">
        <x:v>https://pubs.usgs.gov/periodicals/mcs2026/mcs2026.pdf</x:v>
      </x:c>
    </x:row>
    <x:row r="588" ht="66" customHeight="1">
      <x:c r="A588" s="2" t="str">
        <x:v>MIT-0258</x:v>
      </x:c>
      <x:c r="B588" s="2" t="str">
        <x:v>Mitigation</x:v>
      </x:c>
      <x:c r="C588" s="2" t="str">
        <x:v>Industry</x:v>
      </x:c>
      <x:c r="D588" s="2" t="str">
        <x:v>Chemicals management</x:v>
      </x:c>
      <x:c r="E588" s="2" t="str">
        <x:v>Nitric acid</x:v>
      </x:c>
      <x:c r="F588" s="2" t="str">
        <x:v>Platinum-group metals</x:v>
      </x:c>
      <x:c r="G588" s="2" t="str">
        <x:v>Catalyst critical minerals</x:v>
      </x:c>
      <x:c r="H588" s="2" t="str">
        <x:v>Platinum-group metals is linked to Nitric acid because it is typically used in electrochemical electrodes or catalytic conversion; the assignment follows component function, not a sector-wide keyword.</x:v>
      </x:c>
      <x:c r="I588" s="2" t="str">
        <x:v>Presence and quantity in Nitric acid depend on the selected design, chemistry, capacity, supplier and recycled content. This analytical link is not a verified bill of materials or supplier traceability statement.</x:v>
      </x:c>
      <x:c r="J588" s="2" t="str">
        <x:v>https://pubs.usgs.gov/periodicals/mcs2026/mcs2026.pdf</x:v>
      </x:c>
    </x:row>
    <x:row r="589" ht="66" customHeight="1">
      <x:c r="A589" s="2" t="str">
        <x:v>MIT-0258</x:v>
      </x:c>
      <x:c r="B589" s="2" t="str">
        <x:v>Mitigation</x:v>
      </x:c>
      <x:c r="C589" s="2" t="str">
        <x:v>Industry</x:v>
      </x:c>
      <x:c r="D589" s="2" t="str">
        <x:v>Chemicals management</x:v>
      </x:c>
      <x:c r="E589" s="2" t="str">
        <x:v>Nitric acid</x:v>
      </x:c>
      <x:c r="F589" s="2" t="str">
        <x:v>Nickel</x:v>
      </x:c>
      <x:c r="G589" s="2" t="str">
        <x:v>Battery and alloy critical mineral</x:v>
      </x:c>
      <x:c r="H589" s="2" t="str">
        <x:v>Nickel is linked to Nitric acid because it is typically used in battery cathodes, high-temperature alloys or corrosion-resistant steels; the assignment follows component function, not a sector-wide keyword.</x:v>
      </x:c>
      <x:c r="I589" s="2" t="str">
        <x:v>Presence and quantity in Nitric acid depend on the selected design, chemistry, capacity, supplier and recycled content. This analytical link is not a verified bill of materials or supplier traceability statement.</x:v>
      </x:c>
      <x:c r="J589" s="2" t="str">
        <x:v>https://www.iea.org/reports/global-critical-minerals-outlook-2025</x:v>
      </x:c>
    </x:row>
    <x:row r="590" ht="66" customHeight="1">
      <x:c r="A590" s="2" t="str">
        <x:v>MIT-0258</x:v>
      </x:c>
      <x:c r="B590" s="2" t="str">
        <x:v>Mitigation</x:v>
      </x:c>
      <x:c r="C590" s="2" t="str">
        <x:v>Industry</x:v>
      </x:c>
      <x:c r="D590" s="2" t="str">
        <x:v>Chemicals management</x:v>
      </x:c>
      <x:c r="E590" s="2" t="str">
        <x:v>Nitric acid</x:v>
      </x:c>
      <x:c r="F590" s="2" t="str">
        <x:v>Chromium</x:v>
      </x:c>
      <x:c r="G590" s="2" t="str">
        <x:v>Alloy strategic mineral</x:v>
      </x:c>
      <x:c r="H590" s="2" t="str">
        <x:v>Chromium is linked to Nitric acid because it is typically used in stainless and heat- or corrosion-resistant alloys; the assignment follows component function, not a sector-wide keyword.</x:v>
      </x:c>
      <x:c r="I590" s="2" t="str">
        <x:v>Presence and quantity in Nitric acid depend on the selected design, chemistry, capacity, supplier and recycled content. This analytical link is not a verified bill of materials or supplier traceability statement.</x:v>
      </x:c>
      <x:c r="J590" s="2" t="str">
        <x:v>https://pubs.usgs.gov/periodicals/mcs2026/mcs2026.pdf</x:v>
      </x:c>
    </x:row>
    <x:row r="591" ht="66" customHeight="1">
      <x:c r="A591" s="2" t="str">
        <x:v>MIT-0259</x:v>
      </x:c>
      <x:c r="B591" s="2" t="str">
        <x:v>Mitigation</x:v>
      </x:c>
      <x:c r="C591" s="2" t="str">
        <x:v>Industry</x:v>
      </x:c>
      <x:c r="D591" s="2" t="str">
        <x:v>Chemicals management</x:v>
      </x:c>
      <x:c r="E591" s="2" t="str">
        <x:v>NF3 reduction</x:v>
      </x:c>
      <x:c r="F591" s="2" t="str">
        <x:v>Iron ore / steel inputs</x:v>
      </x:c>
      <x:c r="G591" s="2" t="str">
        <x:v>Bulk and strategic mineral input</x:v>
      </x:c>
      <x:c r="H591" s="2" t="str">
        <x:v>Iron ore / steel inputs is linked to NF3 reduction because it is typically used in load-bearing structures, pressure vessels, piping or machinery; the assignment follows component function, not a sector-wide keyword.</x:v>
      </x:c>
      <x:c r="I591" s="2" t="str">
        <x:v>Presence and quantity in NF3 reduction depend on the selected design, chemistry, capacity, supplier and recycled content. This analytical link is not a verified bill of materials or supplier traceability statement.</x:v>
      </x:c>
      <x:c r="J591" s="2" t="str">
        <x:v>https://pubs.usgs.gov/periodicals/mcs2026/mcs2026.pdf</x:v>
      </x:c>
    </x:row>
    <x:row r="592" ht="66" customHeight="1">
      <x:c r="A592" s="2" t="str">
        <x:v>MIT-0259</x:v>
      </x:c>
      <x:c r="B592" s="2" t="str">
        <x:v>Mitigation</x:v>
      </x:c>
      <x:c r="C592" s="2" t="str">
        <x:v>Industry</x:v>
      </x:c>
      <x:c r="D592" s="2" t="str">
        <x:v>Chemicals management</x:v>
      </x:c>
      <x:c r="E592" s="2" t="str">
        <x:v>NF3 reduction</x:v>
      </x:c>
      <x:c r="F592" s="2" t="str">
        <x:v>Nickel</x:v>
      </x:c>
      <x:c r="G592" s="2" t="str">
        <x:v>Battery and alloy critical mineral</x:v>
      </x:c>
      <x:c r="H592" s="2" t="str">
        <x:v>Nickel is linked to NF3 reduction because it is typically used in battery cathodes, high-temperature alloys or corrosion-resistant steels; the assignment follows component function, not a sector-wide keyword.</x:v>
      </x:c>
      <x:c r="I592" s="2" t="str">
        <x:v>Presence and quantity in NF3 reduction depend on the selected design, chemistry, capacity, supplier and recycled content. This analytical link is not a verified bill of materials or supplier traceability statement.</x:v>
      </x:c>
      <x:c r="J592" s="2" t="str">
        <x:v>https://www.iea.org/reports/global-critical-minerals-outlook-2025</x:v>
      </x:c>
    </x:row>
    <x:row r="593" ht="66" customHeight="1">
      <x:c r="A593" s="2" t="str">
        <x:v>MIT-0259</x:v>
      </x:c>
      <x:c r="B593" s="2" t="str">
        <x:v>Mitigation</x:v>
      </x:c>
      <x:c r="C593" s="2" t="str">
        <x:v>Industry</x:v>
      </x:c>
      <x:c r="D593" s="2" t="str">
        <x:v>Chemicals management</x:v>
      </x:c>
      <x:c r="E593" s="2" t="str">
        <x:v>NF3 reduction</x:v>
      </x:c>
      <x:c r="F593" s="2" t="str">
        <x:v>Chromium</x:v>
      </x:c>
      <x:c r="G593" s="2" t="str">
        <x:v>Alloy strategic mineral</x:v>
      </x:c>
      <x:c r="H593" s="2" t="str">
        <x:v>Chromium is linked to NF3 reduction because it is typically used in stainless and heat- or corrosion-resistant alloys; the assignment follows component function, not a sector-wide keyword.</x:v>
      </x:c>
      <x:c r="I593" s="2" t="str">
        <x:v>Presence and quantity in NF3 reduction depend on the selected design, chemistry, capacity, supplier and recycled content. This analytical link is not a verified bill of materials or supplier traceability statement.</x:v>
      </x:c>
      <x:c r="J593" s="2" t="str">
        <x:v>https://pubs.usgs.gov/periodicals/mcs2026/mcs2026.pdf</x:v>
      </x:c>
    </x:row>
    <x:row r="594" ht="66" customHeight="1">
      <x:c r="A594" s="2" t="str">
        <x:v>MIT-0260</x:v>
      </x:c>
      <x:c r="B594" s="2" t="str">
        <x:v>Mitigation</x:v>
      </x:c>
      <x:c r="C594" s="2" t="str">
        <x:v>Industry</x:v>
      </x:c>
      <x:c r="D594" s="2" t="str">
        <x:v>Transport of raw fuels</x:v>
      </x:c>
      <x:c r="E594" s="2" t="str">
        <x:v>Coal transport</x:v>
      </x:c>
      <x:c r="F594" s="2" t="str">
        <x:v>Iron ore / steel inputs</x:v>
      </x:c>
      <x:c r="G594" s="2" t="str">
        <x:v>Bulk and strategic mineral input</x:v>
      </x:c>
      <x:c r="H594" s="2" t="str">
        <x:v>Iron ore / steel inputs is linked to Coal transport because it is typically used in load-bearing structures, pressure vessels, piping or machinery; the assignment follows component function, not a sector-wide keyword.</x:v>
      </x:c>
      <x:c r="I594" s="2" t="str">
        <x:v>Presence and quantity in Coal transport depend on the selected design, chemistry, capacity, supplier and recycled content. This analytical link is not a verified bill of materials or supplier traceability statement.</x:v>
      </x:c>
      <x:c r="J594" s="2" t="str">
        <x:v>https://pubs.usgs.gov/periodicals/mcs2026/mcs2026.pdf</x:v>
      </x:c>
    </x:row>
    <x:row r="595" ht="66" customHeight="1">
      <x:c r="A595" s="2" t="str">
        <x:v>MIT-0261</x:v>
      </x:c>
      <x:c r="B595" s="2" t="str">
        <x:v>Mitigation</x:v>
      </x:c>
      <x:c r="C595" s="2" t="str">
        <x:v>Industry</x:v>
      </x:c>
      <x:c r="D595" s="2" t="str">
        <x:v>Transport of raw fuels</x:v>
      </x:c>
      <x:c r="E595" s="2" t="str">
        <x:v>Biomass transport</x:v>
      </x:c>
      <x:c r="F595" s="2" t="str">
        <x:v>Iron ore / steel inputs</x:v>
      </x:c>
      <x:c r="G595" s="2" t="str">
        <x:v>Bulk and strategic mineral input</x:v>
      </x:c>
      <x:c r="H595" s="2" t="str">
        <x:v>Iron ore / steel inputs is linked to Biomass transport because it is typically used in load-bearing structures, pressure vessels, piping or machinery; the assignment follows component function, not a sector-wide keyword.</x:v>
      </x:c>
      <x:c r="I595" s="2" t="str">
        <x:v>Presence and quantity in Biomass transport depend on the selected design, chemistry, capacity, supplier and recycled content. This analytical link is not a verified bill of materials or supplier traceability statement.</x:v>
      </x:c>
      <x:c r="J595" s="2" t="str">
        <x:v>https://pubs.usgs.gov/periodicals/mcs2026/mcs2026.pdf</x:v>
      </x:c>
    </x:row>
    <x:row r="596" ht="66" customHeight="1">
      <x:c r="A596" s="2" t="str">
        <x:v>MIT-0262</x:v>
      </x:c>
      <x:c r="B596" s="2" t="str">
        <x:v>Mitigation</x:v>
      </x:c>
      <x:c r="C596" s="2" t="str">
        <x:v>Industry</x:v>
      </x:c>
      <x:c r="D596" s="2" t="str">
        <x:v>Transport of raw fuels</x:v>
      </x:c>
      <x:c r="E596" s="2" t="str">
        <x:v>Liquefaction plants</x:v>
      </x:c>
      <x:c r="F596" s="2" t="str">
        <x:v>Iron ore / steel inputs</x:v>
      </x:c>
      <x:c r="G596" s="2" t="str">
        <x:v>Bulk and strategic mineral input</x:v>
      </x:c>
      <x:c r="H596" s="2" t="str">
        <x:v>Iron ore / steel inputs is linked to Liquefaction plants because it is typically used in load-bearing structures, pressure vessels, piping or machinery; the assignment follows component function, not a sector-wide keyword.</x:v>
      </x:c>
      <x:c r="I596" s="2" t="str">
        <x:v>Presence and quantity in Liquefaction plants depend on the selected design, chemistry, capacity, supplier and recycled content. This analytical link is not a verified bill of materials or supplier traceability statement.</x:v>
      </x:c>
      <x:c r="J596" s="2" t="str">
        <x:v>https://pubs.usgs.gov/periodicals/mcs2026/mcs2026.pdf</x:v>
      </x:c>
    </x:row>
    <x:row r="597" ht="66" customHeight="1">
      <x:c r="A597" s="2" t="str">
        <x:v>MIT-0263</x:v>
      </x:c>
      <x:c r="B597" s="2" t="str">
        <x:v>Mitigation</x:v>
      </x:c>
      <x:c r="C597" s="2" t="str">
        <x:v>Industry</x:v>
      </x:c>
      <x:c r="D597" s="2" t="str">
        <x:v>Transport of raw fuels</x:v>
      </x:c>
      <x:c r="E597" s="2" t="str">
        <x:v>LNG and LPG carrier</x:v>
      </x:c>
      <x:c r="F597" s="2" t="str">
        <x:v>Iron ore / steel inputs</x:v>
      </x:c>
      <x:c r="G597" s="2" t="str">
        <x:v>Bulk and strategic mineral input</x:v>
      </x:c>
      <x:c r="H597" s="2" t="str">
        <x:v>Iron ore / steel inputs is linked to LNG and LPG carrier because it is typically used in load-bearing structures, pressure vessels, piping or machinery; the assignment follows component function, not a sector-wide keyword.</x:v>
      </x:c>
      <x:c r="I597" s="2" t="str">
        <x:v>Presence and quantity in LNG and LPG carrier depend on the selected design, chemistry, capacity, supplier and recycled content. This analytical link is not a verified bill of materials or supplier traceability statement.</x:v>
      </x:c>
      <x:c r="J597" s="2" t="str">
        <x:v>https://pubs.usgs.gov/periodicals/mcs2026/mcs2026.pdf</x:v>
      </x:c>
    </x:row>
    <x:row r="598" ht="66" customHeight="1">
      <x:c r="A598" s="2" t="str">
        <x:v>ADP-0001</x:v>
      </x:c>
      <x:c r="B598" s="2" t="str">
        <x:v>Adaptation</x:v>
      </x:c>
      <x:c r="C598" s="2" t="str">
        <x:v>Early Warning and Environmental Assesment</x:v>
      </x:c>
      <x:c r="D598" s="2" t="str">
        <x:v>Remote sensing &amp; GIS</x:v>
      </x:c>
      <x:c r="E598" s="2" t="str">
        <x:v>Remote sensing &amp; GIS</x:v>
      </x:c>
      <x:c r="F598" s="2" t="str">
        <x:v>Iron ore / steel inputs</x:v>
      </x:c>
      <x:c r="G598" s="2" t="str">
        <x:v>Bulk and strategic mineral input</x:v>
      </x:c>
      <x:c r="H598" s="2" t="str">
        <x:v>Iron ore / steel inputs is linked to Remote sensing &amp; GIS because it is typically used in load-bearing structures, pressure vessels, piping or machinery; the assignment follows component function, not a sector-wide keyword.</x:v>
      </x:c>
      <x:c r="I598" s="2" t="str">
        <x:v>Presence and quantity in Remote sensing &amp; GIS depend on the selected design, chemistry, capacity, supplier and recycled content. This analytical link is not a verified bill of materials or supplier traceability statement.</x:v>
      </x:c>
      <x:c r="J598" s="2" t="str">
        <x:v>https://pubs.usgs.gov/periodicals/mcs2026/mcs2026.pdf</x:v>
      </x:c>
    </x:row>
    <x:row r="599" ht="66" customHeight="1">
      <x:c r="A599" s="2" t="str">
        <x:v>ADP-0002</x:v>
      </x:c>
      <x:c r="B599" s="2" t="str">
        <x:v>Adaptation</x:v>
      </x:c>
      <x:c r="C599" s="2" t="str">
        <x:v>Early Warning and Environmental Assesment</x:v>
      </x:c>
      <x:c r="D599" s="2" t="str">
        <x:v>Hazard mapping</x:v>
      </x:c>
      <x:c r="E599" s="2" t="str">
        <x:v>seasonal to interannual weather forecast</x:v>
      </x:c>
      <x:c r="F599" s="2" t="str">
        <x:v>Iron ore / steel inputs</x:v>
      </x:c>
      <x:c r="G599" s="2" t="str">
        <x:v>Bulk and strategic mineral input</x:v>
      </x:c>
      <x:c r="H599" s="2" t="str">
        <x:v>Iron ore / steel inputs is linked to seasonal to interannual weather forecast because it is typically used in load-bearing structures, pressure vessels, piping or machinery; the assignment follows component function, not a sector-wide keyword.</x:v>
      </x:c>
      <x:c r="I599" s="2" t="str">
        <x:v>Presence and quantity in seasonal to interannual weather forecast depend on the selected design, chemistry, capacity, supplier and recycled content. This analytical link is not a verified bill of materials or supplier traceability statement.</x:v>
      </x:c>
      <x:c r="J599" s="2" t="str">
        <x:v>https://pubs.usgs.gov/periodicals/mcs2026/mcs2026.pdf</x:v>
      </x:c>
    </x:row>
    <x:row r="600" ht="66" customHeight="1">
      <x:c r="A600" s="2" t="str">
        <x:v>ADP-0002</x:v>
      </x:c>
      <x:c r="B600" s="2" t="str">
        <x:v>Adaptation</x:v>
      </x:c>
      <x:c r="C600" s="2" t="str">
        <x:v>Early Warning and Environmental Assesment</x:v>
      </x:c>
      <x:c r="D600" s="2" t="str">
        <x:v>Hazard mapping</x:v>
      </x:c>
      <x:c r="E600" s="2" t="str">
        <x:v>seasonal to interannual weather forecast</x:v>
      </x:c>
      <x:c r="F600" s="2" t="str">
        <x:v>Copper</x:v>
      </x:c>
      <x:c r="G600" s="2" t="str">
        <x:v>Critical or strategic metal</x:v>
      </x:c>
      <x:c r="H600" s="2" t="str">
        <x:v>Copper is linked to seasonal to interannual weather forecast because it is typically used in power cables, windings, busbars, grounding and electrical connectors; the assignment follows component function, not a sector-wide keyword.</x:v>
      </x:c>
      <x:c r="I600" s="2" t="str">
        <x:v>Presence and quantity in seasonal to interannual weather forecast depend on the selected design, chemistry, capacity, supplier and recycled content. This analytical link is not a verified bill of materials or supplier traceability statement.</x:v>
      </x:c>
      <x:c r="J600" s="2" t="str">
        <x:v>https://pubs.usgs.gov/periodicals/mcs2026/mcs2026.pdf</x:v>
      </x:c>
    </x:row>
    <x:row r="601" ht="66" customHeight="1">
      <x:c r="A601" s="2" t="str">
        <x:v>ADP-0002</x:v>
      </x:c>
      <x:c r="B601" s="2" t="str">
        <x:v>Adaptation</x:v>
      </x:c>
      <x:c r="C601" s="2" t="str">
        <x:v>Early Warning and Environmental Assesment</x:v>
      </x:c>
      <x:c r="D601" s="2" t="str">
        <x:v>Hazard mapping</x:v>
      </x:c>
      <x:c r="E601" s="2" t="str">
        <x:v>seasonal to interannual weather forecast</x:v>
      </x:c>
      <x:c r="F601" s="2" t="str">
        <x:v>Tin</x:v>
      </x:c>
      <x:c r="G601" s="2" t="str">
        <x:v>Electronics strategic metal</x:v>
      </x:c>
      <x:c r="H601" s="2" t="str">
        <x:v>Tin is linked to seasonal to interannual weather forecast because it is typically used in electronic solder and selected coatings; the assignment follows component function, not a sector-wide keyword.</x:v>
      </x:c>
      <x:c r="I601" s="2" t="str">
        <x:v>Presence and quantity in seasonal to interannual weather forecast depend on the selected design, chemistry, capacity, supplier and recycled content. This analytical link is not a verified bill of materials or supplier traceability statement.</x:v>
      </x:c>
      <x:c r="J601" s="2" t="str">
        <x:v>https://pubs.usgs.gov/periodicals/mcs2026/mcs2026.pdf</x:v>
      </x:c>
    </x:row>
    <x:row r="602" ht="66" customHeight="1">
      <x:c r="A602" s="2" t="str">
        <x:v>ADP-0003</x:v>
      </x:c>
      <x:c r="B602" s="2" t="str">
        <x:v>Adaptation</x:v>
      </x:c>
      <x:c r="C602" s="2" t="str">
        <x:v>Early Warning and Environmental Assesment</x:v>
      </x:c>
      <x:c r="D602" s="2" t="str">
        <x:v>Hazard mapping</x:v>
      </x:c>
      <x:c r="E602" s="2" t="str">
        <x:v>Disaster risk assessment tools</x:v>
      </x:c>
      <x:c r="F602" s="2" t="str">
        <x:v>Iron ore / steel inputs</x:v>
      </x:c>
      <x:c r="G602" s="2" t="str">
        <x:v>Bulk and strategic mineral input</x:v>
      </x:c>
      <x:c r="H602" s="2" t="str">
        <x:v>Iron ore / steel inputs is linked to Disaster risk assessment tools because it is typically used in load-bearing structures, pressure vessels, piping or machinery; the assignment follows component function, not a sector-wide keyword.</x:v>
      </x:c>
      <x:c r="I602" s="2" t="str">
        <x:v>Presence and quantity in Disaster risk assessment tools depend on the selected design, chemistry, capacity, supplier and recycled content. This analytical link is not a verified bill of materials or supplier traceability statement.</x:v>
      </x:c>
      <x:c r="J602" s="2" t="str">
        <x:v>https://pubs.usgs.gov/periodicals/mcs2026/mcs2026.pdf</x:v>
      </x:c>
    </x:row>
    <x:row r="603" ht="66" customHeight="1">
      <x:c r="A603" s="2" t="str">
        <x:v>ADP-0003</x:v>
      </x:c>
      <x:c r="B603" s="2" t="str">
        <x:v>Adaptation</x:v>
      </x:c>
      <x:c r="C603" s="2" t="str">
        <x:v>Early Warning and Environmental Assesment</x:v>
      </x:c>
      <x:c r="D603" s="2" t="str">
        <x:v>Hazard mapping</x:v>
      </x:c>
      <x:c r="E603" s="2" t="str">
        <x:v>Disaster risk assessment tools</x:v>
      </x:c>
      <x:c r="F603" s="2" t="str">
        <x:v>Copper</x:v>
      </x:c>
      <x:c r="G603" s="2" t="str">
        <x:v>Critical or strategic metal</x:v>
      </x:c>
      <x:c r="H603" s="2" t="str">
        <x:v>Copper is linked to Disaster risk assessment tools because it is typically used in power cables, windings, busbars, grounding and electrical connectors; the assignment follows component function, not a sector-wide keyword.</x:v>
      </x:c>
      <x:c r="I603" s="2" t="str">
        <x:v>Presence and quantity in Disaster risk assessment tools depend on the selected design, chemistry, capacity, supplier and recycled content. This analytical link is not a verified bill of materials or supplier traceability statement.</x:v>
      </x:c>
      <x:c r="J603" s="2" t="str">
        <x:v>https://pubs.usgs.gov/periodicals/mcs2026/mcs2026.pdf</x:v>
      </x:c>
    </x:row>
    <x:row r="604" ht="66" customHeight="1">
      <x:c r="A604" s="2" t="str">
        <x:v>ADP-0003</x:v>
      </x:c>
      <x:c r="B604" s="2" t="str">
        <x:v>Adaptation</x:v>
      </x:c>
      <x:c r="C604" s="2" t="str">
        <x:v>Early Warning and Environmental Assesment</x:v>
      </x:c>
      <x:c r="D604" s="2" t="str">
        <x:v>Hazard mapping</x:v>
      </x:c>
      <x:c r="E604" s="2" t="str">
        <x:v>Disaster risk assessment tools</x:v>
      </x:c>
      <x:c r="F604" s="2" t="str">
        <x:v>Tin</x:v>
      </x:c>
      <x:c r="G604" s="2" t="str">
        <x:v>Electronics strategic metal</x:v>
      </x:c>
      <x:c r="H604" s="2" t="str">
        <x:v>Tin is linked to Disaster risk assessment tools because it is typically used in electronic solder and selected coatings; the assignment follows component function, not a sector-wide keyword.</x:v>
      </x:c>
      <x:c r="I604" s="2" t="str">
        <x:v>Presence and quantity in Disaster risk assessment tools depend on the selected design, chemistry, capacity, supplier and recycled content. This analytical link is not a verified bill of materials or supplier traceability statement.</x:v>
      </x:c>
      <x:c r="J604" s="2" t="str">
        <x:v>https://pubs.usgs.gov/periodicals/mcs2026/mcs2026.pdf</x:v>
      </x:c>
    </x:row>
    <x:row r="605" ht="66" customHeight="1">
      <x:c r="A605" s="2" t="str">
        <x:v>ADP-0004</x:v>
      </x:c>
      <x:c r="B605" s="2" t="str">
        <x:v>Adaptation</x:v>
      </x:c>
      <x:c r="C605" s="2" t="str">
        <x:v>Early Warning and Environmental Assesment</x:v>
      </x:c>
      <x:c r="D605" s="2" t="str">
        <x:v>Hazard mapping</x:v>
      </x:c>
      <x:c r="E605" s="2" t="str">
        <x:v>Hazard mapping solutions</x:v>
      </x:c>
      <x:c r="F605" s="2" t="str">
        <x:v>Iron ore / steel inputs</x:v>
      </x:c>
      <x:c r="G605" s="2" t="str">
        <x:v>Bulk and strategic mineral input</x:v>
      </x:c>
      <x:c r="H605" s="2" t="str">
        <x:v>Iron ore / steel inputs is linked to Hazard mapping solutions because it is typically used in load-bearing structures, pressure vessels, piping or machinery; the assignment follows component function, not a sector-wide keyword.</x:v>
      </x:c>
      <x:c r="I605" s="2" t="str">
        <x:v>Presence and quantity in Hazard mapping solutions depend on the selected design, chemistry, capacity, supplier and recycled content. This analytical link is not a verified bill of materials or supplier traceability statement.</x:v>
      </x:c>
      <x:c r="J605" s="2" t="str">
        <x:v>https://pubs.usgs.gov/periodicals/mcs2026/mcs2026.pdf</x:v>
      </x:c>
    </x:row>
    <x:row r="606" ht="66" customHeight="1">
      <x:c r="A606" s="2" t="str">
        <x:v>ADP-0004</x:v>
      </x:c>
      <x:c r="B606" s="2" t="str">
        <x:v>Adaptation</x:v>
      </x:c>
      <x:c r="C606" s="2" t="str">
        <x:v>Early Warning and Environmental Assesment</x:v>
      </x:c>
      <x:c r="D606" s="2" t="str">
        <x:v>Hazard mapping</x:v>
      </x:c>
      <x:c r="E606" s="2" t="str">
        <x:v>Hazard mapping solutions</x:v>
      </x:c>
      <x:c r="F606" s="2" t="str">
        <x:v>Copper</x:v>
      </x:c>
      <x:c r="G606" s="2" t="str">
        <x:v>Critical or strategic metal</x:v>
      </x:c>
      <x:c r="H606" s="2" t="str">
        <x:v>Copper is linked to Hazard mapping solutions because it is typically used in power cables, windings, busbars, grounding and electrical connectors; the assignment follows component function, not a sector-wide keyword.</x:v>
      </x:c>
      <x:c r="I606" s="2" t="str">
        <x:v>Presence and quantity in Hazard mapping solutions depend on the selected design, chemistry, capacity, supplier and recycled content. This analytical link is not a verified bill of materials or supplier traceability statement.</x:v>
      </x:c>
      <x:c r="J606" s="2" t="str">
        <x:v>https://pubs.usgs.gov/periodicals/mcs2026/mcs2026.pdf</x:v>
      </x:c>
    </x:row>
    <x:row r="607" ht="66" customHeight="1">
      <x:c r="A607" s="2" t="str">
        <x:v>ADP-0004</x:v>
      </x:c>
      <x:c r="B607" s="2" t="str">
        <x:v>Adaptation</x:v>
      </x:c>
      <x:c r="C607" s="2" t="str">
        <x:v>Early Warning and Environmental Assesment</x:v>
      </x:c>
      <x:c r="D607" s="2" t="str">
        <x:v>Hazard mapping</x:v>
      </x:c>
      <x:c r="E607" s="2" t="str">
        <x:v>Hazard mapping solutions</x:v>
      </x:c>
      <x:c r="F607" s="2" t="str">
        <x:v>Tin</x:v>
      </x:c>
      <x:c r="G607" s="2" t="str">
        <x:v>Electronics strategic metal</x:v>
      </x:c>
      <x:c r="H607" s="2" t="str">
        <x:v>Tin is linked to Hazard mapping solutions because it is typically used in electronic solder and selected coatings; the assignment follows component function, not a sector-wide keyword.</x:v>
      </x:c>
      <x:c r="I607" s="2" t="str">
        <x:v>Presence and quantity in Hazard mapping solutions depend on the selected design, chemistry, capacity, supplier and recycled content. This analytical link is not a verified bill of materials or supplier traceability statement.</x:v>
      </x:c>
      <x:c r="J607" s="2" t="str">
        <x:v>https://pubs.usgs.gov/periodicals/mcs2026/mcs2026.pdf</x:v>
      </x:c>
    </x:row>
    <x:row r="608" ht="66" customHeight="1">
      <x:c r="A608" s="2" t="str">
        <x:v>ADP-0005</x:v>
      </x:c>
      <x:c r="B608" s="2" t="str">
        <x:v>Adaptation</x:v>
      </x:c>
      <x:c r="C608" s="2" t="str">
        <x:v>Early Warning and Environmental Assesment</x:v>
      </x:c>
      <x:c r="D608" s="2" t="str">
        <x:v>Hazard mapping</x:v>
      </x:c>
      <x:c r="E608" s="2" t="str">
        <x:v>Flood hazard mapping</x:v>
      </x:c>
      <x:c r="F608" s="2" t="str">
        <x:v>Iron ore / steel inputs</x:v>
      </x:c>
      <x:c r="G608" s="2" t="str">
        <x:v>Bulk and strategic mineral input</x:v>
      </x:c>
      <x:c r="H608" s="2" t="str">
        <x:v>Iron ore / steel inputs is linked to Flood hazard mapping because it is typically used in load-bearing structures, pressure vessels, piping or machinery; the assignment follows component function, not a sector-wide keyword.</x:v>
      </x:c>
      <x:c r="I608" s="2" t="str">
        <x:v>Presence and quantity in Flood hazard mapping depend on the selected design, chemistry, capacity, supplier and recycled content. This analytical link is not a verified bill of materials or supplier traceability statement.</x:v>
      </x:c>
      <x:c r="J608" s="2" t="str">
        <x:v>https://pubs.usgs.gov/periodicals/mcs2026/mcs2026.pdf</x:v>
      </x:c>
    </x:row>
    <x:row r="609" ht="66" customHeight="1">
      <x:c r="A609" s="2" t="str">
        <x:v>ADP-0005</x:v>
      </x:c>
      <x:c r="B609" s="2" t="str">
        <x:v>Adaptation</x:v>
      </x:c>
      <x:c r="C609" s="2" t="str">
        <x:v>Early Warning and Environmental Assesment</x:v>
      </x:c>
      <x:c r="D609" s="2" t="str">
        <x:v>Hazard mapping</x:v>
      </x:c>
      <x:c r="E609" s="2" t="str">
        <x:v>Flood hazard mapping</x:v>
      </x:c>
      <x:c r="F609" s="2" t="str">
        <x:v>Copper</x:v>
      </x:c>
      <x:c r="G609" s="2" t="str">
        <x:v>Critical or strategic metal</x:v>
      </x:c>
      <x:c r="H609" s="2" t="str">
        <x:v>Copper is linked to Flood hazard mapping because it is typically used in power cables, windings, busbars, grounding and electrical connectors; the assignment follows component function, not a sector-wide keyword.</x:v>
      </x:c>
      <x:c r="I609" s="2" t="str">
        <x:v>Presence and quantity in Flood hazard mapping depend on the selected design, chemistry, capacity, supplier and recycled content. This analytical link is not a verified bill of materials or supplier traceability statement.</x:v>
      </x:c>
      <x:c r="J609" s="2" t="str">
        <x:v>https://pubs.usgs.gov/periodicals/mcs2026/mcs2026.pdf</x:v>
      </x:c>
    </x:row>
    <x:row r="610" ht="66" customHeight="1">
      <x:c r="A610" s="2" t="str">
        <x:v>ADP-0005</x:v>
      </x:c>
      <x:c r="B610" s="2" t="str">
        <x:v>Adaptation</x:v>
      </x:c>
      <x:c r="C610" s="2" t="str">
        <x:v>Early Warning and Environmental Assesment</x:v>
      </x:c>
      <x:c r="D610" s="2" t="str">
        <x:v>Hazard mapping</x:v>
      </x:c>
      <x:c r="E610" s="2" t="str">
        <x:v>Flood hazard mapping</x:v>
      </x:c>
      <x:c r="F610" s="2" t="str">
        <x:v>Tin</x:v>
      </x:c>
      <x:c r="G610" s="2" t="str">
        <x:v>Electronics strategic metal</x:v>
      </x:c>
      <x:c r="H610" s="2" t="str">
        <x:v>Tin is linked to Flood hazard mapping because it is typically used in electronic solder and selected coatings; the assignment follows component function, not a sector-wide keyword.</x:v>
      </x:c>
      <x:c r="I610" s="2" t="str">
        <x:v>Presence and quantity in Flood hazard mapping depend on the selected design, chemistry, capacity, supplier and recycled content. This analytical link is not a verified bill of materials or supplier traceability statement.</x:v>
      </x:c>
      <x:c r="J610" s="2" t="str">
        <x:v>https://pubs.usgs.gov/periodicals/mcs2026/mcs2026.pdf</x:v>
      </x:c>
    </x:row>
    <x:row r="611" ht="66" customHeight="1">
      <x:c r="A611" s="2" t="str">
        <x:v>ADP-0006</x:v>
      </x:c>
      <x:c r="B611" s="2" t="str">
        <x:v>Adaptation</x:v>
      </x:c>
      <x:c r="C611" s="2" t="str">
        <x:v>Early Warning and Environmental Assesment</x:v>
      </x:c>
      <x:c r="D611" s="2" t="str">
        <x:v>Early warning systems</x:v>
      </x:c>
      <x:c r="E611" s="2" t="str">
        <x:v>Early Warning Systems Communication</x:v>
      </x:c>
      <x:c r="F611" s="2" t="str">
        <x:v>Iron ore / steel inputs</x:v>
      </x:c>
      <x:c r="G611" s="2" t="str">
        <x:v>Bulk and strategic mineral input</x:v>
      </x:c>
      <x:c r="H611" s="2" t="str">
        <x:v>Iron ore / steel inputs is linked to Early Warning Systems Communication because it is typically used in load-bearing structures, pressure vessels, piping or machinery; the assignment follows component function, not a sector-wide keyword.</x:v>
      </x:c>
      <x:c r="I611" s="2" t="str">
        <x:v>Presence and quantity in Early Warning Systems Communication depend on the selected design, chemistry, capacity, supplier and recycled content. This analytical link is not a verified bill of materials or supplier traceability statement.</x:v>
      </x:c>
      <x:c r="J611" s="2" t="str">
        <x:v>https://pubs.usgs.gov/periodicals/mcs2026/mcs2026.pdf</x:v>
      </x:c>
    </x:row>
    <x:row r="612" ht="66" customHeight="1">
      <x:c r="A612" s="2" t="str">
        <x:v>ADP-0007</x:v>
      </x:c>
      <x:c r="B612" s="2" t="str">
        <x:v>Adaptation</x:v>
      </x:c>
      <x:c r="C612" s="2" t="str">
        <x:v>Early Warning and Environmental Assesment</x:v>
      </x:c>
      <x:c r="D612" s="2" t="str">
        <x:v>Early warning systems</x:v>
      </x:c>
      <x:c r="E612" s="2" t="str">
        <x:v>Community-run early warning systems</x:v>
      </x:c>
      <x:c r="F612" s="2" t="str">
        <x:v>Iron ore / steel inputs</x:v>
      </x:c>
      <x:c r="G612" s="2" t="str">
        <x:v>Bulk and strategic mineral input</x:v>
      </x:c>
      <x:c r="H612" s="2" t="str">
        <x:v>Iron ore / steel inputs is linked to Community-run early warning systems because it is typically used in load-bearing structures, pressure vessels, piping or machinery; the assignment follows component function, not a sector-wide keyword.</x:v>
      </x:c>
      <x:c r="I612" s="2" t="str">
        <x:v>Presence and quantity in Community-run early warning systems depend on the selected design, chemistry, capacity, supplier and recycled content. This analytical link is not a verified bill of materials or supplier traceability statement.</x:v>
      </x:c>
      <x:c r="J612" s="2" t="str">
        <x:v>https://pubs.usgs.gov/periodicals/mcs2026/mcs2026.pdf</x:v>
      </x:c>
    </x:row>
    <x:row r="613" ht="66" customHeight="1">
      <x:c r="A613" s="2" t="str">
        <x:v>ADP-0008</x:v>
      </x:c>
      <x:c r="B613" s="2" t="str">
        <x:v>Adaptation</x:v>
      </x:c>
      <x:c r="C613" s="2" t="str">
        <x:v>Early Warning and Environmental Assesment</x:v>
      </x:c>
      <x:c r="D613" s="2" t="str">
        <x:v>Early warning systems</x:v>
      </x:c>
      <x:c r="E613" s="2" t="str">
        <x:v>Climate scenario development</x:v>
      </x:c>
      <x:c r="F613" s="2" t="str">
        <x:v>Iron ore / steel inputs</x:v>
      </x:c>
      <x:c r="G613" s="2" t="str">
        <x:v>Bulk and strategic mineral input</x:v>
      </x:c>
      <x:c r="H613" s="2" t="str">
        <x:v>Iron ore / steel inputs is linked to Climate scenario development because it is typically used in load-bearing structures, pressure vessels, piping or machinery; the assignment follows component function, not a sector-wide keyword.</x:v>
      </x:c>
      <x:c r="I613" s="2" t="str">
        <x:v>Presence and quantity in Climate scenario development depend on the selected design, chemistry, capacity, supplier and recycled content. This analytical link is not a verified bill of materials or supplier traceability statement.</x:v>
      </x:c>
      <x:c r="J613" s="2" t="str">
        <x:v>https://pubs.usgs.gov/periodicals/mcs2026/mcs2026.pdf</x:v>
      </x:c>
    </x:row>
    <x:row r="614" ht="66" customHeight="1">
      <x:c r="A614" s="2" t="str">
        <x:v>ADP-0009</x:v>
      </x:c>
      <x:c r="B614" s="2" t="str">
        <x:v>Adaptation</x:v>
      </x:c>
      <x:c r="C614" s="2" t="str">
        <x:v>Early Warning and Environmental Assesment</x:v>
      </x:c>
      <x:c r="D614" s="2" t="str">
        <x:v>Early warning systems</x:v>
      </x:c>
      <x:c r="E614" s="2" t="str">
        <x:v>Flood forecasting systems</x:v>
      </x:c>
      <x:c r="F614" s="2" t="str">
        <x:v>Iron ore / steel inputs</x:v>
      </x:c>
      <x:c r="G614" s="2" t="str">
        <x:v>Bulk and strategic mineral input</x:v>
      </x:c>
      <x:c r="H614" s="2" t="str">
        <x:v>Iron ore / steel inputs is linked to Flood forecasting systems because it is typically used in load-bearing structures, pressure vessels, piping or machinery; the assignment follows component function, not a sector-wide keyword.</x:v>
      </x:c>
      <x:c r="I614" s="2" t="str">
        <x:v>Presence and quantity in Flood forecasting systems depend on the selected design, chemistry, capacity, supplier and recycled content. This analytical link is not a verified bill of materials or supplier traceability statement.</x:v>
      </x:c>
      <x:c r="J614" s="2" t="str">
        <x:v>https://pubs.usgs.gov/periodicals/mcs2026/mcs2026.pdf</x:v>
      </x:c>
    </x:row>
    <x:row r="615" ht="66" customHeight="1">
      <x:c r="A615" s="2" t="str">
        <x:v>ADP-0009</x:v>
      </x:c>
      <x:c r="B615" s="2" t="str">
        <x:v>Adaptation</x:v>
      </x:c>
      <x:c r="C615" s="2" t="str">
        <x:v>Early Warning and Environmental Assesment</x:v>
      </x:c>
      <x:c r="D615" s="2" t="str">
        <x:v>Early warning systems</x:v>
      </x:c>
      <x:c r="E615" s="2" t="str">
        <x:v>Flood forecasting systems</x:v>
      </x:c>
      <x:c r="F615" s="2" t="str">
        <x:v>Copper</x:v>
      </x:c>
      <x:c r="G615" s="2" t="str">
        <x:v>Critical or strategic metal</x:v>
      </x:c>
      <x:c r="H615" s="2" t="str">
        <x:v>Copper is linked to Flood forecasting systems because it is typically used in power cables, windings, busbars, grounding and electrical connectors; the assignment follows component function, not a sector-wide keyword.</x:v>
      </x:c>
      <x:c r="I615" s="2" t="str">
        <x:v>Presence and quantity in Flood forecasting systems depend on the selected design, chemistry, capacity, supplier and recycled content. This analytical link is not a verified bill of materials or supplier traceability statement.</x:v>
      </x:c>
      <x:c r="J615" s="2" t="str">
        <x:v>https://pubs.usgs.gov/periodicals/mcs2026/mcs2026.pdf</x:v>
      </x:c>
    </x:row>
    <x:row r="616" ht="66" customHeight="1">
      <x:c r="A616" s="2" t="str">
        <x:v>ADP-0009</x:v>
      </x:c>
      <x:c r="B616" s="2" t="str">
        <x:v>Adaptation</x:v>
      </x:c>
      <x:c r="C616" s="2" t="str">
        <x:v>Early Warning and Environmental Assesment</x:v>
      </x:c>
      <x:c r="D616" s="2" t="str">
        <x:v>Early warning systems</x:v>
      </x:c>
      <x:c r="E616" s="2" t="str">
        <x:v>Flood forecasting systems</x:v>
      </x:c>
      <x:c r="F616" s="2" t="str">
        <x:v>Tin</x:v>
      </x:c>
      <x:c r="G616" s="2" t="str">
        <x:v>Electronics strategic metal</x:v>
      </x:c>
      <x:c r="H616" s="2" t="str">
        <x:v>Tin is linked to Flood forecasting systems because it is typically used in electronic solder and selected coatings; the assignment follows component function, not a sector-wide keyword.</x:v>
      </x:c>
      <x:c r="I616" s="2" t="str">
        <x:v>Presence and quantity in Flood forecasting systems depend on the selected design, chemistry, capacity, supplier and recycled content. This analytical link is not a verified bill of materials or supplier traceability statement.</x:v>
      </x:c>
      <x:c r="J616" s="2" t="str">
        <x:v>https://pubs.usgs.gov/periodicals/mcs2026/mcs2026.pdf</x:v>
      </x:c>
    </x:row>
    <x:row r="617" ht="66" customHeight="1">
      <x:c r="A617" s="2" t="str">
        <x:v>ADP-0010</x:v>
      </x:c>
      <x:c r="B617" s="2" t="str">
        <x:v>Adaptation</x:v>
      </x:c>
      <x:c r="C617" s="2" t="str">
        <x:v>Early Warning and Environmental Assesment</x:v>
      </x:c>
      <x:c r="D617" s="2" t="str">
        <x:v>Early warning systems</x:v>
      </x:c>
      <x:c r="E617" s="2" t="str">
        <x:v>Landslide and mudflow warning systems</x:v>
      </x:c>
      <x:c r="F617" s="2" t="str">
        <x:v>Iron ore / steel inputs</x:v>
      </x:c>
      <x:c r="G617" s="2" t="str">
        <x:v>Bulk and strategic mineral input</x:v>
      </x:c>
      <x:c r="H617" s="2" t="str">
        <x:v>Iron ore / steel inputs is linked to Landslide and mudflow warning systems because it is typically used in load-bearing structures, pressure vessels, piping or machinery; the assignment follows component function, not a sector-wide keyword.</x:v>
      </x:c>
      <x:c r="I617" s="2" t="str">
        <x:v>Presence and quantity in Landslide and mudflow warning systems depend on the selected design, chemistry, capacity, supplier and recycled content. This analytical link is not a verified bill of materials or supplier traceability statement.</x:v>
      </x:c>
      <x:c r="J617" s="2" t="str">
        <x:v>https://pubs.usgs.gov/periodicals/mcs2026/mcs2026.pdf</x:v>
      </x:c>
    </x:row>
    <x:row r="618" ht="66" customHeight="1">
      <x:c r="A618" s="2" t="str">
        <x:v>ADP-0011</x:v>
      </x:c>
      <x:c r="B618" s="2" t="str">
        <x:v>Adaptation</x:v>
      </x:c>
      <x:c r="C618" s="2" t="str">
        <x:v>Early Warning and Environmental Assesment</x:v>
      </x:c>
      <x:c r="D618" s="2" t="str">
        <x:v>Monitoring systems</x:v>
      </x:c>
      <x:c r="E618" s="2" t="str">
        <x:v>Monitoring of invasive species</x:v>
      </x:c>
      <x:c r="F618" s="2" t="str">
        <x:v>Iron ore / steel inputs</x:v>
      </x:c>
      <x:c r="G618" s="2" t="str">
        <x:v>Bulk and strategic mineral input</x:v>
      </x:c>
      <x:c r="H618" s="2" t="str">
        <x:v>Iron ore / steel inputs is linked to Monitoring of invasive species because it is typically used in load-bearing structures, pressure vessels, piping or machinery; the assignment follows component function, not a sector-wide keyword.</x:v>
      </x:c>
      <x:c r="I618" s="2" t="str">
        <x:v>Presence and quantity in Monitoring of invasive species depend on the selected design, chemistry, capacity, supplier and recycled content. This analytical link is not a verified bill of materials or supplier traceability statement.</x:v>
      </x:c>
      <x:c r="J618" s="2" t="str">
        <x:v>https://pubs.usgs.gov/periodicals/mcs2026/mcs2026.pdf</x:v>
      </x:c>
    </x:row>
    <x:row r="619" ht="66" customHeight="1">
      <x:c r="A619" s="2" t="str">
        <x:v>ADP-0011</x:v>
      </x:c>
      <x:c r="B619" s="2" t="str">
        <x:v>Adaptation</x:v>
      </x:c>
      <x:c r="C619" s="2" t="str">
        <x:v>Early Warning and Environmental Assesment</x:v>
      </x:c>
      <x:c r="D619" s="2" t="str">
        <x:v>Monitoring systems</x:v>
      </x:c>
      <x:c r="E619" s="2" t="str">
        <x:v>Monitoring of invasive species</x:v>
      </x:c>
      <x:c r="F619" s="2" t="str">
        <x:v>Copper</x:v>
      </x:c>
      <x:c r="G619" s="2" t="str">
        <x:v>Critical or strategic metal</x:v>
      </x:c>
      <x:c r="H619" s="2" t="str">
        <x:v>Copper is linked to Monitoring of invasive species because it is typically used in power cables, windings, busbars, grounding and electrical connectors; the assignment follows component function, not a sector-wide keyword.</x:v>
      </x:c>
      <x:c r="I619" s="2" t="str">
        <x:v>Presence and quantity in Monitoring of invasive species depend on the selected design, chemistry, capacity, supplier and recycled content. This analytical link is not a verified bill of materials or supplier traceability statement.</x:v>
      </x:c>
      <x:c r="J619" s="2" t="str">
        <x:v>https://pubs.usgs.gov/periodicals/mcs2026/mcs2026.pdf</x:v>
      </x:c>
    </x:row>
    <x:row r="620" ht="66" customHeight="1">
      <x:c r="A620" s="2" t="str">
        <x:v>ADP-0011</x:v>
      </x:c>
      <x:c r="B620" s="2" t="str">
        <x:v>Adaptation</x:v>
      </x:c>
      <x:c r="C620" s="2" t="str">
        <x:v>Early Warning and Environmental Assesment</x:v>
      </x:c>
      <x:c r="D620" s="2" t="str">
        <x:v>Monitoring systems</x:v>
      </x:c>
      <x:c r="E620" s="2" t="str">
        <x:v>Monitoring of invasive species</x:v>
      </x:c>
      <x:c r="F620" s="2" t="str">
        <x:v>Tin</x:v>
      </x:c>
      <x:c r="G620" s="2" t="str">
        <x:v>Electronics strategic metal</x:v>
      </x:c>
      <x:c r="H620" s="2" t="str">
        <x:v>Tin is linked to Monitoring of invasive species because it is typically used in electronic solder and selected coatings; the assignment follows component function, not a sector-wide keyword.</x:v>
      </x:c>
      <x:c r="I620" s="2" t="str">
        <x:v>Presence and quantity in Monitoring of invasive species depend on the selected design, chemistry, capacity, supplier and recycled content. This analytical link is not a verified bill of materials or supplier traceability statement.</x:v>
      </x:c>
      <x:c r="J620" s="2" t="str">
        <x:v>https://pubs.usgs.gov/periodicals/mcs2026/mcs2026.pdf</x:v>
      </x:c>
    </x:row>
    <x:row r="621" ht="66" customHeight="1">
      <x:c r="A621" s="2" t="str">
        <x:v>ADP-0012</x:v>
      </x:c>
      <x:c r="B621" s="2" t="str">
        <x:v>Adaptation</x:v>
      </x:c>
      <x:c r="C621" s="2" t="str">
        <x:v>Early Warning and Environmental Assesment</x:v>
      </x:c>
      <x:c r="D621" s="2" t="str">
        <x:v>Monitoring systems</x:v>
      </x:c>
      <x:c r="E621" s="2" t="str">
        <x:v>Climate change monitoring</x:v>
      </x:c>
      <x:c r="F621" s="2" t="str">
        <x:v>Iron ore / steel inputs</x:v>
      </x:c>
      <x:c r="G621" s="2" t="str">
        <x:v>Bulk and strategic mineral input</x:v>
      </x:c>
      <x:c r="H621" s="2" t="str">
        <x:v>Iron ore / steel inputs is linked to Climate change monitoring because it is typically used in load-bearing structures, pressure vessels, piping or machinery; the assignment follows component function, not a sector-wide keyword.</x:v>
      </x:c>
      <x:c r="I621" s="2" t="str">
        <x:v>Presence and quantity in Climate change monitoring depend on the selected design, chemistry, capacity, supplier and recycled content. This analytical link is not a verified bill of materials or supplier traceability statement.</x:v>
      </x:c>
      <x:c r="J621" s="2" t="str">
        <x:v>https://pubs.usgs.gov/periodicals/mcs2026/mcs2026.pdf</x:v>
      </x:c>
    </x:row>
    <x:row r="622" ht="66" customHeight="1">
      <x:c r="A622" s="2" t="str">
        <x:v>ADP-0012</x:v>
      </x:c>
      <x:c r="B622" s="2" t="str">
        <x:v>Adaptation</x:v>
      </x:c>
      <x:c r="C622" s="2" t="str">
        <x:v>Early Warning and Environmental Assesment</x:v>
      </x:c>
      <x:c r="D622" s="2" t="str">
        <x:v>Monitoring systems</x:v>
      </x:c>
      <x:c r="E622" s="2" t="str">
        <x:v>Climate change monitoring</x:v>
      </x:c>
      <x:c r="F622" s="2" t="str">
        <x:v>Copper</x:v>
      </x:c>
      <x:c r="G622" s="2" t="str">
        <x:v>Critical or strategic metal</x:v>
      </x:c>
      <x:c r="H622" s="2" t="str">
        <x:v>Copper is linked to Climate change monitoring because it is typically used in power cables, windings, busbars, grounding and electrical connectors; the assignment follows component function, not a sector-wide keyword.</x:v>
      </x:c>
      <x:c r="I622" s="2" t="str">
        <x:v>Presence and quantity in Climate change monitoring depend on the selected design, chemistry, capacity, supplier and recycled content. This analytical link is not a verified bill of materials or supplier traceability statement.</x:v>
      </x:c>
      <x:c r="J622" s="2" t="str">
        <x:v>https://pubs.usgs.gov/periodicals/mcs2026/mcs2026.pdf</x:v>
      </x:c>
    </x:row>
    <x:row r="623" ht="66" customHeight="1">
      <x:c r="A623" s="2" t="str">
        <x:v>ADP-0012</x:v>
      </x:c>
      <x:c r="B623" s="2" t="str">
        <x:v>Adaptation</x:v>
      </x:c>
      <x:c r="C623" s="2" t="str">
        <x:v>Early Warning and Environmental Assesment</x:v>
      </x:c>
      <x:c r="D623" s="2" t="str">
        <x:v>Monitoring systems</x:v>
      </x:c>
      <x:c r="E623" s="2" t="str">
        <x:v>Climate change monitoring</x:v>
      </x:c>
      <x:c r="F623" s="2" t="str">
        <x:v>Tin</x:v>
      </x:c>
      <x:c r="G623" s="2" t="str">
        <x:v>Electronics strategic metal</x:v>
      </x:c>
      <x:c r="H623" s="2" t="str">
        <x:v>Tin is linked to Climate change monitoring because it is typically used in electronic solder and selected coatings; the assignment follows component function, not a sector-wide keyword.</x:v>
      </x:c>
      <x:c r="I623" s="2" t="str">
        <x:v>Presence and quantity in Climate change monitoring depend on the selected design, chemistry, capacity, supplier and recycled content. This analytical link is not a verified bill of materials or supplier traceability statement.</x:v>
      </x:c>
      <x:c r="J623" s="2" t="str">
        <x:v>https://pubs.usgs.gov/periodicals/mcs2026/mcs2026.pdf</x:v>
      </x:c>
    </x:row>
    <x:row r="624" ht="66" customHeight="1">
      <x:c r="A624" s="2" t="str">
        <x:v>ADP-0013</x:v>
      </x:c>
      <x:c r="B624" s="2" t="str">
        <x:v>Adaptation</x:v>
      </x:c>
      <x:c r="C624" s="2" t="str">
        <x:v>Early Warning and Environmental Assesment</x:v>
      </x:c>
      <x:c r="D624" s="2" t="str">
        <x:v>Monitoring systems</x:v>
      </x:c>
      <x:c r="E624" s="2" t="str">
        <x:v>Light detection and ranging</x:v>
      </x:c>
      <x:c r="F624" s="2" t="str">
        <x:v>Iron ore / steel inputs</x:v>
      </x:c>
      <x:c r="G624" s="2" t="str">
        <x:v>Bulk and strategic mineral input</x:v>
      </x:c>
      <x:c r="H624" s="2" t="str">
        <x:v>Iron ore / steel inputs is linked to Light detection and ranging because it is typically used in load-bearing structures, pressure vessels, piping or machinery; the assignment follows component function, not a sector-wide keyword.</x:v>
      </x:c>
      <x:c r="I624" s="2" t="str">
        <x:v>Presence and quantity in Light detection and ranging depend on the selected design, chemistry, capacity, supplier and recycled content. This analytical link is not a verified bill of materials or supplier traceability statement.</x:v>
      </x:c>
      <x:c r="J624" s="2" t="str">
        <x:v>https://pubs.usgs.gov/periodicals/mcs2026/mcs2026.pdf</x:v>
      </x:c>
    </x:row>
    <x:row r="625" ht="66" customHeight="1">
      <x:c r="A625" s="2" t="str">
        <x:v>ADP-0013</x:v>
      </x:c>
      <x:c r="B625" s="2" t="str">
        <x:v>Adaptation</x:v>
      </x:c>
      <x:c r="C625" s="2" t="str">
        <x:v>Early Warning and Environmental Assesment</x:v>
      </x:c>
      <x:c r="D625" s="2" t="str">
        <x:v>Monitoring systems</x:v>
      </x:c>
      <x:c r="E625" s="2" t="str">
        <x:v>Light detection and ranging</x:v>
      </x:c>
      <x:c r="F625" s="2" t="str">
        <x:v>Copper</x:v>
      </x:c>
      <x:c r="G625" s="2" t="str">
        <x:v>Critical or strategic metal</x:v>
      </x:c>
      <x:c r="H625" s="2" t="str">
        <x:v>Copper is linked to Light detection and ranging because it is typically used in power cables, windings, busbars, grounding and electrical connectors; the assignment follows component function, not a sector-wide keyword.</x:v>
      </x:c>
      <x:c r="I625" s="2" t="str">
        <x:v>Presence and quantity in Light detection and ranging depend on the selected design, chemistry, capacity, supplier and recycled content. This analytical link is not a verified bill of materials or supplier traceability statement.</x:v>
      </x:c>
      <x:c r="J625" s="2" t="str">
        <x:v>https://pubs.usgs.gov/periodicals/mcs2026/mcs2026.pdf</x:v>
      </x:c>
    </x:row>
    <x:row r="626" ht="66" customHeight="1">
      <x:c r="A626" s="2" t="str">
        <x:v>ADP-0013</x:v>
      </x:c>
      <x:c r="B626" s="2" t="str">
        <x:v>Adaptation</x:v>
      </x:c>
      <x:c r="C626" s="2" t="str">
        <x:v>Early Warning and Environmental Assesment</x:v>
      </x:c>
      <x:c r="D626" s="2" t="str">
        <x:v>Monitoring systems</x:v>
      </x:c>
      <x:c r="E626" s="2" t="str">
        <x:v>Light detection and ranging</x:v>
      </x:c>
      <x:c r="F626" s="2" t="str">
        <x:v>Tin</x:v>
      </x:c>
      <x:c r="G626" s="2" t="str">
        <x:v>Electronics strategic metal</x:v>
      </x:c>
      <x:c r="H626" s="2" t="str">
        <x:v>Tin is linked to Light detection and ranging because it is typically used in electronic solder and selected coatings; the assignment follows component function, not a sector-wide keyword.</x:v>
      </x:c>
      <x:c r="I626" s="2" t="str">
        <x:v>Presence and quantity in Light detection and ranging depend on the selected design, chemistry, capacity, supplier and recycled content. This analytical link is not a verified bill of materials or supplier traceability statement.</x:v>
      </x:c>
      <x:c r="J626" s="2" t="str">
        <x:v>https://pubs.usgs.gov/periodicals/mcs2026/mcs2026.pdf</x:v>
      </x:c>
    </x:row>
    <x:row r="627" ht="66" customHeight="1">
      <x:c r="A627" s="2" t="str">
        <x:v>ADP-0014</x:v>
      </x:c>
      <x:c r="B627" s="2" t="str">
        <x:v>Adaptation</x:v>
      </x:c>
      <x:c r="C627" s="2" t="str">
        <x:v>Early Warning and Environmental Assesment</x:v>
      </x:c>
      <x:c r="D627" s="2" t="str">
        <x:v>Monitoring systems</x:v>
      </x:c>
      <x:c r="E627" s="2" t="str">
        <x:v>Water resource assessment</x:v>
      </x:c>
      <x:c r="F627" s="2" t="str">
        <x:v>Iron ore / steel inputs</x:v>
      </x:c>
      <x:c r="G627" s="2" t="str">
        <x:v>Bulk and strategic mineral input</x:v>
      </x:c>
      <x:c r="H627" s="2" t="str">
        <x:v>Iron ore / steel inputs is linked to Water resource assessment because it is typically used in load-bearing structures, pressure vessels, piping or machinery; the assignment follows component function, not a sector-wide keyword.</x:v>
      </x:c>
      <x:c r="I627" s="2" t="str">
        <x:v>Presence and quantity in Water resource assessment depend on the selected design, chemistry, capacity, supplier and recycled content. This analytical link is not a verified bill of materials or supplier traceability statement.</x:v>
      </x:c>
      <x:c r="J627" s="2" t="str">
        <x:v>https://pubs.usgs.gov/periodicals/mcs2026/mcs2026.pdf</x:v>
      </x:c>
    </x:row>
    <x:row r="628" ht="66" customHeight="1">
      <x:c r="A628" s="2" t="str">
        <x:v>ADP-0014</x:v>
      </x:c>
      <x:c r="B628" s="2" t="str">
        <x:v>Adaptation</x:v>
      </x:c>
      <x:c r="C628" s="2" t="str">
        <x:v>Early Warning and Environmental Assesment</x:v>
      </x:c>
      <x:c r="D628" s="2" t="str">
        <x:v>Monitoring systems</x:v>
      </x:c>
      <x:c r="E628" s="2" t="str">
        <x:v>Water resource assessment</x:v>
      </x:c>
      <x:c r="F628" s="2" t="str">
        <x:v>Copper</x:v>
      </x:c>
      <x:c r="G628" s="2" t="str">
        <x:v>Critical or strategic metal</x:v>
      </x:c>
      <x:c r="H628" s="2" t="str">
        <x:v>Copper is linked to Water resource assessment because it is typically used in power cables, windings, busbars, grounding and electrical connectors; the assignment follows component function, not a sector-wide keyword.</x:v>
      </x:c>
      <x:c r="I628" s="2" t="str">
        <x:v>Presence and quantity in Water resource assessment depend on the selected design, chemistry, capacity, supplier and recycled content. This analytical link is not a verified bill of materials or supplier traceability statement.</x:v>
      </x:c>
      <x:c r="J628" s="2" t="str">
        <x:v>https://pubs.usgs.gov/periodicals/mcs2026/mcs2026.pdf</x:v>
      </x:c>
    </x:row>
    <x:row r="629" ht="66" customHeight="1">
      <x:c r="A629" s="2" t="str">
        <x:v>ADP-0014</x:v>
      </x:c>
      <x:c r="B629" s="2" t="str">
        <x:v>Adaptation</x:v>
      </x:c>
      <x:c r="C629" s="2" t="str">
        <x:v>Early Warning and Environmental Assesment</x:v>
      </x:c>
      <x:c r="D629" s="2" t="str">
        <x:v>Monitoring systems</x:v>
      </x:c>
      <x:c r="E629" s="2" t="str">
        <x:v>Water resource assessment</x:v>
      </x:c>
      <x:c r="F629" s="2" t="str">
        <x:v>Tin</x:v>
      </x:c>
      <x:c r="G629" s="2" t="str">
        <x:v>Electronics strategic metal</x:v>
      </x:c>
      <x:c r="H629" s="2" t="str">
        <x:v>Tin is linked to Water resource assessment because it is typically used in electronic solder and selected coatings; the assignment follows component function, not a sector-wide keyword.</x:v>
      </x:c>
      <x:c r="I629" s="2" t="str">
        <x:v>Presence and quantity in Water resource assessment depend on the selected design, chemistry, capacity, supplier and recycled content. This analytical link is not a verified bill of materials or supplier traceability statement.</x:v>
      </x:c>
      <x:c r="J629" s="2" t="str">
        <x:v>https://pubs.usgs.gov/periodicals/mcs2026/mcs2026.pdf</x:v>
      </x:c>
    </x:row>
    <x:row r="630" ht="66" customHeight="1">
      <x:c r="A630" s="2" t="str">
        <x:v>ADP-0015</x:v>
      </x:c>
      <x:c r="B630" s="2" t="str">
        <x:v>Adaptation</x:v>
      </x:c>
      <x:c r="C630" s="2" t="str">
        <x:v>Early Warning and Environmental Assesment</x:v>
      </x:c>
      <x:c r="D630" s="2" t="str">
        <x:v>Monitoring systems</x:v>
      </x:c>
      <x:c r="E630" s="2" t="str">
        <x:v>Ecosystem monitoring</x:v>
      </x:c>
      <x:c r="F630" s="2" t="str">
        <x:v>Iron ore / steel inputs</x:v>
      </x:c>
      <x:c r="G630" s="2" t="str">
        <x:v>Bulk and strategic mineral input</x:v>
      </x:c>
      <x:c r="H630" s="2" t="str">
        <x:v>Iron ore / steel inputs is linked to Ecosystem monitoring because it is typically used in load-bearing structures, pressure vessels, piping or machinery; the assignment follows component function, not a sector-wide keyword.</x:v>
      </x:c>
      <x:c r="I630" s="2" t="str">
        <x:v>Presence and quantity in Ecosystem monitoring depend on the selected design, chemistry, capacity, supplier and recycled content. This analytical link is not a verified bill of materials or supplier traceability statement.</x:v>
      </x:c>
      <x:c r="J630" s="2" t="str">
        <x:v>https://pubs.usgs.gov/periodicals/mcs2026/mcs2026.pdf</x:v>
      </x:c>
    </x:row>
    <x:row r="631" ht="66" customHeight="1">
      <x:c r="A631" s="2" t="str">
        <x:v>ADP-0015</x:v>
      </x:c>
      <x:c r="B631" s="2" t="str">
        <x:v>Adaptation</x:v>
      </x:c>
      <x:c r="C631" s="2" t="str">
        <x:v>Early Warning and Environmental Assesment</x:v>
      </x:c>
      <x:c r="D631" s="2" t="str">
        <x:v>Monitoring systems</x:v>
      </x:c>
      <x:c r="E631" s="2" t="str">
        <x:v>Ecosystem monitoring</x:v>
      </x:c>
      <x:c r="F631" s="2" t="str">
        <x:v>Copper</x:v>
      </x:c>
      <x:c r="G631" s="2" t="str">
        <x:v>Critical or strategic metal</x:v>
      </x:c>
      <x:c r="H631" s="2" t="str">
        <x:v>Copper is linked to Ecosystem monitoring because it is typically used in power cables, windings, busbars, grounding and electrical connectors; the assignment follows component function, not a sector-wide keyword.</x:v>
      </x:c>
      <x:c r="I631" s="2" t="str">
        <x:v>Presence and quantity in Ecosystem monitoring depend on the selected design, chemistry, capacity, supplier and recycled content. This analytical link is not a verified bill of materials or supplier traceability statement.</x:v>
      </x:c>
      <x:c r="J631" s="2" t="str">
        <x:v>https://pubs.usgs.gov/periodicals/mcs2026/mcs2026.pdf</x:v>
      </x:c>
    </x:row>
    <x:row r="632" ht="66" customHeight="1">
      <x:c r="A632" s="2" t="str">
        <x:v>ADP-0015</x:v>
      </x:c>
      <x:c r="B632" s="2" t="str">
        <x:v>Adaptation</x:v>
      </x:c>
      <x:c r="C632" s="2" t="str">
        <x:v>Early Warning and Environmental Assesment</x:v>
      </x:c>
      <x:c r="D632" s="2" t="str">
        <x:v>Monitoring systems</x:v>
      </x:c>
      <x:c r="E632" s="2" t="str">
        <x:v>Ecosystem monitoring</x:v>
      </x:c>
      <x:c r="F632" s="2" t="str">
        <x:v>Tin</x:v>
      </x:c>
      <x:c r="G632" s="2" t="str">
        <x:v>Electronics strategic metal</x:v>
      </x:c>
      <x:c r="H632" s="2" t="str">
        <x:v>Tin is linked to Ecosystem monitoring because it is typically used in electronic solder and selected coatings; the assignment follows component function, not a sector-wide keyword.</x:v>
      </x:c>
      <x:c r="I632" s="2" t="str">
        <x:v>Presence and quantity in Ecosystem monitoring depend on the selected design, chemistry, capacity, supplier and recycled content. This analytical link is not a verified bill of materials or supplier traceability statement.</x:v>
      </x:c>
      <x:c r="J632" s="2" t="str">
        <x:v>https://pubs.usgs.gov/periodicals/mcs2026/mcs2026.pdf</x:v>
      </x:c>
    </x:row>
    <x:row r="633" ht="66" customHeight="1">
      <x:c r="A633" s="2" t="str">
        <x:v>ADP-0016</x:v>
      </x:c>
      <x:c r="B633" s="2" t="str">
        <x:v>Adaptation</x:v>
      </x:c>
      <x:c r="C633" s="2" t="str">
        <x:v>Early Warning and Environmental Assesment</x:v>
      </x:c>
      <x:c r="D633" s="2" t="str">
        <x:v>Improved weather forecasting &amp; hydrometeorological networks</x:v>
      </x:c>
      <x:c r="E633" s="2" t="str">
        <x:v>Improved weather forecasting &amp; hydrometeorological networks</x:v>
      </x:c>
      <x:c r="F633" s="2" t="str">
        <x:v>Iron ore / steel inputs</x:v>
      </x:c>
      <x:c r="G633" s="2" t="str">
        <x:v>Bulk and strategic mineral input</x:v>
      </x:c>
      <x:c r="H633" s="2" t="str">
        <x:v>Iron ore / steel inputs is linked to Improved weather forecasting &amp; hydrometeorological networks because it is typically used in load-bearing structures, pressure vessels, piping or machinery; the assignment follows component function, not a sector-wide keyword.</x:v>
      </x:c>
      <x:c r="I633" s="2" t="str">
        <x:v>Presence and quantity in Improved weather forecasting &amp; hydrometeorological networks depend on the selected design, chemistry, capacity, supplier and recycled content. This analytical link is not a verified bill of materials or supplier traceability statement.</x:v>
      </x:c>
      <x:c r="J633" s="2" t="str">
        <x:v>https://pubs.usgs.gov/periodicals/mcs2026/mcs2026.pdf</x:v>
      </x:c>
    </x:row>
    <x:row r="634" ht="66" customHeight="1">
      <x:c r="A634" s="2" t="str">
        <x:v>ADP-0016</x:v>
      </x:c>
      <x:c r="B634" s="2" t="str">
        <x:v>Adaptation</x:v>
      </x:c>
      <x:c r="C634" s="2" t="str">
        <x:v>Early Warning and Environmental Assesment</x:v>
      </x:c>
      <x:c r="D634" s="2" t="str">
        <x:v>Improved weather forecasting &amp; hydrometeorological networks</x:v>
      </x:c>
      <x:c r="E634" s="2" t="str">
        <x:v>Improved weather forecasting &amp; hydrometeorological networks</x:v>
      </x:c>
      <x:c r="F634" s="2" t="str">
        <x:v>Copper</x:v>
      </x:c>
      <x:c r="G634" s="2" t="str">
        <x:v>Critical or strategic metal</x:v>
      </x:c>
      <x:c r="H634" s="2" t="str">
        <x:v>Copper is linked to Improved weather forecasting &amp; hydrometeorological networks because it is typically used in power cables, windings, busbars, grounding and electrical connectors; the assignment follows component function, not a sector-wide keyword.</x:v>
      </x:c>
      <x:c r="I634" s="2" t="str">
        <x:v>Presence and quantity in Improved weather forecasting &amp; hydrometeorological networks depend on the selected design, chemistry, capacity, supplier and recycled content. This analytical link is not a verified bill of materials or supplier traceability statement.</x:v>
      </x:c>
      <x:c r="J634" s="2" t="str">
        <x:v>https://pubs.usgs.gov/periodicals/mcs2026/mcs2026.pdf</x:v>
      </x:c>
    </x:row>
    <x:row r="635" ht="66" customHeight="1">
      <x:c r="A635" s="2" t="str">
        <x:v>ADP-0016</x:v>
      </x:c>
      <x:c r="B635" s="2" t="str">
        <x:v>Adaptation</x:v>
      </x:c>
      <x:c r="C635" s="2" t="str">
        <x:v>Early Warning and Environmental Assesment</x:v>
      </x:c>
      <x:c r="D635" s="2" t="str">
        <x:v>Improved weather forecasting &amp; hydrometeorological networks</x:v>
      </x:c>
      <x:c r="E635" s="2" t="str">
        <x:v>Improved weather forecasting &amp; hydrometeorological networks</x:v>
      </x:c>
      <x:c r="F635" s="2" t="str">
        <x:v>Tin</x:v>
      </x:c>
      <x:c r="G635" s="2" t="str">
        <x:v>Electronics strategic metal</x:v>
      </x:c>
      <x:c r="H635" s="2" t="str">
        <x:v>Tin is linked to Improved weather forecasting &amp; hydrometeorological networks because it is typically used in electronic solder and selected coatings; the assignment follows component function, not a sector-wide keyword.</x:v>
      </x:c>
      <x:c r="I635" s="2" t="str">
        <x:v>Presence and quantity in Improved weather forecasting &amp; hydrometeorological networks depend on the selected design, chemistry, capacity, supplier and recycled content. This analytical link is not a verified bill of materials or supplier traceability statement.</x:v>
      </x:c>
      <x:c r="J635" s="2" t="str">
        <x:v>https://pubs.usgs.gov/periodicals/mcs2026/mcs2026.pdf</x:v>
      </x:c>
    </x:row>
    <x:row r="636" ht="66" customHeight="1">
      <x:c r="A636" s="2" t="str">
        <x:v>ADP-0021</x:v>
      </x:c>
      <x:c r="B636" s="2" t="str">
        <x:v>Adaptation</x:v>
      </x:c>
      <x:c r="C636" s="2" t="str">
        <x:v>Agriculture and Forestry</x:v>
      </x:c>
      <x:c r="D636" s="2" t="str">
        <x:v>Terrestrial ecosystems management</x:v>
      </x:c>
      <x:c r="E636" s="2" t="str">
        <x:v>Control of sand encroachment</x:v>
      </x:c>
      <x:c r="F636" s="2" t="str">
        <x:v>Copper</x:v>
      </x:c>
      <x:c r="G636" s="2" t="str">
        <x:v>Critical or strategic metal</x:v>
      </x:c>
      <x:c r="H636" s="2" t="str">
        <x:v>Copper is linked to Control of sand encroachment because it is typically used in power cables, windings, busbars, grounding and electrical connectors; the assignment follows component function, not a sector-wide keyword.</x:v>
      </x:c>
      <x:c r="I636" s="2" t="str">
        <x:v>Presence and quantity in Control of sand encroachment depend on the selected design, chemistry, capacity, supplier and recycled content. This analytical link is not a verified bill of materials or supplier traceability statement.</x:v>
      </x:c>
      <x:c r="J636" s="2" t="str">
        <x:v>https://pubs.usgs.gov/periodicals/mcs2026/mcs2026.pdf</x:v>
      </x:c>
    </x:row>
    <x:row r="637" ht="66" customHeight="1">
      <x:c r="A637" s="2" t="str">
        <x:v>ADP-0021</x:v>
      </x:c>
      <x:c r="B637" s="2" t="str">
        <x:v>Adaptation</x:v>
      </x:c>
      <x:c r="C637" s="2" t="str">
        <x:v>Agriculture and Forestry</x:v>
      </x:c>
      <x:c r="D637" s="2" t="str">
        <x:v>Terrestrial ecosystems management</x:v>
      </x:c>
      <x:c r="E637" s="2" t="str">
        <x:v>Control of sand encroachment</x:v>
      </x:c>
      <x:c r="F637" s="2" t="str">
        <x:v>Tin</x:v>
      </x:c>
      <x:c r="G637" s="2" t="str">
        <x:v>Electronics strategic metal</x:v>
      </x:c>
      <x:c r="H637" s="2" t="str">
        <x:v>Tin is linked to Control of sand encroachment because it is typically used in electronic solder and selected coatings; the assignment follows component function, not a sector-wide keyword.</x:v>
      </x:c>
      <x:c r="I637" s="2" t="str">
        <x:v>Presence and quantity in Control of sand encroachment depend on the selected design, chemistry, capacity, supplier and recycled content. This analytical link is not a verified bill of materials or supplier traceability statement.</x:v>
      </x:c>
      <x:c r="J637" s="2" t="str">
        <x:v>https://pubs.usgs.gov/periodicals/mcs2026/mcs2026.pdf</x:v>
      </x:c>
    </x:row>
    <x:row r="638" ht="66" customHeight="1">
      <x:c r="A638" s="2" t="str">
        <x:v>ADP-0023</x:v>
      </x:c>
      <x:c r="B638" s="2" t="str">
        <x:v>Adaptation</x:v>
      </x:c>
      <x:c r="C638" s="2" t="str">
        <x:v>Agriculture and Forestry</x:v>
      </x:c>
      <x:c r="D638" s="2" t="str">
        <x:v>Terrestrial ecosystems management</x:v>
      </x:c>
      <x:c r="E638" s="2" t="str">
        <x:v>Forest fire control</x:v>
      </x:c>
      <x:c r="F638" s="2" t="str">
        <x:v>Copper</x:v>
      </x:c>
      <x:c r="G638" s="2" t="str">
        <x:v>Critical or strategic metal</x:v>
      </x:c>
      <x:c r="H638" s="2" t="str">
        <x:v>Copper is linked to Forest fire control because it is typically used in power cables, windings, busbars, grounding and electrical connectors; the assignment follows component function, not a sector-wide keyword.</x:v>
      </x:c>
      <x:c r="I638" s="2" t="str">
        <x:v>Presence and quantity in Forest fire control depend on the selected design, chemistry, capacity, supplier and recycled content. This analytical link is not a verified bill of materials or supplier traceability statement.</x:v>
      </x:c>
      <x:c r="J638" s="2" t="str">
        <x:v>https://pubs.usgs.gov/periodicals/mcs2026/mcs2026.pdf</x:v>
      </x:c>
    </x:row>
    <x:row r="639" ht="66" customHeight="1">
      <x:c r="A639" s="2" t="str">
        <x:v>ADP-0023</x:v>
      </x:c>
      <x:c r="B639" s="2" t="str">
        <x:v>Adaptation</x:v>
      </x:c>
      <x:c r="C639" s="2" t="str">
        <x:v>Agriculture and Forestry</x:v>
      </x:c>
      <x:c r="D639" s="2" t="str">
        <x:v>Terrestrial ecosystems management</x:v>
      </x:c>
      <x:c r="E639" s="2" t="str">
        <x:v>Forest fire control</x:v>
      </x:c>
      <x:c r="F639" s="2" t="str">
        <x:v>Tin</x:v>
      </x:c>
      <x:c r="G639" s="2" t="str">
        <x:v>Electronics strategic metal</x:v>
      </x:c>
      <x:c r="H639" s="2" t="str">
        <x:v>Tin is linked to Forest fire control because it is typically used in electronic solder and selected coatings; the assignment follows component function, not a sector-wide keyword.</x:v>
      </x:c>
      <x:c r="I639" s="2" t="str">
        <x:v>Presence and quantity in Forest fire control depend on the selected design, chemistry, capacity, supplier and recycled content. This analytical link is not a verified bill of materials or supplier traceability statement.</x:v>
      </x:c>
      <x:c r="J639" s="2" t="str">
        <x:v>https://pubs.usgs.gov/periodicals/mcs2026/mcs2026.pdf</x:v>
      </x:c>
    </x:row>
    <x:row r="640" ht="66" customHeight="1">
      <x:c r="A640" s="2" t="str">
        <x:v>ADP-0027</x:v>
      </x:c>
      <x:c r="B640" s="2" t="str">
        <x:v>Adaptation</x:v>
      </x:c>
      <x:c r="C640" s="2" t="str">
        <x:v>Agriculture and Forestry</x:v>
      </x:c>
      <x:c r="D640" s="2" t="str">
        <x:v>Seed, grain &amp; food storage</x:v>
      </x:c>
      <x:c r="E640" s="2" t="str">
        <x:v>Crop storage</x:v>
      </x:c>
      <x:c r="F640" s="2" t="str">
        <x:v>Phosphate rock</x:v>
      </x:c>
      <x:c r="G640" s="2" t="str">
        <x:v>Agricultural strategic mineral</x:v>
      </x:c>
      <x:c r="H640" s="2" t="str">
        <x:v>Phosphate rock is linked to Crop storage because it is typically used in phosphorus fertiliser used by the agricultural system; the assignment follows component function, not a sector-wide keyword.</x:v>
      </x:c>
      <x:c r="I640" s="2" t="str">
        <x:v>Presence and quantity in Crop storage depend on the selected design, chemistry, capacity, supplier and recycled content. This analytical link is not a verified bill of materials or supplier traceability statement.</x:v>
      </x:c>
      <x:c r="J640" s="2" t="str">
        <x:v>https://pubs.usgs.gov/periodicals/mcs2026/mcs2026.pdf</x:v>
      </x:c>
    </x:row>
    <x:row r="641" ht="66" customHeight="1">
      <x:c r="A641" s="2" t="str">
        <x:v>ADP-0027</x:v>
      </x:c>
      <x:c r="B641" s="2" t="str">
        <x:v>Adaptation</x:v>
      </x:c>
      <x:c r="C641" s="2" t="str">
        <x:v>Agriculture and Forestry</x:v>
      </x:c>
      <x:c r="D641" s="2" t="str">
        <x:v>Seed, grain &amp; food storage</x:v>
      </x:c>
      <x:c r="E641" s="2" t="str">
        <x:v>Crop storage</x:v>
      </x:c>
      <x:c r="F641" s="2" t="str">
        <x:v>Potash</x:v>
      </x:c>
      <x:c r="G641" s="2" t="str">
        <x:v>Agricultural strategic mineral</x:v>
      </x:c>
      <x:c r="H641" s="2" t="str">
        <x:v>Potash is linked to Crop storage because it is typically used in potassium fertiliser used by the agricultural system; the assignment follows component function, not a sector-wide keyword.</x:v>
      </x:c>
      <x:c r="I641" s="2" t="str">
        <x:v>Presence and quantity in Crop storage depend on the selected design, chemistry, capacity, supplier and recycled content. This analytical link is not a verified bill of materials or supplier traceability statement.</x:v>
      </x:c>
      <x:c r="J641" s="2" t="str">
        <x:v>https://pubs.usgs.gov/periodicals/mcs2026/mcs2026.pdf</x:v>
      </x:c>
    </x:row>
    <x:row r="642" ht="66" customHeight="1">
      <x:c r="A642" s="2" t="str">
        <x:v>ADP-0030</x:v>
      </x:c>
      <x:c r="B642" s="2" t="str">
        <x:v>Adaptation</x:v>
      </x:c>
      <x:c r="C642" s="2" t="str">
        <x:v>Agriculture and Forestry</x:v>
      </x:c>
      <x:c r="D642" s="2" t="str">
        <x:v>Increasing crop resilience and productivity</x:v>
      </x:c>
      <x:c r="E642" s="2" t="str">
        <x:v>Sustainable fertilizers</x:v>
      </x:c>
      <x:c r="F642" s="2" t="str">
        <x:v>Phosphate rock</x:v>
      </x:c>
      <x:c r="G642" s="2" t="str">
        <x:v>Agricultural strategic mineral</x:v>
      </x:c>
      <x:c r="H642" s="2" t="str">
        <x:v>Phosphate rock is linked to Sustainable fertilizers because it is typically used in phosphorus fertiliser used by the agricultural system; the assignment follows component function, not a sector-wide keyword.</x:v>
      </x:c>
      <x:c r="I642" s="2" t="str">
        <x:v>Presence and quantity in Sustainable fertilizers depend on the selected design, chemistry, capacity, supplier and recycled content. This analytical link is not a verified bill of materials or supplier traceability statement.</x:v>
      </x:c>
      <x:c r="J642" s="2" t="str">
        <x:v>https://pubs.usgs.gov/periodicals/mcs2026/mcs2026.pdf</x:v>
      </x:c>
    </x:row>
    <x:row r="643" ht="66" customHeight="1">
      <x:c r="A643" s="2" t="str">
        <x:v>ADP-0030</x:v>
      </x:c>
      <x:c r="B643" s="2" t="str">
        <x:v>Adaptation</x:v>
      </x:c>
      <x:c r="C643" s="2" t="str">
        <x:v>Agriculture and Forestry</x:v>
      </x:c>
      <x:c r="D643" s="2" t="str">
        <x:v>Increasing crop resilience and productivity</x:v>
      </x:c>
      <x:c r="E643" s="2" t="str">
        <x:v>Sustainable fertilizers</x:v>
      </x:c>
      <x:c r="F643" s="2" t="str">
        <x:v>Potash</x:v>
      </x:c>
      <x:c r="G643" s="2" t="str">
        <x:v>Agricultural strategic mineral</x:v>
      </x:c>
      <x:c r="H643" s="2" t="str">
        <x:v>Potash is linked to Sustainable fertilizers because it is typically used in potassium fertiliser used by the agricultural system; the assignment follows component function, not a sector-wide keyword.</x:v>
      </x:c>
      <x:c r="I643" s="2" t="str">
        <x:v>Presence and quantity in Sustainable fertilizers depend on the selected design, chemistry, capacity, supplier and recycled content. This analytical link is not a verified bill of materials or supplier traceability statement.</x:v>
      </x:c>
      <x:c r="J643" s="2" t="str">
        <x:v>https://pubs.usgs.gov/periodicals/mcs2026/mcs2026.pdf</x:v>
      </x:c>
    </x:row>
    <x:row r="644" ht="66" customHeight="1">
      <x:c r="A644" s="2" t="str">
        <x:v>ADP-0031</x:v>
      </x:c>
      <x:c r="B644" s="2" t="str">
        <x:v>Adaptation</x:v>
      </x:c>
      <x:c r="C644" s="2" t="str">
        <x:v>Agriculture and Forestry</x:v>
      </x:c>
      <x:c r="D644" s="2" t="str">
        <x:v>Increasing crop resilience and productivity</x:v>
      </x:c>
      <x:c r="E644" s="2" t="str">
        <x:v>Terracing</x:v>
      </x:c>
      <x:c r="F644" s="2" t="str">
        <x:v>Phosphate rock</x:v>
      </x:c>
      <x:c r="G644" s="2" t="str">
        <x:v>Agricultural strategic mineral</x:v>
      </x:c>
      <x:c r="H644" s="2" t="str">
        <x:v>Phosphate rock is linked to Terracing because it is typically used in phosphorus fertiliser used by the agricultural system; the assignment follows component function, not a sector-wide keyword.</x:v>
      </x:c>
      <x:c r="I644" s="2" t="str">
        <x:v>Presence and quantity in Terracing depend on the selected design, chemistry, capacity, supplier and recycled content. This analytical link is not a verified bill of materials or supplier traceability statement.</x:v>
      </x:c>
      <x:c r="J644" s="2" t="str">
        <x:v>https://pubs.usgs.gov/periodicals/mcs2026/mcs2026.pdf</x:v>
      </x:c>
    </x:row>
    <x:row r="645" ht="66" customHeight="1">
      <x:c r="A645" s="2" t="str">
        <x:v>ADP-0031</x:v>
      </x:c>
      <x:c r="B645" s="2" t="str">
        <x:v>Adaptation</x:v>
      </x:c>
      <x:c r="C645" s="2" t="str">
        <x:v>Agriculture and Forestry</x:v>
      </x:c>
      <x:c r="D645" s="2" t="str">
        <x:v>Increasing crop resilience and productivity</x:v>
      </x:c>
      <x:c r="E645" s="2" t="str">
        <x:v>Terracing</x:v>
      </x:c>
      <x:c r="F645" s="2" t="str">
        <x:v>Potash</x:v>
      </x:c>
      <x:c r="G645" s="2" t="str">
        <x:v>Agricultural strategic mineral</x:v>
      </x:c>
      <x:c r="H645" s="2" t="str">
        <x:v>Potash is linked to Terracing because it is typically used in potassium fertiliser used by the agricultural system; the assignment follows component function, not a sector-wide keyword.</x:v>
      </x:c>
      <x:c r="I645" s="2" t="str">
        <x:v>Presence and quantity in Terracing depend on the selected design, chemistry, capacity, supplier and recycled content. This analytical link is not a verified bill of materials or supplier traceability statement.</x:v>
      </x:c>
      <x:c r="J645" s="2" t="str">
        <x:v>https://pubs.usgs.gov/periodicals/mcs2026/mcs2026.pdf</x:v>
      </x:c>
    </x:row>
    <x:row r="646" ht="66" customHeight="1">
      <x:c r="A646" s="2" t="str">
        <x:v>ADP-0032</x:v>
      </x:c>
      <x:c r="B646" s="2" t="str">
        <x:v>Adaptation</x:v>
      </x:c>
      <x:c r="C646" s="2" t="str">
        <x:v>Agriculture and Forestry</x:v>
      </x:c>
      <x:c r="D646" s="2" t="str">
        <x:v>Increasing crop resilience and productivity</x:v>
      </x:c>
      <x:c r="E646" s="2" t="str">
        <x:v>Integrated nutrient management</x:v>
      </x:c>
      <x:c r="F646" s="2" t="str">
        <x:v>Phosphate rock</x:v>
      </x:c>
      <x:c r="G646" s="2" t="str">
        <x:v>Agricultural strategic mineral</x:v>
      </x:c>
      <x:c r="H646" s="2" t="str">
        <x:v>Phosphate rock is linked to Integrated nutrient management because it is typically used in phosphorus fertiliser used by the agricultural system; the assignment follows component function, not a sector-wide keyword.</x:v>
      </x:c>
      <x:c r="I646" s="2" t="str">
        <x:v>Presence and quantity in Integrated nutrient management depend on the selected design, chemistry, capacity, supplier and recycled content. This analytical link is not a verified bill of materials or supplier traceability statement.</x:v>
      </x:c>
      <x:c r="J646" s="2" t="str">
        <x:v>https://pubs.usgs.gov/periodicals/mcs2026/mcs2026.pdf</x:v>
      </x:c>
    </x:row>
    <x:row r="647" ht="66" customHeight="1">
      <x:c r="A647" s="2" t="str">
        <x:v>ADP-0032</x:v>
      </x:c>
      <x:c r="B647" s="2" t="str">
        <x:v>Adaptation</x:v>
      </x:c>
      <x:c r="C647" s="2" t="str">
        <x:v>Agriculture and Forestry</x:v>
      </x:c>
      <x:c r="D647" s="2" t="str">
        <x:v>Increasing crop resilience and productivity</x:v>
      </x:c>
      <x:c r="E647" s="2" t="str">
        <x:v>Integrated nutrient management</x:v>
      </x:c>
      <x:c r="F647" s="2" t="str">
        <x:v>Potash</x:v>
      </x:c>
      <x:c r="G647" s="2" t="str">
        <x:v>Agricultural strategic mineral</x:v>
      </x:c>
      <x:c r="H647" s="2" t="str">
        <x:v>Potash is linked to Integrated nutrient management because it is typically used in potassium fertiliser used by the agricultural system; the assignment follows component function, not a sector-wide keyword.</x:v>
      </x:c>
      <x:c r="I647" s="2" t="str">
        <x:v>Presence and quantity in Integrated nutrient management depend on the selected design, chemistry, capacity, supplier and recycled content. This analytical link is not a verified bill of materials or supplier traceability statement.</x:v>
      </x:c>
      <x:c r="J647" s="2" t="str">
        <x:v>https://pubs.usgs.gov/periodicals/mcs2026/mcs2026.pdf</x:v>
      </x:c>
    </x:row>
    <x:row r="648" ht="66" customHeight="1">
      <x:c r="A648" s="2" t="str">
        <x:v>ADP-0033</x:v>
      </x:c>
      <x:c r="B648" s="2" t="str">
        <x:v>Adaptation</x:v>
      </x:c>
      <x:c r="C648" s="2" t="str">
        <x:v>Agriculture and Forestry</x:v>
      </x:c>
      <x:c r="D648" s="2" t="str">
        <x:v>Increasing crop resilience and productivity</x:v>
      </x:c>
      <x:c r="E648" s="2" t="str">
        <x:v>Soil moisture monitoring</x:v>
      </x:c>
      <x:c r="F648" s="2" t="str">
        <x:v>Copper</x:v>
      </x:c>
      <x:c r="G648" s="2" t="str">
        <x:v>Critical or strategic metal</x:v>
      </x:c>
      <x:c r="H648" s="2" t="str">
        <x:v>Copper is linked to Soil moisture monitoring because it is typically used in power cables, windings, busbars, grounding and electrical connectors; the assignment follows component function, not a sector-wide keyword.</x:v>
      </x:c>
      <x:c r="I648" s="2" t="str">
        <x:v>Presence and quantity in Soil moisture monitoring depend on the selected design, chemistry, capacity, supplier and recycled content. This analytical link is not a verified bill of materials or supplier traceability statement.</x:v>
      </x:c>
      <x:c r="J648" s="2" t="str">
        <x:v>https://pubs.usgs.gov/periodicals/mcs2026/mcs2026.pdf</x:v>
      </x:c>
    </x:row>
    <x:row r="649" ht="66" customHeight="1">
      <x:c r="A649" s="2" t="str">
        <x:v>ADP-0033</x:v>
      </x:c>
      <x:c r="B649" s="2" t="str">
        <x:v>Adaptation</x:v>
      </x:c>
      <x:c r="C649" s="2" t="str">
        <x:v>Agriculture and Forestry</x:v>
      </x:c>
      <x:c r="D649" s="2" t="str">
        <x:v>Increasing crop resilience and productivity</x:v>
      </x:c>
      <x:c r="E649" s="2" t="str">
        <x:v>Soil moisture monitoring</x:v>
      </x:c>
      <x:c r="F649" s="2" t="str">
        <x:v>Tin</x:v>
      </x:c>
      <x:c r="G649" s="2" t="str">
        <x:v>Electronics strategic metal</x:v>
      </x:c>
      <x:c r="H649" s="2" t="str">
        <x:v>Tin is linked to Soil moisture monitoring because it is typically used in electronic solder and selected coatings; the assignment follows component function, not a sector-wide keyword.</x:v>
      </x:c>
      <x:c r="I649" s="2" t="str">
        <x:v>Presence and quantity in Soil moisture monitoring depend on the selected design, chemistry, capacity, supplier and recycled content. This analytical link is not a verified bill of materials or supplier traceability statement.</x:v>
      </x:c>
      <x:c r="J649" s="2" t="str">
        <x:v>https://pubs.usgs.gov/periodicals/mcs2026/mcs2026.pdf</x:v>
      </x:c>
    </x:row>
    <x:row r="650" ht="66" customHeight="1">
      <x:c r="A650" s="2" t="str">
        <x:v>ADP-0033</x:v>
      </x:c>
      <x:c r="B650" s="2" t="str">
        <x:v>Adaptation</x:v>
      </x:c>
      <x:c r="C650" s="2" t="str">
        <x:v>Agriculture and Forestry</x:v>
      </x:c>
      <x:c r="D650" s="2" t="str">
        <x:v>Increasing crop resilience and productivity</x:v>
      </x:c>
      <x:c r="E650" s="2" t="str">
        <x:v>Soil moisture monitoring</x:v>
      </x:c>
      <x:c r="F650" s="2" t="str">
        <x:v>Phosphate rock</x:v>
      </x:c>
      <x:c r="G650" s="2" t="str">
        <x:v>Agricultural strategic mineral</x:v>
      </x:c>
      <x:c r="H650" s="2" t="str">
        <x:v>Phosphate rock is linked to Soil moisture monitoring because it is typically used in phosphorus fertiliser used by the agricultural system; the assignment follows component function, not a sector-wide keyword.</x:v>
      </x:c>
      <x:c r="I650" s="2" t="str">
        <x:v>Presence and quantity in Soil moisture monitoring depend on the selected design, chemistry, capacity, supplier and recycled content. This analytical link is not a verified bill of materials or supplier traceability statement.</x:v>
      </x:c>
      <x:c r="J650" s="2" t="str">
        <x:v>https://pubs.usgs.gov/periodicals/mcs2026/mcs2026.pdf</x:v>
      </x:c>
    </x:row>
    <x:row r="651" ht="66" customHeight="1">
      <x:c r="A651" s="2" t="str">
        <x:v>ADP-0033</x:v>
      </x:c>
      <x:c r="B651" s="2" t="str">
        <x:v>Adaptation</x:v>
      </x:c>
      <x:c r="C651" s="2" t="str">
        <x:v>Agriculture and Forestry</x:v>
      </x:c>
      <x:c r="D651" s="2" t="str">
        <x:v>Increasing crop resilience and productivity</x:v>
      </x:c>
      <x:c r="E651" s="2" t="str">
        <x:v>Soil moisture monitoring</x:v>
      </x:c>
      <x:c r="F651" s="2" t="str">
        <x:v>Potash</x:v>
      </x:c>
      <x:c r="G651" s="2" t="str">
        <x:v>Agricultural strategic mineral</x:v>
      </x:c>
      <x:c r="H651" s="2" t="str">
        <x:v>Potash is linked to Soil moisture monitoring because it is typically used in potassium fertiliser used by the agricultural system; the assignment follows component function, not a sector-wide keyword.</x:v>
      </x:c>
      <x:c r="I651" s="2" t="str">
        <x:v>Presence and quantity in Soil moisture monitoring depend on the selected design, chemistry, capacity, supplier and recycled content. This analytical link is not a verified bill of materials or supplier traceability statement.</x:v>
      </x:c>
      <x:c r="J651" s="2" t="str">
        <x:v>https://pubs.usgs.gov/periodicals/mcs2026/mcs2026.pdf</x:v>
      </x:c>
    </x:row>
    <x:row r="652" ht="66" customHeight="1">
      <x:c r="A652" s="2" t="str">
        <x:v>ADP-0034</x:v>
      </x:c>
      <x:c r="B652" s="2" t="str">
        <x:v>Adaptation</x:v>
      </x:c>
      <x:c r="C652" s="2" t="str">
        <x:v>Agriculture and Forestry</x:v>
      </x:c>
      <x:c r="D652" s="2" t="str">
        <x:v>Increasing crop resilience and productivity</x:v>
      </x:c>
      <x:c r="E652" s="2" t="str">
        <x:v>Soilless agriculture</x:v>
      </x:c>
      <x:c r="F652" s="2" t="str">
        <x:v>Phosphate rock</x:v>
      </x:c>
      <x:c r="G652" s="2" t="str">
        <x:v>Agricultural strategic mineral</x:v>
      </x:c>
      <x:c r="H652" s="2" t="str">
        <x:v>Phosphate rock is linked to Soilless agriculture because it is typically used in phosphorus fertiliser used by the agricultural system; the assignment follows component function, not a sector-wide keyword.</x:v>
      </x:c>
      <x:c r="I652" s="2" t="str">
        <x:v>Presence and quantity in Soilless agriculture depend on the selected design, chemistry, capacity, supplier and recycled content. This analytical link is not a verified bill of materials or supplier traceability statement.</x:v>
      </x:c>
      <x:c r="J652" s="2" t="str">
        <x:v>https://pubs.usgs.gov/periodicals/mcs2026/mcs2026.pdf</x:v>
      </x:c>
    </x:row>
    <x:row r="653" ht="66" customHeight="1">
      <x:c r="A653" s="2" t="str">
        <x:v>ADP-0034</x:v>
      </x:c>
      <x:c r="B653" s="2" t="str">
        <x:v>Adaptation</x:v>
      </x:c>
      <x:c r="C653" s="2" t="str">
        <x:v>Agriculture and Forestry</x:v>
      </x:c>
      <x:c r="D653" s="2" t="str">
        <x:v>Increasing crop resilience and productivity</x:v>
      </x:c>
      <x:c r="E653" s="2" t="str">
        <x:v>Soilless agriculture</x:v>
      </x:c>
      <x:c r="F653" s="2" t="str">
        <x:v>Potash</x:v>
      </x:c>
      <x:c r="G653" s="2" t="str">
        <x:v>Agricultural strategic mineral</x:v>
      </x:c>
      <x:c r="H653" s="2" t="str">
        <x:v>Potash is linked to Soilless agriculture because it is typically used in potassium fertiliser used by the agricultural system; the assignment follows component function, not a sector-wide keyword.</x:v>
      </x:c>
      <x:c r="I653" s="2" t="str">
        <x:v>Presence and quantity in Soilless agriculture depend on the selected design, chemistry, capacity, supplier and recycled content. This analytical link is not a verified bill of materials or supplier traceability statement.</x:v>
      </x:c>
      <x:c r="J653" s="2" t="str">
        <x:v>https://pubs.usgs.gov/periodicals/mcs2026/mcs2026.pdf</x:v>
      </x:c>
    </x:row>
    <x:row r="654" ht="66" customHeight="1">
      <x:c r="A654" s="2" t="str">
        <x:v>ADP-0035</x:v>
      </x:c>
      <x:c r="B654" s="2" t="str">
        <x:v>Adaptation</x:v>
      </x:c>
      <x:c r="C654" s="2" t="str">
        <x:v>Agriculture and Forestry</x:v>
      </x:c>
      <x:c r="D654" s="2" t="str">
        <x:v>Increasing crop resilience and productivity</x:v>
      </x:c>
      <x:c r="E654" s="2" t="str">
        <x:v>Fodder crops</x:v>
      </x:c>
      <x:c r="F654" s="2" t="str">
        <x:v>Phosphate rock</x:v>
      </x:c>
      <x:c r="G654" s="2" t="str">
        <x:v>Agricultural strategic mineral</x:v>
      </x:c>
      <x:c r="H654" s="2" t="str">
        <x:v>Phosphate rock is linked to Fodder crops because it is typically used in phosphorus fertiliser used by the agricultural system; the assignment follows component function, not a sector-wide keyword.</x:v>
      </x:c>
      <x:c r="I654" s="2" t="str">
        <x:v>Presence and quantity in Fodder crops depend on the selected design, chemistry, capacity, supplier and recycled content. This analytical link is not a verified bill of materials or supplier traceability statement.</x:v>
      </x:c>
      <x:c r="J654" s="2" t="str">
        <x:v>https://pubs.usgs.gov/periodicals/mcs2026/mcs2026.pdf</x:v>
      </x:c>
    </x:row>
    <x:row r="655" ht="66" customHeight="1">
      <x:c r="A655" s="2" t="str">
        <x:v>ADP-0035</x:v>
      </x:c>
      <x:c r="B655" s="2" t="str">
        <x:v>Adaptation</x:v>
      </x:c>
      <x:c r="C655" s="2" t="str">
        <x:v>Agriculture and Forestry</x:v>
      </x:c>
      <x:c r="D655" s="2" t="str">
        <x:v>Increasing crop resilience and productivity</x:v>
      </x:c>
      <x:c r="E655" s="2" t="str">
        <x:v>Fodder crops</x:v>
      </x:c>
      <x:c r="F655" s="2" t="str">
        <x:v>Potash</x:v>
      </x:c>
      <x:c r="G655" s="2" t="str">
        <x:v>Agricultural strategic mineral</x:v>
      </x:c>
      <x:c r="H655" s="2" t="str">
        <x:v>Potash is linked to Fodder crops because it is typically used in potassium fertiliser used by the agricultural system; the assignment follows component function, not a sector-wide keyword.</x:v>
      </x:c>
      <x:c r="I655" s="2" t="str">
        <x:v>Presence and quantity in Fodder crops depend on the selected design, chemistry, capacity, supplier and recycled content. This analytical link is not a verified bill of materials or supplier traceability statement.</x:v>
      </x:c>
      <x:c r="J655" s="2" t="str">
        <x:v>https://pubs.usgs.gov/periodicals/mcs2026/mcs2026.pdf</x:v>
      </x:c>
    </x:row>
    <x:row r="656" ht="66" customHeight="1">
      <x:c r="A656" s="2" t="str">
        <x:v>ADP-0036</x:v>
      </x:c>
      <x:c r="B656" s="2" t="str">
        <x:v>Adaptation</x:v>
      </x:c>
      <x:c r="C656" s="2" t="str">
        <x:v>Agriculture and Forestry</x:v>
      </x:c>
      <x:c r="D656" s="2" t="str">
        <x:v>Increasing crop resilience and productivity</x:v>
      </x:c>
      <x:c r="E656" s="2" t="str">
        <x:v>Wind breaks</x:v>
      </x:c>
      <x:c r="F656" s="2" t="str">
        <x:v>Iron ore / steel inputs</x:v>
      </x:c>
      <x:c r="G656" s="2" t="str">
        <x:v>Bulk and strategic mineral input</x:v>
      </x:c>
      <x:c r="H656" s="2" t="str">
        <x:v>Iron ore / steel inputs is linked to Wind breaks because it is typically used in load-bearing structures, pressure vessels, piping or machinery; the assignment follows component function, not a sector-wide keyword.</x:v>
      </x:c>
      <x:c r="I656" s="2" t="str">
        <x:v>Presence and quantity in Wind breaks depend on the selected design, chemistry, capacity, supplier and recycled content. This analytical link is not a verified bill of materials or supplier traceability statement.</x:v>
      </x:c>
      <x:c r="J656" s="2" t="str">
        <x:v>https://pubs.usgs.gov/periodicals/mcs2026/mcs2026.pdf</x:v>
      </x:c>
    </x:row>
    <x:row r="657" ht="66" customHeight="1">
      <x:c r="A657" s="2" t="str">
        <x:v>ADP-0036</x:v>
      </x:c>
      <x:c r="B657" s="2" t="str">
        <x:v>Adaptation</x:v>
      </x:c>
      <x:c r="C657" s="2" t="str">
        <x:v>Agriculture and Forestry</x:v>
      </x:c>
      <x:c r="D657" s="2" t="str">
        <x:v>Increasing crop resilience and productivity</x:v>
      </x:c>
      <x:c r="E657" s="2" t="str">
        <x:v>Wind breaks</x:v>
      </x:c>
      <x:c r="F657" s="2" t="str">
        <x:v>Copper</x:v>
      </x:c>
      <x:c r="G657" s="2" t="str">
        <x:v>Critical or strategic metal</x:v>
      </x:c>
      <x:c r="H657" s="2" t="str">
        <x:v>Copper is linked to Wind breaks because it is typically used in power cables, windings, busbars, grounding and electrical connectors; the assignment follows component function, not a sector-wide keyword.</x:v>
      </x:c>
      <x:c r="I657" s="2" t="str">
        <x:v>Presence and quantity in Wind breaks depend on the selected design, chemistry, capacity, supplier and recycled content. This analytical link is not a verified bill of materials or supplier traceability statement.</x:v>
      </x:c>
      <x:c r="J657" s="2" t="str">
        <x:v>https://pubs.usgs.gov/periodicals/mcs2026/mcs2026.pdf</x:v>
      </x:c>
    </x:row>
    <x:row r="658" ht="66" customHeight="1">
      <x:c r="A658" s="2" t="str">
        <x:v>ADP-0036</x:v>
      </x:c>
      <x:c r="B658" s="2" t="str">
        <x:v>Adaptation</x:v>
      </x:c>
      <x:c r="C658" s="2" t="str">
        <x:v>Agriculture and Forestry</x:v>
      </x:c>
      <x:c r="D658" s="2" t="str">
        <x:v>Increasing crop resilience and productivity</x:v>
      </x:c>
      <x:c r="E658" s="2" t="str">
        <x:v>Wind breaks</x:v>
      </x:c>
      <x:c r="F658" s="2" t="str">
        <x:v>Tin</x:v>
      </x:c>
      <x:c r="G658" s="2" t="str">
        <x:v>Electronics strategic metal</x:v>
      </x:c>
      <x:c r="H658" s="2" t="str">
        <x:v>Tin is linked to Wind breaks because it is typically used in electronic solder and selected coatings; the assignment follows component function, not a sector-wide keyword.</x:v>
      </x:c>
      <x:c r="I658" s="2" t="str">
        <x:v>Presence and quantity in Wind breaks depend on the selected design, chemistry, capacity, supplier and recycled content. This analytical link is not a verified bill of materials or supplier traceability statement.</x:v>
      </x:c>
      <x:c r="J658" s="2" t="str">
        <x:v>https://pubs.usgs.gov/periodicals/mcs2026/mcs2026.pdf</x:v>
      </x:c>
    </x:row>
    <x:row r="659" ht="66" customHeight="1">
      <x:c r="A659" s="2" t="str">
        <x:v>ADP-0036</x:v>
      </x:c>
      <x:c r="B659" s="2" t="str">
        <x:v>Adaptation</x:v>
      </x:c>
      <x:c r="C659" s="2" t="str">
        <x:v>Agriculture and Forestry</x:v>
      </x:c>
      <x:c r="D659" s="2" t="str">
        <x:v>Increasing crop resilience and productivity</x:v>
      </x:c>
      <x:c r="E659" s="2" t="str">
        <x:v>Wind breaks</x:v>
      </x:c>
      <x:c r="F659" s="2" t="str">
        <x:v>Rare earth elements</x:v>
      </x:c>
      <x:c r="G659" s="2" t="str">
        <x:v>Magnet critical minerals</x:v>
      </x:c>
      <x:c r="H659" s="2" t="str">
        <x:v>Rare earth elements is linked to Wind breaks because it is typically used in permanent magnets in selected motors or generators; the assignment follows component function, not a sector-wide keyword.</x:v>
      </x:c>
      <x:c r="I659" s="2" t="str">
        <x:v>Presence and quantity in Wind breaks depend on the selected design, chemistry, capacity, supplier and recycled content. This analytical link is not a verified bill of materials or supplier traceability statement.</x:v>
      </x:c>
      <x:c r="J659" s="2" t="str">
        <x:v>https://www.iea.org/reports/global-critical-minerals-outlook-2025</x:v>
      </x:c>
    </x:row>
    <x:row r="660" ht="66" customHeight="1">
      <x:c r="A660" s="2" t="str">
        <x:v>ADP-0036</x:v>
      </x:c>
      <x:c r="B660" s="2" t="str">
        <x:v>Adaptation</x:v>
      </x:c>
      <x:c r="C660" s="2" t="str">
        <x:v>Agriculture and Forestry</x:v>
      </x:c>
      <x:c r="D660" s="2" t="str">
        <x:v>Increasing crop resilience and productivity</x:v>
      </x:c>
      <x:c r="E660" s="2" t="str">
        <x:v>Wind breaks</x:v>
      </x:c>
      <x:c r="F660" s="2" t="str">
        <x:v>Phosphate rock</x:v>
      </x:c>
      <x:c r="G660" s="2" t="str">
        <x:v>Agricultural strategic mineral</x:v>
      </x:c>
      <x:c r="H660" s="2" t="str">
        <x:v>Phosphate rock is linked to Wind breaks because it is typically used in phosphorus fertiliser used by the agricultural system; the assignment follows component function, not a sector-wide keyword.</x:v>
      </x:c>
      <x:c r="I660" s="2" t="str">
        <x:v>Presence and quantity in Wind breaks depend on the selected design, chemistry, capacity, supplier and recycled content. This analytical link is not a verified bill of materials or supplier traceability statement.</x:v>
      </x:c>
      <x:c r="J660" s="2" t="str">
        <x:v>https://pubs.usgs.gov/periodicals/mcs2026/mcs2026.pdf</x:v>
      </x:c>
    </x:row>
    <x:row r="661" ht="66" customHeight="1">
      <x:c r="A661" s="2" t="str">
        <x:v>ADP-0036</x:v>
      </x:c>
      <x:c r="B661" s="2" t="str">
        <x:v>Adaptation</x:v>
      </x:c>
      <x:c r="C661" s="2" t="str">
        <x:v>Agriculture and Forestry</x:v>
      </x:c>
      <x:c r="D661" s="2" t="str">
        <x:v>Increasing crop resilience and productivity</x:v>
      </x:c>
      <x:c r="E661" s="2" t="str">
        <x:v>Wind breaks</x:v>
      </x:c>
      <x:c r="F661" s="2" t="str">
        <x:v>Potash</x:v>
      </x:c>
      <x:c r="G661" s="2" t="str">
        <x:v>Agricultural strategic mineral</x:v>
      </x:c>
      <x:c r="H661" s="2" t="str">
        <x:v>Potash is linked to Wind breaks because it is typically used in potassium fertiliser used by the agricultural system; the assignment follows component function, not a sector-wide keyword.</x:v>
      </x:c>
      <x:c r="I661" s="2" t="str">
        <x:v>Presence and quantity in Wind breaks depend on the selected design, chemistry, capacity, supplier and recycled content. This analytical link is not a verified bill of materials or supplier traceability statement.</x:v>
      </x:c>
      <x:c r="J661" s="2" t="str">
        <x:v>https://pubs.usgs.gov/periodicals/mcs2026/mcs2026.pdf</x:v>
      </x:c>
    </x:row>
    <x:row r="662" ht="66" customHeight="1">
      <x:c r="A662" s="2" t="str">
        <x:v>ADP-0036</x:v>
      </x:c>
      <x:c r="B662" s="2" t="str">
        <x:v>Adaptation</x:v>
      </x:c>
      <x:c r="C662" s="2" t="str">
        <x:v>Agriculture and Forestry</x:v>
      </x:c>
      <x:c r="D662" s="2" t="str">
        <x:v>Increasing crop resilience and productivity</x:v>
      </x:c>
      <x:c r="E662" s="2" t="str">
        <x:v>Wind breaks</x:v>
      </x:c>
      <x:c r="F662" s="2" t="str">
        <x:v>Zinc</x:v>
      </x:c>
      <x:c r="G662" s="2" t="str">
        <x:v>Strategic base metal</x:v>
      </x:c>
      <x:c r="H662" s="2" t="str">
        <x:v>Zinc is linked to Wind breaks because it is typically used in galvanic corrosion protection or selected batteries; the assignment follows component function, not a sector-wide keyword.</x:v>
      </x:c>
      <x:c r="I662" s="2" t="str">
        <x:v>Presence and quantity in Wind breaks depend on the selected design, chemistry, capacity, supplier and recycled content. This analytical link is not a verified bill of materials or supplier traceability statement.</x:v>
      </x:c>
      <x:c r="J662" s="2" t="str">
        <x:v>https://pubs.usgs.gov/periodicals/mcs2026/mcs2026.pdf</x:v>
      </x:c>
    </x:row>
    <x:row r="663" ht="66" customHeight="1">
      <x:c r="A663" s="2" t="str">
        <x:v>ADP-0036</x:v>
      </x:c>
      <x:c r="B663" s="2" t="str">
        <x:v>Adaptation</x:v>
      </x:c>
      <x:c r="C663" s="2" t="str">
        <x:v>Agriculture and Forestry</x:v>
      </x:c>
      <x:c r="D663" s="2" t="str">
        <x:v>Increasing crop resilience and productivity</x:v>
      </x:c>
      <x:c r="E663" s="2" t="str">
        <x:v>Wind breaks</x:v>
      </x:c>
      <x:c r="F663" s="2" t="str">
        <x:v>Bauxite / aluminium</x:v>
      </x:c>
      <x:c r="G663" s="2" t="str">
        <x:v>Strategic metal</x:v>
      </x:c>
      <x:c r="H663" s="2" t="str">
        <x:v>Bauxite / aluminium is linked to Wind breaks because it is typically used in lightweight structures, frames, conductors or vehicle components; the assignment follows component function, not a sector-wide keyword.</x:v>
      </x:c>
      <x:c r="I663" s="2" t="str">
        <x:v>Presence and quantity in Wind breaks depend on the selected design, chemistry, capacity, supplier and recycled content. This analytical link is not a verified bill of materials or supplier traceability statement.</x:v>
      </x:c>
      <x:c r="J663" s="2" t="str">
        <x:v>https://pubs.usgs.gov/periodicals/mcs2026/mcs2026.pdf</x:v>
      </x:c>
    </x:row>
    <x:row r="664" ht="66" customHeight="1">
      <x:c r="A664" s="2" t="str">
        <x:v>ADP-0037</x:v>
      </x:c>
      <x:c r="B664" s="2" t="str">
        <x:v>Adaptation</x:v>
      </x:c>
      <x:c r="C664" s="2" t="str">
        <x:v>Agriculture and Forestry</x:v>
      </x:c>
      <x:c r="D664" s="2" t="str">
        <x:v>Increasing crop resilience and productivity</x:v>
      </x:c>
      <x:c r="E664" s="2" t="str">
        <x:v>Greenhouse crop management</x:v>
      </x:c>
      <x:c r="F664" s="2" t="str">
        <x:v>Phosphate rock</x:v>
      </x:c>
      <x:c r="G664" s="2" t="str">
        <x:v>Agricultural strategic mineral</x:v>
      </x:c>
      <x:c r="H664" s="2" t="str">
        <x:v>Phosphate rock is linked to Greenhouse crop management because it is typically used in phosphorus fertiliser used by the agricultural system; the assignment follows component function, not a sector-wide keyword.</x:v>
      </x:c>
      <x:c r="I664" s="2" t="str">
        <x:v>Presence and quantity in Greenhouse crop management depend on the selected design, chemistry, capacity, supplier and recycled content. This analytical link is not a verified bill of materials or supplier traceability statement.</x:v>
      </x:c>
      <x:c r="J664" s="2" t="str">
        <x:v>https://pubs.usgs.gov/periodicals/mcs2026/mcs2026.pdf</x:v>
      </x:c>
    </x:row>
    <x:row r="665" ht="66" customHeight="1">
      <x:c r="A665" s="2" t="str">
        <x:v>ADP-0037</x:v>
      </x:c>
      <x:c r="B665" s="2" t="str">
        <x:v>Adaptation</x:v>
      </x:c>
      <x:c r="C665" s="2" t="str">
        <x:v>Agriculture and Forestry</x:v>
      </x:c>
      <x:c r="D665" s="2" t="str">
        <x:v>Increasing crop resilience and productivity</x:v>
      </x:c>
      <x:c r="E665" s="2" t="str">
        <x:v>Greenhouse crop management</x:v>
      </x:c>
      <x:c r="F665" s="2" t="str">
        <x:v>Potash</x:v>
      </x:c>
      <x:c r="G665" s="2" t="str">
        <x:v>Agricultural strategic mineral</x:v>
      </x:c>
      <x:c r="H665" s="2" t="str">
        <x:v>Potash is linked to Greenhouse crop management because it is typically used in potassium fertiliser used by the agricultural system; the assignment follows component function, not a sector-wide keyword.</x:v>
      </x:c>
      <x:c r="I665" s="2" t="str">
        <x:v>Presence and quantity in Greenhouse crop management depend on the selected design, chemistry, capacity, supplier and recycled content. This analytical link is not a verified bill of materials or supplier traceability statement.</x:v>
      </x:c>
      <x:c r="J665" s="2" t="str">
        <x:v>https://pubs.usgs.gov/periodicals/mcs2026/mcs2026.pdf</x:v>
      </x:c>
    </x:row>
    <x:row r="666" ht="66" customHeight="1">
      <x:c r="A666" s="2" t="str">
        <x:v>ADP-0038</x:v>
      </x:c>
      <x:c r="B666" s="2" t="str">
        <x:v>Adaptation</x:v>
      </x:c>
      <x:c r="C666" s="2" t="str">
        <x:v>Agriculture and Forestry</x:v>
      </x:c>
      <x:c r="D666" s="2" t="str">
        <x:v>Increasing crop resilience and productivity</x:v>
      </x:c>
      <x:c r="E666" s="2" t="str">
        <x:v>Organic agriculture</x:v>
      </x:c>
      <x:c r="F666" s="2" t="str">
        <x:v>Phosphate rock</x:v>
      </x:c>
      <x:c r="G666" s="2" t="str">
        <x:v>Agricultural strategic mineral</x:v>
      </x:c>
      <x:c r="H666" s="2" t="str">
        <x:v>Phosphate rock is linked to Organic agriculture because it is typically used in phosphorus fertiliser used by the agricultural system; the assignment follows component function, not a sector-wide keyword.</x:v>
      </x:c>
      <x:c r="I666" s="2" t="str">
        <x:v>Presence and quantity in Organic agriculture depend on the selected design, chemistry, capacity, supplier and recycled content. This analytical link is not a verified bill of materials or supplier traceability statement.</x:v>
      </x:c>
      <x:c r="J666" s="2" t="str">
        <x:v>https://pubs.usgs.gov/periodicals/mcs2026/mcs2026.pdf</x:v>
      </x:c>
    </x:row>
    <x:row r="667" ht="66" customHeight="1">
      <x:c r="A667" s="2" t="str">
        <x:v>ADP-0038</x:v>
      </x:c>
      <x:c r="B667" s="2" t="str">
        <x:v>Adaptation</x:v>
      </x:c>
      <x:c r="C667" s="2" t="str">
        <x:v>Agriculture and Forestry</x:v>
      </x:c>
      <x:c r="D667" s="2" t="str">
        <x:v>Increasing crop resilience and productivity</x:v>
      </x:c>
      <x:c r="E667" s="2" t="str">
        <x:v>Organic agriculture</x:v>
      </x:c>
      <x:c r="F667" s="2" t="str">
        <x:v>Potash</x:v>
      </x:c>
      <x:c r="G667" s="2" t="str">
        <x:v>Agricultural strategic mineral</x:v>
      </x:c>
      <x:c r="H667" s="2" t="str">
        <x:v>Potash is linked to Organic agriculture because it is typically used in potassium fertiliser used by the agricultural system; the assignment follows component function, not a sector-wide keyword.</x:v>
      </x:c>
      <x:c r="I667" s="2" t="str">
        <x:v>Presence and quantity in Organic agriculture depend on the selected design, chemistry, capacity, supplier and recycled content. This analytical link is not a verified bill of materials or supplier traceability statement.</x:v>
      </x:c>
      <x:c r="J667" s="2" t="str">
        <x:v>https://pubs.usgs.gov/periodicals/mcs2026/mcs2026.pdf</x:v>
      </x:c>
    </x:row>
    <x:row r="668" ht="66" customHeight="1">
      <x:c r="A668" s="2" t="str">
        <x:v>ADP-0039</x:v>
      </x:c>
      <x:c r="B668" s="2" t="str">
        <x:v>Adaptation</x:v>
      </x:c>
      <x:c r="C668" s="2" t="str">
        <x:v>Agriculture and Forestry</x:v>
      </x:c>
      <x:c r="D668" s="2" t="str">
        <x:v>Increasing crop resilience and productivity</x:v>
      </x:c>
      <x:c r="E668" s="2" t="str">
        <x:v>Fertilizer management</x:v>
      </x:c>
      <x:c r="F668" s="2" t="str">
        <x:v>Phosphate rock</x:v>
      </x:c>
      <x:c r="G668" s="2" t="str">
        <x:v>Agricultural strategic mineral</x:v>
      </x:c>
      <x:c r="H668" s="2" t="str">
        <x:v>Phosphate rock is linked to Fertilizer management because it is typically used in phosphorus fertiliser used by the agricultural system; the assignment follows component function, not a sector-wide keyword.</x:v>
      </x:c>
      <x:c r="I668" s="2" t="str">
        <x:v>Presence and quantity in Fertilizer management depend on the selected design, chemistry, capacity, supplier and recycled content. This analytical link is not a verified bill of materials or supplier traceability statement.</x:v>
      </x:c>
      <x:c r="J668" s="2" t="str">
        <x:v>https://pubs.usgs.gov/periodicals/mcs2026/mcs2026.pdf</x:v>
      </x:c>
    </x:row>
    <x:row r="669" ht="66" customHeight="1">
      <x:c r="A669" s="2" t="str">
        <x:v>ADP-0039</x:v>
      </x:c>
      <x:c r="B669" s="2" t="str">
        <x:v>Adaptation</x:v>
      </x:c>
      <x:c r="C669" s="2" t="str">
        <x:v>Agriculture and Forestry</x:v>
      </x:c>
      <x:c r="D669" s="2" t="str">
        <x:v>Increasing crop resilience and productivity</x:v>
      </x:c>
      <x:c r="E669" s="2" t="str">
        <x:v>Fertilizer management</x:v>
      </x:c>
      <x:c r="F669" s="2" t="str">
        <x:v>Potash</x:v>
      </x:c>
      <x:c r="G669" s="2" t="str">
        <x:v>Agricultural strategic mineral</x:v>
      </x:c>
      <x:c r="H669" s="2" t="str">
        <x:v>Potash is linked to Fertilizer management because it is typically used in potassium fertiliser used by the agricultural system; the assignment follows component function, not a sector-wide keyword.</x:v>
      </x:c>
      <x:c r="I669" s="2" t="str">
        <x:v>Presence and quantity in Fertilizer management depend on the selected design, chemistry, capacity, supplier and recycled content. This analytical link is not a verified bill of materials or supplier traceability statement.</x:v>
      </x:c>
      <x:c r="J669" s="2" t="str">
        <x:v>https://pubs.usgs.gov/periodicals/mcs2026/mcs2026.pdf</x:v>
      </x:c>
    </x:row>
    <x:row r="670" ht="66" customHeight="1">
      <x:c r="A670" s="2" t="str">
        <x:v>ADP-0040</x:v>
      </x:c>
      <x:c r="B670" s="2" t="str">
        <x:v>Adaptation</x:v>
      </x:c>
      <x:c r="C670" s="2" t="str">
        <x:v>Agriculture and Forestry</x:v>
      </x:c>
      <x:c r="D670" s="2" t="str">
        <x:v>Increasing crop resilience and productivity</x:v>
      </x:c>
      <x:c r="E670" s="2" t="str">
        <x:v>Fungal symbioses</x:v>
      </x:c>
      <x:c r="F670" s="2" t="str">
        <x:v>Phosphate rock</x:v>
      </x:c>
      <x:c r="G670" s="2" t="str">
        <x:v>Agricultural strategic mineral</x:v>
      </x:c>
      <x:c r="H670" s="2" t="str">
        <x:v>Phosphate rock is linked to Fungal symbioses because it is typically used in phosphorus fertiliser used by the agricultural system; the assignment follows component function, not a sector-wide keyword.</x:v>
      </x:c>
      <x:c r="I670" s="2" t="str">
        <x:v>Presence and quantity in Fungal symbioses depend on the selected design, chemistry, capacity, supplier and recycled content. This analytical link is not a verified bill of materials or supplier traceability statement.</x:v>
      </x:c>
      <x:c r="J670" s="2" t="str">
        <x:v>https://pubs.usgs.gov/periodicals/mcs2026/mcs2026.pdf</x:v>
      </x:c>
    </x:row>
    <x:row r="671" ht="66" customHeight="1">
      <x:c r="A671" s="2" t="str">
        <x:v>ADP-0040</x:v>
      </x:c>
      <x:c r="B671" s="2" t="str">
        <x:v>Adaptation</x:v>
      </x:c>
      <x:c r="C671" s="2" t="str">
        <x:v>Agriculture and Forestry</x:v>
      </x:c>
      <x:c r="D671" s="2" t="str">
        <x:v>Increasing crop resilience and productivity</x:v>
      </x:c>
      <x:c r="E671" s="2" t="str">
        <x:v>Fungal symbioses</x:v>
      </x:c>
      <x:c r="F671" s="2" t="str">
        <x:v>Potash</x:v>
      </x:c>
      <x:c r="G671" s="2" t="str">
        <x:v>Agricultural strategic mineral</x:v>
      </x:c>
      <x:c r="H671" s="2" t="str">
        <x:v>Potash is linked to Fungal symbioses because it is typically used in potassium fertiliser used by the agricultural system; the assignment follows component function, not a sector-wide keyword.</x:v>
      </x:c>
      <x:c r="I671" s="2" t="str">
        <x:v>Presence and quantity in Fungal symbioses depend on the selected design, chemistry, capacity, supplier and recycled content. This analytical link is not a verified bill of materials or supplier traceability statement.</x:v>
      </x:c>
      <x:c r="J671" s="2" t="str">
        <x:v>https://pubs.usgs.gov/periodicals/mcs2026/mcs2026.pdf</x:v>
      </x:c>
    </x:row>
    <x:row r="672" ht="66" customHeight="1">
      <x:c r="A672" s="2" t="str">
        <x:v>ADP-0041</x:v>
      </x:c>
      <x:c r="B672" s="2" t="str">
        <x:v>Adaptation</x:v>
      </x:c>
      <x:c r="C672" s="2" t="str">
        <x:v>Agriculture and Forestry</x:v>
      </x:c>
      <x:c r="D672" s="2" t="str">
        <x:v>Increasing crop resilience and productivity</x:v>
      </x:c>
      <x:c r="E672" s="2" t="str">
        <x:v>Precision agriculture</x:v>
      </x:c>
      <x:c r="F672" s="2" t="str">
        <x:v>Phosphate rock</x:v>
      </x:c>
      <x:c r="G672" s="2" t="str">
        <x:v>Agricultural strategic mineral</x:v>
      </x:c>
      <x:c r="H672" s="2" t="str">
        <x:v>Phosphate rock is linked to Precision agriculture because it is typically used in phosphorus fertiliser used by the agricultural system; the assignment follows component function, not a sector-wide keyword.</x:v>
      </x:c>
      <x:c r="I672" s="2" t="str">
        <x:v>Presence and quantity in Precision agriculture depend on the selected design, chemistry, capacity, supplier and recycled content. This analytical link is not a verified bill of materials or supplier traceability statement.</x:v>
      </x:c>
      <x:c r="J672" s="2" t="str">
        <x:v>https://pubs.usgs.gov/periodicals/mcs2026/mcs2026.pdf</x:v>
      </x:c>
    </x:row>
    <x:row r="673" ht="66" customHeight="1">
      <x:c r="A673" s="2" t="str">
        <x:v>ADP-0041</x:v>
      </x:c>
      <x:c r="B673" s="2" t="str">
        <x:v>Adaptation</x:v>
      </x:c>
      <x:c r="C673" s="2" t="str">
        <x:v>Agriculture and Forestry</x:v>
      </x:c>
      <x:c r="D673" s="2" t="str">
        <x:v>Increasing crop resilience and productivity</x:v>
      </x:c>
      <x:c r="E673" s="2" t="str">
        <x:v>Precision agriculture</x:v>
      </x:c>
      <x:c r="F673" s="2" t="str">
        <x:v>Potash</x:v>
      </x:c>
      <x:c r="G673" s="2" t="str">
        <x:v>Agricultural strategic mineral</x:v>
      </x:c>
      <x:c r="H673" s="2" t="str">
        <x:v>Potash is linked to Precision agriculture because it is typically used in potassium fertiliser used by the agricultural system; the assignment follows component function, not a sector-wide keyword.</x:v>
      </x:c>
      <x:c r="I673" s="2" t="str">
        <x:v>Presence and quantity in Precision agriculture depend on the selected design, chemistry, capacity, supplier and recycled content. This analytical link is not a verified bill of materials or supplier traceability statement.</x:v>
      </x:c>
      <x:c r="J673" s="2" t="str">
        <x:v>https://pubs.usgs.gov/periodicals/mcs2026/mcs2026.pdf</x:v>
      </x:c>
    </x:row>
    <x:row r="674" ht="66" customHeight="1">
      <x:c r="A674" s="2" t="str">
        <x:v>ADP-0042</x:v>
      </x:c>
      <x:c r="B674" s="2" t="str">
        <x:v>Adaptation</x:v>
      </x:c>
      <x:c r="C674" s="2" t="str">
        <x:v>Agriculture and Forestry</x:v>
      </x:c>
      <x:c r="D674" s="2" t="str">
        <x:v>Increasing crop resilience and productivity</x:v>
      </x:c>
      <x:c r="E674" s="2" t="str">
        <x:v>Biochar technology</x:v>
      </x:c>
      <x:c r="F674" s="2" t="str">
        <x:v>Phosphate rock</x:v>
      </x:c>
      <x:c r="G674" s="2" t="str">
        <x:v>Agricultural strategic mineral</x:v>
      </x:c>
      <x:c r="H674" s="2" t="str">
        <x:v>Phosphate rock is linked to Biochar technology because it is typically used in phosphorus fertiliser used by the agricultural system; the assignment follows component function, not a sector-wide keyword.</x:v>
      </x:c>
      <x:c r="I674" s="2" t="str">
        <x:v>Presence and quantity in Biochar technology depend on the selected design, chemistry, capacity, supplier and recycled content. This analytical link is not a verified bill of materials or supplier traceability statement.</x:v>
      </x:c>
      <x:c r="J674" s="2" t="str">
        <x:v>https://pubs.usgs.gov/periodicals/mcs2026/mcs2026.pdf</x:v>
      </x:c>
    </x:row>
    <x:row r="675" ht="66" customHeight="1">
      <x:c r="A675" s="2" t="str">
        <x:v>ADP-0042</x:v>
      </x:c>
      <x:c r="B675" s="2" t="str">
        <x:v>Adaptation</x:v>
      </x:c>
      <x:c r="C675" s="2" t="str">
        <x:v>Agriculture and Forestry</x:v>
      </x:c>
      <x:c r="D675" s="2" t="str">
        <x:v>Increasing crop resilience and productivity</x:v>
      </x:c>
      <x:c r="E675" s="2" t="str">
        <x:v>Biochar technology</x:v>
      </x:c>
      <x:c r="F675" s="2" t="str">
        <x:v>Potash</x:v>
      </x:c>
      <x:c r="G675" s="2" t="str">
        <x:v>Agricultural strategic mineral</x:v>
      </x:c>
      <x:c r="H675" s="2" t="str">
        <x:v>Potash is linked to Biochar technology because it is typically used in potassium fertiliser used by the agricultural system; the assignment follows component function, not a sector-wide keyword.</x:v>
      </x:c>
      <x:c r="I675" s="2" t="str">
        <x:v>Presence and quantity in Biochar technology depend on the selected design, chemistry, capacity, supplier and recycled content. This analytical link is not a verified bill of materials or supplier traceability statement.</x:v>
      </x:c>
      <x:c r="J675" s="2" t="str">
        <x:v>https://pubs.usgs.gov/periodicals/mcs2026/mcs2026.pdf</x:v>
      </x:c>
    </x:row>
    <x:row r="676" ht="66" customHeight="1">
      <x:c r="A676" s="2" t="str">
        <x:v>ADP-0043</x:v>
      </x:c>
      <x:c r="B676" s="2" t="str">
        <x:v>Adaptation</x:v>
      </x:c>
      <x:c r="C676" s="2" t="str">
        <x:v>Agriculture and Forestry</x:v>
      </x:c>
      <x:c r="D676" s="2" t="str">
        <x:v>Increasing crop resilience and productivity</x:v>
      </x:c>
      <x:c r="E676" s="2" t="str">
        <x:v>Pest and insect control</x:v>
      </x:c>
      <x:c r="F676" s="2" t="str">
        <x:v>Copper</x:v>
      </x:c>
      <x:c r="G676" s="2" t="str">
        <x:v>Critical or strategic metal</x:v>
      </x:c>
      <x:c r="H676" s="2" t="str">
        <x:v>Copper is linked to Pest and insect control because it is typically used in power cables, windings, busbars, grounding and electrical connectors; the assignment follows component function, not a sector-wide keyword.</x:v>
      </x:c>
      <x:c r="I676" s="2" t="str">
        <x:v>Presence and quantity in Pest and insect control depend on the selected design, chemistry, capacity, supplier and recycled content. This analytical link is not a verified bill of materials or supplier traceability statement.</x:v>
      </x:c>
      <x:c r="J676" s="2" t="str">
        <x:v>https://pubs.usgs.gov/periodicals/mcs2026/mcs2026.pdf</x:v>
      </x:c>
    </x:row>
    <x:row r="677" ht="66" customHeight="1">
      <x:c r="A677" s="2" t="str">
        <x:v>ADP-0043</x:v>
      </x:c>
      <x:c r="B677" s="2" t="str">
        <x:v>Adaptation</x:v>
      </x:c>
      <x:c r="C677" s="2" t="str">
        <x:v>Agriculture and Forestry</x:v>
      </x:c>
      <x:c r="D677" s="2" t="str">
        <x:v>Increasing crop resilience and productivity</x:v>
      </x:c>
      <x:c r="E677" s="2" t="str">
        <x:v>Pest and insect control</x:v>
      </x:c>
      <x:c r="F677" s="2" t="str">
        <x:v>Tin</x:v>
      </x:c>
      <x:c r="G677" s="2" t="str">
        <x:v>Electronics strategic metal</x:v>
      </x:c>
      <x:c r="H677" s="2" t="str">
        <x:v>Tin is linked to Pest and insect control because it is typically used in electronic solder and selected coatings; the assignment follows component function, not a sector-wide keyword.</x:v>
      </x:c>
      <x:c r="I677" s="2" t="str">
        <x:v>Presence and quantity in Pest and insect control depend on the selected design, chemistry, capacity, supplier and recycled content. This analytical link is not a verified bill of materials or supplier traceability statement.</x:v>
      </x:c>
      <x:c r="J677" s="2" t="str">
        <x:v>https://pubs.usgs.gov/periodicals/mcs2026/mcs2026.pdf</x:v>
      </x:c>
    </x:row>
    <x:row r="678" ht="66" customHeight="1">
      <x:c r="A678" s="2" t="str">
        <x:v>ADP-0043</x:v>
      </x:c>
      <x:c r="B678" s="2" t="str">
        <x:v>Adaptation</x:v>
      </x:c>
      <x:c r="C678" s="2" t="str">
        <x:v>Agriculture and Forestry</x:v>
      </x:c>
      <x:c r="D678" s="2" t="str">
        <x:v>Increasing crop resilience and productivity</x:v>
      </x:c>
      <x:c r="E678" s="2" t="str">
        <x:v>Pest and insect control</x:v>
      </x:c>
      <x:c r="F678" s="2" t="str">
        <x:v>Phosphate rock</x:v>
      </x:c>
      <x:c r="G678" s="2" t="str">
        <x:v>Agricultural strategic mineral</x:v>
      </x:c>
      <x:c r="H678" s="2" t="str">
        <x:v>Phosphate rock is linked to Pest and insect control because it is typically used in phosphorus fertiliser used by the agricultural system; the assignment follows component function, not a sector-wide keyword.</x:v>
      </x:c>
      <x:c r="I678" s="2" t="str">
        <x:v>Presence and quantity in Pest and insect control depend on the selected design, chemistry, capacity, supplier and recycled content. This analytical link is not a verified bill of materials or supplier traceability statement.</x:v>
      </x:c>
      <x:c r="J678" s="2" t="str">
        <x:v>https://pubs.usgs.gov/periodicals/mcs2026/mcs2026.pdf</x:v>
      </x:c>
    </x:row>
    <x:row r="679" ht="66" customHeight="1">
      <x:c r="A679" s="2" t="str">
        <x:v>ADP-0043</x:v>
      </x:c>
      <x:c r="B679" s="2" t="str">
        <x:v>Adaptation</x:v>
      </x:c>
      <x:c r="C679" s="2" t="str">
        <x:v>Agriculture and Forestry</x:v>
      </x:c>
      <x:c r="D679" s="2" t="str">
        <x:v>Increasing crop resilience and productivity</x:v>
      </x:c>
      <x:c r="E679" s="2" t="str">
        <x:v>Pest and insect control</x:v>
      </x:c>
      <x:c r="F679" s="2" t="str">
        <x:v>Potash</x:v>
      </x:c>
      <x:c r="G679" s="2" t="str">
        <x:v>Agricultural strategic mineral</x:v>
      </x:c>
      <x:c r="H679" s="2" t="str">
        <x:v>Potash is linked to Pest and insect control because it is typically used in potassium fertiliser used by the agricultural system; the assignment follows component function, not a sector-wide keyword.</x:v>
      </x:c>
      <x:c r="I679" s="2" t="str">
        <x:v>Presence and quantity in Pest and insect control depend on the selected design, chemistry, capacity, supplier and recycled content. This analytical link is not a verified bill of materials or supplier traceability statement.</x:v>
      </x:c>
      <x:c r="J679" s="2" t="str">
        <x:v>https://pubs.usgs.gov/periodicals/mcs2026/mcs2026.pdf</x:v>
      </x:c>
    </x:row>
    <x:row r="680" ht="66" customHeight="1">
      <x:c r="A680" s="2" t="str">
        <x:v>ADP-0044</x:v>
      </x:c>
      <x:c r="B680" s="2" t="str">
        <x:v>Adaptation</x:v>
      </x:c>
      <x:c r="C680" s="2" t="str">
        <x:v>Agriculture and Forestry</x:v>
      </x:c>
      <x:c r="D680" s="2" t="str">
        <x:v>Increasing crop resilience and productivity</x:v>
      </x:c>
      <x:c r="E680" s="2" t="str">
        <x:v>Biotechnology for crop adaptation</x:v>
      </x:c>
      <x:c r="F680" s="2" t="str">
        <x:v>Phosphate rock</x:v>
      </x:c>
      <x:c r="G680" s="2" t="str">
        <x:v>Agricultural strategic mineral</x:v>
      </x:c>
      <x:c r="H680" s="2" t="str">
        <x:v>Phosphate rock is linked to Biotechnology for crop adaptation because it is typically used in phosphorus fertiliser used by the agricultural system; the assignment follows component function, not a sector-wide keyword.</x:v>
      </x:c>
      <x:c r="I680" s="2" t="str">
        <x:v>Presence and quantity in Biotechnology for crop adaptation depend on the selected design, chemistry, capacity, supplier and recycled content. This analytical link is not a verified bill of materials or supplier traceability statement.</x:v>
      </x:c>
      <x:c r="J680" s="2" t="str">
        <x:v>https://pubs.usgs.gov/periodicals/mcs2026/mcs2026.pdf</x:v>
      </x:c>
    </x:row>
    <x:row r="681" ht="66" customHeight="1">
      <x:c r="A681" s="2" t="str">
        <x:v>ADP-0044</x:v>
      </x:c>
      <x:c r="B681" s="2" t="str">
        <x:v>Adaptation</x:v>
      </x:c>
      <x:c r="C681" s="2" t="str">
        <x:v>Agriculture and Forestry</x:v>
      </x:c>
      <x:c r="D681" s="2" t="str">
        <x:v>Increasing crop resilience and productivity</x:v>
      </x:c>
      <x:c r="E681" s="2" t="str">
        <x:v>Biotechnology for crop adaptation</x:v>
      </x:c>
      <x:c r="F681" s="2" t="str">
        <x:v>Potash</x:v>
      </x:c>
      <x:c r="G681" s="2" t="str">
        <x:v>Agricultural strategic mineral</x:v>
      </x:c>
      <x:c r="H681" s="2" t="str">
        <x:v>Potash is linked to Biotechnology for crop adaptation because it is typically used in potassium fertiliser used by the agricultural system; the assignment follows component function, not a sector-wide keyword.</x:v>
      </x:c>
      <x:c r="I681" s="2" t="str">
        <x:v>Presence and quantity in Biotechnology for crop adaptation depend on the selected design, chemistry, capacity, supplier and recycled content. This analytical link is not a verified bill of materials or supplier traceability statement.</x:v>
      </x:c>
      <x:c r="J681" s="2" t="str">
        <x:v>https://pubs.usgs.gov/periodicals/mcs2026/mcs2026.pdf</x:v>
      </x:c>
    </x:row>
    <x:row r="682" ht="66" customHeight="1">
      <x:c r="A682" s="2" t="str">
        <x:v>ADP-0045</x:v>
      </x:c>
      <x:c r="B682" s="2" t="str">
        <x:v>Adaptation</x:v>
      </x:c>
      <x:c r="C682" s="2" t="str">
        <x:v>Agriculture and Forestry</x:v>
      </x:c>
      <x:c r="D682" s="2" t="str">
        <x:v>Increasing crop resilience and productivity</x:v>
      </x:c>
      <x:c r="E682" s="2" t="str">
        <x:v>GMO crops</x:v>
      </x:c>
      <x:c r="F682" s="2" t="str">
        <x:v>Phosphate rock</x:v>
      </x:c>
      <x:c r="G682" s="2" t="str">
        <x:v>Agricultural strategic mineral</x:v>
      </x:c>
      <x:c r="H682" s="2" t="str">
        <x:v>Phosphate rock is linked to GMO crops because it is typically used in phosphorus fertiliser used by the agricultural system; the assignment follows component function, not a sector-wide keyword.</x:v>
      </x:c>
      <x:c r="I682" s="2" t="str">
        <x:v>Presence and quantity in GMO crops depend on the selected design, chemistry, capacity, supplier and recycled content. This analytical link is not a verified bill of materials or supplier traceability statement.</x:v>
      </x:c>
      <x:c r="J682" s="2" t="str">
        <x:v>https://pubs.usgs.gov/periodicals/mcs2026/mcs2026.pdf</x:v>
      </x:c>
    </x:row>
    <x:row r="683" ht="66" customHeight="1">
      <x:c r="A683" s="2" t="str">
        <x:v>ADP-0045</x:v>
      </x:c>
      <x:c r="B683" s="2" t="str">
        <x:v>Adaptation</x:v>
      </x:c>
      <x:c r="C683" s="2" t="str">
        <x:v>Agriculture and Forestry</x:v>
      </x:c>
      <x:c r="D683" s="2" t="str">
        <x:v>Increasing crop resilience and productivity</x:v>
      </x:c>
      <x:c r="E683" s="2" t="str">
        <x:v>GMO crops</x:v>
      </x:c>
      <x:c r="F683" s="2" t="str">
        <x:v>Potash</x:v>
      </x:c>
      <x:c r="G683" s="2" t="str">
        <x:v>Agricultural strategic mineral</x:v>
      </x:c>
      <x:c r="H683" s="2" t="str">
        <x:v>Potash is linked to GMO crops because it is typically used in potassium fertiliser used by the agricultural system; the assignment follows component function, not a sector-wide keyword.</x:v>
      </x:c>
      <x:c r="I683" s="2" t="str">
        <x:v>Presence and quantity in GMO crops depend on the selected design, chemistry, capacity, supplier and recycled content. This analytical link is not a verified bill of materials or supplier traceability statement.</x:v>
      </x:c>
      <x:c r="J683" s="2" t="str">
        <x:v>https://pubs.usgs.gov/periodicals/mcs2026/mcs2026.pdf</x:v>
      </x:c>
    </x:row>
    <x:row r="684" ht="66" customHeight="1">
      <x:c r="A684" s="2" t="str">
        <x:v>ADP-0046</x:v>
      </x:c>
      <x:c r="B684" s="2" t="str">
        <x:v>Adaptation</x:v>
      </x:c>
      <x:c r="C684" s="2" t="str">
        <x:v>Agriculture and Forestry</x:v>
      </x:c>
      <x:c r="D684" s="2" t="str">
        <x:v>Increasing crop resilience and productivity</x:v>
      </x:c>
      <x:c r="E684" s="2" t="str">
        <x:v>Conservation tillage</x:v>
      </x:c>
      <x:c r="F684" s="2" t="str">
        <x:v>Phosphate rock</x:v>
      </x:c>
      <x:c r="G684" s="2" t="str">
        <x:v>Agricultural strategic mineral</x:v>
      </x:c>
      <x:c r="H684" s="2" t="str">
        <x:v>Phosphate rock is linked to Conservation tillage because it is typically used in phosphorus fertiliser used by the agricultural system; the assignment follows component function, not a sector-wide keyword.</x:v>
      </x:c>
      <x:c r="I684" s="2" t="str">
        <x:v>Presence and quantity in Conservation tillage depend on the selected design, chemistry, capacity, supplier and recycled content. This analytical link is not a verified bill of materials or supplier traceability statement.</x:v>
      </x:c>
      <x:c r="J684" s="2" t="str">
        <x:v>https://pubs.usgs.gov/periodicals/mcs2026/mcs2026.pdf</x:v>
      </x:c>
    </x:row>
    <x:row r="685" ht="66" customHeight="1">
      <x:c r="A685" s="2" t="str">
        <x:v>ADP-0046</x:v>
      </x:c>
      <x:c r="B685" s="2" t="str">
        <x:v>Adaptation</x:v>
      </x:c>
      <x:c r="C685" s="2" t="str">
        <x:v>Agriculture and Forestry</x:v>
      </x:c>
      <x:c r="D685" s="2" t="str">
        <x:v>Increasing crop resilience and productivity</x:v>
      </x:c>
      <x:c r="E685" s="2" t="str">
        <x:v>Conservation tillage</x:v>
      </x:c>
      <x:c r="F685" s="2" t="str">
        <x:v>Potash</x:v>
      </x:c>
      <x:c r="G685" s="2" t="str">
        <x:v>Agricultural strategic mineral</x:v>
      </x:c>
      <x:c r="H685" s="2" t="str">
        <x:v>Potash is linked to Conservation tillage because it is typically used in potassium fertiliser used by the agricultural system; the assignment follows component function, not a sector-wide keyword.</x:v>
      </x:c>
      <x:c r="I685" s="2" t="str">
        <x:v>Presence and quantity in Conservation tillage depend on the selected design, chemistry, capacity, supplier and recycled content. This analytical link is not a verified bill of materials or supplier traceability statement.</x:v>
      </x:c>
      <x:c r="J685" s="2" t="str">
        <x:v>https://pubs.usgs.gov/periodicals/mcs2026/mcs2026.pdf</x:v>
      </x:c>
    </x:row>
    <x:row r="686" ht="66" customHeight="1">
      <x:c r="A686" s="2" t="str">
        <x:v>ADP-0047</x:v>
      </x:c>
      <x:c r="B686" s="2" t="str">
        <x:v>Adaptation</x:v>
      </x:c>
      <x:c r="C686" s="2" t="str">
        <x:v>Agriculture and Forestry</x:v>
      </x:c>
      <x:c r="D686" s="2" t="str">
        <x:v>Increasing crop resilience and productivity</x:v>
      </x:c>
      <x:c r="E686" s="2" t="str">
        <x:v>Improved cultivation techniques</x:v>
      </x:c>
      <x:c r="F686" s="2" t="str">
        <x:v>Phosphate rock</x:v>
      </x:c>
      <x:c r="G686" s="2" t="str">
        <x:v>Agricultural strategic mineral</x:v>
      </x:c>
      <x:c r="H686" s="2" t="str">
        <x:v>Phosphate rock is linked to Improved cultivation techniques because it is typically used in phosphorus fertiliser used by the agricultural system; the assignment follows component function, not a sector-wide keyword.</x:v>
      </x:c>
      <x:c r="I686" s="2" t="str">
        <x:v>Presence and quantity in Improved cultivation techniques depend on the selected design, chemistry, capacity, supplier and recycled content. This analytical link is not a verified bill of materials or supplier traceability statement.</x:v>
      </x:c>
      <x:c r="J686" s="2" t="str">
        <x:v>https://pubs.usgs.gov/periodicals/mcs2026/mcs2026.pdf</x:v>
      </x:c>
    </x:row>
    <x:row r="687" ht="66" customHeight="1">
      <x:c r="A687" s="2" t="str">
        <x:v>ADP-0047</x:v>
      </x:c>
      <x:c r="B687" s="2" t="str">
        <x:v>Adaptation</x:v>
      </x:c>
      <x:c r="C687" s="2" t="str">
        <x:v>Agriculture and Forestry</x:v>
      </x:c>
      <x:c r="D687" s="2" t="str">
        <x:v>Increasing crop resilience and productivity</x:v>
      </x:c>
      <x:c r="E687" s="2" t="str">
        <x:v>Improved cultivation techniques</x:v>
      </x:c>
      <x:c r="F687" s="2" t="str">
        <x:v>Potash</x:v>
      </x:c>
      <x:c r="G687" s="2" t="str">
        <x:v>Agricultural strategic mineral</x:v>
      </x:c>
      <x:c r="H687" s="2" t="str">
        <x:v>Potash is linked to Improved cultivation techniques because it is typically used in potassium fertiliser used by the agricultural system; the assignment follows component function, not a sector-wide keyword.</x:v>
      </x:c>
      <x:c r="I687" s="2" t="str">
        <x:v>Presence and quantity in Improved cultivation techniques depend on the selected design, chemistry, capacity, supplier and recycled content. This analytical link is not a verified bill of materials or supplier traceability statement.</x:v>
      </x:c>
      <x:c r="J687" s="2" t="str">
        <x:v>https://pubs.usgs.gov/periodicals/mcs2026/mcs2026.pdf</x:v>
      </x:c>
    </x:row>
    <x:row r="688" ht="66" customHeight="1">
      <x:c r="A688" s="2" t="str">
        <x:v>ADP-0048</x:v>
      </x:c>
      <x:c r="B688" s="2" t="str">
        <x:v>Adaptation</x:v>
      </x:c>
      <x:c r="C688" s="2" t="str">
        <x:v>Agriculture and Forestry</x:v>
      </x:c>
      <x:c r="D688" s="2" t="str">
        <x:v>Increasing crop resilience and productivity</x:v>
      </x:c>
      <x:c r="E688" s="2" t="str">
        <x:v>Crop diversification and new varieties</x:v>
      </x:c>
      <x:c r="F688" s="2" t="str">
        <x:v>Phosphate rock</x:v>
      </x:c>
      <x:c r="G688" s="2" t="str">
        <x:v>Agricultural strategic mineral</x:v>
      </x:c>
      <x:c r="H688" s="2" t="str">
        <x:v>Phosphate rock is linked to Crop diversification and new varieties because it is typically used in phosphorus fertiliser used by the agricultural system; the assignment follows component function, not a sector-wide keyword.</x:v>
      </x:c>
      <x:c r="I688" s="2" t="str">
        <x:v>Presence and quantity in Crop diversification and new varieties depend on the selected design, chemistry, capacity, supplier and recycled content. This analytical link is not a verified bill of materials or supplier traceability statement.</x:v>
      </x:c>
      <x:c r="J688" s="2" t="str">
        <x:v>https://pubs.usgs.gov/periodicals/mcs2026/mcs2026.pdf</x:v>
      </x:c>
    </x:row>
    <x:row r="689" ht="66" customHeight="1">
      <x:c r="A689" s="2" t="str">
        <x:v>ADP-0048</x:v>
      </x:c>
      <x:c r="B689" s="2" t="str">
        <x:v>Adaptation</x:v>
      </x:c>
      <x:c r="C689" s="2" t="str">
        <x:v>Agriculture and Forestry</x:v>
      </x:c>
      <x:c r="D689" s="2" t="str">
        <x:v>Increasing crop resilience and productivity</x:v>
      </x:c>
      <x:c r="E689" s="2" t="str">
        <x:v>Crop diversification and new varieties</x:v>
      </x:c>
      <x:c r="F689" s="2" t="str">
        <x:v>Potash</x:v>
      </x:c>
      <x:c r="G689" s="2" t="str">
        <x:v>Agricultural strategic mineral</x:v>
      </x:c>
      <x:c r="H689" s="2" t="str">
        <x:v>Potash is linked to Crop diversification and new varieties because it is typically used in potassium fertiliser used by the agricultural system; the assignment follows component function, not a sector-wide keyword.</x:v>
      </x:c>
      <x:c r="I689" s="2" t="str">
        <x:v>Presence and quantity in Crop diversification and new varieties depend on the selected design, chemistry, capacity, supplier and recycled content. This analytical link is not a verified bill of materials or supplier traceability statement.</x:v>
      </x:c>
      <x:c r="J689" s="2" t="str">
        <x:v>https://pubs.usgs.gov/periodicals/mcs2026/mcs2026.pdf</x:v>
      </x:c>
    </x:row>
    <x:row r="690" ht="66" customHeight="1">
      <x:c r="A690" s="2" t="str">
        <x:v>ADP-0049</x:v>
      </x:c>
      <x:c r="B690" s="2" t="str">
        <x:v>Adaptation</x:v>
      </x:c>
      <x:c r="C690" s="2" t="str">
        <x:v>Agriculture and Forestry</x:v>
      </x:c>
      <x:c r="D690" s="2" t="str">
        <x:v>Increasing crop resilience and productivity</x:v>
      </x:c>
      <x:c r="E690" s="2" t="str">
        <x:v>Aeroponic seed production</x:v>
      </x:c>
      <x:c r="F690" s="2" t="str">
        <x:v>Phosphate rock</x:v>
      </x:c>
      <x:c r="G690" s="2" t="str">
        <x:v>Agricultural strategic mineral</x:v>
      </x:c>
      <x:c r="H690" s="2" t="str">
        <x:v>Phosphate rock is linked to Aeroponic seed production because it is typically used in phosphorus fertiliser used by the agricultural system; the assignment follows component function, not a sector-wide keyword.</x:v>
      </x:c>
      <x:c r="I690" s="2" t="str">
        <x:v>Presence and quantity in Aeroponic seed production depend on the selected design, chemistry, capacity, supplier and recycled content. This analytical link is not a verified bill of materials or supplier traceability statement.</x:v>
      </x:c>
      <x:c r="J690" s="2" t="str">
        <x:v>https://pubs.usgs.gov/periodicals/mcs2026/mcs2026.pdf</x:v>
      </x:c>
    </x:row>
    <x:row r="691" ht="66" customHeight="1">
      <x:c r="A691" s="2" t="str">
        <x:v>ADP-0049</x:v>
      </x:c>
      <x:c r="B691" s="2" t="str">
        <x:v>Adaptation</x:v>
      </x:c>
      <x:c r="C691" s="2" t="str">
        <x:v>Agriculture and Forestry</x:v>
      </x:c>
      <x:c r="D691" s="2" t="str">
        <x:v>Increasing crop resilience and productivity</x:v>
      </x:c>
      <x:c r="E691" s="2" t="str">
        <x:v>Aeroponic seed production</x:v>
      </x:c>
      <x:c r="F691" s="2" t="str">
        <x:v>Potash</x:v>
      </x:c>
      <x:c r="G691" s="2" t="str">
        <x:v>Agricultural strategic mineral</x:v>
      </x:c>
      <x:c r="H691" s="2" t="str">
        <x:v>Potash is linked to Aeroponic seed production because it is typically used in potassium fertiliser used by the agricultural system; the assignment follows component function, not a sector-wide keyword.</x:v>
      </x:c>
      <x:c r="I691" s="2" t="str">
        <x:v>Presence and quantity in Aeroponic seed production depend on the selected design, chemistry, capacity, supplier and recycled content. This analytical link is not a verified bill of materials or supplier traceability statement.</x:v>
      </x:c>
      <x:c r="J691" s="2" t="str">
        <x:v>https://pubs.usgs.gov/periodicals/mcs2026/mcs2026.pdf</x:v>
      </x:c>
    </x:row>
    <x:row r="692" ht="66" customHeight="1">
      <x:c r="A692" s="2" t="str">
        <x:v>ADP-0050</x:v>
      </x:c>
      <x:c r="B692" s="2" t="str">
        <x:v>Adaptation</x:v>
      </x:c>
      <x:c r="C692" s="2" t="str">
        <x:v>Agriculture and Forestry</x:v>
      </x:c>
      <x:c r="D692" s="2" t="str">
        <x:v>Increasing crop resilience and productivity</x:v>
      </x:c>
      <x:c r="E692" s="2" t="str">
        <x:v>Crop rotation</x:v>
      </x:c>
      <x:c r="F692" s="2" t="str">
        <x:v>Phosphate rock</x:v>
      </x:c>
      <x:c r="G692" s="2" t="str">
        <x:v>Agricultural strategic mineral</x:v>
      </x:c>
      <x:c r="H692" s="2" t="str">
        <x:v>Phosphate rock is linked to Crop rotation because it is typically used in phosphorus fertiliser used by the agricultural system; the assignment follows component function, not a sector-wide keyword.</x:v>
      </x:c>
      <x:c r="I692" s="2" t="str">
        <x:v>Presence and quantity in Crop rotation depend on the selected design, chemistry, capacity, supplier and recycled content. This analytical link is not a verified bill of materials or supplier traceability statement.</x:v>
      </x:c>
      <x:c r="J692" s="2" t="str">
        <x:v>https://pubs.usgs.gov/periodicals/mcs2026/mcs2026.pdf</x:v>
      </x:c>
    </x:row>
    <x:row r="693" ht="66" customHeight="1">
      <x:c r="A693" s="2" t="str">
        <x:v>ADP-0050</x:v>
      </x:c>
      <x:c r="B693" s="2" t="str">
        <x:v>Adaptation</x:v>
      </x:c>
      <x:c r="C693" s="2" t="str">
        <x:v>Agriculture and Forestry</x:v>
      </x:c>
      <x:c r="D693" s="2" t="str">
        <x:v>Increasing crop resilience and productivity</x:v>
      </x:c>
      <x:c r="E693" s="2" t="str">
        <x:v>Crop rotation</x:v>
      </x:c>
      <x:c r="F693" s="2" t="str">
        <x:v>Potash</x:v>
      </x:c>
      <x:c r="G693" s="2" t="str">
        <x:v>Agricultural strategic mineral</x:v>
      </x:c>
      <x:c r="H693" s="2" t="str">
        <x:v>Potash is linked to Crop rotation because it is typically used in potassium fertiliser used by the agricultural system; the assignment follows component function, not a sector-wide keyword.</x:v>
      </x:c>
      <x:c r="I693" s="2" t="str">
        <x:v>Presence and quantity in Crop rotation depend on the selected design, chemistry, capacity, supplier and recycled content. This analytical link is not a verified bill of materials or supplier traceability statement.</x:v>
      </x:c>
      <x:c r="J693" s="2" t="str">
        <x:v>https://pubs.usgs.gov/periodicals/mcs2026/mcs2026.pdf</x:v>
      </x:c>
    </x:row>
    <x:row r="694" ht="66" customHeight="1">
      <x:c r="A694" s="2" t="str">
        <x:v>ADP-0052</x:v>
      </x:c>
      <x:c r="B694" s="2" t="str">
        <x:v>Adaptation</x:v>
      </x:c>
      <x:c r="C694" s="2" t="str">
        <x:v>Agriculture and Forestry</x:v>
      </x:c>
      <x:c r="D694" s="2" t="str">
        <x:v>Livestock management</x:v>
      </x:c>
      <x:c r="E694" s="2" t="str">
        <x:v>Selective breeding via controlled mating</x:v>
      </x:c>
      <x:c r="F694" s="2" t="str">
        <x:v>Copper</x:v>
      </x:c>
      <x:c r="G694" s="2" t="str">
        <x:v>Critical or strategic metal</x:v>
      </x:c>
      <x:c r="H694" s="2" t="str">
        <x:v>Copper is linked to Selective breeding via controlled mating because it is typically used in power cables, windings, busbars, grounding and electrical connectors; the assignment follows component function, not a sector-wide keyword.</x:v>
      </x:c>
      <x:c r="I694" s="2" t="str">
        <x:v>Presence and quantity in Selective breeding via controlled mating depend on the selected design, chemistry, capacity, supplier and recycled content. This analytical link is not a verified bill of materials or supplier traceability statement.</x:v>
      </x:c>
      <x:c r="J694" s="2" t="str">
        <x:v>https://pubs.usgs.gov/periodicals/mcs2026/mcs2026.pdf</x:v>
      </x:c>
    </x:row>
    <x:row r="695" ht="66" customHeight="1">
      <x:c r="A695" s="2" t="str">
        <x:v>ADP-0052</x:v>
      </x:c>
      <x:c r="B695" s="2" t="str">
        <x:v>Adaptation</x:v>
      </x:c>
      <x:c r="C695" s="2" t="str">
        <x:v>Agriculture and Forestry</x:v>
      </x:c>
      <x:c r="D695" s="2" t="str">
        <x:v>Livestock management</x:v>
      </x:c>
      <x:c r="E695" s="2" t="str">
        <x:v>Selective breeding via controlled mating</x:v>
      </x:c>
      <x:c r="F695" s="2" t="str">
        <x:v>Tin</x:v>
      </x:c>
      <x:c r="G695" s="2" t="str">
        <x:v>Electronics strategic metal</x:v>
      </x:c>
      <x:c r="H695" s="2" t="str">
        <x:v>Tin is linked to Selective breeding via controlled mating because it is typically used in electronic solder and selected coatings; the assignment follows component function, not a sector-wide keyword.</x:v>
      </x:c>
      <x:c r="I695" s="2" t="str">
        <x:v>Presence and quantity in Selective breeding via controlled mating depend on the selected design, chemistry, capacity, supplier and recycled content. This analytical link is not a verified bill of materials or supplier traceability statement.</x:v>
      </x:c>
      <x:c r="J695" s="2" t="str">
        <x:v>https://pubs.usgs.gov/periodicals/mcs2026/mcs2026.pdf</x:v>
      </x:c>
    </x:row>
    <x:row r="696" ht="66" customHeight="1">
      <x:c r="A696" s="2" t="str">
        <x:v>ADP-0054</x:v>
      </x:c>
      <x:c r="B696" s="2" t="str">
        <x:v>Adaptation</x:v>
      </x:c>
      <x:c r="C696" s="2" t="str">
        <x:v>Agriculture and Forestry</x:v>
      </x:c>
      <x:c r="D696" s="2" t="str">
        <x:v>Livestock management</x:v>
      </x:c>
      <x:c r="E696" s="2" t="str">
        <x:v>Straw ammoniation and silage</x:v>
      </x:c>
      <x:c r="F696" s="2" t="str">
        <x:v>Platinum-group metals</x:v>
      </x:c>
      <x:c r="G696" s="2" t="str">
        <x:v>Catalyst critical minerals</x:v>
      </x:c>
      <x:c r="H696" s="2" t="str">
        <x:v>Platinum-group metals is linked to Straw ammoniation and silage because it is typically used in electrochemical electrodes or catalytic conversion; the assignment follows component function, not a sector-wide keyword.</x:v>
      </x:c>
      <x:c r="I696" s="2" t="str">
        <x:v>Presence and quantity in Straw ammoniation and silage depend on the selected design, chemistry, capacity, supplier and recycled content. This analytical link is not a verified bill of materials or supplier traceability statement.</x:v>
      </x:c>
      <x:c r="J696" s="2" t="str">
        <x:v>https://pubs.usgs.gov/periodicals/mcs2026/mcs2026.pdf</x:v>
      </x:c>
    </x:row>
    <x:row r="697" ht="66" customHeight="1">
      <x:c r="A697" s="2" t="str">
        <x:v>ADP-0059</x:v>
      </x:c>
      <x:c r="B697" s="2" t="str">
        <x:v>Adaptation</x:v>
      </x:c>
      <x:c r="C697" s="2" t="str">
        <x:v>Agriculture and Forestry</x:v>
      </x:c>
      <x:c r="D697" s="2" t="str">
        <x:v>Livestock management</x:v>
      </x:c>
      <x:c r="E697" s="2" t="str">
        <x:v>Fodder banks</x:v>
      </x:c>
      <x:c r="F697" s="2" t="str">
        <x:v>Phosphate rock</x:v>
      </x:c>
      <x:c r="G697" s="2" t="str">
        <x:v>Agricultural strategic mineral</x:v>
      </x:c>
      <x:c r="H697" s="2" t="str">
        <x:v>Phosphate rock is linked to Fodder banks because it is typically used in phosphorus fertiliser used by the agricultural system; the assignment follows component function, not a sector-wide keyword.</x:v>
      </x:c>
      <x:c r="I697" s="2" t="str">
        <x:v>Presence and quantity in Fodder banks depend on the selected design, chemistry, capacity, supplier and recycled content. This analytical link is not a verified bill of materials or supplier traceability statement.</x:v>
      </x:c>
      <x:c r="J697" s="2" t="str">
        <x:v>https://pubs.usgs.gov/periodicals/mcs2026/mcs2026.pdf</x:v>
      </x:c>
    </x:row>
    <x:row r="698" ht="66" customHeight="1">
      <x:c r="A698" s="2" t="str">
        <x:v>ADP-0059</x:v>
      </x:c>
      <x:c r="B698" s="2" t="str">
        <x:v>Adaptation</x:v>
      </x:c>
      <x:c r="C698" s="2" t="str">
        <x:v>Agriculture and Forestry</x:v>
      </x:c>
      <x:c r="D698" s="2" t="str">
        <x:v>Livestock management</x:v>
      </x:c>
      <x:c r="E698" s="2" t="str">
        <x:v>Fodder banks</x:v>
      </x:c>
      <x:c r="F698" s="2" t="str">
        <x:v>Potash</x:v>
      </x:c>
      <x:c r="G698" s="2" t="str">
        <x:v>Agricultural strategic mineral</x:v>
      </x:c>
      <x:c r="H698" s="2" t="str">
        <x:v>Potash is linked to Fodder banks because it is typically used in potassium fertiliser used by the agricultural system; the assignment follows component function, not a sector-wide keyword.</x:v>
      </x:c>
      <x:c r="I698" s="2" t="str">
        <x:v>Presence and quantity in Fodder banks depend on the selected design, chemistry, capacity, supplier and recycled content. This analytical link is not a verified bill of materials or supplier traceability statement.</x:v>
      </x:c>
      <x:c r="J698" s="2" t="str">
        <x:v>https://pubs.usgs.gov/periodicals/mcs2026/mcs2026.pdf</x:v>
      </x:c>
    </x:row>
    <x:row r="699" ht="66" customHeight="1">
      <x:c r="A699" s="2" t="str">
        <x:v>ADP-0062</x:v>
      </x:c>
      <x:c r="B699" s="2" t="str">
        <x:v>Adaptation</x:v>
      </x:c>
      <x:c r="C699" s="2" t="str">
        <x:v>Agriculture and Forestry</x:v>
      </x:c>
      <x:c r="D699" s="2" t="str">
        <x:v>Livestock management</x:v>
      </x:c>
      <x:c r="E699" s="2" t="str">
        <x:v>Pasture management</x:v>
      </x:c>
      <x:c r="F699" s="2" t="str">
        <x:v>Phosphate rock</x:v>
      </x:c>
      <x:c r="G699" s="2" t="str">
        <x:v>Agricultural strategic mineral</x:v>
      </x:c>
      <x:c r="H699" s="2" t="str">
        <x:v>Phosphate rock is linked to Pasture management because it is typically used in phosphorus fertiliser used by the agricultural system; the assignment follows component function, not a sector-wide keyword.</x:v>
      </x:c>
      <x:c r="I699" s="2" t="str">
        <x:v>Presence and quantity in Pasture management depend on the selected design, chemistry, capacity, supplier and recycled content. This analytical link is not a verified bill of materials or supplier traceability statement.</x:v>
      </x:c>
      <x:c r="J699" s="2" t="str">
        <x:v>https://pubs.usgs.gov/periodicals/mcs2026/mcs2026.pdf</x:v>
      </x:c>
    </x:row>
    <x:row r="700" ht="66" customHeight="1">
      <x:c r="A700" s="2" t="str">
        <x:v>ADP-0062</x:v>
      </x:c>
      <x:c r="B700" s="2" t="str">
        <x:v>Adaptation</x:v>
      </x:c>
      <x:c r="C700" s="2" t="str">
        <x:v>Agriculture and Forestry</x:v>
      </x:c>
      <x:c r="D700" s="2" t="str">
        <x:v>Livestock management</x:v>
      </x:c>
      <x:c r="E700" s="2" t="str">
        <x:v>Pasture management</x:v>
      </x:c>
      <x:c r="F700" s="2" t="str">
        <x:v>Potash</x:v>
      </x:c>
      <x:c r="G700" s="2" t="str">
        <x:v>Agricultural strategic mineral</x:v>
      </x:c>
      <x:c r="H700" s="2" t="str">
        <x:v>Potash is linked to Pasture management because it is typically used in potassium fertiliser used by the agricultural system; the assignment follows component function, not a sector-wide keyword.</x:v>
      </x:c>
      <x:c r="I700" s="2" t="str">
        <x:v>Presence and quantity in Pasture management depend on the selected design, chemistry, capacity, supplier and recycled content. This analytical link is not a verified bill of materials or supplier traceability statement.</x:v>
      </x:c>
      <x:c r="J700" s="2" t="str">
        <x:v>https://pubs.usgs.gov/periodicals/mcs2026/mcs2026.pdf</x:v>
      </x:c>
    </x:row>
    <x:row r="701" ht="66" customHeight="1">
      <x:c r="A701" s="2" t="str">
        <x:v>ADP-0067</x:v>
      </x:c>
      <x:c r="B701" s="2" t="str">
        <x:v>Adaptation</x:v>
      </x:c>
      <x:c r="C701" s="2" t="str">
        <x:v>Water</x:v>
      </x:c>
      <x:c r="D701" s="2" t="str">
        <x:v>Water efficiency and demand management</x:v>
      </x:c>
      <x:c r="E701" s="2" t="str">
        <x:v>Water efficiency in industry</x:v>
      </x:c>
      <x:c r="F701" s="2" t="str">
        <x:v>Iron ore / steel inputs</x:v>
      </x:c>
      <x:c r="G701" s="2" t="str">
        <x:v>Bulk and strategic mineral input</x:v>
      </x:c>
      <x:c r="H701" s="2" t="str">
        <x:v>Iron ore / steel inputs is linked to Water efficiency in industry because it is typically used in load-bearing structures, pressure vessels, piping or machinery; the assignment follows component function, not a sector-wide keyword.</x:v>
      </x:c>
      <x:c r="I701" s="2" t="str">
        <x:v>Presence and quantity in Water efficiency in industry depend on the selected design, chemistry, capacity, supplier and recycled content. This analytical link is not a verified bill of materials or supplier traceability statement.</x:v>
      </x:c>
      <x:c r="J701" s="2" t="str">
        <x:v>https://pubs.usgs.gov/periodicals/mcs2026/mcs2026.pdf</x:v>
      </x:c>
    </x:row>
    <x:row r="702" ht="66" customHeight="1">
      <x:c r="A702" s="2" t="str">
        <x:v>ADP-0068</x:v>
      </x:c>
      <x:c r="B702" s="2" t="str">
        <x:v>Adaptation</x:v>
      </x:c>
      <x:c r="C702" s="2" t="str">
        <x:v>Water</x:v>
      </x:c>
      <x:c r="D702" s="2" t="str">
        <x:v>Water efficiency and demand management</x:v>
      </x:c>
      <x:c r="E702" s="2" t="str">
        <x:v>Leakage management in piped systems</x:v>
      </x:c>
      <x:c r="F702" s="2" t="str">
        <x:v>Iron ore / steel inputs</x:v>
      </x:c>
      <x:c r="G702" s="2" t="str">
        <x:v>Bulk and strategic mineral input</x:v>
      </x:c>
      <x:c r="H702" s="2" t="str">
        <x:v>Iron ore / steel inputs is linked to Leakage management in piped systems because it is typically used in load-bearing structures, pressure vessels, piping or machinery; the assignment follows component function, not a sector-wide keyword.</x:v>
      </x:c>
      <x:c r="I702" s="2" t="str">
        <x:v>Presence and quantity in Leakage management in piped systems depend on the selected design, chemistry, capacity, supplier and recycled content. This analytical link is not a verified bill of materials or supplier traceability statement.</x:v>
      </x:c>
      <x:c r="J702" s="2" t="str">
        <x:v>https://pubs.usgs.gov/periodicals/mcs2026/mcs2026.pdf</x:v>
      </x:c>
    </x:row>
    <x:row r="703" ht="66" customHeight="1">
      <x:c r="A703" s="2" t="str">
        <x:v>ADP-0069</x:v>
      </x:c>
      <x:c r="B703" s="2" t="str">
        <x:v>Adaptation</x:v>
      </x:c>
      <x:c r="C703" s="2" t="str">
        <x:v>Water</x:v>
      </x:c>
      <x:c r="D703" s="2" t="str">
        <x:v>Water efficiency and demand management</x:v>
      </x:c>
      <x:c r="E703" s="2" t="str">
        <x:v>Water accounting</x:v>
      </x:c>
      <x:c r="F703" s="2" t="str">
        <x:v>Iron ore / steel inputs</x:v>
      </x:c>
      <x:c r="G703" s="2" t="str">
        <x:v>Bulk and strategic mineral input</x:v>
      </x:c>
      <x:c r="H703" s="2" t="str">
        <x:v>Iron ore / steel inputs is linked to Water accounting because it is typically used in load-bearing structures, pressure vessels, piping or machinery; the assignment follows component function, not a sector-wide keyword.</x:v>
      </x:c>
      <x:c r="I703" s="2" t="str">
        <x:v>Presence and quantity in Water accounting depend on the selected design, chemistry, capacity, supplier and recycled content. This analytical link is not a verified bill of materials or supplier traceability statement.</x:v>
      </x:c>
      <x:c r="J703" s="2" t="str">
        <x:v>https://pubs.usgs.gov/periodicals/mcs2026/mcs2026.pdf</x:v>
      </x:c>
    </x:row>
    <x:row r="704" ht="66" customHeight="1">
      <x:c r="A704" s="2" t="str">
        <x:v>ADP-0072</x:v>
      </x:c>
      <x:c r="B704" s="2" t="str">
        <x:v>Adaptation</x:v>
      </x:c>
      <x:c r="C704" s="2" t="str">
        <x:v>Water</x:v>
      </x:c>
      <x:c r="D704" s="2" t="str">
        <x:v>Water efficiency and demand management</x:v>
      </x:c>
      <x:c r="E704" s="2" t="str">
        <x:v>Water savings requirements in building codes</x:v>
      </x:c>
      <x:c r="F704" s="2" t="str">
        <x:v>Iron ore / steel inputs</x:v>
      </x:c>
      <x:c r="G704" s="2" t="str">
        <x:v>Bulk and strategic mineral input</x:v>
      </x:c>
      <x:c r="H704" s="2" t="str">
        <x:v>Iron ore / steel inputs is linked to Water savings requirements in building codes because it is typically used in load-bearing structures, pressure vessels, piping or machinery; the assignment follows component function, not a sector-wide keyword.</x:v>
      </x:c>
      <x:c r="I704" s="2" t="str">
        <x:v>Presence and quantity in Water savings requirements in building codes depend on the selected design, chemistry, capacity, supplier and recycled content. This analytical link is not a verified bill of materials or supplier traceability statement.</x:v>
      </x:c>
      <x:c r="J704" s="2" t="str">
        <x:v>https://pubs.usgs.gov/periodicals/mcs2026/mcs2026.pdf</x:v>
      </x:c>
    </x:row>
    <x:row r="705" ht="66" customHeight="1">
      <x:c r="A705" s="2" t="str">
        <x:v>ADP-0072</x:v>
      </x:c>
      <x:c r="B705" s="2" t="str">
        <x:v>Adaptation</x:v>
      </x:c>
      <x:c r="C705" s="2" t="str">
        <x:v>Water</x:v>
      </x:c>
      <x:c r="D705" s="2" t="str">
        <x:v>Water efficiency and demand management</x:v>
      </x:c>
      <x:c r="E705" s="2" t="str">
        <x:v>Water savings requirements in building codes</x:v>
      </x:c>
      <x:c r="F705" s="2" t="str">
        <x:v>Limestone / cement raw materials</x:v>
      </x:c>
      <x:c r="G705" s="2" t="str">
        <x:v>Bulk construction material</x:v>
      </x:c>
      <x:c r="H705" s="2" t="str">
        <x:v>Limestone / cement raw materials is linked to Water savings requirements in building codes because it is typically used in concrete foundations, channels, buildings or protective civil works; the assignment follows component function, not a sector-wide keyword.</x:v>
      </x:c>
      <x:c r="I705" s="2" t="str">
        <x:v>Presence and quantity in Water savings requirements in building codes depend on the selected design, chemistry, capacity, supplier and recycled content. This analytical link is not a verified bill of materials or supplier traceability statement.</x:v>
      </x:c>
      <x:c r="J705" s="2" t="str">
        <x:v>https://pubs.usgs.gov/periodicals/mcs2026/mcs2026.pdf</x:v>
      </x:c>
    </x:row>
    <x:row r="706" ht="66" customHeight="1">
      <x:c r="A706" s="2" t="str">
        <x:v>ADP-0075</x:v>
      </x:c>
      <x:c r="B706" s="2" t="str">
        <x:v>Adaptation</x:v>
      </x:c>
      <x:c r="C706" s="2" t="str">
        <x:v>Water</x:v>
      </x:c>
      <x:c r="D706" s="2" t="str">
        <x:v>Adaptation planning</x:v>
      </x:c>
      <x:c r="E706" s="2" t="str">
        <x:v>Hazard mapping</x:v>
      </x:c>
      <x:c r="F706" s="2" t="str">
        <x:v>Copper</x:v>
      </x:c>
      <x:c r="G706" s="2" t="str">
        <x:v>Critical or strategic metal</x:v>
      </x:c>
      <x:c r="H706" s="2" t="str">
        <x:v>Copper is linked to Hazard mapping because it is typically used in power cables, windings, busbars, grounding and electrical connectors; the assignment follows component function, not a sector-wide keyword.</x:v>
      </x:c>
      <x:c r="I706" s="2" t="str">
        <x:v>Presence and quantity in Hazard mapping depend on the selected design, chemistry, capacity, supplier and recycled content. This analytical link is not a verified bill of materials or supplier traceability statement.</x:v>
      </x:c>
      <x:c r="J706" s="2" t="str">
        <x:v>https://pubs.usgs.gov/periodicals/mcs2026/mcs2026.pdf</x:v>
      </x:c>
    </x:row>
    <x:row r="707" ht="66" customHeight="1">
      <x:c r="A707" s="2" t="str">
        <x:v>ADP-0075</x:v>
      </x:c>
      <x:c r="B707" s="2" t="str">
        <x:v>Adaptation</x:v>
      </x:c>
      <x:c r="C707" s="2" t="str">
        <x:v>Water</x:v>
      </x:c>
      <x:c r="D707" s="2" t="str">
        <x:v>Adaptation planning</x:v>
      </x:c>
      <x:c r="E707" s="2" t="str">
        <x:v>Hazard mapping</x:v>
      </x:c>
      <x:c r="F707" s="2" t="str">
        <x:v>Tin</x:v>
      </x:c>
      <x:c r="G707" s="2" t="str">
        <x:v>Electronics strategic metal</x:v>
      </x:c>
      <x:c r="H707" s="2" t="str">
        <x:v>Tin is linked to Hazard mapping because it is typically used in electronic solder and selected coatings; the assignment follows component function, not a sector-wide keyword.</x:v>
      </x:c>
      <x:c r="I707" s="2" t="str">
        <x:v>Presence and quantity in Hazard mapping depend on the selected design, chemistry, capacity, supplier and recycled content. This analytical link is not a verified bill of materials or supplier traceability statement.</x:v>
      </x:c>
      <x:c r="J707" s="2" t="str">
        <x:v>https://pubs.usgs.gov/periodicals/mcs2026/mcs2026.pdf</x:v>
      </x:c>
    </x:row>
    <x:row r="708" ht="66" customHeight="1">
      <x:c r="A708" s="2" t="str">
        <x:v>ADP-0076</x:v>
      </x:c>
      <x:c r="B708" s="2" t="str">
        <x:v>Adaptation</x:v>
      </x:c>
      <x:c r="C708" s="2" t="str">
        <x:v>Water</x:v>
      </x:c>
      <x:c r="D708" s="2" t="str">
        <x:v>Adaptation planning</x:v>
      </x:c>
      <x:c r="E708" s="2" t="str">
        <x:v>seasonal to interannual weather forecast</x:v>
      </x:c>
      <x:c r="F708" s="2" t="str">
        <x:v>Copper</x:v>
      </x:c>
      <x:c r="G708" s="2" t="str">
        <x:v>Critical or strategic metal</x:v>
      </x:c>
      <x:c r="H708" s="2" t="str">
        <x:v>Copper is linked to seasonal to interannual weather forecast because it is typically used in power cables, windings, busbars, grounding and electrical connectors; the assignment follows component function, not a sector-wide keyword.</x:v>
      </x:c>
      <x:c r="I708" s="2" t="str">
        <x:v>Presence and quantity in seasonal to interannual weather forecast depend on the selected design, chemistry, capacity, supplier and recycled content. This analytical link is not a verified bill of materials or supplier traceability statement.</x:v>
      </x:c>
      <x:c r="J708" s="2" t="str">
        <x:v>https://pubs.usgs.gov/periodicals/mcs2026/mcs2026.pdf</x:v>
      </x:c>
    </x:row>
    <x:row r="709" ht="66" customHeight="1">
      <x:c r="A709" s="2" t="str">
        <x:v>ADP-0076</x:v>
      </x:c>
      <x:c r="B709" s="2" t="str">
        <x:v>Adaptation</x:v>
      </x:c>
      <x:c r="C709" s="2" t="str">
        <x:v>Water</x:v>
      </x:c>
      <x:c r="D709" s="2" t="str">
        <x:v>Adaptation planning</x:v>
      </x:c>
      <x:c r="E709" s="2" t="str">
        <x:v>seasonal to interannual weather forecast</x:v>
      </x:c>
      <x:c r="F709" s="2" t="str">
        <x:v>Tin</x:v>
      </x:c>
      <x:c r="G709" s="2" t="str">
        <x:v>Electronics strategic metal</x:v>
      </x:c>
      <x:c r="H709" s="2" t="str">
        <x:v>Tin is linked to seasonal to interannual weather forecast because it is typically used in electronic solder and selected coatings; the assignment follows component function, not a sector-wide keyword.</x:v>
      </x:c>
      <x:c r="I709" s="2" t="str">
        <x:v>Presence and quantity in seasonal to interannual weather forecast depend on the selected design, chemistry, capacity, supplier and recycled content. This analytical link is not a verified bill of materials or supplier traceability statement.</x:v>
      </x:c>
      <x:c r="J709" s="2" t="str">
        <x:v>https://pubs.usgs.gov/periodicals/mcs2026/mcs2026.pdf</x:v>
      </x:c>
    </x:row>
    <x:row r="710" ht="66" customHeight="1">
      <x:c r="A710" s="2" t="str">
        <x:v>ADP-0078</x:v>
      </x:c>
      <x:c r="B710" s="2" t="str">
        <x:v>Adaptation</x:v>
      </x:c>
      <x:c r="C710" s="2" t="str">
        <x:v>Water</x:v>
      </x:c>
      <x:c r="D710" s="2" t="str">
        <x:v>Adaptation planning</x:v>
      </x:c>
      <x:c r="E710" s="2" t="str">
        <x:v>Hazard mapping solutions</x:v>
      </x:c>
      <x:c r="F710" s="2" t="str">
        <x:v>Copper</x:v>
      </x:c>
      <x:c r="G710" s="2" t="str">
        <x:v>Critical or strategic metal</x:v>
      </x:c>
      <x:c r="H710" s="2" t="str">
        <x:v>Copper is linked to Hazard mapping solutions because it is typically used in power cables, windings, busbars, grounding and electrical connectors; the assignment follows component function, not a sector-wide keyword.</x:v>
      </x:c>
      <x:c r="I710" s="2" t="str">
        <x:v>Presence and quantity in Hazard mapping solutions depend on the selected design, chemistry, capacity, supplier and recycled content. This analytical link is not a verified bill of materials or supplier traceability statement.</x:v>
      </x:c>
      <x:c r="J710" s="2" t="str">
        <x:v>https://pubs.usgs.gov/periodicals/mcs2026/mcs2026.pdf</x:v>
      </x:c>
    </x:row>
    <x:row r="711" ht="66" customHeight="1">
      <x:c r="A711" s="2" t="str">
        <x:v>ADP-0078</x:v>
      </x:c>
      <x:c r="B711" s="2" t="str">
        <x:v>Adaptation</x:v>
      </x:c>
      <x:c r="C711" s="2" t="str">
        <x:v>Water</x:v>
      </x:c>
      <x:c r="D711" s="2" t="str">
        <x:v>Adaptation planning</x:v>
      </x:c>
      <x:c r="E711" s="2" t="str">
        <x:v>Hazard mapping solutions</x:v>
      </x:c>
      <x:c r="F711" s="2" t="str">
        <x:v>Tin</x:v>
      </x:c>
      <x:c r="G711" s="2" t="str">
        <x:v>Electronics strategic metal</x:v>
      </x:c>
      <x:c r="H711" s="2" t="str">
        <x:v>Tin is linked to Hazard mapping solutions because it is typically used in electronic solder and selected coatings; the assignment follows component function, not a sector-wide keyword.</x:v>
      </x:c>
      <x:c r="I711" s="2" t="str">
        <x:v>Presence and quantity in Hazard mapping solutions depend on the selected design, chemistry, capacity, supplier and recycled content. This analytical link is not a verified bill of materials or supplier traceability statement.</x:v>
      </x:c>
      <x:c r="J711" s="2" t="str">
        <x:v>https://pubs.usgs.gov/periodicals/mcs2026/mcs2026.pdf</x:v>
      </x:c>
    </x:row>
    <x:row r="712" ht="66" customHeight="1">
      <x:c r="A712" s="2" t="str">
        <x:v>ADP-0079</x:v>
      </x:c>
      <x:c r="B712" s="2" t="str">
        <x:v>Adaptation</x:v>
      </x:c>
      <x:c r="C712" s="2" t="str">
        <x:v>Water</x:v>
      </x:c>
      <x:c r="D712" s="2" t="str">
        <x:v>Adaptation planning</x:v>
      </x:c>
      <x:c r="E712" s="2" t="str">
        <x:v>Flood hazard mapping</x:v>
      </x:c>
      <x:c r="F712" s="2" t="str">
        <x:v>Copper</x:v>
      </x:c>
      <x:c r="G712" s="2" t="str">
        <x:v>Critical or strategic metal</x:v>
      </x:c>
      <x:c r="H712" s="2" t="str">
        <x:v>Copper is linked to Flood hazard mapping because it is typically used in power cables, windings, busbars, grounding and electrical connectors; the assignment follows component function, not a sector-wide keyword.</x:v>
      </x:c>
      <x:c r="I712" s="2" t="str">
        <x:v>Presence and quantity in Flood hazard mapping depend on the selected design, chemistry, capacity, supplier and recycled content. This analytical link is not a verified bill of materials or supplier traceability statement.</x:v>
      </x:c>
      <x:c r="J712" s="2" t="str">
        <x:v>https://pubs.usgs.gov/periodicals/mcs2026/mcs2026.pdf</x:v>
      </x:c>
    </x:row>
    <x:row r="713" ht="66" customHeight="1">
      <x:c r="A713" s="2" t="str">
        <x:v>ADP-0079</x:v>
      </x:c>
      <x:c r="B713" s="2" t="str">
        <x:v>Adaptation</x:v>
      </x:c>
      <x:c r="C713" s="2" t="str">
        <x:v>Water</x:v>
      </x:c>
      <x:c r="D713" s="2" t="str">
        <x:v>Adaptation planning</x:v>
      </x:c>
      <x:c r="E713" s="2" t="str">
        <x:v>Flood hazard mapping</x:v>
      </x:c>
      <x:c r="F713" s="2" t="str">
        <x:v>Tin</x:v>
      </x:c>
      <x:c r="G713" s="2" t="str">
        <x:v>Electronics strategic metal</x:v>
      </x:c>
      <x:c r="H713" s="2" t="str">
        <x:v>Tin is linked to Flood hazard mapping because it is typically used in electronic solder and selected coatings; the assignment follows component function, not a sector-wide keyword.</x:v>
      </x:c>
      <x:c r="I713" s="2" t="str">
        <x:v>Presence and quantity in Flood hazard mapping depend on the selected design, chemistry, capacity, supplier and recycled content. This analytical link is not a verified bill of materials or supplier traceability statement.</x:v>
      </x:c>
      <x:c r="J713" s="2" t="str">
        <x:v>https://pubs.usgs.gov/periodicals/mcs2026/mcs2026.pdf</x:v>
      </x:c>
    </x:row>
    <x:row r="714" ht="66" customHeight="1">
      <x:c r="A714" s="2" t="str">
        <x:v>ADP-0089</x:v>
      </x:c>
      <x:c r="B714" s="2" t="str">
        <x:v>Adaptation</x:v>
      </x:c>
      <x:c r="C714" s="2" t="str">
        <x:v>Water</x:v>
      </x:c>
      <x:c r="D714" s="2" t="str">
        <x:v>Water augmentation (increasing capture and storage of surface run-off)</x:v>
      </x:c>
      <x:c r="E714" s="2" t="str">
        <x:v>Rainwater harvesting</x:v>
      </x:c>
      <x:c r="F714" s="2" t="str">
        <x:v>Iron ore / steel inputs</x:v>
      </x:c>
      <x:c r="G714" s="2" t="str">
        <x:v>Bulk and strategic mineral input</x:v>
      </x:c>
      <x:c r="H714" s="2" t="str">
        <x:v>Iron ore / steel inputs is linked to Rainwater harvesting because it is typically used in load-bearing structures, pressure vessels, piping or machinery; the assignment follows component function, not a sector-wide keyword.</x:v>
      </x:c>
      <x:c r="I714" s="2" t="str">
        <x:v>Presence and quantity in Rainwater harvesting depend on the selected design, chemistry, capacity, supplier and recycled content. This analytical link is not a verified bill of materials or supplier traceability statement.</x:v>
      </x:c>
      <x:c r="J714" s="2" t="str">
        <x:v>https://pubs.usgs.gov/periodicals/mcs2026/mcs2026.pdf</x:v>
      </x:c>
    </x:row>
    <x:row r="715" ht="66" customHeight="1">
      <x:c r="A715" s="2" t="str">
        <x:v>ADP-0091</x:v>
      </x:c>
      <x:c r="B715" s="2" t="str">
        <x:v>Adaptation</x:v>
      </x:c>
      <x:c r="C715" s="2" t="str">
        <x:v>Water</x:v>
      </x:c>
      <x:c r="D715" s="2" t="str">
        <x:v>Water augmentation (increasing capture and storage of surface run-off)</x:v>
      </x:c>
      <x:c r="E715" s="2" t="str">
        <x:v>Watershed conservation</x:v>
      </x:c>
      <x:c r="F715" s="2" t="str">
        <x:v>Iron ore / steel inputs</x:v>
      </x:c>
      <x:c r="G715" s="2" t="str">
        <x:v>Bulk and strategic mineral input</x:v>
      </x:c>
      <x:c r="H715" s="2" t="str">
        <x:v>Iron ore / steel inputs is linked to Watershed conservation because it is typically used in load-bearing structures, pressure vessels, piping or machinery; the assignment follows component function, not a sector-wide keyword.</x:v>
      </x:c>
      <x:c r="I715" s="2" t="str">
        <x:v>Presence and quantity in Watershed conservation depend on the selected design, chemistry, capacity, supplier and recycled content. This analytical link is not a verified bill of materials or supplier traceability statement.</x:v>
      </x:c>
      <x:c r="J715" s="2" t="str">
        <x:v>https://pubs.usgs.gov/periodicals/mcs2026/mcs2026.pdf</x:v>
      </x:c>
    </x:row>
    <x:row r="716" ht="66" customHeight="1">
      <x:c r="A716" s="2" t="str">
        <x:v>ADP-0092</x:v>
      </x:c>
      <x:c r="B716" s="2" t="str">
        <x:v>Adaptation</x:v>
      </x:c>
      <x:c r="C716" s="2" t="str">
        <x:v>Water</x:v>
      </x:c>
      <x:c r="D716" s="2" t="str">
        <x:v>Water augmentation (increasing capture and storage of surface run-off)</x:v>
      </x:c>
      <x:c r="E716" s="2" t="str">
        <x:v>Source water protection</x:v>
      </x:c>
      <x:c r="F716" s="2" t="str">
        <x:v>Iron ore / steel inputs</x:v>
      </x:c>
      <x:c r="G716" s="2" t="str">
        <x:v>Bulk and strategic mineral input</x:v>
      </x:c>
      <x:c r="H716" s="2" t="str">
        <x:v>Iron ore / steel inputs is linked to Source water protection because it is typically used in load-bearing structures, pressure vessels, piping or machinery; the assignment follows component function, not a sector-wide keyword.</x:v>
      </x:c>
      <x:c r="I716" s="2" t="str">
        <x:v>Presence and quantity in Source water protection depend on the selected design, chemistry, capacity, supplier and recycled content. This analytical link is not a verified bill of materials or supplier traceability statement.</x:v>
      </x:c>
      <x:c r="J716" s="2" t="str">
        <x:v>https://pubs.usgs.gov/periodicals/mcs2026/mcs2026.pdf</x:v>
      </x:c>
    </x:row>
    <x:row r="717" ht="66" customHeight="1">
      <x:c r="A717" s="2" t="str">
        <x:v>ADP-0093</x:v>
      </x:c>
      <x:c r="B717" s="2" t="str">
        <x:v>Adaptation</x:v>
      </x:c>
      <x:c r="C717" s="2" t="str">
        <x:v>Water</x:v>
      </x:c>
      <x:c r="D717" s="2" t="str">
        <x:v>Hydropower</x:v>
      </x:c>
      <x:c r="E717" s="2" t="str">
        <x:v>Multi-purpose dams</x:v>
      </x:c>
      <x:c r="F717" s="2" t="str">
        <x:v>Iron ore / steel inputs</x:v>
      </x:c>
      <x:c r="G717" s="2" t="str">
        <x:v>Bulk and strategic mineral input</x:v>
      </x:c>
      <x:c r="H717" s="2" t="str">
        <x:v>Iron ore / steel inputs is linked to Multi-purpose dams because it is typically used in load-bearing structures, pressure vessels, piping or machinery; the assignment follows component function, not a sector-wide keyword.</x:v>
      </x:c>
      <x:c r="I717" s="2" t="str">
        <x:v>Presence and quantity in Multi-purpose dams depend on the selected design, chemistry, capacity, supplier and recycled content. This analytical link is not a verified bill of materials or supplier traceability statement.</x:v>
      </x:c>
      <x:c r="J717" s="2" t="str">
        <x:v>https://pubs.usgs.gov/periodicals/mcs2026/mcs2026.pdf</x:v>
      </x:c>
    </x:row>
    <x:row r="718" ht="66" customHeight="1">
      <x:c r="A718" s="2" t="str">
        <x:v>ADP-0093</x:v>
      </x:c>
      <x:c r="B718" s="2" t="str">
        <x:v>Adaptation</x:v>
      </x:c>
      <x:c r="C718" s="2" t="str">
        <x:v>Water</x:v>
      </x:c>
      <x:c r="D718" s="2" t="str">
        <x:v>Hydropower</x:v>
      </x:c>
      <x:c r="E718" s="2" t="str">
        <x:v>Multi-purpose dams</x:v>
      </x:c>
      <x:c r="F718" s="2" t="str">
        <x:v>Limestone / cement raw materials</x:v>
      </x:c>
      <x:c r="G718" s="2" t="str">
        <x:v>Bulk construction material</x:v>
      </x:c>
      <x:c r="H718" s="2" t="str">
        <x:v>Limestone / cement raw materials is linked to Multi-purpose dams because it is typically used in concrete foundations, channels, buildings or protective civil works; the assignment follows component function, not a sector-wide keyword.</x:v>
      </x:c>
      <x:c r="I718" s="2" t="str">
        <x:v>Presence and quantity in Multi-purpose dams depend on the selected design, chemistry, capacity, supplier and recycled content. This analytical link is not a verified bill of materials or supplier traceability statement.</x:v>
      </x:c>
      <x:c r="J718" s="2" t="str">
        <x:v>https://pubs.usgs.gov/periodicals/mcs2026/mcs2026.pdf</x:v>
      </x:c>
    </x:row>
    <x:row r="719" ht="66" customHeight="1">
      <x:c r="A719" s="2" t="str">
        <x:v>ADP-0094</x:v>
      </x:c>
      <x:c r="B719" s="2" t="str">
        <x:v>Adaptation</x:v>
      </x:c>
      <x:c r="C719" s="2" t="str">
        <x:v>Water</x:v>
      </x:c>
      <x:c r="D719" s="2" t="str">
        <x:v>Hydropower</x:v>
      </x:c>
      <x:c r="E719" s="2" t="str">
        <x:v>Small hydropower</x:v>
      </x:c>
      <x:c r="F719" s="2" t="str">
        <x:v>Iron ore / steel inputs</x:v>
      </x:c>
      <x:c r="G719" s="2" t="str">
        <x:v>Bulk and strategic mineral input</x:v>
      </x:c>
      <x:c r="H719" s="2" t="str">
        <x:v>Iron ore / steel inputs is linked to Small hydropower because it is typically used in load-bearing structures, pressure vessels, piping or machinery; the assignment follows component function, not a sector-wide keyword.</x:v>
      </x:c>
      <x:c r="I719" s="2" t="str">
        <x:v>Presence and quantity in Small hydropower depend on the selected design, chemistry, capacity, supplier and recycled content. This analytical link is not a verified bill of materials or supplier traceability statement.</x:v>
      </x:c>
      <x:c r="J719" s="2" t="str">
        <x:v>https://pubs.usgs.gov/periodicals/mcs2026/mcs2026.pdf</x:v>
      </x:c>
    </x:row>
    <x:row r="720" ht="66" customHeight="1">
      <x:c r="A720" s="2" t="str">
        <x:v>ADP-0095</x:v>
      </x:c>
      <x:c r="B720" s="2" t="str">
        <x:v>Adaptation</x:v>
      </x:c>
      <x:c r="C720" s="2" t="str">
        <x:v>Water</x:v>
      </x:c>
      <x:c r="D720" s="2" t="str">
        <x:v>Hydropower</x:v>
      </x:c>
      <x:c r="E720" s="2" t="str">
        <x:v>Large hydropower</x:v>
      </x:c>
      <x:c r="F720" s="2" t="str">
        <x:v>Iron ore / steel inputs</x:v>
      </x:c>
      <x:c r="G720" s="2" t="str">
        <x:v>Bulk and strategic mineral input</x:v>
      </x:c>
      <x:c r="H720" s="2" t="str">
        <x:v>Iron ore / steel inputs is linked to Large hydropower because it is typically used in load-bearing structures, pressure vessels, piping or machinery; the assignment follows component function, not a sector-wide keyword.</x:v>
      </x:c>
      <x:c r="I720" s="2" t="str">
        <x:v>Presence and quantity in Large hydropower depend on the selected design, chemistry, capacity, supplier and recycled content. This analytical link is not a verified bill of materials or supplier traceability statement.</x:v>
      </x:c>
      <x:c r="J720" s="2" t="str">
        <x:v>https://pubs.usgs.gov/periodicals/mcs2026/mcs2026.pdf</x:v>
      </x:c>
    </x:row>
    <x:row r="721" ht="66" customHeight="1">
      <x:c r="A721" s="2" t="str">
        <x:v>ADP-0096</x:v>
      </x:c>
      <x:c r="B721" s="2" t="str">
        <x:v>Adaptation</x:v>
      </x:c>
      <x:c r="C721" s="2" t="str">
        <x:v>Water</x:v>
      </x:c>
      <x:c r="D721" s="2" t="str">
        <x:v>Hydropower</x:v>
      </x:c>
      <x:c r="E721" s="2" t="str">
        <x:v>Embedding climate variability in hydropower design</x:v>
      </x:c>
      <x:c r="F721" s="2" t="str">
        <x:v>Iron ore / steel inputs</x:v>
      </x:c>
      <x:c r="G721" s="2" t="str">
        <x:v>Bulk and strategic mineral input</x:v>
      </x:c>
      <x:c r="H721" s="2" t="str">
        <x:v>Iron ore / steel inputs is linked to Embedding climate variability in hydropower design because it is typically used in load-bearing structures, pressure vessels, piping or machinery; the assignment follows component function, not a sector-wide keyword.</x:v>
      </x:c>
      <x:c r="I721" s="2" t="str">
        <x:v>Presence and quantity in Embedding climate variability in hydropower design depend on the selected design, chemistry, capacity, supplier and recycled content. This analytical link is not a verified bill of materials or supplier traceability statement.</x:v>
      </x:c>
      <x:c r="J721" s="2" t="str">
        <x:v>https://pubs.usgs.gov/periodicals/mcs2026/mcs2026.pdf</x:v>
      </x:c>
    </x:row>
    <x:row r="722" ht="66" customHeight="1">
      <x:c r="A722" s="2" t="str">
        <x:v>ADP-0097</x:v>
      </x:c>
      <x:c r="B722" s="2" t="str">
        <x:v>Adaptation</x:v>
      </x:c>
      <x:c r="C722" s="2" t="str">
        <x:v>Water</x:v>
      </x:c>
      <x:c r="D722" s="2" t="str">
        <x:v>Water pollution</x:v>
      </x:c>
      <x:c r="E722" s="2" t="str">
        <x:v>Point of use water treatment</x:v>
      </x:c>
      <x:c r="F722" s="2" t="str">
        <x:v>Iron ore / steel inputs</x:v>
      </x:c>
      <x:c r="G722" s="2" t="str">
        <x:v>Bulk and strategic mineral input</x:v>
      </x:c>
      <x:c r="H722" s="2" t="str">
        <x:v>Iron ore / steel inputs is linked to Point of use water treatment because it is typically used in load-bearing structures, pressure vessels, piping or machinery; the assignment follows component function, not a sector-wide keyword.</x:v>
      </x:c>
      <x:c r="I722" s="2" t="str">
        <x:v>Presence and quantity in Point of use water treatment depend on the selected design, chemistry, capacity, supplier and recycled content. This analytical link is not a verified bill of materials or supplier traceability statement.</x:v>
      </x:c>
      <x:c r="J722" s="2" t="str">
        <x:v>https://pubs.usgs.gov/periodicals/mcs2026/mcs2026.pdf</x:v>
      </x:c>
    </x:row>
    <x:row r="723" ht="66" customHeight="1">
      <x:c r="A723" s="2" t="str">
        <x:v>ADP-0099</x:v>
      </x:c>
      <x:c r="B723" s="2" t="str">
        <x:v>Adaptation</x:v>
      </x:c>
      <x:c r="C723" s="2" t="str">
        <x:v>Water</x:v>
      </x:c>
      <x:c r="D723" s="2" t="str">
        <x:v>Water pollution</x:v>
      </x:c>
      <x:c r="E723" s="2" t="str">
        <x:v>Wastewater treatment plant</x:v>
      </x:c>
      <x:c r="F723" s="2" t="str">
        <x:v>Iron ore / steel inputs</x:v>
      </x:c>
      <x:c r="G723" s="2" t="str">
        <x:v>Bulk and strategic mineral input</x:v>
      </x:c>
      <x:c r="H723" s="2" t="str">
        <x:v>Iron ore / steel inputs is linked to Wastewater treatment plant because it is typically used in load-bearing structures, pressure vessels, piping or machinery; the assignment follows component function, not a sector-wide keyword.</x:v>
      </x:c>
      <x:c r="I723" s="2" t="str">
        <x:v>Presence and quantity in Wastewater treatment plant depend on the selected design, chemistry, capacity, supplier and recycled content. This analytical link is not a verified bill of materials or supplier traceability statement.</x:v>
      </x:c>
      <x:c r="J723" s="2" t="str">
        <x:v>https://pubs.usgs.gov/periodicals/mcs2026/mcs2026.pdf</x:v>
      </x:c>
    </x:row>
    <x:row r="724" ht="66" customHeight="1">
      <x:c r="A724" s="2" t="str">
        <x:v>ADP-0099</x:v>
      </x:c>
      <x:c r="B724" s="2" t="str">
        <x:v>Adaptation</x:v>
      </x:c>
      <x:c r="C724" s="2" t="str">
        <x:v>Water</x:v>
      </x:c>
      <x:c r="D724" s="2" t="str">
        <x:v>Water pollution</x:v>
      </x:c>
      <x:c r="E724" s="2" t="str">
        <x:v>Wastewater treatment plant</x:v>
      </x:c>
      <x:c r="F724" s="2" t="str">
        <x:v>Nickel</x:v>
      </x:c>
      <x:c r="G724" s="2" t="str">
        <x:v>Battery and alloy critical mineral</x:v>
      </x:c>
      <x:c r="H724" s="2" t="str">
        <x:v>Nickel is linked to Wastewater treatment plant because it is typically used in battery cathodes, high-temperature alloys or corrosion-resistant steels; the assignment follows component function, not a sector-wide keyword.</x:v>
      </x:c>
      <x:c r="I724" s="2" t="str">
        <x:v>Presence and quantity in Wastewater treatment plant depend on the selected design, chemistry, capacity, supplier and recycled content. This analytical link is not a verified bill of materials or supplier traceability statement.</x:v>
      </x:c>
      <x:c r="J724" s="2" t="str">
        <x:v>https://www.iea.org/reports/global-critical-minerals-outlook-2025</x:v>
      </x:c>
    </x:row>
    <x:row r="725" ht="66" customHeight="1">
      <x:c r="A725" s="2" t="str">
        <x:v>ADP-0099</x:v>
      </x:c>
      <x:c r="B725" s="2" t="str">
        <x:v>Adaptation</x:v>
      </x:c>
      <x:c r="C725" s="2" t="str">
        <x:v>Water</x:v>
      </x:c>
      <x:c r="D725" s="2" t="str">
        <x:v>Water pollution</x:v>
      </x:c>
      <x:c r="E725" s="2" t="str">
        <x:v>Wastewater treatment plant</x:v>
      </x:c>
      <x:c r="F725" s="2" t="str">
        <x:v>Chromium</x:v>
      </x:c>
      <x:c r="G725" s="2" t="str">
        <x:v>Alloy strategic mineral</x:v>
      </x:c>
      <x:c r="H725" s="2" t="str">
        <x:v>Chromium is linked to Wastewater treatment plant because it is typically used in stainless and heat- or corrosion-resistant alloys; the assignment follows component function, not a sector-wide keyword.</x:v>
      </x:c>
      <x:c r="I725" s="2" t="str">
        <x:v>Presence and quantity in Wastewater treatment plant depend on the selected design, chemistry, capacity, supplier and recycled content. This analytical link is not a verified bill of materials or supplier traceability statement.</x:v>
      </x:c>
      <x:c r="J725" s="2" t="str">
        <x:v>https://pubs.usgs.gov/periodicals/mcs2026/mcs2026.pdf</x:v>
      </x:c>
    </x:row>
    <x:row r="726" ht="66" customHeight="1">
      <x:c r="A726" s="2" t="str">
        <x:v>ADP-0100</x:v>
      </x:c>
      <x:c r="B726" s="2" t="str">
        <x:v>Adaptation</x:v>
      </x:c>
      <x:c r="C726" s="2" t="str">
        <x:v>Water</x:v>
      </x:c>
      <x:c r="D726" s="2" t="str">
        <x:v>Water pollution</x:v>
      </x:c>
      <x:c r="E726" s="2" t="str">
        <x:v>Flood-proof sanitary latrines</x:v>
      </x:c>
      <x:c r="F726" s="2" t="str">
        <x:v>Iron ore / steel inputs</x:v>
      </x:c>
      <x:c r="G726" s="2" t="str">
        <x:v>Bulk and strategic mineral input</x:v>
      </x:c>
      <x:c r="H726" s="2" t="str">
        <x:v>Iron ore / steel inputs is linked to Flood-proof sanitary latrines because it is typically used in load-bearing structures, pressure vessels, piping or machinery; the assignment follows component function, not a sector-wide keyword.</x:v>
      </x:c>
      <x:c r="I726" s="2" t="str">
        <x:v>Presence and quantity in Flood-proof sanitary latrines depend on the selected design, chemistry, capacity, supplier and recycled content. This analytical link is not a verified bill of materials or supplier traceability statement.</x:v>
      </x:c>
      <x:c r="J726" s="2" t="str">
        <x:v>https://pubs.usgs.gov/periodicals/mcs2026/mcs2026.pdf</x:v>
      </x:c>
    </x:row>
    <x:row r="727" ht="66" customHeight="1">
      <x:c r="A727" s="2" t="str">
        <x:v>ADP-0101</x:v>
      </x:c>
      <x:c r="B727" s="2" t="str">
        <x:v>Adaptation</x:v>
      </x:c>
      <x:c r="C727" s="2" t="str">
        <x:v>Water</x:v>
      </x:c>
      <x:c r="D727" s="2" t="str">
        <x:v>Water pollution</x:v>
      </x:c>
      <x:c r="E727" s="2" t="str">
        <x:v>Water Safety Plans</x:v>
      </x:c>
      <x:c r="F727" s="2" t="str">
        <x:v>Iron ore / steel inputs</x:v>
      </x:c>
      <x:c r="G727" s="2" t="str">
        <x:v>Bulk and strategic mineral input</x:v>
      </x:c>
      <x:c r="H727" s="2" t="str">
        <x:v>Iron ore / steel inputs is linked to Water Safety Plans because it is typically used in load-bearing structures, pressure vessels, piping or machinery; the assignment follows component function, not a sector-wide keyword.</x:v>
      </x:c>
      <x:c r="I727" s="2" t="str">
        <x:v>Presence and quantity in Water Safety Plans depend on the selected design, chemistry, capacity, supplier and recycled content. This analytical link is not a verified bill of materials or supplier traceability statement.</x:v>
      </x:c>
      <x:c r="J727" s="2" t="str">
        <x:v>https://pubs.usgs.gov/periodicals/mcs2026/mcs2026.pdf</x:v>
      </x:c>
    </x:row>
    <x:row r="728" ht="66" customHeight="1">
      <x:c r="A728" s="2" t="str">
        <x:v>ADP-0102</x:v>
      </x:c>
      <x:c r="B728" s="2" t="str">
        <x:v>Adaptation</x:v>
      </x:c>
      <x:c r="C728" s="2" t="str">
        <x:v>Water</x:v>
      </x:c>
      <x:c r="D728" s="2" t="str">
        <x:v>Riverine flood protection</x:v>
      </x:c>
      <x:c r="E728" s="2" t="str">
        <x:v>River restoration</x:v>
      </x:c>
      <x:c r="F728" s="2" t="str">
        <x:v>Iron ore / steel inputs</x:v>
      </x:c>
      <x:c r="G728" s="2" t="str">
        <x:v>Bulk and strategic mineral input</x:v>
      </x:c>
      <x:c r="H728" s="2" t="str">
        <x:v>Iron ore / steel inputs is linked to River restoration because it is typically used in load-bearing structures, pressure vessels, piping or machinery; the assignment follows component function, not a sector-wide keyword.</x:v>
      </x:c>
      <x:c r="I728" s="2" t="str">
        <x:v>Presence and quantity in River restoration depend on the selected design, chemistry, capacity, supplier and recycled content. This analytical link is not a verified bill of materials or supplier traceability statement.</x:v>
      </x:c>
      <x:c r="J728" s="2" t="str">
        <x:v>https://pubs.usgs.gov/periodicals/mcs2026/mcs2026.pdf</x:v>
      </x:c>
    </x:row>
    <x:row r="729" ht="66" customHeight="1">
      <x:c r="A729" s="2" t="str">
        <x:v>ADP-0103</x:v>
      </x:c>
      <x:c r="B729" s="2" t="str">
        <x:v>Adaptation</x:v>
      </x:c>
      <x:c r="C729" s="2" t="str">
        <x:v>Water</x:v>
      </x:c>
      <x:c r="D729" s="2" t="str">
        <x:v>Riverine flood protection</x:v>
      </x:c>
      <x:c r="E729" s="2" t="str">
        <x:v>Flow-through dam for flood control</x:v>
      </x:c>
      <x:c r="F729" s="2" t="str">
        <x:v>Iron ore / steel inputs</x:v>
      </x:c>
      <x:c r="G729" s="2" t="str">
        <x:v>Bulk and strategic mineral input</x:v>
      </x:c>
      <x:c r="H729" s="2" t="str">
        <x:v>Iron ore / steel inputs is linked to Flow-through dam for flood control because it is typically used in load-bearing structures, pressure vessels, piping or machinery; the assignment follows component function, not a sector-wide keyword.</x:v>
      </x:c>
      <x:c r="I729" s="2" t="str">
        <x:v>Presence and quantity in Flow-through dam for flood control depend on the selected design, chemistry, capacity, supplier and recycled content. This analytical link is not a verified bill of materials or supplier traceability statement.</x:v>
      </x:c>
      <x:c r="J729" s="2" t="str">
        <x:v>https://pubs.usgs.gov/periodicals/mcs2026/mcs2026.pdf</x:v>
      </x:c>
    </x:row>
    <x:row r="730" ht="66" customHeight="1">
      <x:c r="A730" s="2" t="str">
        <x:v>ADP-0103</x:v>
      </x:c>
      <x:c r="B730" s="2" t="str">
        <x:v>Adaptation</x:v>
      </x:c>
      <x:c r="C730" s="2" t="str">
        <x:v>Water</x:v>
      </x:c>
      <x:c r="D730" s="2" t="str">
        <x:v>Riverine flood protection</x:v>
      </x:c>
      <x:c r="E730" s="2" t="str">
        <x:v>Flow-through dam for flood control</x:v>
      </x:c>
      <x:c r="F730" s="2" t="str">
        <x:v>Copper</x:v>
      </x:c>
      <x:c r="G730" s="2" t="str">
        <x:v>Critical or strategic metal</x:v>
      </x:c>
      <x:c r="H730" s="2" t="str">
        <x:v>Copper is linked to Flow-through dam for flood control because it is typically used in power cables, windings, busbars, grounding and electrical connectors; the assignment follows component function, not a sector-wide keyword.</x:v>
      </x:c>
      <x:c r="I730" s="2" t="str">
        <x:v>Presence and quantity in Flow-through dam for flood control depend on the selected design, chemistry, capacity, supplier and recycled content. This analytical link is not a verified bill of materials or supplier traceability statement.</x:v>
      </x:c>
      <x:c r="J730" s="2" t="str">
        <x:v>https://pubs.usgs.gov/periodicals/mcs2026/mcs2026.pdf</x:v>
      </x:c>
    </x:row>
    <x:row r="731" ht="66" customHeight="1">
      <x:c r="A731" s="2" t="str">
        <x:v>ADP-0103</x:v>
      </x:c>
      <x:c r="B731" s="2" t="str">
        <x:v>Adaptation</x:v>
      </x:c>
      <x:c r="C731" s="2" t="str">
        <x:v>Water</x:v>
      </x:c>
      <x:c r="D731" s="2" t="str">
        <x:v>Riverine flood protection</x:v>
      </x:c>
      <x:c r="E731" s="2" t="str">
        <x:v>Flow-through dam for flood control</x:v>
      </x:c>
      <x:c r="F731" s="2" t="str">
        <x:v>Tin</x:v>
      </x:c>
      <x:c r="G731" s="2" t="str">
        <x:v>Electronics strategic metal</x:v>
      </x:c>
      <x:c r="H731" s="2" t="str">
        <x:v>Tin is linked to Flow-through dam for flood control because it is typically used in electronic solder and selected coatings; the assignment follows component function, not a sector-wide keyword.</x:v>
      </x:c>
      <x:c r="I731" s="2" t="str">
        <x:v>Presence and quantity in Flow-through dam for flood control depend on the selected design, chemistry, capacity, supplier and recycled content. This analytical link is not a verified bill of materials or supplier traceability statement.</x:v>
      </x:c>
      <x:c r="J731" s="2" t="str">
        <x:v>https://pubs.usgs.gov/periodicals/mcs2026/mcs2026.pdf</x:v>
      </x:c>
    </x:row>
    <x:row r="732" ht="66" customHeight="1">
      <x:c r="A732" s="2" t="str">
        <x:v>ADP-0103</x:v>
      </x:c>
      <x:c r="B732" s="2" t="str">
        <x:v>Adaptation</x:v>
      </x:c>
      <x:c r="C732" s="2" t="str">
        <x:v>Water</x:v>
      </x:c>
      <x:c r="D732" s="2" t="str">
        <x:v>Riverine flood protection</x:v>
      </x:c>
      <x:c r="E732" s="2" t="str">
        <x:v>Flow-through dam for flood control</x:v>
      </x:c>
      <x:c r="F732" s="2" t="str">
        <x:v>Limestone / cement raw materials</x:v>
      </x:c>
      <x:c r="G732" s="2" t="str">
        <x:v>Bulk construction material</x:v>
      </x:c>
      <x:c r="H732" s="2" t="str">
        <x:v>Limestone / cement raw materials is linked to Flow-through dam for flood control because it is typically used in concrete foundations, channels, buildings or protective civil works; the assignment follows component function, not a sector-wide keyword.</x:v>
      </x:c>
      <x:c r="I732" s="2" t="str">
        <x:v>Presence and quantity in Flow-through dam for flood control depend on the selected design, chemistry, capacity, supplier and recycled content. This analytical link is not a verified bill of materials or supplier traceability statement.</x:v>
      </x:c>
      <x:c r="J732" s="2" t="str">
        <x:v>https://pubs.usgs.gov/periodicals/mcs2026/mcs2026.pdf</x:v>
      </x:c>
    </x:row>
    <x:row r="733" ht="66" customHeight="1">
      <x:c r="A733" s="2" t="str">
        <x:v>ADP-0104</x:v>
      </x:c>
      <x:c r="B733" s="2" t="str">
        <x:v>Adaptation</x:v>
      </x:c>
      <x:c r="C733" s="2" t="str">
        <x:v>Water</x:v>
      </x:c>
      <x:c r="D733" s="2" t="str">
        <x:v>Riverine flood protection</x:v>
      </x:c>
      <x:c r="E733" s="2" t="str">
        <x:v>Artificial lowering of glacial lakes</x:v>
      </x:c>
      <x:c r="F733" s="2" t="str">
        <x:v>Iron ore / steel inputs</x:v>
      </x:c>
      <x:c r="G733" s="2" t="str">
        <x:v>Bulk and strategic mineral input</x:v>
      </x:c>
      <x:c r="H733" s="2" t="str">
        <x:v>Iron ore / steel inputs is linked to Artificial lowering of glacial lakes because it is typically used in load-bearing structures, pressure vessels, piping or machinery; the assignment follows component function, not a sector-wide keyword.</x:v>
      </x:c>
      <x:c r="I733" s="2" t="str">
        <x:v>Presence and quantity in Artificial lowering of glacial lakes depend on the selected design, chemistry, capacity, supplier and recycled content. This analytical link is not a verified bill of materials or supplier traceability statement.</x:v>
      </x:c>
      <x:c r="J733" s="2" t="str">
        <x:v>https://pubs.usgs.gov/periodicals/mcs2026/mcs2026.pdf</x:v>
      </x:c>
    </x:row>
    <x:row r="734" ht="66" customHeight="1">
      <x:c r="A734" s="2" t="str">
        <x:v>ADP-0105</x:v>
      </x:c>
      <x:c r="B734" s="2" t="str">
        <x:v>Adaptation</x:v>
      </x:c>
      <x:c r="C734" s="2" t="str">
        <x:v>Water</x:v>
      </x:c>
      <x:c r="D734" s="2" t="str">
        <x:v>Riverine flood protection</x:v>
      </x:c>
      <x:c r="E734" s="2" t="str">
        <x:v>Re-connecting rivers with floodplains</x:v>
      </x:c>
      <x:c r="F734" s="2" t="str">
        <x:v>Iron ore / steel inputs</x:v>
      </x:c>
      <x:c r="G734" s="2" t="str">
        <x:v>Bulk and strategic mineral input</x:v>
      </x:c>
      <x:c r="H734" s="2" t="str">
        <x:v>Iron ore / steel inputs is linked to Re-connecting rivers with floodplains because it is typically used in load-bearing structures, pressure vessels, piping or machinery; the assignment follows component function, not a sector-wide keyword.</x:v>
      </x:c>
      <x:c r="I734" s="2" t="str">
        <x:v>Presence and quantity in Re-connecting rivers with floodplains depend on the selected design, chemistry, capacity, supplier and recycled content. This analytical link is not a verified bill of materials or supplier traceability statement.</x:v>
      </x:c>
      <x:c r="J734" s="2" t="str">
        <x:v>https://pubs.usgs.gov/periodicals/mcs2026/mcs2026.pdf</x:v>
      </x:c>
    </x:row>
    <x:row r="735" ht="66" customHeight="1">
      <x:c r="A735" s="2" t="str">
        <x:v>ADP-0106</x:v>
      </x:c>
      <x:c r="B735" s="2" t="str">
        <x:v>Adaptation</x:v>
      </x:c>
      <x:c r="C735" s="2" t="str">
        <x:v>Water</x:v>
      </x:c>
      <x:c r="D735" s="2" t="str">
        <x:v>Riverine flood protection</x:v>
      </x:c>
      <x:c r="E735" s="2" t="str">
        <x:v>Disaster preparedness plans</x:v>
      </x:c>
      <x:c r="F735" s="2" t="str">
        <x:v>Iron ore / steel inputs</x:v>
      </x:c>
      <x:c r="G735" s="2" t="str">
        <x:v>Bulk and strategic mineral input</x:v>
      </x:c>
      <x:c r="H735" s="2" t="str">
        <x:v>Iron ore / steel inputs is linked to Disaster preparedness plans because it is typically used in load-bearing structures, pressure vessels, piping or machinery; the assignment follows component function, not a sector-wide keyword.</x:v>
      </x:c>
      <x:c r="I735" s="2" t="str">
        <x:v>Presence and quantity in Disaster preparedness plans depend on the selected design, chemistry, capacity, supplier and recycled content. This analytical link is not a verified bill of materials or supplier traceability statement.</x:v>
      </x:c>
      <x:c r="J735" s="2" t="str">
        <x:v>https://pubs.usgs.gov/periodicals/mcs2026/mcs2026.pdf</x:v>
      </x:c>
    </x:row>
    <x:row r="736" ht="66" customHeight="1">
      <x:c r="A736" s="2" t="str">
        <x:v>ADP-0107</x:v>
      </x:c>
      <x:c r="B736" s="2" t="str">
        <x:v>Adaptation</x:v>
      </x:c>
      <x:c r="C736" s="2" t="str">
        <x:v>Water</x:v>
      </x:c>
      <x:c r="D736" s="2" t="str">
        <x:v>Riverine flood protection</x:v>
      </x:c>
      <x:c r="E736" s="2" t="str">
        <x:v>Accommodation for flooding</x:v>
      </x:c>
      <x:c r="F736" s="2" t="str">
        <x:v>Iron ore / steel inputs</x:v>
      </x:c>
      <x:c r="G736" s="2" t="str">
        <x:v>Bulk and strategic mineral input</x:v>
      </x:c>
      <x:c r="H736" s="2" t="str">
        <x:v>Iron ore / steel inputs is linked to Accommodation for flooding because it is typically used in load-bearing structures, pressure vessels, piping or machinery; the assignment follows component function, not a sector-wide keyword.</x:v>
      </x:c>
      <x:c r="I736" s="2" t="str">
        <x:v>Presence and quantity in Accommodation for flooding depend on the selected design, chemistry, capacity, supplier and recycled content. This analytical link is not a verified bill of materials or supplier traceability statement.</x:v>
      </x:c>
      <x:c r="J736" s="2" t="str">
        <x:v>https://pubs.usgs.gov/periodicals/mcs2026/mcs2026.pdf</x:v>
      </x:c>
    </x:row>
    <x:row r="737" ht="66" customHeight="1">
      <x:c r="A737" s="2" t="str">
        <x:v>ADP-0108</x:v>
      </x:c>
      <x:c r="B737" s="2" t="str">
        <x:v>Adaptation</x:v>
      </x:c>
      <x:c r="C737" s="2" t="str">
        <x:v>Water</x:v>
      </x:c>
      <x:c r="D737" s="2" t="str">
        <x:v>Riverine flood protection</x:v>
      </x:c>
      <x:c r="E737" s="2" t="str">
        <x:v>Sandbags against flooding</x:v>
      </x:c>
      <x:c r="F737" s="2" t="str">
        <x:v>Iron ore / steel inputs</x:v>
      </x:c>
      <x:c r="G737" s="2" t="str">
        <x:v>Bulk and strategic mineral input</x:v>
      </x:c>
      <x:c r="H737" s="2" t="str">
        <x:v>Iron ore / steel inputs is linked to Sandbags against flooding because it is typically used in load-bearing structures, pressure vessels, piping or machinery; the assignment follows component function, not a sector-wide keyword.</x:v>
      </x:c>
      <x:c r="I737" s="2" t="str">
        <x:v>Presence and quantity in Sandbags against flooding depend on the selected design, chemistry, capacity, supplier and recycled content. This analytical link is not a verified bill of materials or supplier traceability statement.</x:v>
      </x:c>
      <x:c r="J737" s="2" t="str">
        <x:v>https://pubs.usgs.gov/periodicals/mcs2026/mcs2026.pdf</x:v>
      </x:c>
    </x:row>
    <x:row r="738" ht="66" customHeight="1">
      <x:c r="A738" s="2" t="str">
        <x:v>ADP-0109</x:v>
      </x:c>
      <x:c r="B738" s="2" t="str">
        <x:v>Adaptation</x:v>
      </x:c>
      <x:c r="C738" s="2" t="str">
        <x:v>Water</x:v>
      </x:c>
      <x:c r="D738" s="2" t="str">
        <x:v>Riverine flood protection</x:v>
      </x:c>
      <x:c r="E738" s="2" t="str">
        <x:v>Flood proof wells</x:v>
      </x:c>
      <x:c r="F738" s="2" t="str">
        <x:v>Iron ore / steel inputs</x:v>
      </x:c>
      <x:c r="G738" s="2" t="str">
        <x:v>Bulk and strategic mineral input</x:v>
      </x:c>
      <x:c r="H738" s="2" t="str">
        <x:v>Iron ore / steel inputs is linked to Flood proof wells because it is typically used in load-bearing structures, pressure vessels, piping or machinery; the assignment follows component function, not a sector-wide keyword.</x:v>
      </x:c>
      <x:c r="I738" s="2" t="str">
        <x:v>Presence and quantity in Flood proof wells depend on the selected design, chemistry, capacity, supplier and recycled content. This analytical link is not a verified bill of materials or supplier traceability statement.</x:v>
      </x:c>
      <x:c r="J738" s="2" t="str">
        <x:v>https://pubs.usgs.gov/periodicals/mcs2026/mcs2026.pdf</x:v>
      </x:c>
    </x:row>
    <x:row r="739" ht="66" customHeight="1">
      <x:c r="A739" s="2" t="str">
        <x:v>ADP-0110</x:v>
      </x:c>
      <x:c r="B739" s="2" t="str">
        <x:v>Adaptation</x:v>
      </x:c>
      <x:c r="C739" s="2" t="str">
        <x:v>Water</x:v>
      </x:c>
      <x:c r="D739" s="2" t="str">
        <x:v>Riverine flood protection</x:v>
      </x:c>
      <x:c r="E739" s="2" t="str">
        <x:v>Floodplain zoning</x:v>
      </x:c>
      <x:c r="F739" s="2" t="str">
        <x:v>Iron ore / steel inputs</x:v>
      </x:c>
      <x:c r="G739" s="2" t="str">
        <x:v>Bulk and strategic mineral input</x:v>
      </x:c>
      <x:c r="H739" s="2" t="str">
        <x:v>Iron ore / steel inputs is linked to Floodplain zoning because it is typically used in load-bearing structures, pressure vessels, piping or machinery; the assignment follows component function, not a sector-wide keyword.</x:v>
      </x:c>
      <x:c r="I739" s="2" t="str">
        <x:v>Presence and quantity in Floodplain zoning depend on the selected design, chemistry, capacity, supplier and recycled content. This analytical link is not a verified bill of materials or supplier traceability statement.</x:v>
      </x:c>
      <x:c r="J739" s="2" t="str">
        <x:v>https://pubs.usgs.gov/periodicals/mcs2026/mcs2026.pdf</x:v>
      </x:c>
    </x:row>
    <x:row r="740" ht="66" customHeight="1">
      <x:c r="A740" s="2" t="str">
        <x:v>ADP-0111</x:v>
      </x:c>
      <x:c r="B740" s="2" t="str">
        <x:v>Adaptation</x:v>
      </x:c>
      <x:c r="C740" s="2" t="str">
        <x:v>Water</x:v>
      </x:c>
      <x:c r="D740" s="2" t="str">
        <x:v>Urban storm water management</x:v>
      </x:c>
      <x:c r="E740" s="2" t="str">
        <x:v>Canals and drainage systems</x:v>
      </x:c>
      <x:c r="F740" s="2" t="str">
        <x:v>Iron ore / steel inputs</x:v>
      </x:c>
      <x:c r="G740" s="2" t="str">
        <x:v>Bulk and strategic mineral input</x:v>
      </x:c>
      <x:c r="H740" s="2" t="str">
        <x:v>Iron ore / steel inputs is linked to Canals and drainage systems because it is typically used in load-bearing structures, pressure vessels, piping or machinery; the assignment follows component function, not a sector-wide keyword.</x:v>
      </x:c>
      <x:c r="I740" s="2" t="str">
        <x:v>Presence and quantity in Canals and drainage systems depend on the selected design, chemistry, capacity, supplier and recycled content. This analytical link is not a verified bill of materials or supplier traceability statement.</x:v>
      </x:c>
      <x:c r="J740" s="2" t="str">
        <x:v>https://pubs.usgs.gov/periodicals/mcs2026/mcs2026.pdf</x:v>
      </x:c>
    </x:row>
    <x:row r="741" ht="66" customHeight="1">
      <x:c r="A741" s="2" t="str">
        <x:v>ADP-0111</x:v>
      </x:c>
      <x:c r="B741" s="2" t="str">
        <x:v>Adaptation</x:v>
      </x:c>
      <x:c r="C741" s="2" t="str">
        <x:v>Water</x:v>
      </x:c>
      <x:c r="D741" s="2" t="str">
        <x:v>Urban storm water management</x:v>
      </x:c>
      <x:c r="E741" s="2" t="str">
        <x:v>Canals and drainage systems</x:v>
      </x:c>
      <x:c r="F741" s="2" t="str">
        <x:v>Limestone / cement raw materials</x:v>
      </x:c>
      <x:c r="G741" s="2" t="str">
        <x:v>Bulk construction material</x:v>
      </x:c>
      <x:c r="H741" s="2" t="str">
        <x:v>Limestone / cement raw materials is linked to Canals and drainage systems because it is typically used in concrete foundations, channels, buildings or protective civil works; the assignment follows component function, not a sector-wide keyword.</x:v>
      </x:c>
      <x:c r="I741" s="2" t="str">
        <x:v>Presence and quantity in Canals and drainage systems depend on the selected design, chemistry, capacity, supplier and recycled content. This analytical link is not a verified bill of materials or supplier traceability statement.</x:v>
      </x:c>
      <x:c r="J741" s="2" t="str">
        <x:v>https://pubs.usgs.gov/periodicals/mcs2026/mcs2026.pdf</x:v>
      </x:c>
    </x:row>
    <x:row r="742" ht="66" customHeight="1">
      <x:c r="A742" s="2" t="str">
        <x:v>ADP-0112</x:v>
      </x:c>
      <x:c r="B742" s="2" t="str">
        <x:v>Adaptation</x:v>
      </x:c>
      <x:c r="C742" s="2" t="str">
        <x:v>Water</x:v>
      </x:c>
      <x:c r="D742" s="2" t="str">
        <x:v>Urban storm water management</x:v>
      </x:c>
      <x:c r="E742" s="2" t="str">
        <x:v>Runoff control structures to temporarily store rainfall</x:v>
      </x:c>
      <x:c r="F742" s="2" t="str">
        <x:v>Iron ore / steel inputs</x:v>
      </x:c>
      <x:c r="G742" s="2" t="str">
        <x:v>Bulk and strategic mineral input</x:v>
      </x:c>
      <x:c r="H742" s="2" t="str">
        <x:v>Iron ore / steel inputs is linked to Runoff control structures to temporarily store rainfall because it is typically used in load-bearing structures, pressure vessels, piping or machinery; the assignment follows component function, not a sector-wide keyword.</x:v>
      </x:c>
      <x:c r="I742" s="2" t="str">
        <x:v>Presence and quantity in Runoff control structures to temporarily store rainfall depend on the selected design, chemistry, capacity, supplier and recycled content. This analytical link is not a verified bill of materials or supplier traceability statement.</x:v>
      </x:c>
      <x:c r="J742" s="2" t="str">
        <x:v>https://pubs.usgs.gov/periodicals/mcs2026/mcs2026.pdf</x:v>
      </x:c>
    </x:row>
    <x:row r="743" ht="66" customHeight="1">
      <x:c r="A743" s="2" t="str">
        <x:v>ADP-0112</x:v>
      </x:c>
      <x:c r="B743" s="2" t="str">
        <x:v>Adaptation</x:v>
      </x:c>
      <x:c r="C743" s="2" t="str">
        <x:v>Water</x:v>
      </x:c>
      <x:c r="D743" s="2" t="str">
        <x:v>Urban storm water management</x:v>
      </x:c>
      <x:c r="E743" s="2" t="str">
        <x:v>Runoff control structures to temporarily store rainfall</x:v>
      </x:c>
      <x:c r="F743" s="2" t="str">
        <x:v>Copper</x:v>
      </x:c>
      <x:c r="G743" s="2" t="str">
        <x:v>Critical or strategic metal</x:v>
      </x:c>
      <x:c r="H743" s="2" t="str">
        <x:v>Copper is linked to Runoff control structures to temporarily store rainfall because it is typically used in power cables, windings, busbars, grounding and electrical connectors; the assignment follows component function, not a sector-wide keyword.</x:v>
      </x:c>
      <x:c r="I743" s="2" t="str">
        <x:v>Presence and quantity in Runoff control structures to temporarily store rainfall depend on the selected design, chemistry, capacity, supplier and recycled content. This analytical link is not a verified bill of materials or supplier traceability statement.</x:v>
      </x:c>
      <x:c r="J743" s="2" t="str">
        <x:v>https://pubs.usgs.gov/periodicals/mcs2026/mcs2026.pdf</x:v>
      </x:c>
    </x:row>
    <x:row r="744" ht="66" customHeight="1">
      <x:c r="A744" s="2" t="str">
        <x:v>ADP-0112</x:v>
      </x:c>
      <x:c r="B744" s="2" t="str">
        <x:v>Adaptation</x:v>
      </x:c>
      <x:c r="C744" s="2" t="str">
        <x:v>Water</x:v>
      </x:c>
      <x:c r="D744" s="2" t="str">
        <x:v>Urban storm water management</x:v>
      </x:c>
      <x:c r="E744" s="2" t="str">
        <x:v>Runoff control structures to temporarily store rainfall</x:v>
      </x:c>
      <x:c r="F744" s="2" t="str">
        <x:v>Tin</x:v>
      </x:c>
      <x:c r="G744" s="2" t="str">
        <x:v>Electronics strategic metal</x:v>
      </x:c>
      <x:c r="H744" s="2" t="str">
        <x:v>Tin is linked to Runoff control structures to temporarily store rainfall because it is typically used in electronic solder and selected coatings; the assignment follows component function, not a sector-wide keyword.</x:v>
      </x:c>
      <x:c r="I744" s="2" t="str">
        <x:v>Presence and quantity in Runoff control structures to temporarily store rainfall depend on the selected design, chemistry, capacity, supplier and recycled content. This analytical link is not a verified bill of materials or supplier traceability statement.</x:v>
      </x:c>
      <x:c r="J744" s="2" t="str">
        <x:v>https://pubs.usgs.gov/periodicals/mcs2026/mcs2026.pdf</x:v>
      </x:c>
    </x:row>
    <x:row r="745" ht="66" customHeight="1">
      <x:c r="A745" s="2" t="str">
        <x:v>ADP-0113</x:v>
      </x:c>
      <x:c r="B745" s="2" t="str">
        <x:v>Adaptation</x:v>
      </x:c>
      <x:c r="C745" s="2" t="str">
        <x:v>Water</x:v>
      </x:c>
      <x:c r="D745" s="2" t="str">
        <x:v>Urban storm water management</x:v>
      </x:c>
      <x:c r="E745" s="2" t="str">
        <x:v>Permeable parking lots</x:v>
      </x:c>
      <x:c r="F745" s="2" t="str">
        <x:v>Iron ore / steel inputs</x:v>
      </x:c>
      <x:c r="G745" s="2" t="str">
        <x:v>Bulk and strategic mineral input</x:v>
      </x:c>
      <x:c r="H745" s="2" t="str">
        <x:v>Iron ore / steel inputs is linked to Permeable parking lots because it is typically used in load-bearing structures, pressure vessels, piping or machinery; the assignment follows component function, not a sector-wide keyword.</x:v>
      </x:c>
      <x:c r="I745" s="2" t="str">
        <x:v>Presence and quantity in Permeable parking lots depend on the selected design, chemistry, capacity, supplier and recycled content. This analytical link is not a verified bill of materials or supplier traceability statement.</x:v>
      </x:c>
      <x:c r="J745" s="2" t="str">
        <x:v>https://pubs.usgs.gov/periodicals/mcs2026/mcs2026.pdf</x:v>
      </x:c>
    </x:row>
    <x:row r="746" ht="66" customHeight="1">
      <x:c r="A746" s="2" t="str">
        <x:v>ADP-0114</x:v>
      </x:c>
      <x:c r="B746" s="2" t="str">
        <x:v>Adaptation</x:v>
      </x:c>
      <x:c r="C746" s="2" t="str">
        <x:v>Water</x:v>
      </x:c>
      <x:c r="D746" s="2" t="str">
        <x:v>Urban storm water management</x:v>
      </x:c>
      <x:c r="E746" s="2" t="str">
        <x:v>Drainage gradient</x:v>
      </x:c>
      <x:c r="F746" s="2" t="str">
        <x:v>Iron ore / steel inputs</x:v>
      </x:c>
      <x:c r="G746" s="2" t="str">
        <x:v>Bulk and strategic mineral input</x:v>
      </x:c>
      <x:c r="H746" s="2" t="str">
        <x:v>Iron ore / steel inputs is linked to Drainage gradient because it is typically used in load-bearing structures, pressure vessels, piping or machinery; the assignment follows component function, not a sector-wide keyword.</x:v>
      </x:c>
      <x:c r="I746" s="2" t="str">
        <x:v>Presence and quantity in Drainage gradient depend on the selected design, chemistry, capacity, supplier and recycled content. This analytical link is not a verified bill of materials or supplier traceability statement.</x:v>
      </x:c>
      <x:c r="J746" s="2" t="str">
        <x:v>https://pubs.usgs.gov/periodicals/mcs2026/mcs2026.pdf</x:v>
      </x:c>
    </x:row>
    <x:row r="747" ht="66" customHeight="1">
      <x:c r="A747" s="2" t="str">
        <x:v>ADP-0114</x:v>
      </x:c>
      <x:c r="B747" s="2" t="str">
        <x:v>Adaptation</x:v>
      </x:c>
      <x:c r="C747" s="2" t="str">
        <x:v>Water</x:v>
      </x:c>
      <x:c r="D747" s="2" t="str">
        <x:v>Urban storm water management</x:v>
      </x:c>
      <x:c r="E747" s="2" t="str">
        <x:v>Drainage gradient</x:v>
      </x:c>
      <x:c r="F747" s="2" t="str">
        <x:v>Limestone / cement raw materials</x:v>
      </x:c>
      <x:c r="G747" s="2" t="str">
        <x:v>Bulk construction material</x:v>
      </x:c>
      <x:c r="H747" s="2" t="str">
        <x:v>Limestone / cement raw materials is linked to Drainage gradient because it is typically used in concrete foundations, channels, buildings or protective civil works; the assignment follows component function, not a sector-wide keyword.</x:v>
      </x:c>
      <x:c r="I747" s="2" t="str">
        <x:v>Presence and quantity in Drainage gradient depend on the selected design, chemistry, capacity, supplier and recycled content. This analytical link is not a verified bill of materials or supplier traceability statement.</x:v>
      </x:c>
      <x:c r="J747" s="2" t="str">
        <x:v>https://pubs.usgs.gov/periodicals/mcs2026/mcs2026.pdf</x:v>
      </x:c>
    </x:row>
    <x:row r="748" ht="66" customHeight="1">
      <x:c r="A748" s="2" t="str">
        <x:v>ADP-0115</x:v>
      </x:c>
      <x:c r="B748" s="2" t="str">
        <x:v>Adaptation</x:v>
      </x:c>
      <x:c r="C748" s="2" t="str">
        <x:v>Water</x:v>
      </x:c>
      <x:c r="D748" s="2" t="str">
        <x:v>Urban storm water management</x:v>
      </x:c>
      <x:c r="E748" s="2" t="str">
        <x:v>Bioswales</x:v>
      </x:c>
      <x:c r="F748" s="2" t="str">
        <x:v>Iron ore / steel inputs</x:v>
      </x:c>
      <x:c r="G748" s="2" t="str">
        <x:v>Bulk and strategic mineral input</x:v>
      </x:c>
      <x:c r="H748" s="2" t="str">
        <x:v>Iron ore / steel inputs is linked to Bioswales because it is typically used in load-bearing structures, pressure vessels, piping or machinery; the assignment follows component function, not a sector-wide keyword.</x:v>
      </x:c>
      <x:c r="I748" s="2" t="str">
        <x:v>Presence and quantity in Bioswales depend on the selected design, chemistry, capacity, supplier and recycled content. This analytical link is not a verified bill of materials or supplier traceability statement.</x:v>
      </x:c>
      <x:c r="J748" s="2" t="str">
        <x:v>https://pubs.usgs.gov/periodicals/mcs2026/mcs2026.pdf</x:v>
      </x:c>
    </x:row>
    <x:row r="749" ht="66" customHeight="1">
      <x:c r="A749" s="2" t="str">
        <x:v>ADP-0116</x:v>
      </x:c>
      <x:c r="B749" s="2" t="str">
        <x:v>Adaptation</x:v>
      </x:c>
      <x:c r="C749" s="2" t="str">
        <x:v>Water</x:v>
      </x:c>
      <x:c r="D749" s="2" t="str">
        <x:v>Water storage</x:v>
      </x:c>
      <x:c r="E749" s="2" t="str">
        <x:v>Ponds and tanks</x:v>
      </x:c>
      <x:c r="F749" s="2" t="str">
        <x:v>Iron ore / steel inputs</x:v>
      </x:c>
      <x:c r="G749" s="2" t="str">
        <x:v>Bulk and strategic mineral input</x:v>
      </x:c>
      <x:c r="H749" s="2" t="str">
        <x:v>Iron ore / steel inputs is linked to Ponds and tanks because it is typically used in load-bearing structures, pressure vessels, piping or machinery; the assignment follows component function, not a sector-wide keyword.</x:v>
      </x:c>
      <x:c r="I749" s="2" t="str">
        <x:v>Presence and quantity in Ponds and tanks depend on the selected design, chemistry, capacity, supplier and recycled content. This analytical link is not a verified bill of materials or supplier traceability statement.</x:v>
      </x:c>
      <x:c r="J749" s="2" t="str">
        <x:v>https://pubs.usgs.gov/periodicals/mcs2026/mcs2026.pdf</x:v>
      </x:c>
    </x:row>
    <x:row r="750" ht="66" customHeight="1">
      <x:c r="A750" s="2" t="str">
        <x:v>ADP-0117</x:v>
      </x:c>
      <x:c r="B750" s="2" t="str">
        <x:v>Adaptation</x:v>
      </x:c>
      <x:c r="C750" s="2" t="str">
        <x:v>Water</x:v>
      </x:c>
      <x:c r="D750" s="2" t="str">
        <x:v>Water storage</x:v>
      </x:c>
      <x:c r="E750" s="2" t="str">
        <x:v>Natural wetlands and green infrastructure</x:v>
      </x:c>
      <x:c r="F750" s="2" t="str">
        <x:v>Iron ore / steel inputs</x:v>
      </x:c>
      <x:c r="G750" s="2" t="str">
        <x:v>Bulk and strategic mineral input</x:v>
      </x:c>
      <x:c r="H750" s="2" t="str">
        <x:v>Iron ore / steel inputs is linked to Natural wetlands and green infrastructure because it is typically used in load-bearing structures, pressure vessels, piping or machinery; the assignment follows component function, not a sector-wide keyword.</x:v>
      </x:c>
      <x:c r="I750" s="2" t="str">
        <x:v>Presence and quantity in Natural wetlands and green infrastructure depend on the selected design, chemistry, capacity, supplier and recycled content. This analytical link is not a verified bill of materials or supplier traceability statement.</x:v>
      </x:c>
      <x:c r="J750" s="2" t="str">
        <x:v>https://pubs.usgs.gov/periodicals/mcs2026/mcs2026.pdf</x:v>
      </x:c>
    </x:row>
    <x:row r="751" ht="66" customHeight="1">
      <x:c r="A751" s="2" t="str">
        <x:v>ADP-0117</x:v>
      </x:c>
      <x:c r="B751" s="2" t="str">
        <x:v>Adaptation</x:v>
      </x:c>
      <x:c r="C751" s="2" t="str">
        <x:v>Water</x:v>
      </x:c>
      <x:c r="D751" s="2" t="str">
        <x:v>Water storage</x:v>
      </x:c>
      <x:c r="E751" s="2" t="str">
        <x:v>Natural wetlands and green infrastructure</x:v>
      </x:c>
      <x:c r="F751" s="2" t="str">
        <x:v>Limestone / cement raw materials</x:v>
      </x:c>
      <x:c r="G751" s="2" t="str">
        <x:v>Bulk construction material</x:v>
      </x:c>
      <x:c r="H751" s="2" t="str">
        <x:v>Limestone / cement raw materials is linked to Natural wetlands and green infrastructure because it is typically used in concrete foundations, channels, buildings or protective civil works; the assignment follows component function, not a sector-wide keyword.</x:v>
      </x:c>
      <x:c r="I751" s="2" t="str">
        <x:v>Presence and quantity in Natural wetlands and green infrastructure depend on the selected design, chemistry, capacity, supplier and recycled content. This analytical link is not a verified bill of materials or supplier traceability statement.</x:v>
      </x:c>
      <x:c r="J751" s="2" t="str">
        <x:v>https://pubs.usgs.gov/periodicals/mcs2026/mcs2026.pdf</x:v>
      </x:c>
    </x:row>
    <x:row r="752" ht="66" customHeight="1">
      <x:c r="A752" s="2" t="str">
        <x:v>ADP-0118</x:v>
      </x:c>
      <x:c r="B752" s="2" t="str">
        <x:v>Adaptation</x:v>
      </x:c>
      <x:c r="C752" s="2" t="str">
        <x:v>Water</x:v>
      </x:c>
      <x:c r="D752" s="2" t="str">
        <x:v>Water storage</x:v>
      </x:c>
      <x:c r="E752" s="2" t="str">
        <x:v>Water reservoirs</x:v>
      </x:c>
      <x:c r="F752" s="2" t="str">
        <x:v>Iron ore / steel inputs</x:v>
      </x:c>
      <x:c r="G752" s="2" t="str">
        <x:v>Bulk and strategic mineral input</x:v>
      </x:c>
      <x:c r="H752" s="2" t="str">
        <x:v>Iron ore / steel inputs is linked to Water reservoirs because it is typically used in load-bearing structures, pressure vessels, piping or machinery; the assignment follows component function, not a sector-wide keyword.</x:v>
      </x:c>
      <x:c r="I752" s="2" t="str">
        <x:v>Presence and quantity in Water reservoirs depend on the selected design, chemistry, capacity, supplier and recycled content. This analytical link is not a verified bill of materials or supplier traceability statement.</x:v>
      </x:c>
      <x:c r="J752" s="2" t="str">
        <x:v>https://pubs.usgs.gov/periodicals/mcs2026/mcs2026.pdf</x:v>
      </x:c>
    </x:row>
    <x:row r="753" ht="66" customHeight="1">
      <x:c r="A753" s="2" t="str">
        <x:v>ADP-0118</x:v>
      </x:c>
      <x:c r="B753" s="2" t="str">
        <x:v>Adaptation</x:v>
      </x:c>
      <x:c r="C753" s="2" t="str">
        <x:v>Water</x:v>
      </x:c>
      <x:c r="D753" s="2" t="str">
        <x:v>Water storage</x:v>
      </x:c>
      <x:c r="E753" s="2" t="str">
        <x:v>Water reservoirs</x:v>
      </x:c>
      <x:c r="F753" s="2" t="str">
        <x:v>Limestone / cement raw materials</x:v>
      </x:c>
      <x:c r="G753" s="2" t="str">
        <x:v>Bulk construction material</x:v>
      </x:c>
      <x:c r="H753" s="2" t="str">
        <x:v>Limestone / cement raw materials is linked to Water reservoirs because it is typically used in concrete foundations, channels, buildings or protective civil works; the assignment follows component function, not a sector-wide keyword.</x:v>
      </x:c>
      <x:c r="I753" s="2" t="str">
        <x:v>Presence and quantity in Water reservoirs depend on the selected design, chemistry, capacity, supplier and recycled content. This analytical link is not a verified bill of materials or supplier traceability statement.</x:v>
      </x:c>
      <x:c r="J753" s="2" t="str">
        <x:v>https://pubs.usgs.gov/periodicals/mcs2026/mcs2026.pdf</x:v>
      </x:c>
    </x:row>
    <x:row r="754" ht="66" customHeight="1">
      <x:c r="A754" s="2" t="str">
        <x:v>ADP-0120</x:v>
      </x:c>
      <x:c r="B754" s="2" t="str">
        <x:v>Adaptation</x:v>
      </x:c>
      <x:c r="C754" s="2" t="str">
        <x:v>Water</x:v>
      </x:c>
      <x:c r="D754" s="2" t="str">
        <x:v>Water storage</x:v>
      </x:c>
      <x:c r="E754" s="2" t="str">
        <x:v>Designing protected areas</x:v>
      </x:c>
      <x:c r="F754" s="2" t="str">
        <x:v>Iron ore / steel inputs</x:v>
      </x:c>
      <x:c r="G754" s="2" t="str">
        <x:v>Bulk and strategic mineral input</x:v>
      </x:c>
      <x:c r="H754" s="2" t="str">
        <x:v>Iron ore / steel inputs is linked to Designing protected areas because it is typically used in load-bearing structures, pressure vessels, piping or machinery; the assignment follows component function, not a sector-wide keyword.</x:v>
      </x:c>
      <x:c r="I754" s="2" t="str">
        <x:v>Presence and quantity in Designing protected areas depend on the selected design, chemistry, capacity, supplier and recycled content. This analytical link is not a verified bill of materials or supplier traceability statement.</x:v>
      </x:c>
      <x:c r="J754" s="2" t="str">
        <x:v>https://pubs.usgs.gov/periodicals/mcs2026/mcs2026.pdf</x:v>
      </x:c>
    </x:row>
    <x:row r="755" ht="66" customHeight="1">
      <x:c r="A755" s="2" t="str">
        <x:v>ADP-0121</x:v>
      </x:c>
      <x:c r="B755" s="2" t="str">
        <x:v>Adaptation</x:v>
      </x:c>
      <x:c r="C755" s="2" t="str">
        <x:v>Water</x:v>
      </x:c>
      <x:c r="D755" s="2" t="str">
        <x:v>Water storage</x:v>
      </x:c>
      <x:c r="E755" s="2" t="str">
        <x:v>Soil moisture conservation techniques</x:v>
      </x:c>
      <x:c r="F755" s="2" t="str">
        <x:v>Phosphate rock</x:v>
      </x:c>
      <x:c r="G755" s="2" t="str">
        <x:v>Agricultural strategic mineral</x:v>
      </x:c>
      <x:c r="H755" s="2" t="str">
        <x:v>Phosphate rock is linked to Soil moisture conservation techniques because it is typically used in phosphorus fertiliser used by the agricultural system; the assignment follows component function, not a sector-wide keyword.</x:v>
      </x:c>
      <x:c r="I755" s="2" t="str">
        <x:v>Presence and quantity in Soil moisture conservation techniques depend on the selected design, chemistry, capacity, supplier and recycled content. This analytical link is not a verified bill of materials or supplier traceability statement.</x:v>
      </x:c>
      <x:c r="J755" s="2" t="str">
        <x:v>https://pubs.usgs.gov/periodicals/mcs2026/mcs2026.pdf</x:v>
      </x:c>
    </x:row>
    <x:row r="756" ht="66" customHeight="1">
      <x:c r="A756" s="2" t="str">
        <x:v>ADP-0121</x:v>
      </x:c>
      <x:c r="B756" s="2" t="str">
        <x:v>Adaptation</x:v>
      </x:c>
      <x:c r="C756" s="2" t="str">
        <x:v>Water</x:v>
      </x:c>
      <x:c r="D756" s="2" t="str">
        <x:v>Water storage</x:v>
      </x:c>
      <x:c r="E756" s="2" t="str">
        <x:v>Soil moisture conservation techniques</x:v>
      </x:c>
      <x:c r="F756" s="2" t="str">
        <x:v>Potash</x:v>
      </x:c>
      <x:c r="G756" s="2" t="str">
        <x:v>Agricultural strategic mineral</x:v>
      </x:c>
      <x:c r="H756" s="2" t="str">
        <x:v>Potash is linked to Soil moisture conservation techniques because it is typically used in potassium fertiliser used by the agricultural system; the assignment follows component function, not a sector-wide keyword.</x:v>
      </x:c>
      <x:c r="I756" s="2" t="str">
        <x:v>Presence and quantity in Soil moisture conservation techniques depend on the selected design, chemistry, capacity, supplier and recycled content. This analytical link is not a verified bill of materials or supplier traceability statement.</x:v>
      </x:c>
      <x:c r="J756" s="2" t="str">
        <x:v>https://pubs.usgs.gov/periodicals/mcs2026/mcs2026.pdf</x:v>
      </x:c>
    </x:row>
    <x:row r="757" ht="66" customHeight="1">
      <x:c r="A757" s="2" t="str">
        <x:v>ADP-0122</x:v>
      </x:c>
      <x:c r="B757" s="2" t="str">
        <x:v>Adaptation</x:v>
      </x:c>
      <x:c r="C757" s="2" t="str">
        <x:v>Water</x:v>
      </x:c>
      <x:c r="D757" s="2" t="str">
        <x:v>Water storage</x:v>
      </x:c>
      <x:c r="E757" s="2" t="str">
        <x:v>Indigenous water storage structures</x:v>
      </x:c>
      <x:c r="F757" s="2" t="str">
        <x:v>Iron ore / steel inputs</x:v>
      </x:c>
      <x:c r="G757" s="2" t="str">
        <x:v>Bulk and strategic mineral input</x:v>
      </x:c>
      <x:c r="H757" s="2" t="str">
        <x:v>Iron ore / steel inputs is linked to Indigenous water storage structures because it is typically used in load-bearing structures, pressure vessels, piping or machinery; the assignment follows component function, not a sector-wide keyword.</x:v>
      </x:c>
      <x:c r="I757" s="2" t="str">
        <x:v>Presence and quantity in Indigenous water storage structures depend on the selected design, chemistry, capacity, supplier and recycled content. This analytical link is not a verified bill of materials or supplier traceability statement.</x:v>
      </x:c>
      <x:c r="J757" s="2" t="str">
        <x:v>https://pubs.usgs.gov/periodicals/mcs2026/mcs2026.pdf</x:v>
      </x:c>
    </x:row>
    <x:row r="758" ht="66" customHeight="1">
      <x:c r="A758" s="2" t="str">
        <x:v>ADP-0123</x:v>
      </x:c>
      <x:c r="B758" s="2" t="str">
        <x:v>Adaptation</x:v>
      </x:c>
      <x:c r="C758" s="2" t="str">
        <x:v>Water</x:v>
      </x:c>
      <x:c r="D758" s="2" t="str">
        <x:v>Use of alternative water sources</x:v>
      </x:c>
      <x:c r="E758" s="2" t="str">
        <x:v>Seawater desalination</x:v>
      </x:c>
      <x:c r="F758" s="2" t="str">
        <x:v>Iron ore / steel inputs</x:v>
      </x:c>
      <x:c r="G758" s="2" t="str">
        <x:v>Bulk and strategic mineral input</x:v>
      </x:c>
      <x:c r="H758" s="2" t="str">
        <x:v>Iron ore / steel inputs is linked to Seawater desalination because it is typically used in load-bearing structures, pressure vessels, piping or machinery; the assignment follows component function, not a sector-wide keyword.</x:v>
      </x:c>
      <x:c r="I758" s="2" t="str">
        <x:v>Presence and quantity in Seawater desalination depend on the selected design, chemistry, capacity, supplier and recycled content. This analytical link is not a verified bill of materials or supplier traceability statement.</x:v>
      </x:c>
      <x:c r="J758" s="2" t="str">
        <x:v>https://pubs.usgs.gov/periodicals/mcs2026/mcs2026.pdf</x:v>
      </x:c>
    </x:row>
    <x:row r="759" ht="66" customHeight="1">
      <x:c r="A759" s="2" t="str">
        <x:v>ADP-0123</x:v>
      </x:c>
      <x:c r="B759" s="2" t="str">
        <x:v>Adaptation</x:v>
      </x:c>
      <x:c r="C759" s="2" t="str">
        <x:v>Water</x:v>
      </x:c>
      <x:c r="D759" s="2" t="str">
        <x:v>Use of alternative water sources</x:v>
      </x:c>
      <x:c r="E759" s="2" t="str">
        <x:v>Seawater desalination</x:v>
      </x:c>
      <x:c r="F759" s="2" t="str">
        <x:v>Nickel</x:v>
      </x:c>
      <x:c r="G759" s="2" t="str">
        <x:v>Battery and alloy critical mineral</x:v>
      </x:c>
      <x:c r="H759" s="2" t="str">
        <x:v>Nickel is linked to Seawater desalination because it is typically used in battery cathodes, high-temperature alloys or corrosion-resistant steels; the assignment follows component function, not a sector-wide keyword.</x:v>
      </x:c>
      <x:c r="I759" s="2" t="str">
        <x:v>Presence and quantity in Seawater desalination depend on the selected design, chemistry, capacity, supplier and recycled content. This analytical link is not a verified bill of materials or supplier traceability statement.</x:v>
      </x:c>
      <x:c r="J759" s="2" t="str">
        <x:v>https://www.iea.org/reports/global-critical-minerals-outlook-2025</x:v>
      </x:c>
    </x:row>
    <x:row r="760" ht="66" customHeight="1">
      <x:c r="A760" s="2" t="str">
        <x:v>ADP-0123</x:v>
      </x:c>
      <x:c r="B760" s="2" t="str">
        <x:v>Adaptation</x:v>
      </x:c>
      <x:c r="C760" s="2" t="str">
        <x:v>Water</x:v>
      </x:c>
      <x:c r="D760" s="2" t="str">
        <x:v>Use of alternative water sources</x:v>
      </x:c>
      <x:c r="E760" s="2" t="str">
        <x:v>Seawater desalination</x:v>
      </x:c>
      <x:c r="F760" s="2" t="str">
        <x:v>Chromium</x:v>
      </x:c>
      <x:c r="G760" s="2" t="str">
        <x:v>Alloy strategic mineral</x:v>
      </x:c>
      <x:c r="H760" s="2" t="str">
        <x:v>Chromium is linked to Seawater desalination because it is typically used in stainless and heat- or corrosion-resistant alloys; the assignment follows component function, not a sector-wide keyword.</x:v>
      </x:c>
      <x:c r="I760" s="2" t="str">
        <x:v>Presence and quantity in Seawater desalination depend on the selected design, chemistry, capacity, supplier and recycled content. This analytical link is not a verified bill of materials or supplier traceability statement.</x:v>
      </x:c>
      <x:c r="J760" s="2" t="str">
        <x:v>https://pubs.usgs.gov/periodicals/mcs2026/mcs2026.pdf</x:v>
      </x:c>
    </x:row>
    <x:row r="761" ht="66" customHeight="1">
      <x:c r="A761" s="2" t="str">
        <x:v>ADP-0124</x:v>
      </x:c>
      <x:c r="B761" s="2" t="str">
        <x:v>Adaptation</x:v>
      </x:c>
      <x:c r="C761" s="2" t="str">
        <x:v>Water</x:v>
      </x:c>
      <x:c r="D761" s="2" t="str">
        <x:v>Use of alternative water sources</x:v>
      </x:c>
      <x:c r="E761" s="2" t="str">
        <x:v>Interbasin transfers</x:v>
      </x:c>
      <x:c r="F761" s="2" t="str">
        <x:v>Iron ore / steel inputs</x:v>
      </x:c>
      <x:c r="G761" s="2" t="str">
        <x:v>Bulk and strategic mineral input</x:v>
      </x:c>
      <x:c r="H761" s="2" t="str">
        <x:v>Iron ore / steel inputs is linked to Interbasin transfers because it is typically used in load-bearing structures, pressure vessels, piping or machinery; the assignment follows component function, not a sector-wide keyword.</x:v>
      </x:c>
      <x:c r="I761" s="2" t="str">
        <x:v>Presence and quantity in Interbasin transfers depend on the selected design, chemistry, capacity, supplier and recycled content. This analytical link is not a verified bill of materials or supplier traceability statement.</x:v>
      </x:c>
      <x:c r="J761" s="2" t="str">
        <x:v>https://pubs.usgs.gov/periodicals/mcs2026/mcs2026.pdf</x:v>
      </x:c>
    </x:row>
    <x:row r="762" ht="66" customHeight="1">
      <x:c r="A762" s="2" t="str">
        <x:v>ADP-0125</x:v>
      </x:c>
      <x:c r="B762" s="2" t="str">
        <x:v>Adaptation</x:v>
      </x:c>
      <x:c r="C762" s="2" t="str">
        <x:v>Water</x:v>
      </x:c>
      <x:c r="D762" s="2" t="str">
        <x:v>Use of alternative water sources</x:v>
      </x:c>
      <x:c r="E762" s="2" t="str">
        <x:v>Solar water distillation</x:v>
      </x:c>
      <x:c r="F762" s="2" t="str">
        <x:v>Iron ore / steel inputs</x:v>
      </x:c>
      <x:c r="G762" s="2" t="str">
        <x:v>Bulk and strategic mineral input</x:v>
      </x:c>
      <x:c r="H762" s="2" t="str">
        <x:v>Iron ore / steel inputs is linked to Solar water distillation because it is typically used in load-bearing structures, pressure vessels, piping or machinery; the assignment follows component function, not a sector-wide keyword.</x:v>
      </x:c>
      <x:c r="I762" s="2" t="str">
        <x:v>Presence and quantity in Solar water distillation depend on the selected design, chemistry, capacity, supplier and recycled content. This analytical link is not a verified bill of materials or supplier traceability statement.</x:v>
      </x:c>
      <x:c r="J762" s="2" t="str">
        <x:v>https://pubs.usgs.gov/periodicals/mcs2026/mcs2026.pdf</x:v>
      </x:c>
    </x:row>
    <x:row r="763" ht="66" customHeight="1">
      <x:c r="A763" s="2" t="str">
        <x:v>ADP-0125</x:v>
      </x:c>
      <x:c r="B763" s="2" t="str">
        <x:v>Adaptation</x:v>
      </x:c>
      <x:c r="C763" s="2" t="str">
        <x:v>Water</x:v>
      </x:c>
      <x:c r="D763" s="2" t="str">
        <x:v>Use of alternative water sources</x:v>
      </x:c>
      <x:c r="E763" s="2" t="str">
        <x:v>Solar water distillation</x:v>
      </x:c>
      <x:c r="F763" s="2" t="str">
        <x:v>Copper</x:v>
      </x:c>
      <x:c r="G763" s="2" t="str">
        <x:v>Critical or strategic metal</x:v>
      </x:c>
      <x:c r="H763" s="2" t="str">
        <x:v>Copper is linked to Solar water distillation because it is typically used in power cables, windings, busbars, grounding and electrical connectors; the assignment follows component function, not a sector-wide keyword.</x:v>
      </x:c>
      <x:c r="I763" s="2" t="str">
        <x:v>Presence and quantity in Solar water distillation depend on the selected design, chemistry, capacity, supplier and recycled content. This analytical link is not a verified bill of materials or supplier traceability statement.</x:v>
      </x:c>
      <x:c r="J763" s="2" t="str">
        <x:v>https://pubs.usgs.gov/periodicals/mcs2026/mcs2026.pdf</x:v>
      </x:c>
    </x:row>
    <x:row r="764" ht="66" customHeight="1">
      <x:c r="A764" s="2" t="str">
        <x:v>ADP-0125</x:v>
      </x:c>
      <x:c r="B764" s="2" t="str">
        <x:v>Adaptation</x:v>
      </x:c>
      <x:c r="C764" s="2" t="str">
        <x:v>Water</x:v>
      </x:c>
      <x:c r="D764" s="2" t="str">
        <x:v>Use of alternative water sources</x:v>
      </x:c>
      <x:c r="E764" s="2" t="str">
        <x:v>Solar water distillation</x:v>
      </x:c>
      <x:c r="F764" s="2" t="str">
        <x:v>Tin</x:v>
      </x:c>
      <x:c r="G764" s="2" t="str">
        <x:v>Electronics strategic metal</x:v>
      </x:c>
      <x:c r="H764" s="2" t="str">
        <x:v>Tin is linked to Solar water distillation because it is typically used in electronic solder and selected coatings; the assignment follows component function, not a sector-wide keyword.</x:v>
      </x:c>
      <x:c r="I764" s="2" t="str">
        <x:v>Presence and quantity in Solar water distillation depend on the selected design, chemistry, capacity, supplier and recycled content. This analytical link is not a verified bill of materials or supplier traceability statement.</x:v>
      </x:c>
      <x:c r="J764" s="2" t="str">
        <x:v>https://pubs.usgs.gov/periodicals/mcs2026/mcs2026.pdf</x:v>
      </x:c>
    </x:row>
    <x:row r="765" ht="66" customHeight="1">
      <x:c r="A765" s="2" t="str">
        <x:v>ADP-0125</x:v>
      </x:c>
      <x:c r="B765" s="2" t="str">
        <x:v>Adaptation</x:v>
      </x:c>
      <x:c r="C765" s="2" t="str">
        <x:v>Water</x:v>
      </x:c>
      <x:c r="D765" s="2" t="str">
        <x:v>Use of alternative water sources</x:v>
      </x:c>
      <x:c r="E765" s="2" t="str">
        <x:v>Solar water distillation</x:v>
      </x:c>
      <x:c r="F765" s="2" t="str">
        <x:v>Bauxite / aluminium</x:v>
      </x:c>
      <x:c r="G765" s="2" t="str">
        <x:v>Strategic metal</x:v>
      </x:c>
      <x:c r="H765" s="2" t="str">
        <x:v>Bauxite / aluminium is linked to Solar water distillation because it is typically used in lightweight structures, frames, conductors or vehicle components; the assignment follows component function, not a sector-wide keyword.</x:v>
      </x:c>
      <x:c r="I765" s="2" t="str">
        <x:v>Presence and quantity in Solar water distillation depend on the selected design, chemistry, capacity, supplier and recycled content. This analytical link is not a verified bill of materials or supplier traceability statement.</x:v>
      </x:c>
      <x:c r="J765" s="2" t="str">
        <x:v>https://pubs.usgs.gov/periodicals/mcs2026/mcs2026.pdf</x:v>
      </x:c>
    </x:row>
    <x:row r="766" ht="66" customHeight="1">
      <x:c r="A766" s="2" t="str">
        <x:v>ADP-0126</x:v>
      </x:c>
      <x:c r="B766" s="2" t="str">
        <x:v>Adaptation</x:v>
      </x:c>
      <x:c r="C766" s="2" t="str">
        <x:v>Water</x:v>
      </x:c>
      <x:c r="D766" s="2" t="str">
        <x:v>Use of alternative water sources</x:v>
      </x:c>
      <x:c r="E766" s="2" t="str">
        <x:v>Water recycling and reclamation</x:v>
      </x:c>
      <x:c r="F766" s="2" t="str">
        <x:v>Iron ore / steel inputs</x:v>
      </x:c>
      <x:c r="G766" s="2" t="str">
        <x:v>Bulk and strategic mineral input</x:v>
      </x:c>
      <x:c r="H766" s="2" t="str">
        <x:v>Iron ore / steel inputs is linked to Water recycling and reclamation because it is typically used in load-bearing structures, pressure vessels, piping or machinery; the assignment follows component function, not a sector-wide keyword.</x:v>
      </x:c>
      <x:c r="I766" s="2" t="str">
        <x:v>Presence and quantity in Water recycling and reclamation depend on the selected design, chemistry, capacity, supplier and recycled content. This analytical link is not a verified bill of materials or supplier traceability statement.</x:v>
      </x:c>
      <x:c r="J766" s="2" t="str">
        <x:v>https://pubs.usgs.gov/periodicals/mcs2026/mcs2026.pdf</x:v>
      </x:c>
    </x:row>
    <x:row r="767" ht="66" customHeight="1">
      <x:c r="A767" s="2" t="str">
        <x:v>ADP-0127</x:v>
      </x:c>
      <x:c r="B767" s="2" t="str">
        <x:v>Adaptation</x:v>
      </x:c>
      <x:c r="C767" s="2" t="str">
        <x:v>Water</x:v>
      </x:c>
      <x:c r="D767" s="2" t="str">
        <x:v>Use of alternative water sources</x:v>
      </x:c>
      <x:c r="E767" s="2" t="str">
        <x:v>Fog harvesting</x:v>
      </x:c>
      <x:c r="F767" s="2" t="str">
        <x:v>Iron ore / steel inputs</x:v>
      </x:c>
      <x:c r="G767" s="2" t="str">
        <x:v>Bulk and strategic mineral input</x:v>
      </x:c>
      <x:c r="H767" s="2" t="str">
        <x:v>Iron ore / steel inputs is linked to Fog harvesting because it is typically used in load-bearing structures, pressure vessels, piping or machinery; the assignment follows component function, not a sector-wide keyword.</x:v>
      </x:c>
      <x:c r="I767" s="2" t="str">
        <x:v>Presence and quantity in Fog harvesting depend on the selected design, chemistry, capacity, supplier and recycled content. This analytical link is not a verified bill of materials or supplier traceability statement.</x:v>
      </x:c>
      <x:c r="J767" s="2" t="str">
        <x:v>https://pubs.usgs.gov/periodicals/mcs2026/mcs2026.pdf</x:v>
      </x:c>
    </x:row>
    <x:row r="768" ht="66" customHeight="1">
      <x:c r="A768" s="2" t="str">
        <x:v>ADP-0131</x:v>
      </x:c>
      <x:c r="B768" s="2" t="str">
        <x:v>Adaptation</x:v>
      </x:c>
      <x:c r="C768" s="2" t="str">
        <x:v>Water</x:v>
      </x:c>
      <x:c r="D768" s="2" t="str">
        <x:v>Integrated planning</x:v>
      </x:c>
      <x:c r="E768" s="2" t="str">
        <x:v>Groundwater extraction and monitoring</x:v>
      </x:c>
      <x:c r="F768" s="2" t="str">
        <x:v>Copper</x:v>
      </x:c>
      <x:c r="G768" s="2" t="str">
        <x:v>Critical or strategic metal</x:v>
      </x:c>
      <x:c r="H768" s="2" t="str">
        <x:v>Copper is linked to Groundwater extraction and monitoring because it is typically used in power cables, windings, busbars, grounding and electrical connectors; the assignment follows component function, not a sector-wide keyword.</x:v>
      </x:c>
      <x:c r="I768" s="2" t="str">
        <x:v>Presence and quantity in Groundwater extraction and monitoring depend on the selected design, chemistry, capacity, supplier and recycled content. This analytical link is not a verified bill of materials or supplier traceability statement.</x:v>
      </x:c>
      <x:c r="J768" s="2" t="str">
        <x:v>https://pubs.usgs.gov/periodicals/mcs2026/mcs2026.pdf</x:v>
      </x:c>
    </x:row>
    <x:row r="769" ht="66" customHeight="1">
      <x:c r="A769" s="2" t="str">
        <x:v>ADP-0131</x:v>
      </x:c>
      <x:c r="B769" s="2" t="str">
        <x:v>Adaptation</x:v>
      </x:c>
      <x:c r="C769" s="2" t="str">
        <x:v>Water</x:v>
      </x:c>
      <x:c r="D769" s="2" t="str">
        <x:v>Integrated planning</x:v>
      </x:c>
      <x:c r="E769" s="2" t="str">
        <x:v>Groundwater extraction and monitoring</x:v>
      </x:c>
      <x:c r="F769" s="2" t="str">
        <x:v>Tin</x:v>
      </x:c>
      <x:c r="G769" s="2" t="str">
        <x:v>Electronics strategic metal</x:v>
      </x:c>
      <x:c r="H769" s="2" t="str">
        <x:v>Tin is linked to Groundwater extraction and monitoring because it is typically used in electronic solder and selected coatings; the assignment follows component function, not a sector-wide keyword.</x:v>
      </x:c>
      <x:c r="I769" s="2" t="str">
        <x:v>Presence and quantity in Groundwater extraction and monitoring depend on the selected design, chemistry, capacity, supplier and recycled content. This analytical link is not a verified bill of materials or supplier traceability statement.</x:v>
      </x:c>
      <x:c r="J769" s="2" t="str">
        <x:v>https://pubs.usgs.gov/periodicals/mcs2026/mcs2026.pdf</x:v>
      </x:c>
    </x:row>
    <x:row r="770" ht="66" customHeight="1">
      <x:c r="A770" s="2" t="str">
        <x:v>ADP-0132</x:v>
      </x:c>
      <x:c r="B770" s="2" t="str">
        <x:v>Adaptation</x:v>
      </x:c>
      <x:c r="C770" s="2" t="str">
        <x:v>Water</x:v>
      </x:c>
      <x:c r="D770" s="2" t="str">
        <x:v>Limiting nutrient leakage</x:v>
      </x:c>
      <x:c r="E770" s="2" t="str">
        <x:v>Riparian buffers</x:v>
      </x:c>
      <x:c r="F770" s="2" t="str">
        <x:v>Iron ore / steel inputs</x:v>
      </x:c>
      <x:c r="G770" s="2" t="str">
        <x:v>Bulk and strategic mineral input</x:v>
      </x:c>
      <x:c r="H770" s="2" t="str">
        <x:v>Iron ore / steel inputs is linked to Riparian buffers because it is typically used in load-bearing structures, pressure vessels, piping or machinery; the assignment follows component function, not a sector-wide keyword.</x:v>
      </x:c>
      <x:c r="I770" s="2" t="str">
        <x:v>Presence and quantity in Riparian buffers depend on the selected design, chemistry, capacity, supplier and recycled content. This analytical link is not a verified bill of materials or supplier traceability statement.</x:v>
      </x:c>
      <x:c r="J770" s="2" t="str">
        <x:v>https://pubs.usgs.gov/periodicals/mcs2026/mcs2026.pdf</x:v>
      </x:c>
    </x:row>
    <x:row r="771" ht="66" customHeight="1">
      <x:c r="A771" s="2" t="str">
        <x:v>ADP-0132</x:v>
      </x:c>
      <x:c r="B771" s="2" t="str">
        <x:v>Adaptation</x:v>
      </x:c>
      <x:c r="C771" s="2" t="str">
        <x:v>Water</x:v>
      </x:c>
      <x:c r="D771" s="2" t="str">
        <x:v>Limiting nutrient leakage</x:v>
      </x:c>
      <x:c r="E771" s="2" t="str">
        <x:v>Riparian buffers</x:v>
      </x:c>
      <x:c r="F771" s="2" t="str">
        <x:v>Phosphate rock</x:v>
      </x:c>
      <x:c r="G771" s="2" t="str">
        <x:v>Agricultural strategic mineral</x:v>
      </x:c>
      <x:c r="H771" s="2" t="str">
        <x:v>Phosphate rock is linked to Riparian buffers because it is typically used in phosphorus fertiliser used by the agricultural system; the assignment follows component function, not a sector-wide keyword.</x:v>
      </x:c>
      <x:c r="I771" s="2" t="str">
        <x:v>Presence and quantity in Riparian buffers depend on the selected design, chemistry, capacity, supplier and recycled content. This analytical link is not a verified bill of materials or supplier traceability statement.</x:v>
      </x:c>
      <x:c r="J771" s="2" t="str">
        <x:v>https://pubs.usgs.gov/periodicals/mcs2026/mcs2026.pdf</x:v>
      </x:c>
    </x:row>
    <x:row r="772" ht="66" customHeight="1">
      <x:c r="A772" s="2" t="str">
        <x:v>ADP-0132</x:v>
      </x:c>
      <x:c r="B772" s="2" t="str">
        <x:v>Adaptation</x:v>
      </x:c>
      <x:c r="C772" s="2" t="str">
        <x:v>Water</x:v>
      </x:c>
      <x:c r="D772" s="2" t="str">
        <x:v>Limiting nutrient leakage</x:v>
      </x:c>
      <x:c r="E772" s="2" t="str">
        <x:v>Riparian buffers</x:v>
      </x:c>
      <x:c r="F772" s="2" t="str">
        <x:v>Potash</x:v>
      </x:c>
      <x:c r="G772" s="2" t="str">
        <x:v>Agricultural strategic mineral</x:v>
      </x:c>
      <x:c r="H772" s="2" t="str">
        <x:v>Potash is linked to Riparian buffers because it is typically used in potassium fertiliser used by the agricultural system; the assignment follows component function, not a sector-wide keyword.</x:v>
      </x:c>
      <x:c r="I772" s="2" t="str">
        <x:v>Presence and quantity in Riparian buffers depend on the selected design, chemistry, capacity, supplier and recycled content. This analytical link is not a verified bill of materials or supplier traceability statement.</x:v>
      </x:c>
      <x:c r="J772" s="2" t="str">
        <x:v>https://pubs.usgs.gov/periodicals/mcs2026/mcs2026.pdf</x:v>
      </x:c>
    </x:row>
    <x:row r="773" ht="66" customHeight="1">
      <x:c r="A773" s="2" t="str">
        <x:v>ADP-0133</x:v>
      </x:c>
      <x:c r="B773" s="2" t="str">
        <x:v>Adaptation</x:v>
      </x:c>
      <x:c r="C773" s="2" t="str">
        <x:v>Water</x:v>
      </x:c>
      <x:c r="D773" s="2" t="str">
        <x:v>Limiting nutrient leakage</x:v>
      </x:c>
      <x:c r="E773" s="2" t="str">
        <x:v>Land use limitations</x:v>
      </x:c>
      <x:c r="F773" s="2" t="str">
        <x:v>Iron ore / steel inputs</x:v>
      </x:c>
      <x:c r="G773" s="2" t="str">
        <x:v>Bulk and strategic mineral input</x:v>
      </x:c>
      <x:c r="H773" s="2" t="str">
        <x:v>Iron ore / steel inputs is linked to Land use limitations because it is typically used in load-bearing structures, pressure vessels, piping or machinery; the assignment follows component function, not a sector-wide keyword.</x:v>
      </x:c>
      <x:c r="I773" s="2" t="str">
        <x:v>Presence and quantity in Land use limitations depend on the selected design, chemistry, capacity, supplier and recycled content. This analytical link is not a verified bill of materials or supplier traceability statement.</x:v>
      </x:c>
      <x:c r="J773" s="2" t="str">
        <x:v>https://pubs.usgs.gov/periodicals/mcs2026/mcs2026.pdf</x:v>
      </x:c>
    </x:row>
    <x:row r="774" ht="66" customHeight="1">
      <x:c r="A774" s="2" t="str">
        <x:v>ADP-0133</x:v>
      </x:c>
      <x:c r="B774" s="2" t="str">
        <x:v>Adaptation</x:v>
      </x:c>
      <x:c r="C774" s="2" t="str">
        <x:v>Water</x:v>
      </x:c>
      <x:c r="D774" s="2" t="str">
        <x:v>Limiting nutrient leakage</x:v>
      </x:c>
      <x:c r="E774" s="2" t="str">
        <x:v>Land use limitations</x:v>
      </x:c>
      <x:c r="F774" s="2" t="str">
        <x:v>Phosphate rock</x:v>
      </x:c>
      <x:c r="G774" s="2" t="str">
        <x:v>Agricultural strategic mineral</x:v>
      </x:c>
      <x:c r="H774" s="2" t="str">
        <x:v>Phosphate rock is linked to Land use limitations because it is typically used in phosphorus fertiliser used by the agricultural system; the assignment follows component function, not a sector-wide keyword.</x:v>
      </x:c>
      <x:c r="I774" s="2" t="str">
        <x:v>Presence and quantity in Land use limitations depend on the selected design, chemistry, capacity, supplier and recycled content. This analytical link is not a verified bill of materials or supplier traceability statement.</x:v>
      </x:c>
      <x:c r="J774" s="2" t="str">
        <x:v>https://pubs.usgs.gov/periodicals/mcs2026/mcs2026.pdf</x:v>
      </x:c>
    </x:row>
    <x:row r="775" ht="66" customHeight="1">
      <x:c r="A775" s="2" t="str">
        <x:v>ADP-0133</x:v>
      </x:c>
      <x:c r="B775" s="2" t="str">
        <x:v>Adaptation</x:v>
      </x:c>
      <x:c r="C775" s="2" t="str">
        <x:v>Water</x:v>
      </x:c>
      <x:c r="D775" s="2" t="str">
        <x:v>Limiting nutrient leakage</x:v>
      </x:c>
      <x:c r="E775" s="2" t="str">
        <x:v>Land use limitations</x:v>
      </x:c>
      <x:c r="F775" s="2" t="str">
        <x:v>Potash</x:v>
      </x:c>
      <x:c r="G775" s="2" t="str">
        <x:v>Agricultural strategic mineral</x:v>
      </x:c>
      <x:c r="H775" s="2" t="str">
        <x:v>Potash is linked to Land use limitations because it is typically used in potassium fertiliser used by the agricultural system; the assignment follows component function, not a sector-wide keyword.</x:v>
      </x:c>
      <x:c r="I775" s="2" t="str">
        <x:v>Presence and quantity in Land use limitations depend on the selected design, chemistry, capacity, supplier and recycled content. This analytical link is not a verified bill of materials or supplier traceability statement.</x:v>
      </x:c>
      <x:c r="J775" s="2" t="str">
        <x:v>https://pubs.usgs.gov/periodicals/mcs2026/mcs2026.pdf</x:v>
      </x:c>
    </x:row>
    <x:row r="776" ht="66" customHeight="1">
      <x:c r="A776" s="2" t="str">
        <x:v>ADP-0134</x:v>
      </x:c>
      <x:c r="B776" s="2" t="str">
        <x:v>Adaptation</x:v>
      </x:c>
      <x:c r="C776" s="2" t="str">
        <x:v>Water</x:v>
      </x:c>
      <x:c r="D776" s="2" t="str">
        <x:v>Limiting nutrient leakage</x:v>
      </x:c>
      <x:c r="E776" s="2" t="str">
        <x:v>Designing protected areas</x:v>
      </x:c>
      <x:c r="F776" s="2" t="str">
        <x:v>Iron ore / steel inputs</x:v>
      </x:c>
      <x:c r="G776" s="2" t="str">
        <x:v>Bulk and strategic mineral input</x:v>
      </x:c>
      <x:c r="H776" s="2" t="str">
        <x:v>Iron ore / steel inputs is linked to Designing protected areas because it is typically used in load-bearing structures, pressure vessels, piping or machinery; the assignment follows component function, not a sector-wide keyword.</x:v>
      </x:c>
      <x:c r="I776" s="2" t="str">
        <x:v>Presence and quantity in Designing protected areas depend on the selected design, chemistry, capacity, supplier and recycled content. This analytical link is not a verified bill of materials or supplier traceability statement.</x:v>
      </x:c>
      <x:c r="J776" s="2" t="str">
        <x:v>https://pubs.usgs.gov/periodicals/mcs2026/mcs2026.pdf</x:v>
      </x:c>
    </x:row>
    <x:row r="777" ht="66" customHeight="1">
      <x:c r="A777" s="2" t="str">
        <x:v>ADP-0134</x:v>
      </x:c>
      <x:c r="B777" s="2" t="str">
        <x:v>Adaptation</x:v>
      </x:c>
      <x:c r="C777" s="2" t="str">
        <x:v>Water</x:v>
      </x:c>
      <x:c r="D777" s="2" t="str">
        <x:v>Limiting nutrient leakage</x:v>
      </x:c>
      <x:c r="E777" s="2" t="str">
        <x:v>Designing protected areas</x:v>
      </x:c>
      <x:c r="F777" s="2" t="str">
        <x:v>Phosphate rock</x:v>
      </x:c>
      <x:c r="G777" s="2" t="str">
        <x:v>Agricultural strategic mineral</x:v>
      </x:c>
      <x:c r="H777" s="2" t="str">
        <x:v>Phosphate rock is linked to Designing protected areas because it is typically used in phosphorus fertiliser used by the agricultural system; the assignment follows component function, not a sector-wide keyword.</x:v>
      </x:c>
      <x:c r="I777" s="2" t="str">
        <x:v>Presence and quantity in Designing protected areas depend on the selected design, chemistry, capacity, supplier and recycled content. This analytical link is not a verified bill of materials or supplier traceability statement.</x:v>
      </x:c>
      <x:c r="J777" s="2" t="str">
        <x:v>https://pubs.usgs.gov/periodicals/mcs2026/mcs2026.pdf</x:v>
      </x:c>
    </x:row>
    <x:row r="778" ht="66" customHeight="1">
      <x:c r="A778" s="2" t="str">
        <x:v>ADP-0134</x:v>
      </x:c>
      <x:c r="B778" s="2" t="str">
        <x:v>Adaptation</x:v>
      </x:c>
      <x:c r="C778" s="2" t="str">
        <x:v>Water</x:v>
      </x:c>
      <x:c r="D778" s="2" t="str">
        <x:v>Limiting nutrient leakage</x:v>
      </x:c>
      <x:c r="E778" s="2" t="str">
        <x:v>Designing protected areas</x:v>
      </x:c>
      <x:c r="F778" s="2" t="str">
        <x:v>Potash</x:v>
      </x:c>
      <x:c r="G778" s="2" t="str">
        <x:v>Agricultural strategic mineral</x:v>
      </x:c>
      <x:c r="H778" s="2" t="str">
        <x:v>Potash is linked to Designing protected areas because it is typically used in potassium fertiliser used by the agricultural system; the assignment follows component function, not a sector-wide keyword.</x:v>
      </x:c>
      <x:c r="I778" s="2" t="str">
        <x:v>Presence and quantity in Designing protected areas depend on the selected design, chemistry, capacity, supplier and recycled content. This analytical link is not a verified bill of materials or supplier traceability statement.</x:v>
      </x:c>
      <x:c r="J778" s="2" t="str">
        <x:v>https://pubs.usgs.gov/periodicals/mcs2026/mcs2026.pdf</x:v>
      </x:c>
    </x:row>
    <x:row r="779" ht="66" customHeight="1">
      <x:c r="A779" s="2" t="str">
        <x:v>ADP-0135</x:v>
      </x:c>
      <x:c r="B779" s="2" t="str">
        <x:v>Adaptation</x:v>
      </x:c>
      <x:c r="C779" s="2" t="str">
        <x:v>Water</x:v>
      </x:c>
      <x:c r="D779" s="2" t="str">
        <x:v>Limiting nutrient leakage</x:v>
      </x:c>
      <x:c r="E779" s="2" t="str">
        <x:v>Change in land use practices</x:v>
      </x:c>
      <x:c r="F779" s="2" t="str">
        <x:v>Iron ore / steel inputs</x:v>
      </x:c>
      <x:c r="G779" s="2" t="str">
        <x:v>Bulk and strategic mineral input</x:v>
      </x:c>
      <x:c r="H779" s="2" t="str">
        <x:v>Iron ore / steel inputs is linked to Change in land use practices because it is typically used in load-bearing structures, pressure vessels, piping or machinery; the assignment follows component function, not a sector-wide keyword.</x:v>
      </x:c>
      <x:c r="I779" s="2" t="str">
        <x:v>Presence and quantity in Change in land use practices depend on the selected design, chemistry, capacity, supplier and recycled content. This analytical link is not a verified bill of materials or supplier traceability statement.</x:v>
      </x:c>
      <x:c r="J779" s="2" t="str">
        <x:v>https://pubs.usgs.gov/periodicals/mcs2026/mcs2026.pdf</x:v>
      </x:c>
    </x:row>
    <x:row r="780" ht="66" customHeight="1">
      <x:c r="A780" s="2" t="str">
        <x:v>ADP-0135</x:v>
      </x:c>
      <x:c r="B780" s="2" t="str">
        <x:v>Adaptation</x:v>
      </x:c>
      <x:c r="C780" s="2" t="str">
        <x:v>Water</x:v>
      </x:c>
      <x:c r="D780" s="2" t="str">
        <x:v>Limiting nutrient leakage</x:v>
      </x:c>
      <x:c r="E780" s="2" t="str">
        <x:v>Change in land use practices</x:v>
      </x:c>
      <x:c r="F780" s="2" t="str">
        <x:v>Phosphate rock</x:v>
      </x:c>
      <x:c r="G780" s="2" t="str">
        <x:v>Agricultural strategic mineral</x:v>
      </x:c>
      <x:c r="H780" s="2" t="str">
        <x:v>Phosphate rock is linked to Change in land use practices because it is typically used in phosphorus fertiliser used by the agricultural system; the assignment follows component function, not a sector-wide keyword.</x:v>
      </x:c>
      <x:c r="I780" s="2" t="str">
        <x:v>Presence and quantity in Change in land use practices depend on the selected design, chemistry, capacity, supplier and recycled content. This analytical link is not a verified bill of materials or supplier traceability statement.</x:v>
      </x:c>
      <x:c r="J780" s="2" t="str">
        <x:v>https://pubs.usgs.gov/periodicals/mcs2026/mcs2026.pdf</x:v>
      </x:c>
    </x:row>
    <x:row r="781" ht="66" customHeight="1">
      <x:c r="A781" s="2" t="str">
        <x:v>ADP-0135</x:v>
      </x:c>
      <x:c r="B781" s="2" t="str">
        <x:v>Adaptation</x:v>
      </x:c>
      <x:c r="C781" s="2" t="str">
        <x:v>Water</x:v>
      </x:c>
      <x:c r="D781" s="2" t="str">
        <x:v>Limiting nutrient leakage</x:v>
      </x:c>
      <x:c r="E781" s="2" t="str">
        <x:v>Change in land use practices</x:v>
      </x:c>
      <x:c r="F781" s="2" t="str">
        <x:v>Potash</x:v>
      </x:c>
      <x:c r="G781" s="2" t="str">
        <x:v>Agricultural strategic mineral</x:v>
      </x:c>
      <x:c r="H781" s="2" t="str">
        <x:v>Potash is linked to Change in land use practices because it is typically used in potassium fertiliser used by the agricultural system; the assignment follows component function, not a sector-wide keyword.</x:v>
      </x:c>
      <x:c r="I781" s="2" t="str">
        <x:v>Presence and quantity in Change in land use practices depend on the selected design, chemistry, capacity, supplier and recycled content. This analytical link is not a verified bill of materials or supplier traceability statement.</x:v>
      </x:c>
      <x:c r="J781" s="2" t="str">
        <x:v>https://pubs.usgs.gov/periodicals/mcs2026/mcs2026.pdf</x:v>
      </x:c>
    </x:row>
    <x:row r="782" ht="66" customHeight="1">
      <x:c r="A782" s="2" t="str">
        <x:v>ADP-0136</x:v>
      </x:c>
      <x:c r="B782" s="2" t="str">
        <x:v>Adaptation</x:v>
      </x:c>
      <x:c r="C782" s="2" t="str">
        <x:v>Water</x:v>
      </x:c>
      <x:c r="D782" s="2" t="str">
        <x:v>Water allocation</x:v>
      </x:c>
      <x:c r="E782" s="2" t="str">
        <x:v>Seasonal water restrictions</x:v>
      </x:c>
      <x:c r="F782" s="2" t="str">
        <x:v>Iron ore / steel inputs</x:v>
      </x:c>
      <x:c r="G782" s="2" t="str">
        <x:v>Bulk and strategic mineral input</x:v>
      </x:c>
      <x:c r="H782" s="2" t="str">
        <x:v>Iron ore / steel inputs is linked to Seasonal water restrictions because it is typically used in load-bearing structures, pressure vessels, piping or machinery; the assignment follows component function, not a sector-wide keyword.</x:v>
      </x:c>
      <x:c r="I782" s="2" t="str">
        <x:v>Presence and quantity in Seasonal water restrictions depend on the selected design, chemistry, capacity, supplier and recycled content. This analytical link is not a verified bill of materials or supplier traceability statement.</x:v>
      </x:c>
      <x:c r="J782" s="2" t="str">
        <x:v>https://pubs.usgs.gov/periodicals/mcs2026/mcs2026.pdf</x:v>
      </x:c>
    </x:row>
    <x:row r="783" ht="66" customHeight="1">
      <x:c r="A783" s="2" t="str">
        <x:v>ADP-0137</x:v>
      </x:c>
      <x:c r="B783" s="2" t="str">
        <x:v>Adaptation</x:v>
      </x:c>
      <x:c r="C783" s="2" t="str">
        <x:v>Water</x:v>
      </x:c>
      <x:c r="D783" s="2" t="str">
        <x:v>Water allocation</x:v>
      </x:c>
      <x:c r="E783" s="2" t="str">
        <x:v>Basin level modelling for water allocation</x:v>
      </x:c>
      <x:c r="F783" s="2" t="str">
        <x:v>Iron ore / steel inputs</x:v>
      </x:c>
      <x:c r="G783" s="2" t="str">
        <x:v>Bulk and strategic mineral input</x:v>
      </x:c>
      <x:c r="H783" s="2" t="str">
        <x:v>Iron ore / steel inputs is linked to Basin level modelling for water allocation because it is typically used in load-bearing structures, pressure vessels, piping or machinery; the assignment follows component function, not a sector-wide keyword.</x:v>
      </x:c>
      <x:c r="I783" s="2" t="str">
        <x:v>Presence and quantity in Basin level modelling for water allocation depend on the selected design, chemistry, capacity, supplier and recycled content. This analytical link is not a verified bill of materials or supplier traceability statement.</x:v>
      </x:c>
      <x:c r="J783" s="2" t="str">
        <x:v>https://pubs.usgs.gov/periodicals/mcs2026/mcs2026.pdf</x:v>
      </x:c>
    </x:row>
    <x:row r="784" ht="66" customHeight="1">
      <x:c r="A784" s="2" t="str">
        <x:v>ADP-0138</x:v>
      </x:c>
      <x:c r="B784" s="2" t="str">
        <x:v>Adaptation</x:v>
      </x:c>
      <x:c r="C784" s="2" t="str">
        <x:v>Water</x:v>
      </x:c>
      <x:c r="D784" s="2" t="str">
        <x:v>Water allocation</x:v>
      </x:c>
      <x:c r="E784" s="2" t="str">
        <x:v>Water reallocation</x:v>
      </x:c>
      <x:c r="F784" s="2" t="str">
        <x:v>Iron ore / steel inputs</x:v>
      </x:c>
      <x:c r="G784" s="2" t="str">
        <x:v>Bulk and strategic mineral input</x:v>
      </x:c>
      <x:c r="H784" s="2" t="str">
        <x:v>Iron ore / steel inputs is linked to Water reallocation because it is typically used in load-bearing structures, pressure vessels, piping or machinery; the assignment follows component function, not a sector-wide keyword.</x:v>
      </x:c>
      <x:c r="I784" s="2" t="str">
        <x:v>Presence and quantity in Water reallocation depend on the selected design, chemistry, capacity, supplier and recycled content. This analytical link is not a verified bill of materials or supplier traceability statement.</x:v>
      </x:c>
      <x:c r="J784" s="2" t="str">
        <x:v>https://pubs.usgs.gov/periodicals/mcs2026/mcs2026.pdf</x:v>
      </x:c>
    </x:row>
    <x:row r="785" ht="66" customHeight="1">
      <x:c r="A785" s="2" t="str">
        <x:v>ADP-0139</x:v>
      </x:c>
      <x:c r="B785" s="2" t="str">
        <x:v>Adaptation</x:v>
      </x:c>
      <x:c r="C785" s="2" t="str">
        <x:v>Human Health</x:v>
      </x:c>
      <x:c r="D785" s="2" t="str">
        <x:v>Emergency medical services</x:v>
      </x:c>
      <x:c r="E785" s="2" t="str">
        <x:v>Emergency medical services</x:v>
      </x:c>
      <x:c r="F785" s="2" t="str">
        <x:v>Iron ore / steel inputs</x:v>
      </x:c>
      <x:c r="G785" s="2" t="str">
        <x:v>Bulk and strategic mineral input</x:v>
      </x:c>
      <x:c r="H785" s="2" t="str">
        <x:v>Iron ore / steel inputs is linked to Emergency medical services because it is typically used in load-bearing structures, pressure vessels, piping or machinery; the assignment follows component function, not a sector-wide keyword.</x:v>
      </x:c>
      <x:c r="I785" s="2" t="str">
        <x:v>Presence and quantity in Emergency medical services depend on the selected design, chemistry, capacity, supplier and recycled content. This analytical link is not a verified bill of materials or supplier traceability statement.</x:v>
      </x:c>
      <x:c r="J785" s="2" t="str">
        <x:v>https://pubs.usgs.gov/periodicals/mcs2026/mcs2026.pdf</x:v>
      </x:c>
    </x:row>
    <x:row r="786" ht="66" customHeight="1">
      <x:c r="A786" s="2" t="str">
        <x:v>ADP-0140</x:v>
      </x:c>
      <x:c r="B786" s="2" t="str">
        <x:v>Adaptation</x:v>
      </x:c>
      <x:c r="C786" s="2" t="str">
        <x:v>Human Health</x:v>
      </x:c>
      <x:c r="D786" s="2" t="str">
        <x:v>Advanced IT systems in the health sector</x:v>
      </x:c>
      <x:c r="E786" s="2" t="str">
        <x:v>Disease surveillance systems</x:v>
      </x:c>
      <x:c r="F786" s="2" t="str">
        <x:v>Iron ore / steel inputs</x:v>
      </x:c>
      <x:c r="G786" s="2" t="str">
        <x:v>Bulk and strategic mineral input</x:v>
      </x:c>
      <x:c r="H786" s="2" t="str">
        <x:v>Iron ore / steel inputs is linked to Disease surveillance systems because it is typically used in load-bearing structures, pressure vessels, piping or machinery; the assignment follows component function, not a sector-wide keyword.</x:v>
      </x:c>
      <x:c r="I786" s="2" t="str">
        <x:v>Presence and quantity in Disease surveillance systems depend on the selected design, chemistry, capacity, supplier and recycled content. This analytical link is not a verified bill of materials or supplier traceability statement.</x:v>
      </x:c>
      <x:c r="J786" s="2" t="str">
        <x:v>https://pubs.usgs.gov/periodicals/mcs2026/mcs2026.pdf</x:v>
      </x:c>
    </x:row>
    <x:row r="787" ht="66" customHeight="1">
      <x:c r="A787" s="2" t="str">
        <x:v>ADP-0141</x:v>
      </x:c>
      <x:c r="B787" s="2" t="str">
        <x:v>Adaptation</x:v>
      </x:c>
      <x:c r="C787" s="2" t="str">
        <x:v>Human Health</x:v>
      </x:c>
      <x:c r="D787" s="2" t="str">
        <x:v>Advanced IT systems in the health sector</x:v>
      </x:c>
      <x:c r="E787" s="2" t="str">
        <x:v>E-Health</x:v>
      </x:c>
      <x:c r="F787" s="2" t="str">
        <x:v>Iron ore / steel inputs</x:v>
      </x:c>
      <x:c r="G787" s="2" t="str">
        <x:v>Bulk and strategic mineral input</x:v>
      </x:c>
      <x:c r="H787" s="2" t="str">
        <x:v>Iron ore / steel inputs is linked to E-Health because it is typically used in load-bearing structures, pressure vessels, piping or machinery; the assignment follows component function, not a sector-wide keyword.</x:v>
      </x:c>
      <x:c r="I787" s="2" t="str">
        <x:v>Presence and quantity in E-Health depend on the selected design, chemistry, capacity, supplier and recycled content. This analytical link is not a verified bill of materials or supplier traceability statement.</x:v>
      </x:c>
      <x:c r="J787" s="2" t="str">
        <x:v>https://pubs.usgs.gov/periodicals/mcs2026/mcs2026.pdf</x:v>
      </x:c>
    </x:row>
    <x:row r="788" ht="66" customHeight="1">
      <x:c r="A788" s="2" t="str">
        <x:v>ADP-0142</x:v>
      </x:c>
      <x:c r="B788" s="2" t="str">
        <x:v>Adaptation</x:v>
      </x:c>
      <x:c r="C788" s="2" t="str">
        <x:v>Human Health</x:v>
      </x:c>
      <x:c r="D788" s="2" t="str">
        <x:v>Public health services</x:v>
      </x:c>
      <x:c r="E788" s="2" t="str">
        <x:v>Education of health personnel</x:v>
      </x:c>
      <x:c r="F788" s="2" t="str">
        <x:v>Iron ore / steel inputs</x:v>
      </x:c>
      <x:c r="G788" s="2" t="str">
        <x:v>Bulk and strategic mineral input</x:v>
      </x:c>
      <x:c r="H788" s="2" t="str">
        <x:v>Iron ore / steel inputs is linked to Education of health personnel because it is typically used in load-bearing structures, pressure vessels, piping or machinery; the assignment follows component function, not a sector-wide keyword.</x:v>
      </x:c>
      <x:c r="I788" s="2" t="str">
        <x:v>Presence and quantity in Education of health personnel depend on the selected design, chemistry, capacity, supplier and recycled content. This analytical link is not a verified bill of materials or supplier traceability statement.</x:v>
      </x:c>
      <x:c r="J788" s="2" t="str">
        <x:v>https://pubs.usgs.gov/periodicals/mcs2026/mcs2026.pdf</x:v>
      </x:c>
    </x:row>
    <x:row r="789" ht="66" customHeight="1">
      <x:c r="A789" s="2" t="str">
        <x:v>ADP-0143</x:v>
      </x:c>
      <x:c r="B789" s="2" t="str">
        <x:v>Adaptation</x:v>
      </x:c>
      <x:c r="C789" s="2" t="str">
        <x:v>Human Health</x:v>
      </x:c>
      <x:c r="D789" s="2" t="str">
        <x:v>Public health services</x:v>
      </x:c>
      <x:c r="E789" s="2" t="str">
        <x:v>Heat wave plans and emergency response</x:v>
      </x:c>
      <x:c r="F789" s="2" t="str">
        <x:v>Iron ore / steel inputs</x:v>
      </x:c>
      <x:c r="G789" s="2" t="str">
        <x:v>Bulk and strategic mineral input</x:v>
      </x:c>
      <x:c r="H789" s="2" t="str">
        <x:v>Iron ore / steel inputs is linked to Heat wave plans and emergency response because it is typically used in load-bearing structures, pressure vessels, piping or machinery; the assignment follows component function, not a sector-wide keyword.</x:v>
      </x:c>
      <x:c r="I789" s="2" t="str">
        <x:v>Presence and quantity in Heat wave plans and emergency response depend on the selected design, chemistry, capacity, supplier and recycled content. This analytical link is not a verified bill of materials or supplier traceability statement.</x:v>
      </x:c>
      <x:c r="J789" s="2" t="str">
        <x:v>https://pubs.usgs.gov/periodicals/mcs2026/mcs2026.pdf</x:v>
      </x:c>
    </x:row>
    <x:row r="790" ht="66" customHeight="1">
      <x:c r="A790" s="2" t="str">
        <x:v>ADP-0144</x:v>
      </x:c>
      <x:c r="B790" s="2" t="str">
        <x:v>Adaptation</x:v>
      </x:c>
      <x:c r="C790" s="2" t="str">
        <x:v>Human Health</x:v>
      </x:c>
      <x:c r="D790" s="2" t="str">
        <x:v>Vaccination programs</x:v>
      </x:c>
      <x:c r="E790" s="2" t="str">
        <x:v>Vaccination programs</x:v>
      </x:c>
      <x:c r="F790" s="2" t="str">
        <x:v>Iron ore / steel inputs</x:v>
      </x:c>
      <x:c r="G790" s="2" t="str">
        <x:v>Bulk and strategic mineral input</x:v>
      </x:c>
      <x:c r="H790" s="2" t="str">
        <x:v>Iron ore / steel inputs is linked to Vaccination programs because it is typically used in load-bearing structures, pressure vessels, piping or machinery; the assignment follows component function, not a sector-wide keyword.</x:v>
      </x:c>
      <x:c r="I790" s="2" t="str">
        <x:v>Presence and quantity in Vaccination programs depend on the selected design, chemistry, capacity, supplier and recycled content. This analytical link is not a verified bill of materials or supplier traceability statement.</x:v>
      </x:c>
      <x:c r="J790" s="2" t="str">
        <x:v>https://pubs.usgs.gov/periodicals/mcs2026/mcs2026.pdf</x:v>
      </x:c>
    </x:row>
    <x:row r="791" ht="66" customHeight="1">
      <x:c r="A791" s="2" t="str">
        <x:v>ADP-0145</x:v>
      </x:c>
      <x:c r="B791" s="2" t="str">
        <x:v>Adaptation</x:v>
      </x:c>
      <x:c r="C791" s="2" t="str">
        <x:v>Human Health</x:v>
      </x:c>
      <x:c r="D791" s="2" t="str">
        <x:v>Vector-borne diseases</x:v>
      </x:c>
      <x:c r="E791" s="2" t="str">
        <x:v>Rapid diagnostic tests</x:v>
      </x:c>
      <x:c r="F791" s="2" t="str">
        <x:v>Iron ore / steel inputs</x:v>
      </x:c>
      <x:c r="G791" s="2" t="str">
        <x:v>Bulk and strategic mineral input</x:v>
      </x:c>
      <x:c r="H791" s="2" t="str">
        <x:v>Iron ore / steel inputs is linked to Rapid diagnostic tests because it is typically used in load-bearing structures, pressure vessels, piping or machinery; the assignment follows component function, not a sector-wide keyword.</x:v>
      </x:c>
      <x:c r="I791" s="2" t="str">
        <x:v>Presence and quantity in Rapid diagnostic tests depend on the selected design, chemistry, capacity, supplier and recycled content. This analytical link is not a verified bill of materials or supplier traceability statement.</x:v>
      </x:c>
      <x:c r="J791" s="2" t="str">
        <x:v>https://pubs.usgs.gov/periodicals/mcs2026/mcs2026.pdf</x:v>
      </x:c>
    </x:row>
    <x:row r="792" ht="66" customHeight="1">
      <x:c r="A792" s="2" t="str">
        <x:v>ADP-0146</x:v>
      </x:c>
      <x:c r="B792" s="2" t="str">
        <x:v>Adaptation</x:v>
      </x:c>
      <x:c r="C792" s="2" t="str">
        <x:v>Human Health</x:v>
      </x:c>
      <x:c r="D792" s="2" t="str">
        <x:v>Vector-borne diseases</x:v>
      </x:c>
      <x:c r="E792" s="2" t="str">
        <x:v>Malaria protection and prevention programs</x:v>
      </x:c>
      <x:c r="F792" s="2" t="str">
        <x:v>Iron ore / steel inputs</x:v>
      </x:c>
      <x:c r="G792" s="2" t="str">
        <x:v>Bulk and strategic mineral input</x:v>
      </x:c>
      <x:c r="H792" s="2" t="str">
        <x:v>Iron ore / steel inputs is linked to Malaria protection and prevention programs because it is typically used in load-bearing structures, pressure vessels, piping or machinery; the assignment follows component function, not a sector-wide keyword.</x:v>
      </x:c>
      <x:c r="I792" s="2" t="str">
        <x:v>Presence and quantity in Malaria protection and prevention programs depend on the selected design, chemistry, capacity, supplier and recycled content. This analytical link is not a verified bill of materials or supplier traceability statement.</x:v>
      </x:c>
      <x:c r="J792" s="2" t="str">
        <x:v>https://pubs.usgs.gov/periodicals/mcs2026/mcs2026.pdf</x:v>
      </x:c>
    </x:row>
    <x:row r="793" ht="66" customHeight="1">
      <x:c r="A793" s="2" t="str">
        <x:v>ADP-0147</x:v>
      </x:c>
      <x:c r="B793" s="2" t="str">
        <x:v>Adaptation</x:v>
      </x:c>
      <x:c r="C793" s="2" t="str">
        <x:v>Human Health</x:v>
      </x:c>
      <x:c r="D793" s="2" t="str">
        <x:v>Vector-borne diseases</x:v>
      </x:c>
      <x:c r="E793" s="2" t="str">
        <x:v>Long-lasting insecticidal bed nets</x:v>
      </x:c>
      <x:c r="F793" s="2" t="str">
        <x:v>Iron ore / steel inputs</x:v>
      </x:c>
      <x:c r="G793" s="2" t="str">
        <x:v>Bulk and strategic mineral input</x:v>
      </x:c>
      <x:c r="H793" s="2" t="str">
        <x:v>Iron ore / steel inputs is linked to Long-lasting insecticidal bed nets because it is typically used in load-bearing structures, pressure vessels, piping or machinery; the assignment follows component function, not a sector-wide keyword.</x:v>
      </x:c>
      <x:c r="I793" s="2" t="str">
        <x:v>Presence and quantity in Long-lasting insecticidal bed nets depend on the selected design, chemistry, capacity, supplier and recycled content. This analytical link is not a verified bill of materials or supplier traceability statement.</x:v>
      </x:c>
      <x:c r="J793" s="2" t="str">
        <x:v>https://pubs.usgs.gov/periodicals/mcs2026/mcs2026.pdf</x:v>
      </x:c>
    </x:row>
    <x:row r="794" ht="66" customHeight="1">
      <x:c r="A794" s="2" t="str">
        <x:v>ADP-0148</x:v>
      </x:c>
      <x:c r="B794" s="2" t="str">
        <x:v>Adaptation</x:v>
      </x:c>
      <x:c r="C794" s="2" t="str">
        <x:v>Infrastructure and Urban planning</x:v>
      </x:c>
      <x:c r="D794" s="2" t="str">
        <x:v>Ground surface material</x:v>
      </x:c>
      <x:c r="E794" s="2" t="str">
        <x:v>Engineered cementitious composite (ECC)</x:v>
      </x:c>
      <x:c r="F794" s="2" t="str">
        <x:v>Iron ore / steel inputs</x:v>
      </x:c>
      <x:c r="G794" s="2" t="str">
        <x:v>Bulk and strategic mineral input</x:v>
      </x:c>
      <x:c r="H794" s="2" t="str">
        <x:v>Iron ore / steel inputs is linked to Engineered cementitious composite (ECC) because it is typically used in load-bearing structures, pressure vessels, piping or machinery; the assignment follows component function, not a sector-wide keyword.</x:v>
      </x:c>
      <x:c r="I794" s="2" t="str">
        <x:v>Presence and quantity in Engineered cementitious composite (ECC) depend on the selected design, chemistry, capacity, supplier and recycled content. This analytical link is not a verified bill of materials or supplier traceability statement.</x:v>
      </x:c>
      <x:c r="J794" s="2" t="str">
        <x:v>https://pubs.usgs.gov/periodicals/mcs2026/mcs2026.pdf</x:v>
      </x:c>
    </x:row>
    <x:row r="795" ht="66" customHeight="1">
      <x:c r="A795" s="2" t="str">
        <x:v>ADP-0148</x:v>
      </x:c>
      <x:c r="B795" s="2" t="str">
        <x:v>Adaptation</x:v>
      </x:c>
      <x:c r="C795" s="2" t="str">
        <x:v>Infrastructure and Urban planning</x:v>
      </x:c>
      <x:c r="D795" s="2" t="str">
        <x:v>Ground surface material</x:v>
      </x:c>
      <x:c r="E795" s="2" t="str">
        <x:v>Engineered cementitious composite (ECC)</x:v>
      </x:c>
      <x:c r="F795" s="2" t="str">
        <x:v>Nickel</x:v>
      </x:c>
      <x:c r="G795" s="2" t="str">
        <x:v>Battery and alloy critical mineral</x:v>
      </x:c>
      <x:c r="H795" s="2" t="str">
        <x:v>Nickel is linked to Engineered cementitious composite (ECC) because it is typically used in battery cathodes, high-temperature alloys or corrosion-resistant steels; the assignment follows component function, not a sector-wide keyword.</x:v>
      </x:c>
      <x:c r="I795" s="2" t="str">
        <x:v>Presence and quantity in Engineered cementitious composite (ECC) depend on the selected design, chemistry, capacity, supplier and recycled content. This analytical link is not a verified bill of materials or supplier traceability statement.</x:v>
      </x:c>
      <x:c r="J795" s="2" t="str">
        <x:v>https://www.iea.org/reports/global-critical-minerals-outlook-2025</x:v>
      </x:c>
    </x:row>
    <x:row r="796" ht="66" customHeight="1">
      <x:c r="A796" s="2" t="str">
        <x:v>ADP-0148</x:v>
      </x:c>
      <x:c r="B796" s="2" t="str">
        <x:v>Adaptation</x:v>
      </x:c>
      <x:c r="C796" s="2" t="str">
        <x:v>Infrastructure and Urban planning</x:v>
      </x:c>
      <x:c r="D796" s="2" t="str">
        <x:v>Ground surface material</x:v>
      </x:c>
      <x:c r="E796" s="2" t="str">
        <x:v>Engineered cementitious composite (ECC)</x:v>
      </x:c>
      <x:c r="F796" s="2" t="str">
        <x:v>Chromium</x:v>
      </x:c>
      <x:c r="G796" s="2" t="str">
        <x:v>Alloy strategic mineral</x:v>
      </x:c>
      <x:c r="H796" s="2" t="str">
        <x:v>Chromium is linked to Engineered cementitious composite (ECC) because it is typically used in stainless and heat- or corrosion-resistant alloys; the assignment follows component function, not a sector-wide keyword.</x:v>
      </x:c>
      <x:c r="I796" s="2" t="str">
        <x:v>Presence and quantity in Engineered cementitious composite (ECC) depend on the selected design, chemistry, capacity, supplier and recycled content. This analytical link is not a verified bill of materials or supplier traceability statement.</x:v>
      </x:c>
      <x:c r="J796" s="2" t="str">
        <x:v>https://pubs.usgs.gov/periodicals/mcs2026/mcs2026.pdf</x:v>
      </x:c>
    </x:row>
    <x:row r="797" ht="66" customHeight="1">
      <x:c r="A797" s="2" t="str">
        <x:v>ADP-0148</x:v>
      </x:c>
      <x:c r="B797" s="2" t="str">
        <x:v>Adaptation</x:v>
      </x:c>
      <x:c r="C797" s="2" t="str">
        <x:v>Infrastructure and Urban planning</x:v>
      </x:c>
      <x:c r="D797" s="2" t="str">
        <x:v>Ground surface material</x:v>
      </x:c>
      <x:c r="E797" s="2" t="str">
        <x:v>Engineered cementitious composite (ECC)</x:v>
      </x:c>
      <x:c r="F797" s="2" t="str">
        <x:v>Limestone / cement raw materials</x:v>
      </x:c>
      <x:c r="G797" s="2" t="str">
        <x:v>Bulk construction material</x:v>
      </x:c>
      <x:c r="H797" s="2" t="str">
        <x:v>Limestone / cement raw materials is linked to Engineered cementitious composite (ECC) because it is typically used in concrete foundations, channels, buildings or protective civil works; the assignment follows component function, not a sector-wide keyword.</x:v>
      </x:c>
      <x:c r="I797" s="2" t="str">
        <x:v>Presence and quantity in Engineered cementitious composite (ECC) depend on the selected design, chemistry, capacity, supplier and recycled content. This analytical link is not a verified bill of materials or supplier traceability statement.</x:v>
      </x:c>
      <x:c r="J797" s="2" t="str">
        <x:v>https://pubs.usgs.gov/periodicals/mcs2026/mcs2026.pdf</x:v>
      </x:c>
    </x:row>
    <x:row r="798" ht="66" customHeight="1">
      <x:c r="A798" s="2" t="str">
        <x:v>ADP-0149</x:v>
      </x:c>
      <x:c r="B798" s="2" t="str">
        <x:v>Adaptation</x:v>
      </x:c>
      <x:c r="C798" s="2" t="str">
        <x:v>Infrastructure and Urban planning</x:v>
      </x:c>
      <x:c r="D798" s="2" t="str">
        <x:v>Ground surface material</x:v>
      </x:c>
      <x:c r="E798" s="2" t="str">
        <x:v>Warm-mix asphalt</x:v>
      </x:c>
      <x:c r="F798" s="2" t="str">
        <x:v>Iron ore / steel inputs</x:v>
      </x:c>
      <x:c r="G798" s="2" t="str">
        <x:v>Bulk and strategic mineral input</x:v>
      </x:c>
      <x:c r="H798" s="2" t="str">
        <x:v>Iron ore / steel inputs is linked to Warm-mix asphalt because it is typically used in load-bearing structures, pressure vessels, piping or machinery; the assignment follows component function, not a sector-wide keyword.</x:v>
      </x:c>
      <x:c r="I798" s="2" t="str">
        <x:v>Presence and quantity in Warm-mix asphalt depend on the selected design, chemistry, capacity, supplier and recycled content. This analytical link is not a verified bill of materials or supplier traceability statement.</x:v>
      </x:c>
      <x:c r="J798" s="2" t="str">
        <x:v>https://pubs.usgs.gov/periodicals/mcs2026/mcs2026.pdf</x:v>
      </x:c>
    </x:row>
    <x:row r="799" ht="66" customHeight="1">
      <x:c r="A799" s="2" t="str">
        <x:v>ADP-0149</x:v>
      </x:c>
      <x:c r="B799" s="2" t="str">
        <x:v>Adaptation</x:v>
      </x:c>
      <x:c r="C799" s="2" t="str">
        <x:v>Infrastructure and Urban planning</x:v>
      </x:c>
      <x:c r="D799" s="2" t="str">
        <x:v>Ground surface material</x:v>
      </x:c>
      <x:c r="E799" s="2" t="str">
        <x:v>Warm-mix asphalt</x:v>
      </x:c>
      <x:c r="F799" s="2" t="str">
        <x:v>Limestone / cement raw materials</x:v>
      </x:c>
      <x:c r="G799" s="2" t="str">
        <x:v>Bulk construction material</x:v>
      </x:c>
      <x:c r="H799" s="2" t="str">
        <x:v>Limestone / cement raw materials is linked to Warm-mix asphalt because it is typically used in concrete foundations, channels, buildings or protective civil works; the assignment follows component function, not a sector-wide keyword.</x:v>
      </x:c>
      <x:c r="I799" s="2" t="str">
        <x:v>Presence and quantity in Warm-mix asphalt depend on the selected design, chemistry, capacity, supplier and recycled content. This analytical link is not a verified bill of materials or supplier traceability statement.</x:v>
      </x:c>
      <x:c r="J799" s="2" t="str">
        <x:v>https://pubs.usgs.gov/periodicals/mcs2026/mcs2026.pdf</x:v>
      </x:c>
    </x:row>
    <x:row r="800" ht="66" customHeight="1">
      <x:c r="A800" s="2" t="str">
        <x:v>ADP-0150</x:v>
      </x:c>
      <x:c r="B800" s="2" t="str">
        <x:v>Adaptation</x:v>
      </x:c>
      <x:c r="C800" s="2" t="str">
        <x:v>Infrastructure and Urban planning</x:v>
      </x:c>
      <x:c r="D800" s="2" t="str">
        <x:v>Sewerage infrastructure</x:v>
      </x:c>
      <x:c r="E800" s="2" t="str">
        <x:v>Sewerage infrastructure</x:v>
      </x:c>
      <x:c r="F800" s="2" t="str">
        <x:v>Iron ore / steel inputs</x:v>
      </x:c>
      <x:c r="G800" s="2" t="str">
        <x:v>Bulk and strategic mineral input</x:v>
      </x:c>
      <x:c r="H800" s="2" t="str">
        <x:v>Iron ore / steel inputs is linked to Sewerage infrastructure because it is typically used in load-bearing structures, pressure vessels, piping or machinery; the assignment follows component function, not a sector-wide keyword.</x:v>
      </x:c>
      <x:c r="I800" s="2" t="str">
        <x:v>Presence and quantity in Sewerage infrastructure depend on the selected design, chemistry, capacity, supplier and recycled content. This analytical link is not a verified bill of materials or supplier traceability statement.</x:v>
      </x:c>
      <x:c r="J800" s="2" t="str">
        <x:v>https://pubs.usgs.gov/periodicals/mcs2026/mcs2026.pdf</x:v>
      </x:c>
    </x:row>
    <x:row r="801" ht="66" customHeight="1">
      <x:c r="A801" s="2" t="str">
        <x:v>ADP-0150</x:v>
      </x:c>
      <x:c r="B801" s="2" t="str">
        <x:v>Adaptation</x:v>
      </x:c>
      <x:c r="C801" s="2" t="str">
        <x:v>Infrastructure and Urban planning</x:v>
      </x:c>
      <x:c r="D801" s="2" t="str">
        <x:v>Sewerage infrastructure</x:v>
      </x:c>
      <x:c r="E801" s="2" t="str">
        <x:v>Sewerage infrastructure</x:v>
      </x:c>
      <x:c r="F801" s="2" t="str">
        <x:v>Limestone / cement raw materials</x:v>
      </x:c>
      <x:c r="G801" s="2" t="str">
        <x:v>Bulk construction material</x:v>
      </x:c>
      <x:c r="H801" s="2" t="str">
        <x:v>Limestone / cement raw materials is linked to Sewerage infrastructure because it is typically used in concrete foundations, channels, buildings or protective civil works; the assignment follows component function, not a sector-wide keyword.</x:v>
      </x:c>
      <x:c r="I801" s="2" t="str">
        <x:v>Presence and quantity in Sewerage infrastructure depend on the selected design, chemistry, capacity, supplier and recycled content. This analytical link is not a verified bill of materials or supplier traceability statement.</x:v>
      </x:c>
      <x:c r="J801" s="2" t="str">
        <x:v>https://pubs.usgs.gov/periodicals/mcs2026/mcs2026.pdf</x:v>
      </x:c>
    </x:row>
    <x:row r="802" ht="66" customHeight="1">
      <x:c r="A802" s="2" t="str">
        <x:v>ADP-0151</x:v>
      </x:c>
      <x:c r="B802" s="2" t="str">
        <x:v>Adaptation</x:v>
      </x:c>
      <x:c r="C802" s="2" t="str">
        <x:v>Infrastructure and Urban planning</x:v>
      </x:c>
      <x:c r="D802" s="2" t="str">
        <x:v>Land use in human settlements</x:v>
      </x:c>
      <x:c r="E802" s="2" t="str">
        <x:v>Land use in human settlements</x:v>
      </x:c>
      <x:c r="F802" s="2" t="str">
        <x:v>Iron ore / steel inputs</x:v>
      </x:c>
      <x:c r="G802" s="2" t="str">
        <x:v>Bulk and strategic mineral input</x:v>
      </x:c>
      <x:c r="H802" s="2" t="str">
        <x:v>Iron ore / steel inputs is linked to Land use in human settlements because it is typically used in load-bearing structures, pressure vessels, piping or machinery; the assignment follows component function, not a sector-wide keyword.</x:v>
      </x:c>
      <x:c r="I802" s="2" t="str">
        <x:v>Presence and quantity in Land use in human settlements depend on the selected design, chemistry, capacity, supplier and recycled content. This analytical link is not a verified bill of materials or supplier traceability statement.</x:v>
      </x:c>
      <x:c r="J802" s="2" t="str">
        <x:v>https://pubs.usgs.gov/periodicals/mcs2026/mcs2026.pdf</x:v>
      </x:c>
    </x:row>
    <x:row r="803" ht="66" customHeight="1">
      <x:c r="A803" s="2" t="str">
        <x:v>ADP-0152</x:v>
      </x:c>
      <x:c r="B803" s="2" t="str">
        <x:v>Adaptation</x:v>
      </x:c>
      <x:c r="C803" s="2" t="str">
        <x:v>Infrastructure and Urban planning</x:v>
      </x:c>
      <x:c r="D803" s="2" t="str">
        <x:v>Grid resiliency</x:v>
      </x:c>
      <x:c r="E803" s="2" t="str">
        <x:v>Grid resiliency</x:v>
      </x:c>
      <x:c r="F803" s="2" t="str">
        <x:v>Iron ore / steel inputs</x:v>
      </x:c>
      <x:c r="G803" s="2" t="str">
        <x:v>Bulk and strategic mineral input</x:v>
      </x:c>
      <x:c r="H803" s="2" t="str">
        <x:v>Iron ore / steel inputs is linked to Grid resiliency because it is typically used in load-bearing structures, pressure vessels, piping or machinery; the assignment follows component function, not a sector-wide keyword.</x:v>
      </x:c>
      <x:c r="I803" s="2" t="str">
        <x:v>Presence and quantity in Grid resiliency depend on the selected design, chemistry, capacity, supplier and recycled content. This analytical link is not a verified bill of materials or supplier traceability statement.</x:v>
      </x:c>
      <x:c r="J803" s="2" t="str">
        <x:v>https://pubs.usgs.gov/periodicals/mcs2026/mcs2026.pdf</x:v>
      </x:c>
    </x:row>
    <x:row r="804" ht="66" customHeight="1">
      <x:c r="A804" s="2" t="str">
        <x:v>ADP-0152</x:v>
      </x:c>
      <x:c r="B804" s="2" t="str">
        <x:v>Adaptation</x:v>
      </x:c>
      <x:c r="C804" s="2" t="str">
        <x:v>Infrastructure and Urban planning</x:v>
      </x:c>
      <x:c r="D804" s="2" t="str">
        <x:v>Grid resiliency</x:v>
      </x:c>
      <x:c r="E804" s="2" t="str">
        <x:v>Grid resiliency</x:v>
      </x:c>
      <x:c r="F804" s="2" t="str">
        <x:v>Copper</x:v>
      </x:c>
      <x:c r="G804" s="2" t="str">
        <x:v>Critical or strategic metal</x:v>
      </x:c>
      <x:c r="H804" s="2" t="str">
        <x:v>Copper is linked to Grid resiliency because it is typically used in power cables, windings, busbars, grounding and electrical connectors; the assignment follows component function, not a sector-wide keyword.</x:v>
      </x:c>
      <x:c r="I804" s="2" t="str">
        <x:v>Presence and quantity in Grid resiliency depend on the selected design, chemistry, capacity, supplier and recycled content. This analytical link is not a verified bill of materials or supplier traceability statement.</x:v>
      </x:c>
      <x:c r="J804" s="2" t="str">
        <x:v>https://pubs.usgs.gov/periodicals/mcs2026/mcs2026.pdf</x:v>
      </x:c>
    </x:row>
    <x:row r="805" ht="66" customHeight="1">
      <x:c r="A805" s="2" t="str">
        <x:v>ADP-0152</x:v>
      </x:c>
      <x:c r="B805" s="2" t="str">
        <x:v>Adaptation</x:v>
      </x:c>
      <x:c r="C805" s="2" t="str">
        <x:v>Infrastructure and Urban planning</x:v>
      </x:c>
      <x:c r="D805" s="2" t="str">
        <x:v>Grid resiliency</x:v>
      </x:c>
      <x:c r="E805" s="2" t="str">
        <x:v>Grid resiliency</x:v>
      </x:c>
      <x:c r="F805" s="2" t="str">
        <x:v>Tin</x:v>
      </x:c>
      <x:c r="G805" s="2" t="str">
        <x:v>Electronics strategic metal</x:v>
      </x:c>
      <x:c r="H805" s="2" t="str">
        <x:v>Tin is linked to Grid resiliency because it is typically used in electronic solder and selected coatings; the assignment follows component function, not a sector-wide keyword.</x:v>
      </x:c>
      <x:c r="I805" s="2" t="str">
        <x:v>Presence and quantity in Grid resiliency depend on the selected design, chemistry, capacity, supplier and recycled content. This analytical link is not a verified bill of materials or supplier traceability statement.</x:v>
      </x:c>
      <x:c r="J805" s="2" t="str">
        <x:v>https://pubs.usgs.gov/periodicals/mcs2026/mcs2026.pdf</x:v>
      </x:c>
    </x:row>
    <x:row r="806" ht="66" customHeight="1">
      <x:c r="A806" s="2" t="str">
        <x:v>ADP-0153</x:v>
      </x:c>
      <x:c r="B806" s="2" t="str">
        <x:v>Adaptation</x:v>
      </x:c>
      <x:c r="C806" s="2" t="str">
        <x:v>Infrastructure and Urban planning</x:v>
      </x:c>
      <x:c r="D806" s="2" t="str">
        <x:v>Building design and material</x:v>
      </x:c>
      <x:c r="E806" s="2" t="str">
        <x:v>Elevated buildings</x:v>
      </x:c>
      <x:c r="F806" s="2" t="str">
        <x:v>Iron ore / steel inputs</x:v>
      </x:c>
      <x:c r="G806" s="2" t="str">
        <x:v>Bulk and strategic mineral input</x:v>
      </x:c>
      <x:c r="H806" s="2" t="str">
        <x:v>Iron ore / steel inputs is linked to Elevated buildings because it is typically used in load-bearing structures, pressure vessels, piping or machinery; the assignment follows component function, not a sector-wide keyword.</x:v>
      </x:c>
      <x:c r="I806" s="2" t="str">
        <x:v>Presence and quantity in Elevated buildings depend on the selected design, chemistry, capacity, supplier and recycled content. This analytical link is not a verified bill of materials or supplier traceability statement.</x:v>
      </x:c>
      <x:c r="J806" s="2" t="str">
        <x:v>https://pubs.usgs.gov/periodicals/mcs2026/mcs2026.pdf</x:v>
      </x:c>
    </x:row>
    <x:row r="807" ht="66" customHeight="1">
      <x:c r="A807" s="2" t="str">
        <x:v>ADP-0153</x:v>
      </x:c>
      <x:c r="B807" s="2" t="str">
        <x:v>Adaptation</x:v>
      </x:c>
      <x:c r="C807" s="2" t="str">
        <x:v>Infrastructure and Urban planning</x:v>
      </x:c>
      <x:c r="D807" s="2" t="str">
        <x:v>Building design and material</x:v>
      </x:c>
      <x:c r="E807" s="2" t="str">
        <x:v>Elevated buildings</x:v>
      </x:c>
      <x:c r="F807" s="2" t="str">
        <x:v>Limestone / cement raw materials</x:v>
      </x:c>
      <x:c r="G807" s="2" t="str">
        <x:v>Bulk construction material</x:v>
      </x:c>
      <x:c r="H807" s="2" t="str">
        <x:v>Limestone / cement raw materials is linked to Elevated buildings because it is typically used in concrete foundations, channels, buildings or protective civil works; the assignment follows component function, not a sector-wide keyword.</x:v>
      </x:c>
      <x:c r="I807" s="2" t="str">
        <x:v>Presence and quantity in Elevated buildings depend on the selected design, chemistry, capacity, supplier and recycled content. This analytical link is not a verified bill of materials or supplier traceability statement.</x:v>
      </x:c>
      <x:c r="J807" s="2" t="str">
        <x:v>https://pubs.usgs.gov/periodicals/mcs2026/mcs2026.pdf</x:v>
      </x:c>
    </x:row>
    <x:row r="808" ht="66" customHeight="1">
      <x:c r="A808" s="2" t="str">
        <x:v>ADP-0155</x:v>
      </x:c>
      <x:c r="B808" s="2" t="str">
        <x:v>Adaptation</x:v>
      </x:c>
      <x:c r="C808" s="2" t="str">
        <x:v>Infrastructure and Urban planning</x:v>
      </x:c>
      <x:c r="D808" s="2" t="str">
        <x:v>Building construction</x:v>
      </x:c>
      <x:c r="E808" s="2" t="str">
        <x:v>Building construction</x:v>
      </x:c>
      <x:c r="F808" s="2" t="str">
        <x:v>Iron ore / steel inputs</x:v>
      </x:c>
      <x:c r="G808" s="2" t="str">
        <x:v>Bulk and strategic mineral input</x:v>
      </x:c>
      <x:c r="H808" s="2" t="str">
        <x:v>Iron ore / steel inputs is linked to Building construction because it is typically used in load-bearing structures, pressure vessels, piping or machinery; the assignment follows component function, not a sector-wide keyword.</x:v>
      </x:c>
      <x:c r="I808" s="2" t="str">
        <x:v>Presence and quantity in Building construction depend on the selected design, chemistry, capacity, supplier and recycled content. This analytical link is not a verified bill of materials or supplier traceability statement.</x:v>
      </x:c>
      <x:c r="J808" s="2" t="str">
        <x:v>https://pubs.usgs.gov/periodicals/mcs2026/mcs2026.pdf</x:v>
      </x:c>
    </x:row>
    <x:row r="809" ht="66" customHeight="1">
      <x:c r="A809" s="2" t="str">
        <x:v>ADP-0155</x:v>
      </x:c>
      <x:c r="B809" s="2" t="str">
        <x:v>Adaptation</x:v>
      </x:c>
      <x:c r="C809" s="2" t="str">
        <x:v>Infrastructure and Urban planning</x:v>
      </x:c>
      <x:c r="D809" s="2" t="str">
        <x:v>Building construction</x:v>
      </x:c>
      <x:c r="E809" s="2" t="str">
        <x:v>Building construction</x:v>
      </x:c>
      <x:c r="F809" s="2" t="str">
        <x:v>Limestone / cement raw materials</x:v>
      </x:c>
      <x:c r="G809" s="2" t="str">
        <x:v>Bulk construction material</x:v>
      </x:c>
      <x:c r="H809" s="2" t="str">
        <x:v>Limestone / cement raw materials is linked to Building construction because it is typically used in concrete foundations, channels, buildings or protective civil works; the assignment follows component function, not a sector-wide keyword.</x:v>
      </x:c>
      <x:c r="I809" s="2" t="str">
        <x:v>Presence and quantity in Building construction depend on the selected design, chemistry, capacity, supplier and recycled content. This analytical link is not a verified bill of materials or supplier traceability statement.</x:v>
      </x:c>
      <x:c r="J809" s="2" t="str">
        <x:v>https://pubs.usgs.gov/periodicals/mcs2026/mcs2026.pdf</x:v>
      </x:c>
    </x:row>
    <x:row r="810" ht="66" customHeight="1">
      <x:c r="A810" s="2" t="str">
        <x:v>ADP-0156</x:v>
      </x:c>
      <x:c r="B810" s="2" t="str">
        <x:v>Adaptation</x:v>
      </x:c>
      <x:c r="C810" s="2" t="str">
        <x:v>Infrastructure and Urban planning</x:v>
      </x:c>
      <x:c r="D810" s="2" t="str">
        <x:v>Water supply infrastructure</x:v>
      </x:c>
      <x:c r="E810" s="2" t="str">
        <x:v>Water supply infrastructure</x:v>
      </x:c>
      <x:c r="F810" s="2" t="str">
        <x:v>Iron ore / steel inputs</x:v>
      </x:c>
      <x:c r="G810" s="2" t="str">
        <x:v>Bulk and strategic mineral input</x:v>
      </x:c>
      <x:c r="H810" s="2" t="str">
        <x:v>Iron ore / steel inputs is linked to Water supply infrastructure because it is typically used in load-bearing structures, pressure vessels, piping or machinery; the assignment follows component function, not a sector-wide keyword.</x:v>
      </x:c>
      <x:c r="I810" s="2" t="str">
        <x:v>Presence and quantity in Water supply infrastructure depend on the selected design, chemistry, capacity, supplier and recycled content. This analytical link is not a verified bill of materials or supplier traceability statement.</x:v>
      </x:c>
      <x:c r="J810" s="2" t="str">
        <x:v>https://pubs.usgs.gov/periodicals/mcs2026/mcs2026.pdf</x:v>
      </x:c>
    </x:row>
    <x:row r="811" ht="66" customHeight="1">
      <x:c r="A811" s="2" t="str">
        <x:v>ADP-0156</x:v>
      </x:c>
      <x:c r="B811" s="2" t="str">
        <x:v>Adaptation</x:v>
      </x:c>
      <x:c r="C811" s="2" t="str">
        <x:v>Infrastructure and Urban planning</x:v>
      </x:c>
      <x:c r="D811" s="2" t="str">
        <x:v>Water supply infrastructure</x:v>
      </x:c>
      <x:c r="E811" s="2" t="str">
        <x:v>Water supply infrastructure</x:v>
      </x:c>
      <x:c r="F811" s="2" t="str">
        <x:v>Limestone / cement raw materials</x:v>
      </x:c>
      <x:c r="G811" s="2" t="str">
        <x:v>Bulk construction material</x:v>
      </x:c>
      <x:c r="H811" s="2" t="str">
        <x:v>Limestone / cement raw materials is linked to Water supply infrastructure because it is typically used in concrete foundations, channels, buildings or protective civil works; the assignment follows component function, not a sector-wide keyword.</x:v>
      </x:c>
      <x:c r="I811" s="2" t="str">
        <x:v>Presence and quantity in Water supply infrastructure depend on the selected design, chemistry, capacity, supplier and recycled content. This analytical link is not a verified bill of materials or supplier traceability statement.</x:v>
      </x:c>
      <x:c r="J811" s="2" t="str">
        <x:v>https://pubs.usgs.gov/periodicals/mcs2026/mcs2026.pdf</x:v>
      </x:c>
    </x:row>
    <x:row r="812" ht="66" customHeight="1">
      <x:c r="A812" s="2" t="str">
        <x:v>ADP-0157</x:v>
      </x:c>
      <x:c r="B812" s="2" t="str">
        <x:v>Adaptation</x:v>
      </x:c>
      <x:c r="C812" s="2" t="str">
        <x:v>Infrastructure and Urban planning</x:v>
      </x:c>
      <x:c r="D812" s="2" t="str">
        <x:v>Urban planning</x:v>
      </x:c>
      <x:c r="E812" s="2" t="str">
        <x:v>Urban infrastructure development</x:v>
      </x:c>
      <x:c r="F812" s="2" t="str">
        <x:v>Limestone / cement raw materials</x:v>
      </x:c>
      <x:c r="G812" s="2" t="str">
        <x:v>Bulk construction material</x:v>
      </x:c>
      <x:c r="H812" s="2" t="str">
        <x:v>Limestone / cement raw materials is linked to Urban infrastructure development because it is typically used in concrete foundations, channels, buildings or protective civil works; the assignment follows component function, not a sector-wide keyword.</x:v>
      </x:c>
      <x:c r="I812" s="2" t="str">
        <x:v>Presence and quantity in Urban infrastructure development depend on the selected design, chemistry, capacity, supplier and recycled content. This analytical link is not a verified bill of materials or supplier traceability statement.</x:v>
      </x:c>
      <x:c r="J812" s="2" t="str">
        <x:v>https://pubs.usgs.gov/periodicals/mcs2026/mcs2026.pdf</x:v>
      </x:c>
    </x:row>
    <x:row r="813" ht="66" customHeight="1">
      <x:c r="A813" s="2" t="str">
        <x:v>ADP-0159</x:v>
      </x:c>
      <x:c r="B813" s="2" t="str">
        <x:v>Adaptation</x:v>
      </x:c>
      <x:c r="C813" s="2" t="str">
        <x:v>Infrastructure and Urban planning</x:v>
      </x:c>
      <x:c r="D813" s="2" t="str">
        <x:v>Building codes</x:v>
      </x:c>
      <x:c r="E813" s="2" t="str">
        <x:v>Building codes</x:v>
      </x:c>
      <x:c r="F813" s="2" t="str">
        <x:v>Iron ore / steel inputs</x:v>
      </x:c>
      <x:c r="G813" s="2" t="str">
        <x:v>Bulk and strategic mineral input</x:v>
      </x:c>
      <x:c r="H813" s="2" t="str">
        <x:v>Iron ore / steel inputs is linked to Building codes because it is typically used in load-bearing structures, pressure vessels, piping or machinery; the assignment follows component function, not a sector-wide keyword.</x:v>
      </x:c>
      <x:c r="I813" s="2" t="str">
        <x:v>Presence and quantity in Building codes depend on the selected design, chemistry, capacity, supplier and recycled content. This analytical link is not a verified bill of materials or supplier traceability statement.</x:v>
      </x:c>
      <x:c r="J813" s="2" t="str">
        <x:v>https://pubs.usgs.gov/periodicals/mcs2026/mcs2026.pdf</x:v>
      </x:c>
    </x:row>
    <x:row r="814" ht="66" customHeight="1">
      <x:c r="A814" s="2" t="str">
        <x:v>ADP-0159</x:v>
      </x:c>
      <x:c r="B814" s="2" t="str">
        <x:v>Adaptation</x:v>
      </x:c>
      <x:c r="C814" s="2" t="str">
        <x:v>Infrastructure and Urban planning</x:v>
      </x:c>
      <x:c r="D814" s="2" t="str">
        <x:v>Building codes</x:v>
      </x:c>
      <x:c r="E814" s="2" t="str">
        <x:v>Building codes</x:v>
      </x:c>
      <x:c r="F814" s="2" t="str">
        <x:v>Limestone / cement raw materials</x:v>
      </x:c>
      <x:c r="G814" s="2" t="str">
        <x:v>Bulk construction material</x:v>
      </x:c>
      <x:c r="H814" s="2" t="str">
        <x:v>Limestone / cement raw materials is linked to Building codes because it is typically used in concrete foundations, channels, buildings or protective civil works; the assignment follows component function, not a sector-wide keyword.</x:v>
      </x:c>
      <x:c r="I814" s="2" t="str">
        <x:v>Presence and quantity in Building codes depend on the selected design, chemistry, capacity, supplier and recycled content. This analytical link is not a verified bill of materials or supplier traceability statement.</x:v>
      </x:c>
      <x:c r="J814" s="2" t="str">
        <x:v>https://pubs.usgs.gov/periodicals/mcs2026/mcs2026.pdf</x:v>
      </x:c>
    </x:row>
    <x:row r="815" ht="66" customHeight="1">
      <x:c r="A815" s="2" t="str">
        <x:v>ADP-0160</x:v>
      </x:c>
      <x:c r="B815" s="2" t="str">
        <x:v>Adaptation</x:v>
      </x:c>
      <x:c r="C815" s="2" t="str">
        <x:v>Infrastructure and Urban planning</x:v>
      </x:c>
      <x:c r="D815" s="2" t="str">
        <x:v>Resilient transport systems</x:v>
      </x:c>
      <x:c r="E815" s="2" t="str">
        <x:v>Resilient railway systems</x:v>
      </x:c>
      <x:c r="F815" s="2" t="str">
        <x:v>Iron ore / steel inputs</x:v>
      </x:c>
      <x:c r="G815" s="2" t="str">
        <x:v>Bulk and strategic mineral input</x:v>
      </x:c>
      <x:c r="H815" s="2" t="str">
        <x:v>Iron ore / steel inputs is linked to Resilient railway systems because it is typically used in load-bearing structures, pressure vessels, piping or machinery; the assignment follows component function, not a sector-wide keyword.</x:v>
      </x:c>
      <x:c r="I815" s="2" t="str">
        <x:v>Presence and quantity in Resilient railway systems depend on the selected design, chemistry, capacity, supplier and recycled content. This analytical link is not a verified bill of materials or supplier traceability statement.</x:v>
      </x:c>
      <x:c r="J815" s="2" t="str">
        <x:v>https://pubs.usgs.gov/periodicals/mcs2026/mcs2026.pdf</x:v>
      </x:c>
    </x:row>
    <x:row r="816" ht="66" customHeight="1">
      <x:c r="A816" s="2" t="str">
        <x:v>ADP-0160</x:v>
      </x:c>
      <x:c r="B816" s="2" t="str">
        <x:v>Adaptation</x:v>
      </x:c>
      <x:c r="C816" s="2" t="str">
        <x:v>Infrastructure and Urban planning</x:v>
      </x:c>
      <x:c r="D816" s="2" t="str">
        <x:v>Resilient transport systems</x:v>
      </x:c>
      <x:c r="E816" s="2" t="str">
        <x:v>Resilient railway systems</x:v>
      </x:c>
      <x:c r="F816" s="2" t="str">
        <x:v>Copper</x:v>
      </x:c>
      <x:c r="G816" s="2" t="str">
        <x:v>Critical or strategic metal</x:v>
      </x:c>
      <x:c r="H816" s="2" t="str">
        <x:v>Copper is linked to Resilient railway systems because it is typically used in power cables, windings, busbars, grounding and electrical connectors; the assignment follows component function, not a sector-wide keyword.</x:v>
      </x:c>
      <x:c r="I816" s="2" t="str">
        <x:v>Presence and quantity in Resilient railway systems depend on the selected design, chemistry, capacity, supplier and recycled content. This analytical link is not a verified bill of materials or supplier traceability statement.</x:v>
      </x:c>
      <x:c r="J816" s="2" t="str">
        <x:v>https://pubs.usgs.gov/periodicals/mcs2026/mcs2026.pdf</x:v>
      </x:c>
    </x:row>
    <x:row r="817" ht="66" customHeight="1">
      <x:c r="A817" s="2" t="str">
        <x:v>ADP-0160</x:v>
      </x:c>
      <x:c r="B817" s="2" t="str">
        <x:v>Adaptation</x:v>
      </x:c>
      <x:c r="C817" s="2" t="str">
        <x:v>Infrastructure and Urban planning</x:v>
      </x:c>
      <x:c r="D817" s="2" t="str">
        <x:v>Resilient transport systems</x:v>
      </x:c>
      <x:c r="E817" s="2" t="str">
        <x:v>Resilient railway systems</x:v>
      </x:c>
      <x:c r="F817" s="2" t="str">
        <x:v>Tin</x:v>
      </x:c>
      <x:c r="G817" s="2" t="str">
        <x:v>Electronics strategic metal</x:v>
      </x:c>
      <x:c r="H817" s="2" t="str">
        <x:v>Tin is linked to Resilient railway systems because it is typically used in electronic solder and selected coatings; the assignment follows component function, not a sector-wide keyword.</x:v>
      </x:c>
      <x:c r="I817" s="2" t="str">
        <x:v>Presence and quantity in Resilient railway systems depend on the selected design, chemistry, capacity, supplier and recycled content. This analytical link is not a verified bill of materials or supplier traceability statement.</x:v>
      </x:c>
      <x:c r="J817" s="2" t="str">
        <x:v>https://pubs.usgs.gov/periodicals/mcs2026/mcs2026.pdf</x:v>
      </x:c>
    </x:row>
    <x:row r="818" ht="66" customHeight="1">
      <x:c r="A818" s="2" t="str">
        <x:v>ADP-0160</x:v>
      </x:c>
      <x:c r="B818" s="2" t="str">
        <x:v>Adaptation</x:v>
      </x:c>
      <x:c r="C818" s="2" t="str">
        <x:v>Infrastructure and Urban planning</x:v>
      </x:c>
      <x:c r="D818" s="2" t="str">
        <x:v>Resilient transport systems</x:v>
      </x:c>
      <x:c r="E818" s="2" t="str">
        <x:v>Resilient railway systems</x:v>
      </x:c>
      <x:c r="F818" s="2" t="str">
        <x:v>Limestone / cement raw materials</x:v>
      </x:c>
      <x:c r="G818" s="2" t="str">
        <x:v>Bulk construction material</x:v>
      </x:c>
      <x:c r="H818" s="2" t="str">
        <x:v>Limestone / cement raw materials is linked to Resilient railway systems because it is typically used in concrete foundations, channels, buildings or protective civil works; the assignment follows component function, not a sector-wide keyword.</x:v>
      </x:c>
      <x:c r="I818" s="2" t="str">
        <x:v>Presence and quantity in Resilient railway systems depend on the selected design, chemistry, capacity, supplier and recycled content. This analytical link is not a verified bill of materials or supplier traceability statement.</x:v>
      </x:c>
      <x:c r="J818" s="2" t="str">
        <x:v>https://pubs.usgs.gov/periodicals/mcs2026/mcs2026.pdf</x:v>
      </x:c>
    </x:row>
    <x:row r="819" ht="66" customHeight="1">
      <x:c r="A819" s="2" t="str">
        <x:v>ADP-0161</x:v>
      </x:c>
      <x:c r="B819" s="2" t="str">
        <x:v>Adaptation</x:v>
      </x:c>
      <x:c r="C819" s="2" t="str">
        <x:v>Infrastructure and Urban planning</x:v>
      </x:c>
      <x:c r="D819" s="2" t="str">
        <x:v>Resilient transport systems</x:v>
      </x:c>
      <x:c r="E819" s="2" t="str">
        <x:v>Resilient road systems</x:v>
      </x:c>
      <x:c r="F819" s="2" t="str">
        <x:v>Iron ore / steel inputs</x:v>
      </x:c>
      <x:c r="G819" s="2" t="str">
        <x:v>Bulk and strategic mineral input</x:v>
      </x:c>
      <x:c r="H819" s="2" t="str">
        <x:v>Iron ore / steel inputs is linked to Resilient road systems because it is typically used in load-bearing structures, pressure vessels, piping or machinery; the assignment follows component function, not a sector-wide keyword.</x:v>
      </x:c>
      <x:c r="I819" s="2" t="str">
        <x:v>Presence and quantity in Resilient road systems depend on the selected design, chemistry, capacity, supplier and recycled content. This analytical link is not a verified bill of materials or supplier traceability statement.</x:v>
      </x:c>
      <x:c r="J819" s="2" t="str">
        <x:v>https://pubs.usgs.gov/periodicals/mcs2026/mcs2026.pdf</x:v>
      </x:c>
    </x:row>
    <x:row r="820" ht="66" customHeight="1">
      <x:c r="A820" s="2" t="str">
        <x:v>ADP-0162</x:v>
      </x:c>
      <x:c r="B820" s="2" t="str">
        <x:v>Adaptation</x:v>
      </x:c>
      <x:c r="C820" s="2" t="str">
        <x:v>Coastal Zones</x:v>
      </x:c>
      <x:c r="D820" s="2" t="str">
        <x:v>Retreat</x:v>
      </x:c>
      <x:c r="E820" s="2" t="str">
        <x:v>Coastal setbacks</x:v>
      </x:c>
      <x:c r="F820" s="2" t="str">
        <x:v>Iron ore / steel inputs</x:v>
      </x:c>
      <x:c r="G820" s="2" t="str">
        <x:v>Bulk and strategic mineral input</x:v>
      </x:c>
      <x:c r="H820" s="2" t="str">
        <x:v>Iron ore / steel inputs is linked to Coastal setbacks because it is typically used in load-bearing structures, pressure vessels, piping or machinery; the assignment follows component function, not a sector-wide keyword.</x:v>
      </x:c>
      <x:c r="I820" s="2" t="str">
        <x:v>Presence and quantity in Coastal setbacks depend on the selected design, chemistry, capacity, supplier and recycled content. This analytical link is not a verified bill of materials or supplier traceability statement.</x:v>
      </x:c>
      <x:c r="J820" s="2" t="str">
        <x:v>https://pubs.usgs.gov/periodicals/mcs2026/mcs2026.pdf</x:v>
      </x:c>
    </x:row>
    <x:row r="821" ht="66" customHeight="1">
      <x:c r="A821" s="2" t="str">
        <x:v>ADP-0162</x:v>
      </x:c>
      <x:c r="B821" s="2" t="str">
        <x:v>Adaptation</x:v>
      </x:c>
      <x:c r="C821" s="2" t="str">
        <x:v>Coastal Zones</x:v>
      </x:c>
      <x:c r="D821" s="2" t="str">
        <x:v>Retreat</x:v>
      </x:c>
      <x:c r="E821" s="2" t="str">
        <x:v>Coastal setbacks</x:v>
      </x:c>
      <x:c r="F821" s="2" t="str">
        <x:v>Nickel</x:v>
      </x:c>
      <x:c r="G821" s="2" t="str">
        <x:v>Battery and alloy critical mineral</x:v>
      </x:c>
      <x:c r="H821" s="2" t="str">
        <x:v>Nickel is linked to Coastal setbacks because it is typically used in battery cathodes, high-temperature alloys or corrosion-resistant steels; the assignment follows component function, not a sector-wide keyword.</x:v>
      </x:c>
      <x:c r="I821" s="2" t="str">
        <x:v>Presence and quantity in Coastal setbacks depend on the selected design, chemistry, capacity, supplier and recycled content. This analytical link is not a verified bill of materials or supplier traceability statement.</x:v>
      </x:c>
      <x:c r="J821" s="2" t="str">
        <x:v>https://www.iea.org/reports/global-critical-minerals-outlook-2025</x:v>
      </x:c>
    </x:row>
    <x:row r="822" ht="66" customHeight="1">
      <x:c r="A822" s="2" t="str">
        <x:v>ADP-0162</x:v>
      </x:c>
      <x:c r="B822" s="2" t="str">
        <x:v>Adaptation</x:v>
      </x:c>
      <x:c r="C822" s="2" t="str">
        <x:v>Coastal Zones</x:v>
      </x:c>
      <x:c r="D822" s="2" t="str">
        <x:v>Retreat</x:v>
      </x:c>
      <x:c r="E822" s="2" t="str">
        <x:v>Coastal setbacks</x:v>
      </x:c>
      <x:c r="F822" s="2" t="str">
        <x:v>Chromium</x:v>
      </x:c>
      <x:c r="G822" s="2" t="str">
        <x:v>Alloy strategic mineral</x:v>
      </x:c>
      <x:c r="H822" s="2" t="str">
        <x:v>Chromium is linked to Coastal setbacks because it is typically used in stainless and heat- or corrosion-resistant alloys; the assignment follows component function, not a sector-wide keyword.</x:v>
      </x:c>
      <x:c r="I822" s="2" t="str">
        <x:v>Presence and quantity in Coastal setbacks depend on the selected design, chemistry, capacity, supplier and recycled content. This analytical link is not a verified bill of materials or supplier traceability statement.</x:v>
      </x:c>
      <x:c r="J822" s="2" t="str">
        <x:v>https://pubs.usgs.gov/periodicals/mcs2026/mcs2026.pdf</x:v>
      </x:c>
    </x:row>
    <x:row r="823" ht="66" customHeight="1">
      <x:c r="A823" s="2" t="str">
        <x:v>ADP-0162</x:v>
      </x:c>
      <x:c r="B823" s="2" t="str">
        <x:v>Adaptation</x:v>
      </x:c>
      <x:c r="C823" s="2" t="str">
        <x:v>Coastal Zones</x:v>
      </x:c>
      <x:c r="D823" s="2" t="str">
        <x:v>Retreat</x:v>
      </x:c>
      <x:c r="E823" s="2" t="str">
        <x:v>Coastal setbacks</x:v>
      </x:c>
      <x:c r="F823" s="2" t="str">
        <x:v>Zinc</x:v>
      </x:c>
      <x:c r="G823" s="2" t="str">
        <x:v>Strategic base metal</x:v>
      </x:c>
      <x:c r="H823" s="2" t="str">
        <x:v>Zinc is linked to Coastal setbacks because it is typically used in galvanic corrosion protection or selected batteries; the assignment follows component function, not a sector-wide keyword.</x:v>
      </x:c>
      <x:c r="I823" s="2" t="str">
        <x:v>Presence and quantity in Coastal setbacks depend on the selected design, chemistry, capacity, supplier and recycled content. This analytical link is not a verified bill of materials or supplier traceability statement.</x:v>
      </x:c>
      <x:c r="J823" s="2" t="str">
        <x:v>https://pubs.usgs.gov/periodicals/mcs2026/mcs2026.pdf</x:v>
      </x:c>
    </x:row>
    <x:row r="824" ht="66" customHeight="1">
      <x:c r="A824" s="2" t="str">
        <x:v>ADP-0163</x:v>
      </x:c>
      <x:c r="B824" s="2" t="str">
        <x:v>Adaptation</x:v>
      </x:c>
      <x:c r="C824" s="2" t="str">
        <x:v>Coastal Zones</x:v>
      </x:c>
      <x:c r="D824" s="2" t="str">
        <x:v>Retreat</x:v>
      </x:c>
      <x:c r="E824" s="2" t="str">
        <x:v>Managed realignment</x:v>
      </x:c>
      <x:c r="F824" s="2" t="str">
        <x:v>Iron ore / steel inputs</x:v>
      </x:c>
      <x:c r="G824" s="2" t="str">
        <x:v>Bulk and strategic mineral input</x:v>
      </x:c>
      <x:c r="H824" s="2" t="str">
        <x:v>Iron ore / steel inputs is linked to Managed realignment because it is typically used in load-bearing structures, pressure vessels, piping or machinery; the assignment follows component function, not a sector-wide keyword.</x:v>
      </x:c>
      <x:c r="I824" s="2" t="str">
        <x:v>Presence and quantity in Managed realignment depend on the selected design, chemistry, capacity, supplier and recycled content. This analytical link is not a verified bill of materials or supplier traceability statement.</x:v>
      </x:c>
      <x:c r="J824" s="2" t="str">
        <x:v>https://pubs.usgs.gov/periodicals/mcs2026/mcs2026.pdf</x:v>
      </x:c>
    </x:row>
    <x:row r="825" ht="66" customHeight="1">
      <x:c r="A825" s="2" t="str">
        <x:v>ADP-0164</x:v>
      </x:c>
      <x:c r="B825" s="2" t="str">
        <x:v>Adaptation</x:v>
      </x:c>
      <x:c r="C825" s="2" t="str">
        <x:v>Coastal Zones</x:v>
      </x:c>
      <x:c r="D825" s="2" t="str">
        <x:v>Accommodation</x:v>
      </x:c>
      <x:c r="E825" s="2" t="str">
        <x:v>Flood and cyclone shelters</x:v>
      </x:c>
      <x:c r="F825" s="2" t="str">
        <x:v>Iron ore / steel inputs</x:v>
      </x:c>
      <x:c r="G825" s="2" t="str">
        <x:v>Bulk and strategic mineral input</x:v>
      </x:c>
      <x:c r="H825" s="2" t="str">
        <x:v>Iron ore / steel inputs is linked to Flood and cyclone shelters because it is typically used in load-bearing structures, pressure vessels, piping or machinery; the assignment follows component function, not a sector-wide keyword.</x:v>
      </x:c>
      <x:c r="I825" s="2" t="str">
        <x:v>Presence and quantity in Flood and cyclone shelters depend on the selected design, chemistry, capacity, supplier and recycled content. This analytical link is not a verified bill of materials or supplier traceability statement.</x:v>
      </x:c>
      <x:c r="J825" s="2" t="str">
        <x:v>https://pubs.usgs.gov/periodicals/mcs2026/mcs2026.pdf</x:v>
      </x:c>
    </x:row>
    <x:row r="826" ht="66" customHeight="1">
      <x:c r="A826" s="2" t="str">
        <x:v>ADP-0164</x:v>
      </x:c>
      <x:c r="B826" s="2" t="str">
        <x:v>Adaptation</x:v>
      </x:c>
      <x:c r="C826" s="2" t="str">
        <x:v>Coastal Zones</x:v>
      </x:c>
      <x:c r="D826" s="2" t="str">
        <x:v>Accommodation</x:v>
      </x:c>
      <x:c r="E826" s="2" t="str">
        <x:v>Flood and cyclone shelters</x:v>
      </x:c>
      <x:c r="F826" s="2" t="str">
        <x:v>Limestone / cement raw materials</x:v>
      </x:c>
      <x:c r="G826" s="2" t="str">
        <x:v>Bulk construction material</x:v>
      </x:c>
      <x:c r="H826" s="2" t="str">
        <x:v>Limestone / cement raw materials is linked to Flood and cyclone shelters because it is typically used in concrete foundations, channels, buildings or protective civil works; the assignment follows component function, not a sector-wide keyword.</x:v>
      </x:c>
      <x:c r="I826" s="2" t="str">
        <x:v>Presence and quantity in Flood and cyclone shelters depend on the selected design, chemistry, capacity, supplier and recycled content. This analytical link is not a verified bill of materials or supplier traceability statement.</x:v>
      </x:c>
      <x:c r="J826" s="2" t="str">
        <x:v>https://pubs.usgs.gov/periodicals/mcs2026/mcs2026.pdf</x:v>
      </x:c>
    </x:row>
    <x:row r="827" ht="66" customHeight="1">
      <x:c r="A827" s="2" t="str">
        <x:v>ADP-0165</x:v>
      </x:c>
      <x:c r="B827" s="2" t="str">
        <x:v>Adaptation</x:v>
      </x:c>
      <x:c r="C827" s="2" t="str">
        <x:v>Coastal Zones</x:v>
      </x:c>
      <x:c r="D827" s="2" t="str">
        <x:v>Accommodation</x:v>
      </x:c>
      <x:c r="E827" s="2" t="str">
        <x:v>Flood-proofing</x:v>
      </x:c>
      <x:c r="F827" s="2" t="str">
        <x:v>Iron ore / steel inputs</x:v>
      </x:c>
      <x:c r="G827" s="2" t="str">
        <x:v>Bulk and strategic mineral input</x:v>
      </x:c>
      <x:c r="H827" s="2" t="str">
        <x:v>Iron ore / steel inputs is linked to Flood-proofing because it is typically used in load-bearing structures, pressure vessels, piping or machinery; the assignment follows component function, not a sector-wide keyword.</x:v>
      </x:c>
      <x:c r="I827" s="2" t="str">
        <x:v>Presence and quantity in Flood-proofing depend on the selected design, chemistry, capacity, supplier and recycled content. This analytical link is not a verified bill of materials or supplier traceability statement.</x:v>
      </x:c>
      <x:c r="J827" s="2" t="str">
        <x:v>https://pubs.usgs.gov/periodicals/mcs2026/mcs2026.pdf</x:v>
      </x:c>
    </x:row>
    <x:row r="828" ht="66" customHeight="1">
      <x:c r="A828" s="2" t="str">
        <x:v>ADP-0166</x:v>
      </x:c>
      <x:c r="B828" s="2" t="str">
        <x:v>Adaptation</x:v>
      </x:c>
      <x:c r="C828" s="2" t="str">
        <x:v>Coastal Zones</x:v>
      </x:c>
      <x:c r="D828" s="2" t="str">
        <x:v>Accommodation</x:v>
      </x:c>
      <x:c r="E828" s="2" t="str">
        <x:v>Floating houses</x:v>
      </x:c>
      <x:c r="F828" s="2" t="str">
        <x:v>Iron ore / steel inputs</x:v>
      </x:c>
      <x:c r="G828" s="2" t="str">
        <x:v>Bulk and strategic mineral input</x:v>
      </x:c>
      <x:c r="H828" s="2" t="str">
        <x:v>Iron ore / steel inputs is linked to Floating houses because it is typically used in load-bearing structures, pressure vessels, piping or machinery; the assignment follows component function, not a sector-wide keyword.</x:v>
      </x:c>
      <x:c r="I828" s="2" t="str">
        <x:v>Presence and quantity in Floating houses depend on the selected design, chemistry, capacity, supplier and recycled content. This analytical link is not a verified bill of materials or supplier traceability statement.</x:v>
      </x:c>
      <x:c r="J828" s="2" t="str">
        <x:v>https://pubs.usgs.gov/periodicals/mcs2026/mcs2026.pdf</x:v>
      </x:c>
    </x:row>
    <x:row r="829" ht="66" customHeight="1">
      <x:c r="A829" s="2" t="str">
        <x:v>ADP-0167</x:v>
      </x:c>
      <x:c r="B829" s="2" t="str">
        <x:v>Adaptation</x:v>
      </x:c>
      <x:c r="C829" s="2" t="str">
        <x:v>Coastal Zones</x:v>
      </x:c>
      <x:c r="D829" s="2" t="str">
        <x:v>Accommodation</x:v>
      </x:c>
      <x:c r="E829" s="2" t="str">
        <x:v>Management of seagrass beds</x:v>
      </x:c>
      <x:c r="F829" s="2" t="str">
        <x:v>Iron ore / steel inputs</x:v>
      </x:c>
      <x:c r="G829" s="2" t="str">
        <x:v>Bulk and strategic mineral input</x:v>
      </x:c>
      <x:c r="H829" s="2" t="str">
        <x:v>Iron ore / steel inputs is linked to Management of seagrass beds because it is typically used in load-bearing structures, pressure vessels, piping or machinery; the assignment follows component function, not a sector-wide keyword.</x:v>
      </x:c>
      <x:c r="I829" s="2" t="str">
        <x:v>Presence and quantity in Management of seagrass beds depend on the selected design, chemistry, capacity, supplier and recycled content. This analytical link is not a verified bill of materials or supplier traceability statement.</x:v>
      </x:c>
      <x:c r="J829" s="2" t="str">
        <x:v>https://pubs.usgs.gov/periodicals/mcs2026/mcs2026.pdf</x:v>
      </x:c>
    </x:row>
    <x:row r="830" ht="66" customHeight="1">
      <x:c r="A830" s="2" t="str">
        <x:v>ADP-0168</x:v>
      </x:c>
      <x:c r="B830" s="2" t="str">
        <x:v>Adaptation</x:v>
      </x:c>
      <x:c r="C830" s="2" t="str">
        <x:v>Coastal Zones</x:v>
      </x:c>
      <x:c r="D830" s="2" t="str">
        <x:v>Accommodation</x:v>
      </x:c>
      <x:c r="E830" s="2" t="str">
        <x:v>Floating agricultural systems</x:v>
      </x:c>
      <x:c r="F830" s="2" t="str">
        <x:v>Iron ore / steel inputs</x:v>
      </x:c>
      <x:c r="G830" s="2" t="str">
        <x:v>Bulk and strategic mineral input</x:v>
      </x:c>
      <x:c r="H830" s="2" t="str">
        <x:v>Iron ore / steel inputs is linked to Floating agricultural systems because it is typically used in load-bearing structures, pressure vessels, piping or machinery; the assignment follows component function, not a sector-wide keyword.</x:v>
      </x:c>
      <x:c r="I830" s="2" t="str">
        <x:v>Presence and quantity in Floating agricultural systems depend on the selected design, chemistry, capacity, supplier and recycled content. This analytical link is not a verified bill of materials or supplier traceability statement.</x:v>
      </x:c>
      <x:c r="J830" s="2" t="str">
        <x:v>https://pubs.usgs.gov/periodicals/mcs2026/mcs2026.pdf</x:v>
      </x:c>
    </x:row>
    <x:row r="831" ht="66" customHeight="1">
      <x:c r="A831" s="2" t="str">
        <x:v>ADP-0170</x:v>
      </x:c>
      <x:c r="B831" s="2" t="str">
        <x:v>Adaptation</x:v>
      </x:c>
      <x:c r="C831" s="2" t="str">
        <x:v>Coastal Zones</x:v>
      </x:c>
      <x:c r="D831" s="2" t="str">
        <x:v>Accommodation</x:v>
      </x:c>
      <x:c r="E831" s="2" t="str">
        <x:v>Flood warning systems</x:v>
      </x:c>
      <x:c r="F831" s="2" t="str">
        <x:v>Iron ore / steel inputs</x:v>
      </x:c>
      <x:c r="G831" s="2" t="str">
        <x:v>Bulk and strategic mineral input</x:v>
      </x:c>
      <x:c r="H831" s="2" t="str">
        <x:v>Iron ore / steel inputs is linked to Flood warning systems because it is typically used in load-bearing structures, pressure vessels, piping or machinery; the assignment follows component function, not a sector-wide keyword.</x:v>
      </x:c>
      <x:c r="I831" s="2" t="str">
        <x:v>Presence and quantity in Flood warning systems depend on the selected design, chemistry, capacity, supplier and recycled content. This analytical link is not a verified bill of materials or supplier traceability statement.</x:v>
      </x:c>
      <x:c r="J831" s="2" t="str">
        <x:v>https://pubs.usgs.gov/periodicals/mcs2026/mcs2026.pdf</x:v>
      </x:c>
    </x:row>
    <x:row r="832" ht="66" customHeight="1">
      <x:c r="A832" s="2" t="str">
        <x:v>ADP-0171</x:v>
      </x:c>
      <x:c r="B832" s="2" t="str">
        <x:v>Adaptation</x:v>
      </x:c>
      <x:c r="C832" s="2" t="str">
        <x:v>Coastal Zones</x:v>
      </x:c>
      <x:c r="D832" s="2" t="str">
        <x:v>Accommodation</x:v>
      </x:c>
      <x:c r="E832" s="2" t="str">
        <x:v>Coastal zoning</x:v>
      </x:c>
      <x:c r="F832" s="2" t="str">
        <x:v>Iron ore / steel inputs</x:v>
      </x:c>
      <x:c r="G832" s="2" t="str">
        <x:v>Bulk and strategic mineral input</x:v>
      </x:c>
      <x:c r="H832" s="2" t="str">
        <x:v>Iron ore / steel inputs is linked to Coastal zoning because it is typically used in load-bearing structures, pressure vessels, piping or machinery; the assignment follows component function, not a sector-wide keyword.</x:v>
      </x:c>
      <x:c r="I832" s="2" t="str">
        <x:v>Presence and quantity in Coastal zoning depend on the selected design, chemistry, capacity, supplier and recycled content. This analytical link is not a verified bill of materials or supplier traceability statement.</x:v>
      </x:c>
      <x:c r="J832" s="2" t="str">
        <x:v>https://pubs.usgs.gov/periodicals/mcs2026/mcs2026.pdf</x:v>
      </x:c>
    </x:row>
    <x:row r="833" ht="66" customHeight="1">
      <x:c r="A833" s="2" t="str">
        <x:v>ADP-0171</x:v>
      </x:c>
      <x:c r="B833" s="2" t="str">
        <x:v>Adaptation</x:v>
      </x:c>
      <x:c r="C833" s="2" t="str">
        <x:v>Coastal Zones</x:v>
      </x:c>
      <x:c r="D833" s="2" t="str">
        <x:v>Accommodation</x:v>
      </x:c>
      <x:c r="E833" s="2" t="str">
        <x:v>Coastal zoning</x:v>
      </x:c>
      <x:c r="F833" s="2" t="str">
        <x:v>Nickel</x:v>
      </x:c>
      <x:c r="G833" s="2" t="str">
        <x:v>Battery and alloy critical mineral</x:v>
      </x:c>
      <x:c r="H833" s="2" t="str">
        <x:v>Nickel is linked to Coastal zoning because it is typically used in battery cathodes, high-temperature alloys or corrosion-resistant steels; the assignment follows component function, not a sector-wide keyword.</x:v>
      </x:c>
      <x:c r="I833" s="2" t="str">
        <x:v>Presence and quantity in Coastal zoning depend on the selected design, chemistry, capacity, supplier and recycled content. This analytical link is not a verified bill of materials or supplier traceability statement.</x:v>
      </x:c>
      <x:c r="J833" s="2" t="str">
        <x:v>https://www.iea.org/reports/global-critical-minerals-outlook-2025</x:v>
      </x:c>
    </x:row>
    <x:row r="834" ht="66" customHeight="1">
      <x:c r="A834" s="2" t="str">
        <x:v>ADP-0171</x:v>
      </x:c>
      <x:c r="B834" s="2" t="str">
        <x:v>Adaptation</x:v>
      </x:c>
      <x:c r="C834" s="2" t="str">
        <x:v>Coastal Zones</x:v>
      </x:c>
      <x:c r="D834" s="2" t="str">
        <x:v>Accommodation</x:v>
      </x:c>
      <x:c r="E834" s="2" t="str">
        <x:v>Coastal zoning</x:v>
      </x:c>
      <x:c r="F834" s="2" t="str">
        <x:v>Chromium</x:v>
      </x:c>
      <x:c r="G834" s="2" t="str">
        <x:v>Alloy strategic mineral</x:v>
      </x:c>
      <x:c r="H834" s="2" t="str">
        <x:v>Chromium is linked to Coastal zoning because it is typically used in stainless and heat- or corrosion-resistant alloys; the assignment follows component function, not a sector-wide keyword.</x:v>
      </x:c>
      <x:c r="I834" s="2" t="str">
        <x:v>Presence and quantity in Coastal zoning depend on the selected design, chemistry, capacity, supplier and recycled content. This analytical link is not a verified bill of materials or supplier traceability statement.</x:v>
      </x:c>
      <x:c r="J834" s="2" t="str">
        <x:v>https://pubs.usgs.gov/periodicals/mcs2026/mcs2026.pdf</x:v>
      </x:c>
    </x:row>
    <x:row r="835" ht="66" customHeight="1">
      <x:c r="A835" s="2" t="str">
        <x:v>ADP-0171</x:v>
      </x:c>
      <x:c r="B835" s="2" t="str">
        <x:v>Adaptation</x:v>
      </x:c>
      <x:c r="C835" s="2" t="str">
        <x:v>Coastal Zones</x:v>
      </x:c>
      <x:c r="D835" s="2" t="str">
        <x:v>Accommodation</x:v>
      </x:c>
      <x:c r="E835" s="2" t="str">
        <x:v>Coastal zoning</x:v>
      </x:c>
      <x:c r="F835" s="2" t="str">
        <x:v>Zinc</x:v>
      </x:c>
      <x:c r="G835" s="2" t="str">
        <x:v>Strategic base metal</x:v>
      </x:c>
      <x:c r="H835" s="2" t="str">
        <x:v>Zinc is linked to Coastal zoning because it is typically used in galvanic corrosion protection or selected batteries; the assignment follows component function, not a sector-wide keyword.</x:v>
      </x:c>
      <x:c r="I835" s="2" t="str">
        <x:v>Presence and quantity in Coastal zoning depend on the selected design, chemistry, capacity, supplier and recycled content. This analytical link is not a verified bill of materials or supplier traceability statement.</x:v>
      </x:c>
      <x:c r="J835" s="2" t="str">
        <x:v>https://pubs.usgs.gov/periodicals/mcs2026/mcs2026.pdf</x:v>
      </x:c>
    </x:row>
    <x:row r="836" ht="66" customHeight="1">
      <x:c r="A836" s="2" t="str">
        <x:v>ADP-0172</x:v>
      </x:c>
      <x:c r="B836" s="2" t="str">
        <x:v>Adaptation</x:v>
      </x:c>
      <x:c r="C836" s="2" t="str">
        <x:v>Coastal Zones</x:v>
      </x:c>
      <x:c r="D836" s="2" t="str">
        <x:v>Integrated coastal zone management</x:v>
      </x:c>
      <x:c r="E836" s="2" t="str">
        <x:v>Sediment management</x:v>
      </x:c>
      <x:c r="F836" s="2" t="str">
        <x:v>Nickel</x:v>
      </x:c>
      <x:c r="G836" s="2" t="str">
        <x:v>Battery and alloy critical mineral</x:v>
      </x:c>
      <x:c r="H836" s="2" t="str">
        <x:v>Nickel is linked to Sediment management because it is typically used in battery cathodes, high-temperature alloys or corrosion-resistant steels; the assignment follows component function, not a sector-wide keyword.</x:v>
      </x:c>
      <x:c r="I836" s="2" t="str">
        <x:v>Presence and quantity in Sediment management depend on the selected design, chemistry, capacity, supplier and recycled content. This analytical link is not a verified bill of materials or supplier traceability statement.</x:v>
      </x:c>
      <x:c r="J836" s="2" t="str">
        <x:v>https://www.iea.org/reports/global-critical-minerals-outlook-2025</x:v>
      </x:c>
    </x:row>
    <x:row r="837" ht="66" customHeight="1">
      <x:c r="A837" s="2" t="str">
        <x:v>ADP-0172</x:v>
      </x:c>
      <x:c r="B837" s="2" t="str">
        <x:v>Adaptation</x:v>
      </x:c>
      <x:c r="C837" s="2" t="str">
        <x:v>Coastal Zones</x:v>
      </x:c>
      <x:c r="D837" s="2" t="str">
        <x:v>Integrated coastal zone management</x:v>
      </x:c>
      <x:c r="E837" s="2" t="str">
        <x:v>Sediment management</x:v>
      </x:c>
      <x:c r="F837" s="2" t="str">
        <x:v>Chromium</x:v>
      </x:c>
      <x:c r="G837" s="2" t="str">
        <x:v>Alloy strategic mineral</x:v>
      </x:c>
      <x:c r="H837" s="2" t="str">
        <x:v>Chromium is linked to Sediment management because it is typically used in stainless and heat- or corrosion-resistant alloys; the assignment follows component function, not a sector-wide keyword.</x:v>
      </x:c>
      <x:c r="I837" s="2" t="str">
        <x:v>Presence and quantity in Sediment management depend on the selected design, chemistry, capacity, supplier and recycled content. This analytical link is not a verified bill of materials or supplier traceability statement.</x:v>
      </x:c>
      <x:c r="J837" s="2" t="str">
        <x:v>https://pubs.usgs.gov/periodicals/mcs2026/mcs2026.pdf</x:v>
      </x:c>
    </x:row>
    <x:row r="838" ht="66" customHeight="1">
      <x:c r="A838" s="2" t="str">
        <x:v>ADP-0172</x:v>
      </x:c>
      <x:c r="B838" s="2" t="str">
        <x:v>Adaptation</x:v>
      </x:c>
      <x:c r="C838" s="2" t="str">
        <x:v>Coastal Zones</x:v>
      </x:c>
      <x:c r="D838" s="2" t="str">
        <x:v>Integrated coastal zone management</x:v>
      </x:c>
      <x:c r="E838" s="2" t="str">
        <x:v>Sediment management</x:v>
      </x:c>
      <x:c r="F838" s="2" t="str">
        <x:v>Zinc</x:v>
      </x:c>
      <x:c r="G838" s="2" t="str">
        <x:v>Strategic base metal</x:v>
      </x:c>
      <x:c r="H838" s="2" t="str">
        <x:v>Zinc is linked to Sediment management because it is typically used in galvanic corrosion protection or selected batteries; the assignment follows component function, not a sector-wide keyword.</x:v>
      </x:c>
      <x:c r="I838" s="2" t="str">
        <x:v>Presence and quantity in Sediment management depend on the selected design, chemistry, capacity, supplier and recycled content. This analytical link is not a verified bill of materials or supplier traceability statement.</x:v>
      </x:c>
      <x:c r="J838" s="2" t="str">
        <x:v>https://pubs.usgs.gov/periodicals/mcs2026/mcs2026.pdf</x:v>
      </x:c>
    </x:row>
    <x:row r="839" ht="66" customHeight="1">
      <x:c r="A839" s="2" t="str">
        <x:v>ADP-0173</x:v>
      </x:c>
      <x:c r="B839" s="2" t="str">
        <x:v>Adaptation</x:v>
      </x:c>
      <x:c r="C839" s="2" t="str">
        <x:v>Coastal Zones</x:v>
      </x:c>
      <x:c r="D839" s="2" t="str">
        <x:v>Integrated coastal zone management</x:v>
      </x:c>
      <x:c r="E839" s="2" t="str">
        <x:v>Restoration and protection of coral reefs</x:v>
      </x:c>
      <x:c r="F839" s="2" t="str">
        <x:v>Iron ore / steel inputs</x:v>
      </x:c>
      <x:c r="G839" s="2" t="str">
        <x:v>Bulk and strategic mineral input</x:v>
      </x:c>
      <x:c r="H839" s="2" t="str">
        <x:v>Iron ore / steel inputs is linked to Restoration and protection of coral reefs because it is typically used in load-bearing structures, pressure vessels, piping or machinery; the assignment follows component function, not a sector-wide keyword.</x:v>
      </x:c>
      <x:c r="I839" s="2" t="str">
        <x:v>Presence and quantity in Restoration and protection of coral reefs depend on the selected design, chemistry, capacity, supplier and recycled content. This analytical link is not a verified bill of materials or supplier traceability statement.</x:v>
      </x:c>
      <x:c r="J839" s="2" t="str">
        <x:v>https://pubs.usgs.gov/periodicals/mcs2026/mcs2026.pdf</x:v>
      </x:c>
    </x:row>
    <x:row r="840" ht="66" customHeight="1">
      <x:c r="A840" s="2" t="str">
        <x:v>ADP-0173</x:v>
      </x:c>
      <x:c r="B840" s="2" t="str">
        <x:v>Adaptation</x:v>
      </x:c>
      <x:c r="C840" s="2" t="str">
        <x:v>Coastal Zones</x:v>
      </x:c>
      <x:c r="D840" s="2" t="str">
        <x:v>Integrated coastal zone management</x:v>
      </x:c>
      <x:c r="E840" s="2" t="str">
        <x:v>Restoration and protection of coral reefs</x:v>
      </x:c>
      <x:c r="F840" s="2" t="str">
        <x:v>Nickel</x:v>
      </x:c>
      <x:c r="G840" s="2" t="str">
        <x:v>Battery and alloy critical mineral</x:v>
      </x:c>
      <x:c r="H840" s="2" t="str">
        <x:v>Nickel is linked to Restoration and protection of coral reefs because it is typically used in battery cathodes, high-temperature alloys or corrosion-resistant steels; the assignment follows component function, not a sector-wide keyword.</x:v>
      </x:c>
      <x:c r="I840" s="2" t="str">
        <x:v>Presence and quantity in Restoration and protection of coral reefs depend on the selected design, chemistry, capacity, supplier and recycled content. This analytical link is not a verified bill of materials or supplier traceability statement.</x:v>
      </x:c>
      <x:c r="J840" s="2" t="str">
        <x:v>https://www.iea.org/reports/global-critical-minerals-outlook-2025</x:v>
      </x:c>
    </x:row>
    <x:row r="841" ht="66" customHeight="1">
      <x:c r="A841" s="2" t="str">
        <x:v>ADP-0173</x:v>
      </x:c>
      <x:c r="B841" s="2" t="str">
        <x:v>Adaptation</x:v>
      </x:c>
      <x:c r="C841" s="2" t="str">
        <x:v>Coastal Zones</x:v>
      </x:c>
      <x:c r="D841" s="2" t="str">
        <x:v>Integrated coastal zone management</x:v>
      </x:c>
      <x:c r="E841" s="2" t="str">
        <x:v>Restoration and protection of coral reefs</x:v>
      </x:c>
      <x:c r="F841" s="2" t="str">
        <x:v>Chromium</x:v>
      </x:c>
      <x:c r="G841" s="2" t="str">
        <x:v>Alloy strategic mineral</x:v>
      </x:c>
      <x:c r="H841" s="2" t="str">
        <x:v>Chromium is linked to Restoration and protection of coral reefs because it is typically used in stainless and heat- or corrosion-resistant alloys; the assignment follows component function, not a sector-wide keyword.</x:v>
      </x:c>
      <x:c r="I841" s="2" t="str">
        <x:v>Presence and quantity in Restoration and protection of coral reefs depend on the selected design, chemistry, capacity, supplier and recycled content. This analytical link is not a verified bill of materials or supplier traceability statement.</x:v>
      </x:c>
      <x:c r="J841" s="2" t="str">
        <x:v>https://pubs.usgs.gov/periodicals/mcs2026/mcs2026.pdf</x:v>
      </x:c>
    </x:row>
    <x:row r="842" ht="66" customHeight="1">
      <x:c r="A842" s="2" t="str">
        <x:v>ADP-0173</x:v>
      </x:c>
      <x:c r="B842" s="2" t="str">
        <x:v>Adaptation</x:v>
      </x:c>
      <x:c r="C842" s="2" t="str">
        <x:v>Coastal Zones</x:v>
      </x:c>
      <x:c r="D842" s="2" t="str">
        <x:v>Integrated coastal zone management</x:v>
      </x:c>
      <x:c r="E842" s="2" t="str">
        <x:v>Restoration and protection of coral reefs</x:v>
      </x:c>
      <x:c r="F842" s="2" t="str">
        <x:v>Zinc</x:v>
      </x:c>
      <x:c r="G842" s="2" t="str">
        <x:v>Strategic base metal</x:v>
      </x:c>
      <x:c r="H842" s="2" t="str">
        <x:v>Zinc is linked to Restoration and protection of coral reefs because it is typically used in galvanic corrosion protection or selected batteries; the assignment follows component function, not a sector-wide keyword.</x:v>
      </x:c>
      <x:c r="I842" s="2" t="str">
        <x:v>Presence and quantity in Restoration and protection of coral reefs depend on the selected design, chemistry, capacity, supplier and recycled content. This analytical link is not a verified bill of materials or supplier traceability statement.</x:v>
      </x:c>
      <x:c r="J842" s="2" t="str">
        <x:v>https://pubs.usgs.gov/periodicals/mcs2026/mcs2026.pdf</x:v>
      </x:c>
    </x:row>
    <x:row r="843" ht="66" customHeight="1">
      <x:c r="A843" s="2" t="str">
        <x:v>ADP-0174</x:v>
      </x:c>
      <x:c r="B843" s="2" t="str">
        <x:v>Adaptation</x:v>
      </x:c>
      <x:c r="C843" s="2" t="str">
        <x:v>Coastal Zones</x:v>
      </x:c>
      <x:c r="D843" s="2" t="str">
        <x:v>Integrated coastal zone management</x:v>
      </x:c>
      <x:c r="E843" s="2" t="str">
        <x:v>Coastal monitoring</x:v>
      </x:c>
      <x:c r="F843" s="2" t="str">
        <x:v>Iron ore / steel inputs</x:v>
      </x:c>
      <x:c r="G843" s="2" t="str">
        <x:v>Bulk and strategic mineral input</x:v>
      </x:c>
      <x:c r="H843" s="2" t="str">
        <x:v>Iron ore / steel inputs is linked to Coastal monitoring because it is typically used in load-bearing structures, pressure vessels, piping or machinery; the assignment follows component function, not a sector-wide keyword.</x:v>
      </x:c>
      <x:c r="I843" s="2" t="str">
        <x:v>Presence and quantity in Coastal monitoring depend on the selected design, chemistry, capacity, supplier and recycled content. This analytical link is not a verified bill of materials or supplier traceability statement.</x:v>
      </x:c>
      <x:c r="J843" s="2" t="str">
        <x:v>https://pubs.usgs.gov/periodicals/mcs2026/mcs2026.pdf</x:v>
      </x:c>
    </x:row>
    <x:row r="844" ht="66" customHeight="1">
      <x:c r="A844" s="2" t="str">
        <x:v>ADP-0174</x:v>
      </x:c>
      <x:c r="B844" s="2" t="str">
        <x:v>Adaptation</x:v>
      </x:c>
      <x:c r="C844" s="2" t="str">
        <x:v>Coastal Zones</x:v>
      </x:c>
      <x:c r="D844" s="2" t="str">
        <x:v>Integrated coastal zone management</x:v>
      </x:c>
      <x:c r="E844" s="2" t="str">
        <x:v>Coastal monitoring</x:v>
      </x:c>
      <x:c r="F844" s="2" t="str">
        <x:v>Copper</x:v>
      </x:c>
      <x:c r="G844" s="2" t="str">
        <x:v>Critical or strategic metal</x:v>
      </x:c>
      <x:c r="H844" s="2" t="str">
        <x:v>Copper is linked to Coastal monitoring because it is typically used in power cables, windings, busbars, grounding and electrical connectors; the assignment follows component function, not a sector-wide keyword.</x:v>
      </x:c>
      <x:c r="I844" s="2" t="str">
        <x:v>Presence and quantity in Coastal monitoring depend on the selected design, chemistry, capacity, supplier and recycled content. This analytical link is not a verified bill of materials or supplier traceability statement.</x:v>
      </x:c>
      <x:c r="J844" s="2" t="str">
        <x:v>https://pubs.usgs.gov/periodicals/mcs2026/mcs2026.pdf</x:v>
      </x:c>
    </x:row>
    <x:row r="845" ht="66" customHeight="1">
      <x:c r="A845" s="2" t="str">
        <x:v>ADP-0174</x:v>
      </x:c>
      <x:c r="B845" s="2" t="str">
        <x:v>Adaptation</x:v>
      </x:c>
      <x:c r="C845" s="2" t="str">
        <x:v>Coastal Zones</x:v>
      </x:c>
      <x:c r="D845" s="2" t="str">
        <x:v>Integrated coastal zone management</x:v>
      </x:c>
      <x:c r="E845" s="2" t="str">
        <x:v>Coastal monitoring</x:v>
      </x:c>
      <x:c r="F845" s="2" t="str">
        <x:v>Tin</x:v>
      </x:c>
      <x:c r="G845" s="2" t="str">
        <x:v>Electronics strategic metal</x:v>
      </x:c>
      <x:c r="H845" s="2" t="str">
        <x:v>Tin is linked to Coastal monitoring because it is typically used in electronic solder and selected coatings; the assignment follows component function, not a sector-wide keyword.</x:v>
      </x:c>
      <x:c r="I845" s="2" t="str">
        <x:v>Presence and quantity in Coastal monitoring depend on the selected design, chemistry, capacity, supplier and recycled content. This analytical link is not a verified bill of materials or supplier traceability statement.</x:v>
      </x:c>
      <x:c r="J845" s="2" t="str">
        <x:v>https://pubs.usgs.gov/periodicals/mcs2026/mcs2026.pdf</x:v>
      </x:c>
    </x:row>
    <x:row r="846" ht="66" customHeight="1">
      <x:c r="A846" s="2" t="str">
        <x:v>ADP-0174</x:v>
      </x:c>
      <x:c r="B846" s="2" t="str">
        <x:v>Adaptation</x:v>
      </x:c>
      <x:c r="C846" s="2" t="str">
        <x:v>Coastal Zones</x:v>
      </x:c>
      <x:c r="D846" s="2" t="str">
        <x:v>Integrated coastal zone management</x:v>
      </x:c>
      <x:c r="E846" s="2" t="str">
        <x:v>Coastal monitoring</x:v>
      </x:c>
      <x:c r="F846" s="2" t="str">
        <x:v>Nickel</x:v>
      </x:c>
      <x:c r="G846" s="2" t="str">
        <x:v>Battery and alloy critical mineral</x:v>
      </x:c>
      <x:c r="H846" s="2" t="str">
        <x:v>Nickel is linked to Coastal monitoring because it is typically used in battery cathodes, high-temperature alloys or corrosion-resistant steels; the assignment follows component function, not a sector-wide keyword.</x:v>
      </x:c>
      <x:c r="I846" s="2" t="str">
        <x:v>Presence and quantity in Coastal monitoring depend on the selected design, chemistry, capacity, supplier and recycled content. This analytical link is not a verified bill of materials or supplier traceability statement.</x:v>
      </x:c>
      <x:c r="J846" s="2" t="str">
        <x:v>https://www.iea.org/reports/global-critical-minerals-outlook-2025</x:v>
      </x:c>
    </x:row>
    <x:row r="847" ht="66" customHeight="1">
      <x:c r="A847" s="2" t="str">
        <x:v>ADP-0174</x:v>
      </x:c>
      <x:c r="B847" s="2" t="str">
        <x:v>Adaptation</x:v>
      </x:c>
      <x:c r="C847" s="2" t="str">
        <x:v>Coastal Zones</x:v>
      </x:c>
      <x:c r="D847" s="2" t="str">
        <x:v>Integrated coastal zone management</x:v>
      </x:c>
      <x:c r="E847" s="2" t="str">
        <x:v>Coastal monitoring</x:v>
      </x:c>
      <x:c r="F847" s="2" t="str">
        <x:v>Chromium</x:v>
      </x:c>
      <x:c r="G847" s="2" t="str">
        <x:v>Alloy strategic mineral</x:v>
      </x:c>
      <x:c r="H847" s="2" t="str">
        <x:v>Chromium is linked to Coastal monitoring because it is typically used in stainless and heat- or corrosion-resistant alloys; the assignment follows component function, not a sector-wide keyword.</x:v>
      </x:c>
      <x:c r="I847" s="2" t="str">
        <x:v>Presence and quantity in Coastal monitoring depend on the selected design, chemistry, capacity, supplier and recycled content. This analytical link is not a verified bill of materials or supplier traceability statement.</x:v>
      </x:c>
      <x:c r="J847" s="2" t="str">
        <x:v>https://pubs.usgs.gov/periodicals/mcs2026/mcs2026.pdf</x:v>
      </x:c>
    </x:row>
    <x:row r="848" ht="66" customHeight="1">
      <x:c r="A848" s="2" t="str">
        <x:v>ADP-0174</x:v>
      </x:c>
      <x:c r="B848" s="2" t="str">
        <x:v>Adaptation</x:v>
      </x:c>
      <x:c r="C848" s="2" t="str">
        <x:v>Coastal Zones</x:v>
      </x:c>
      <x:c r="D848" s="2" t="str">
        <x:v>Integrated coastal zone management</x:v>
      </x:c>
      <x:c r="E848" s="2" t="str">
        <x:v>Coastal monitoring</x:v>
      </x:c>
      <x:c r="F848" s="2" t="str">
        <x:v>Zinc</x:v>
      </x:c>
      <x:c r="G848" s="2" t="str">
        <x:v>Strategic base metal</x:v>
      </x:c>
      <x:c r="H848" s="2" t="str">
        <x:v>Zinc is linked to Coastal monitoring because it is typically used in galvanic corrosion protection or selected batteries; the assignment follows component function, not a sector-wide keyword.</x:v>
      </x:c>
      <x:c r="I848" s="2" t="str">
        <x:v>Presence and quantity in Coastal monitoring depend on the selected design, chemistry, capacity, supplier and recycled content. This analytical link is not a verified bill of materials or supplier traceability statement.</x:v>
      </x:c>
      <x:c r="J848" s="2" t="str">
        <x:v>https://pubs.usgs.gov/periodicals/mcs2026/mcs2026.pdf</x:v>
      </x:c>
    </x:row>
    <x:row r="849" ht="66" customHeight="1">
      <x:c r="A849" s="2" t="str">
        <x:v>ADP-0175</x:v>
      </x:c>
      <x:c r="B849" s="2" t="str">
        <x:v>Adaptation</x:v>
      </x:c>
      <x:c r="C849" s="2" t="str">
        <x:v>Coastal Zones</x:v>
      </x:c>
      <x:c r="D849" s="2" t="str">
        <x:v>Integrated coastal zone management</x:v>
      </x:c>
      <x:c r="E849" s="2" t="str">
        <x:v>Ecosystem restoration and conservation plans</x:v>
      </x:c>
      <x:c r="F849" s="2" t="str">
        <x:v>Iron ore / steel inputs</x:v>
      </x:c>
      <x:c r="G849" s="2" t="str">
        <x:v>Bulk and strategic mineral input</x:v>
      </x:c>
      <x:c r="H849" s="2" t="str">
        <x:v>Iron ore / steel inputs is linked to Ecosystem restoration and conservation plans because it is typically used in load-bearing structures, pressure vessels, piping or machinery; the assignment follows component function, not a sector-wide keyword.</x:v>
      </x:c>
      <x:c r="I849" s="2" t="str">
        <x:v>Presence and quantity in Ecosystem restoration and conservation plans depend on the selected design, chemistry, capacity, supplier and recycled content. This analytical link is not a verified bill of materials or supplier traceability statement.</x:v>
      </x:c>
      <x:c r="J849" s="2" t="str">
        <x:v>https://pubs.usgs.gov/periodicals/mcs2026/mcs2026.pdf</x:v>
      </x:c>
    </x:row>
    <x:row r="850" ht="66" customHeight="1">
      <x:c r="A850" s="2" t="str">
        <x:v>ADP-0175</x:v>
      </x:c>
      <x:c r="B850" s="2" t="str">
        <x:v>Adaptation</x:v>
      </x:c>
      <x:c r="C850" s="2" t="str">
        <x:v>Coastal Zones</x:v>
      </x:c>
      <x:c r="D850" s="2" t="str">
        <x:v>Integrated coastal zone management</x:v>
      </x:c>
      <x:c r="E850" s="2" t="str">
        <x:v>Ecosystem restoration and conservation plans</x:v>
      </x:c>
      <x:c r="F850" s="2" t="str">
        <x:v>Nickel</x:v>
      </x:c>
      <x:c r="G850" s="2" t="str">
        <x:v>Battery and alloy critical mineral</x:v>
      </x:c>
      <x:c r="H850" s="2" t="str">
        <x:v>Nickel is linked to Ecosystem restoration and conservation plans because it is typically used in battery cathodes, high-temperature alloys or corrosion-resistant steels; the assignment follows component function, not a sector-wide keyword.</x:v>
      </x:c>
      <x:c r="I850" s="2" t="str">
        <x:v>Presence and quantity in Ecosystem restoration and conservation plans depend on the selected design, chemistry, capacity, supplier and recycled content. This analytical link is not a verified bill of materials or supplier traceability statement.</x:v>
      </x:c>
      <x:c r="J850" s="2" t="str">
        <x:v>https://www.iea.org/reports/global-critical-minerals-outlook-2025</x:v>
      </x:c>
    </x:row>
    <x:row r="851" ht="66" customHeight="1">
      <x:c r="A851" s="2" t="str">
        <x:v>ADP-0175</x:v>
      </x:c>
      <x:c r="B851" s="2" t="str">
        <x:v>Adaptation</x:v>
      </x:c>
      <x:c r="C851" s="2" t="str">
        <x:v>Coastal Zones</x:v>
      </x:c>
      <x:c r="D851" s="2" t="str">
        <x:v>Integrated coastal zone management</x:v>
      </x:c>
      <x:c r="E851" s="2" t="str">
        <x:v>Ecosystem restoration and conservation plans</x:v>
      </x:c>
      <x:c r="F851" s="2" t="str">
        <x:v>Chromium</x:v>
      </x:c>
      <x:c r="G851" s="2" t="str">
        <x:v>Alloy strategic mineral</x:v>
      </x:c>
      <x:c r="H851" s="2" t="str">
        <x:v>Chromium is linked to Ecosystem restoration and conservation plans because it is typically used in stainless and heat- or corrosion-resistant alloys; the assignment follows component function, not a sector-wide keyword.</x:v>
      </x:c>
      <x:c r="I851" s="2" t="str">
        <x:v>Presence and quantity in Ecosystem restoration and conservation plans depend on the selected design, chemistry, capacity, supplier and recycled content. This analytical link is not a verified bill of materials or supplier traceability statement.</x:v>
      </x:c>
      <x:c r="J851" s="2" t="str">
        <x:v>https://pubs.usgs.gov/periodicals/mcs2026/mcs2026.pdf</x:v>
      </x:c>
    </x:row>
    <x:row r="852" ht="66" customHeight="1">
      <x:c r="A852" s="2" t="str">
        <x:v>ADP-0175</x:v>
      </x:c>
      <x:c r="B852" s="2" t="str">
        <x:v>Adaptation</x:v>
      </x:c>
      <x:c r="C852" s="2" t="str">
        <x:v>Coastal Zones</x:v>
      </x:c>
      <x:c r="D852" s="2" t="str">
        <x:v>Integrated coastal zone management</x:v>
      </x:c>
      <x:c r="E852" s="2" t="str">
        <x:v>Ecosystem restoration and conservation plans</x:v>
      </x:c>
      <x:c r="F852" s="2" t="str">
        <x:v>Zinc</x:v>
      </x:c>
      <x:c r="G852" s="2" t="str">
        <x:v>Strategic base metal</x:v>
      </x:c>
      <x:c r="H852" s="2" t="str">
        <x:v>Zinc is linked to Ecosystem restoration and conservation plans because it is typically used in galvanic corrosion protection or selected batteries; the assignment follows component function, not a sector-wide keyword.</x:v>
      </x:c>
      <x:c r="I852" s="2" t="str">
        <x:v>Presence and quantity in Ecosystem restoration and conservation plans depend on the selected design, chemistry, capacity, supplier and recycled content. This analytical link is not a verified bill of materials or supplier traceability statement.</x:v>
      </x:c>
      <x:c r="J852" s="2" t="str">
        <x:v>https://pubs.usgs.gov/periodicals/mcs2026/mcs2026.pdf</x:v>
      </x:c>
    </x:row>
    <x:row r="853" ht="66" customHeight="1">
      <x:c r="A853" s="2" t="str">
        <x:v>ADP-0176</x:v>
      </x:c>
      <x:c r="B853" s="2" t="str">
        <x:v>Adaptation</x:v>
      </x:c>
      <x:c r="C853" s="2" t="str">
        <x:v>Coastal Zones</x:v>
      </x:c>
      <x:c r="D853" s="2" t="str">
        <x:v>Protection (hard engineering)</x:v>
      </x:c>
      <x:c r="E853" s="2" t="str">
        <x:v>Storm surge barriers and closure dams</x:v>
      </x:c>
      <x:c r="F853" s="2" t="str">
        <x:v>Iron ore / steel inputs</x:v>
      </x:c>
      <x:c r="G853" s="2" t="str">
        <x:v>Bulk and strategic mineral input</x:v>
      </x:c>
      <x:c r="H853" s="2" t="str">
        <x:v>Iron ore / steel inputs is linked to Storm surge barriers and closure dams because it is typically used in load-bearing structures, pressure vessels, piping or machinery; the assignment follows component function, not a sector-wide keyword.</x:v>
      </x:c>
      <x:c r="I853" s="2" t="str">
        <x:v>Presence and quantity in Storm surge barriers and closure dams depend on the selected design, chemistry, capacity, supplier and recycled content. This analytical link is not a verified bill of materials or supplier traceability statement.</x:v>
      </x:c>
      <x:c r="J853" s="2" t="str">
        <x:v>https://pubs.usgs.gov/periodicals/mcs2026/mcs2026.pdf</x:v>
      </x:c>
    </x:row>
    <x:row r="854" ht="66" customHeight="1">
      <x:c r="A854" s="2" t="str">
        <x:v>ADP-0176</x:v>
      </x:c>
      <x:c r="B854" s="2" t="str">
        <x:v>Adaptation</x:v>
      </x:c>
      <x:c r="C854" s="2" t="str">
        <x:v>Coastal Zones</x:v>
      </x:c>
      <x:c r="D854" s="2" t="str">
        <x:v>Protection (hard engineering)</x:v>
      </x:c>
      <x:c r="E854" s="2" t="str">
        <x:v>Storm surge barriers and closure dams</x:v>
      </x:c>
      <x:c r="F854" s="2" t="str">
        <x:v>Limestone / cement raw materials</x:v>
      </x:c>
      <x:c r="G854" s="2" t="str">
        <x:v>Bulk construction material</x:v>
      </x:c>
      <x:c r="H854" s="2" t="str">
        <x:v>Limestone / cement raw materials is linked to Storm surge barriers and closure dams because it is typically used in concrete foundations, channels, buildings or protective civil works; the assignment follows component function, not a sector-wide keyword.</x:v>
      </x:c>
      <x:c r="I854" s="2" t="str">
        <x:v>Presence and quantity in Storm surge barriers and closure dams depend on the selected design, chemistry, capacity, supplier and recycled content. This analytical link is not a verified bill of materials or supplier traceability statement.</x:v>
      </x:c>
      <x:c r="J854" s="2" t="str">
        <x:v>https://pubs.usgs.gov/periodicals/mcs2026/mcs2026.pdf</x:v>
      </x:c>
    </x:row>
    <x:row r="855" ht="66" customHeight="1">
      <x:c r="A855" s="2" t="str">
        <x:v>ADP-0177</x:v>
      </x:c>
      <x:c r="B855" s="2" t="str">
        <x:v>Adaptation</x:v>
      </x:c>
      <x:c r="C855" s="2" t="str">
        <x:v>Coastal Zones</x:v>
      </x:c>
      <x:c r="D855" s="2" t="str">
        <x:v>Protection (hard engineering)</x:v>
      </x:c>
      <x:c r="E855" s="2" t="str">
        <x:v>Breakwaters</x:v>
      </x:c>
      <x:c r="F855" s="2" t="str">
        <x:v>Iron ore / steel inputs</x:v>
      </x:c>
      <x:c r="G855" s="2" t="str">
        <x:v>Bulk and strategic mineral input</x:v>
      </x:c>
      <x:c r="H855" s="2" t="str">
        <x:v>Iron ore / steel inputs is linked to Breakwaters because it is typically used in load-bearing structures, pressure vessels, piping or machinery; the assignment follows component function, not a sector-wide keyword.</x:v>
      </x:c>
      <x:c r="I855" s="2" t="str">
        <x:v>Presence and quantity in Breakwaters depend on the selected design, chemistry, capacity, supplier and recycled content. This analytical link is not a verified bill of materials or supplier traceability statement.</x:v>
      </x:c>
      <x:c r="J855" s="2" t="str">
        <x:v>https://pubs.usgs.gov/periodicals/mcs2026/mcs2026.pdf</x:v>
      </x:c>
    </x:row>
    <x:row r="856" ht="66" customHeight="1">
      <x:c r="A856" s="2" t="str">
        <x:v>ADP-0177</x:v>
      </x:c>
      <x:c r="B856" s="2" t="str">
        <x:v>Adaptation</x:v>
      </x:c>
      <x:c r="C856" s="2" t="str">
        <x:v>Coastal Zones</x:v>
      </x:c>
      <x:c r="D856" s="2" t="str">
        <x:v>Protection (hard engineering)</x:v>
      </x:c>
      <x:c r="E856" s="2" t="str">
        <x:v>Breakwaters</x:v>
      </x:c>
      <x:c r="F856" s="2" t="str">
        <x:v>Limestone / cement raw materials</x:v>
      </x:c>
      <x:c r="G856" s="2" t="str">
        <x:v>Bulk construction material</x:v>
      </x:c>
      <x:c r="H856" s="2" t="str">
        <x:v>Limestone / cement raw materials is linked to Breakwaters because it is typically used in concrete foundations, channels, buildings or protective civil works; the assignment follows component function, not a sector-wide keyword.</x:v>
      </x:c>
      <x:c r="I856" s="2" t="str">
        <x:v>Presence and quantity in Breakwaters depend on the selected design, chemistry, capacity, supplier and recycled content. This analytical link is not a verified bill of materials or supplier traceability statement.</x:v>
      </x:c>
      <x:c r="J856" s="2" t="str">
        <x:v>https://pubs.usgs.gov/periodicals/mcs2026/mcs2026.pdf</x:v>
      </x:c>
    </x:row>
    <x:row r="857" ht="66" customHeight="1">
      <x:c r="A857" s="2" t="str">
        <x:v>ADP-0178</x:v>
      </x:c>
      <x:c r="B857" s="2" t="str">
        <x:v>Adaptation</x:v>
      </x:c>
      <x:c r="C857" s="2" t="str">
        <x:v>Coastal Zones</x:v>
      </x:c>
      <x:c r="D857" s="2" t="str">
        <x:v>Protection (hard engineering)</x:v>
      </x:c>
      <x:c r="E857" s="2" t="str">
        <x:v>Jetties</x:v>
      </x:c>
      <x:c r="F857" s="2" t="str">
        <x:v>Iron ore / steel inputs</x:v>
      </x:c>
      <x:c r="G857" s="2" t="str">
        <x:v>Bulk and strategic mineral input</x:v>
      </x:c>
      <x:c r="H857" s="2" t="str">
        <x:v>Iron ore / steel inputs is linked to Jetties because it is typically used in load-bearing structures, pressure vessels, piping or machinery; the assignment follows component function, not a sector-wide keyword.</x:v>
      </x:c>
      <x:c r="I857" s="2" t="str">
        <x:v>Presence and quantity in Jetties depend on the selected design, chemistry, capacity, supplier and recycled content. This analytical link is not a verified bill of materials or supplier traceability statement.</x:v>
      </x:c>
      <x:c r="J857" s="2" t="str">
        <x:v>https://pubs.usgs.gov/periodicals/mcs2026/mcs2026.pdf</x:v>
      </x:c>
    </x:row>
    <x:row r="858" ht="66" customHeight="1">
      <x:c r="A858" s="2" t="str">
        <x:v>ADP-0179</x:v>
      </x:c>
      <x:c r="B858" s="2" t="str">
        <x:v>Adaptation</x:v>
      </x:c>
      <x:c r="C858" s="2" t="str">
        <x:v>Coastal Zones</x:v>
      </x:c>
      <x:c r="D858" s="2" t="str">
        <x:v>Protection (hard engineering)</x:v>
      </x:c>
      <x:c r="E858" s="2" t="str">
        <x:v>Dikes</x:v>
      </x:c>
      <x:c r="F858" s="2" t="str">
        <x:v>Iron ore / steel inputs</x:v>
      </x:c>
      <x:c r="G858" s="2" t="str">
        <x:v>Bulk and strategic mineral input</x:v>
      </x:c>
      <x:c r="H858" s="2" t="str">
        <x:v>Iron ore / steel inputs is linked to Dikes because it is typically used in load-bearing structures, pressure vessels, piping or machinery; the assignment follows component function, not a sector-wide keyword.</x:v>
      </x:c>
      <x:c r="I858" s="2" t="str">
        <x:v>Presence and quantity in Dikes depend on the selected design, chemistry, capacity, supplier and recycled content. This analytical link is not a verified bill of materials or supplier traceability statement.</x:v>
      </x:c>
      <x:c r="J858" s="2" t="str">
        <x:v>https://pubs.usgs.gov/periodicals/mcs2026/mcs2026.pdf</x:v>
      </x:c>
    </x:row>
    <x:row r="859" ht="66" customHeight="1">
      <x:c r="A859" s="2" t="str">
        <x:v>ADP-0179</x:v>
      </x:c>
      <x:c r="B859" s="2" t="str">
        <x:v>Adaptation</x:v>
      </x:c>
      <x:c r="C859" s="2" t="str">
        <x:v>Coastal Zones</x:v>
      </x:c>
      <x:c r="D859" s="2" t="str">
        <x:v>Protection (hard engineering)</x:v>
      </x:c>
      <x:c r="E859" s="2" t="str">
        <x:v>Dikes</x:v>
      </x:c>
      <x:c r="F859" s="2" t="str">
        <x:v>Limestone / cement raw materials</x:v>
      </x:c>
      <x:c r="G859" s="2" t="str">
        <x:v>Bulk construction material</x:v>
      </x:c>
      <x:c r="H859" s="2" t="str">
        <x:v>Limestone / cement raw materials is linked to Dikes because it is typically used in concrete foundations, channels, buildings or protective civil works; the assignment follows component function, not a sector-wide keyword.</x:v>
      </x:c>
      <x:c r="I859" s="2" t="str">
        <x:v>Presence and quantity in Dikes depend on the selected design, chemistry, capacity, supplier and recycled content. This analytical link is not a verified bill of materials or supplier traceability statement.</x:v>
      </x:c>
      <x:c r="J859" s="2" t="str">
        <x:v>https://pubs.usgs.gov/periodicals/mcs2026/mcs2026.pdf</x:v>
      </x:c>
    </x:row>
    <x:row r="860" ht="66" customHeight="1">
      <x:c r="A860" s="2" t="str">
        <x:v>ADP-0180</x:v>
      </x:c>
      <x:c r="B860" s="2" t="str">
        <x:v>Adaptation</x:v>
      </x:c>
      <x:c r="C860" s="2" t="str">
        <x:v>Coastal Zones</x:v>
      </x:c>
      <x:c r="D860" s="2" t="str">
        <x:v>Protection (hard engineering)</x:v>
      </x:c>
      <x:c r="E860" s="2" t="str">
        <x:v>Sea walls</x:v>
      </x:c>
      <x:c r="F860" s="2" t="str">
        <x:v>Iron ore / steel inputs</x:v>
      </x:c>
      <x:c r="G860" s="2" t="str">
        <x:v>Bulk and strategic mineral input</x:v>
      </x:c>
      <x:c r="H860" s="2" t="str">
        <x:v>Iron ore / steel inputs is linked to Sea walls because it is typically used in load-bearing structures, pressure vessels, piping or machinery; the assignment follows component function, not a sector-wide keyword.</x:v>
      </x:c>
      <x:c r="I860" s="2" t="str">
        <x:v>Presence and quantity in Sea walls depend on the selected design, chemistry, capacity, supplier and recycled content. This analytical link is not a verified bill of materials or supplier traceability statement.</x:v>
      </x:c>
      <x:c r="J860" s="2" t="str">
        <x:v>https://pubs.usgs.gov/periodicals/mcs2026/mcs2026.pdf</x:v>
      </x:c>
    </x:row>
    <x:row r="861" ht="66" customHeight="1">
      <x:c r="A861" s="2" t="str">
        <x:v>ADP-0180</x:v>
      </x:c>
      <x:c r="B861" s="2" t="str">
        <x:v>Adaptation</x:v>
      </x:c>
      <x:c r="C861" s="2" t="str">
        <x:v>Coastal Zones</x:v>
      </x:c>
      <x:c r="D861" s="2" t="str">
        <x:v>Protection (hard engineering)</x:v>
      </x:c>
      <x:c r="E861" s="2" t="str">
        <x:v>Sea walls</x:v>
      </x:c>
      <x:c r="F861" s="2" t="str">
        <x:v>Limestone / cement raw materials</x:v>
      </x:c>
      <x:c r="G861" s="2" t="str">
        <x:v>Bulk construction material</x:v>
      </x:c>
      <x:c r="H861" s="2" t="str">
        <x:v>Limestone / cement raw materials is linked to Sea walls because it is typically used in concrete foundations, channels, buildings or protective civil works; the assignment follows component function, not a sector-wide keyword.</x:v>
      </x:c>
      <x:c r="I861" s="2" t="str">
        <x:v>Presence and quantity in Sea walls depend on the selected design, chemistry, capacity, supplier and recycled content. This analytical link is not a verified bill of materials or supplier traceability statement.</x:v>
      </x:c>
      <x:c r="J861" s="2" t="str">
        <x:v>https://pubs.usgs.gov/periodicals/mcs2026/mcs2026.pdf</x:v>
      </x:c>
    </x:row>
    <x:row r="862" ht="66" customHeight="1">
      <x:c r="A862" s="2" t="str">
        <x:v>ADP-0181</x:v>
      </x:c>
      <x:c r="B862" s="2" t="str">
        <x:v>Adaptation</x:v>
      </x:c>
      <x:c r="C862" s="2" t="str">
        <x:v>Coastal Zones</x:v>
      </x:c>
      <x:c r="D862" s="2" t="str">
        <x:v>Protection (hard engineering)</x:v>
      </x:c>
      <x:c r="E862" s="2" t="str">
        <x:v>Groynes</x:v>
      </x:c>
      <x:c r="F862" s="2" t="str">
        <x:v>Iron ore / steel inputs</x:v>
      </x:c>
      <x:c r="G862" s="2" t="str">
        <x:v>Bulk and strategic mineral input</x:v>
      </x:c>
      <x:c r="H862" s="2" t="str">
        <x:v>Iron ore / steel inputs is linked to Groynes because it is typically used in load-bearing structures, pressure vessels, piping or machinery; the assignment follows component function, not a sector-wide keyword.</x:v>
      </x:c>
      <x:c r="I862" s="2" t="str">
        <x:v>Presence and quantity in Groynes depend on the selected design, chemistry, capacity, supplier and recycled content. This analytical link is not a verified bill of materials or supplier traceability statement.</x:v>
      </x:c>
      <x:c r="J862" s="2" t="str">
        <x:v>https://pubs.usgs.gov/periodicals/mcs2026/mcs2026.pdf</x:v>
      </x:c>
    </x:row>
    <x:row r="863" ht="66" customHeight="1">
      <x:c r="A863" s="2" t="str">
        <x:v>ADP-0182</x:v>
      </x:c>
      <x:c r="B863" s="2" t="str">
        <x:v>Adaptation</x:v>
      </x:c>
      <x:c r="C863" s="2" t="str">
        <x:v>Coastal Zones</x:v>
      </x:c>
      <x:c r="D863" s="2" t="str">
        <x:v>Protection (hard engineering)</x:v>
      </x:c>
      <x:c r="E863" s="2" t="str">
        <x:v>Geosynthetics</x:v>
      </x:c>
      <x:c r="F863" s="2" t="str">
        <x:v>Iron ore / steel inputs</x:v>
      </x:c>
      <x:c r="G863" s="2" t="str">
        <x:v>Bulk and strategic mineral input</x:v>
      </x:c>
      <x:c r="H863" s="2" t="str">
        <x:v>Iron ore / steel inputs is linked to Geosynthetics because it is typically used in load-bearing structures, pressure vessels, piping or machinery; the assignment follows component function, not a sector-wide keyword.</x:v>
      </x:c>
      <x:c r="I863" s="2" t="str">
        <x:v>Presence and quantity in Geosynthetics depend on the selected design, chemistry, capacity, supplier and recycled content. This analytical link is not a verified bill of materials or supplier traceability statement.</x:v>
      </x:c>
      <x:c r="J863" s="2" t="str">
        <x:v>https://pubs.usgs.gov/periodicals/mcs2026/mcs2026.pdf</x:v>
      </x:c>
    </x:row>
    <x:row r="864" ht="66" customHeight="1">
      <x:c r="A864" s="2" t="str">
        <x:v>ADP-0183</x:v>
      </x:c>
      <x:c r="B864" s="2" t="str">
        <x:v>Adaptation</x:v>
      </x:c>
      <x:c r="C864" s="2" t="str">
        <x:v>Coastal Zones</x:v>
      </x:c>
      <x:c r="D864" s="2" t="str">
        <x:v>Protection (hard engineering)</x:v>
      </x:c>
      <x:c r="E864" s="2" t="str">
        <x:v>Coastal infrastructure rehabilitation</x:v>
      </x:c>
      <x:c r="F864" s="2" t="str">
        <x:v>Iron ore / steel inputs</x:v>
      </x:c>
      <x:c r="G864" s="2" t="str">
        <x:v>Bulk and strategic mineral input</x:v>
      </x:c>
      <x:c r="H864" s="2" t="str">
        <x:v>Iron ore / steel inputs is linked to Coastal infrastructure rehabilitation because it is typically used in load-bearing structures, pressure vessels, piping or machinery; the assignment follows component function, not a sector-wide keyword.</x:v>
      </x:c>
      <x:c r="I864" s="2" t="str">
        <x:v>Presence and quantity in Coastal infrastructure rehabilitation depend on the selected design, chemistry, capacity, supplier and recycled content. This analytical link is not a verified bill of materials or supplier traceability statement.</x:v>
      </x:c>
      <x:c r="J864" s="2" t="str">
        <x:v>https://pubs.usgs.gov/periodicals/mcs2026/mcs2026.pdf</x:v>
      </x:c>
    </x:row>
    <x:row r="865" ht="66" customHeight="1">
      <x:c r="A865" s="2" t="str">
        <x:v>ADP-0183</x:v>
      </x:c>
      <x:c r="B865" s="2" t="str">
        <x:v>Adaptation</x:v>
      </x:c>
      <x:c r="C865" s="2" t="str">
        <x:v>Coastal Zones</x:v>
      </x:c>
      <x:c r="D865" s="2" t="str">
        <x:v>Protection (hard engineering)</x:v>
      </x:c>
      <x:c r="E865" s="2" t="str">
        <x:v>Coastal infrastructure rehabilitation</x:v>
      </x:c>
      <x:c r="F865" s="2" t="str">
        <x:v>Nickel</x:v>
      </x:c>
      <x:c r="G865" s="2" t="str">
        <x:v>Battery and alloy critical mineral</x:v>
      </x:c>
      <x:c r="H865" s="2" t="str">
        <x:v>Nickel is linked to Coastal infrastructure rehabilitation because it is typically used in battery cathodes, high-temperature alloys or corrosion-resistant steels; the assignment follows component function, not a sector-wide keyword.</x:v>
      </x:c>
      <x:c r="I865" s="2" t="str">
        <x:v>Presence and quantity in Coastal infrastructure rehabilitation depend on the selected design, chemistry, capacity, supplier and recycled content. This analytical link is not a verified bill of materials or supplier traceability statement.</x:v>
      </x:c>
      <x:c r="J865" s="2" t="str">
        <x:v>https://www.iea.org/reports/global-critical-minerals-outlook-2025</x:v>
      </x:c>
    </x:row>
    <x:row r="866" ht="66" customHeight="1">
      <x:c r="A866" s="2" t="str">
        <x:v>ADP-0183</x:v>
      </x:c>
      <x:c r="B866" s="2" t="str">
        <x:v>Adaptation</x:v>
      </x:c>
      <x:c r="C866" s="2" t="str">
        <x:v>Coastal Zones</x:v>
      </x:c>
      <x:c r="D866" s="2" t="str">
        <x:v>Protection (hard engineering)</x:v>
      </x:c>
      <x:c r="E866" s="2" t="str">
        <x:v>Coastal infrastructure rehabilitation</x:v>
      </x:c>
      <x:c r="F866" s="2" t="str">
        <x:v>Chromium</x:v>
      </x:c>
      <x:c r="G866" s="2" t="str">
        <x:v>Alloy strategic mineral</x:v>
      </x:c>
      <x:c r="H866" s="2" t="str">
        <x:v>Chromium is linked to Coastal infrastructure rehabilitation because it is typically used in stainless and heat- or corrosion-resistant alloys; the assignment follows component function, not a sector-wide keyword.</x:v>
      </x:c>
      <x:c r="I866" s="2" t="str">
        <x:v>Presence and quantity in Coastal infrastructure rehabilitation depend on the selected design, chemistry, capacity, supplier and recycled content. This analytical link is not a verified bill of materials or supplier traceability statement.</x:v>
      </x:c>
      <x:c r="J866" s="2" t="str">
        <x:v>https://pubs.usgs.gov/periodicals/mcs2026/mcs2026.pdf</x:v>
      </x:c>
    </x:row>
    <x:row r="867" ht="66" customHeight="1">
      <x:c r="A867" s="2" t="str">
        <x:v>ADP-0183</x:v>
      </x:c>
      <x:c r="B867" s="2" t="str">
        <x:v>Adaptation</x:v>
      </x:c>
      <x:c r="C867" s="2" t="str">
        <x:v>Coastal Zones</x:v>
      </x:c>
      <x:c r="D867" s="2" t="str">
        <x:v>Protection (hard engineering)</x:v>
      </x:c>
      <x:c r="E867" s="2" t="str">
        <x:v>Coastal infrastructure rehabilitation</x:v>
      </x:c>
      <x:c r="F867" s="2" t="str">
        <x:v>Limestone / cement raw materials</x:v>
      </x:c>
      <x:c r="G867" s="2" t="str">
        <x:v>Bulk construction material</x:v>
      </x:c>
      <x:c r="H867" s="2" t="str">
        <x:v>Limestone / cement raw materials is linked to Coastal infrastructure rehabilitation because it is typically used in concrete foundations, channels, buildings or protective civil works; the assignment follows component function, not a sector-wide keyword.</x:v>
      </x:c>
      <x:c r="I867" s="2" t="str">
        <x:v>Presence and quantity in Coastal infrastructure rehabilitation depend on the selected design, chemistry, capacity, supplier and recycled content. This analytical link is not a verified bill of materials or supplier traceability statement.</x:v>
      </x:c>
      <x:c r="J867" s="2" t="str">
        <x:v>https://pubs.usgs.gov/periodicals/mcs2026/mcs2026.pdf</x:v>
      </x:c>
    </x:row>
    <x:row r="868" ht="66" customHeight="1">
      <x:c r="A868" s="2" t="str">
        <x:v>ADP-0183</x:v>
      </x:c>
      <x:c r="B868" s="2" t="str">
        <x:v>Adaptation</x:v>
      </x:c>
      <x:c r="C868" s="2" t="str">
        <x:v>Coastal Zones</x:v>
      </x:c>
      <x:c r="D868" s="2" t="str">
        <x:v>Protection (hard engineering)</x:v>
      </x:c>
      <x:c r="E868" s="2" t="str">
        <x:v>Coastal infrastructure rehabilitation</x:v>
      </x:c>
      <x:c r="F868" s="2" t="str">
        <x:v>Zinc</x:v>
      </x:c>
      <x:c r="G868" s="2" t="str">
        <x:v>Strategic base metal</x:v>
      </x:c>
      <x:c r="H868" s="2" t="str">
        <x:v>Zinc is linked to Coastal infrastructure rehabilitation because it is typically used in galvanic corrosion protection or selected batteries; the assignment follows component function, not a sector-wide keyword.</x:v>
      </x:c>
      <x:c r="I868" s="2" t="str">
        <x:v>Presence and quantity in Coastal infrastructure rehabilitation depend on the selected design, chemistry, capacity, supplier and recycled content. This analytical link is not a verified bill of materials or supplier traceability statement.</x:v>
      </x:c>
      <x:c r="J868" s="2" t="str">
        <x:v>https://pubs.usgs.gov/periodicals/mcs2026/mcs2026.pdf</x:v>
      </x:c>
    </x:row>
    <x:row r="869" ht="66" customHeight="1">
      <x:c r="A869" s="2" t="str">
        <x:v>ADP-0184</x:v>
      </x:c>
      <x:c r="B869" s="2" t="str">
        <x:v>Adaptation</x:v>
      </x:c>
      <x:c r="C869" s="2" t="str">
        <x:v>Coastal Zones</x:v>
      </x:c>
      <x:c r="D869" s="2" t="str">
        <x:v>Protection (hard engineering)</x:v>
      </x:c>
      <x:c r="E869" s="2" t="str">
        <x:v>Revetments</x:v>
      </x:c>
      <x:c r="F869" s="2" t="str">
        <x:v>Iron ore / steel inputs</x:v>
      </x:c>
      <x:c r="G869" s="2" t="str">
        <x:v>Bulk and strategic mineral input</x:v>
      </x:c>
      <x:c r="H869" s="2" t="str">
        <x:v>Iron ore / steel inputs is linked to Revetments because it is typically used in load-bearing structures, pressure vessels, piping or machinery; the assignment follows component function, not a sector-wide keyword.</x:v>
      </x:c>
      <x:c r="I869" s="2" t="str">
        <x:v>Presence and quantity in Revetments depend on the selected design, chemistry, capacity, supplier and recycled content. This analytical link is not a verified bill of materials or supplier traceability statement.</x:v>
      </x:c>
      <x:c r="J869" s="2" t="str">
        <x:v>https://pubs.usgs.gov/periodicals/mcs2026/mcs2026.pdf</x:v>
      </x:c>
    </x:row>
    <x:row r="870" ht="66" customHeight="1">
      <x:c r="A870" s="2" t="str">
        <x:v>ADP-0184</x:v>
      </x:c>
      <x:c r="B870" s="2" t="str">
        <x:v>Adaptation</x:v>
      </x:c>
      <x:c r="C870" s="2" t="str">
        <x:v>Coastal Zones</x:v>
      </x:c>
      <x:c r="D870" s="2" t="str">
        <x:v>Protection (hard engineering)</x:v>
      </x:c>
      <x:c r="E870" s="2" t="str">
        <x:v>Revetments</x:v>
      </x:c>
      <x:c r="F870" s="2" t="str">
        <x:v>Limestone / cement raw materials</x:v>
      </x:c>
      <x:c r="G870" s="2" t="str">
        <x:v>Bulk construction material</x:v>
      </x:c>
      <x:c r="H870" s="2" t="str">
        <x:v>Limestone / cement raw materials is linked to Revetments because it is typically used in concrete foundations, channels, buildings or protective civil works; the assignment follows component function, not a sector-wide keyword.</x:v>
      </x:c>
      <x:c r="I870" s="2" t="str">
        <x:v>Presence and quantity in Revetments depend on the selected design, chemistry, capacity, supplier and recycled content. This analytical link is not a verified bill of materials or supplier traceability statement.</x:v>
      </x:c>
      <x:c r="J870" s="2" t="str">
        <x:v>https://pubs.usgs.gov/periodicals/mcs2026/mcs2026.pdf</x:v>
      </x:c>
    </x:row>
    <x:row r="871" ht="66" customHeight="1">
      <x:c r="A871" s="2" t="str">
        <x:v>ADP-0185</x:v>
      </x:c>
      <x:c r="B871" s="2" t="str">
        <x:v>Adaptation</x:v>
      </x:c>
      <x:c r="C871" s="2" t="str">
        <x:v>Coastal Zones</x:v>
      </x:c>
      <x:c r="D871" s="2" t="str">
        <x:v>Protection (soft engineering)</x:v>
      </x:c>
      <x:c r="E871" s="2" t="str">
        <x:v>Cliff stabilisation</x:v>
      </x:c>
      <x:c r="F871" s="2" t="str">
        <x:v>Iron ore / steel inputs</x:v>
      </x:c>
      <x:c r="G871" s="2" t="str">
        <x:v>Bulk and strategic mineral input</x:v>
      </x:c>
      <x:c r="H871" s="2" t="str">
        <x:v>Iron ore / steel inputs is linked to Cliff stabilisation because it is typically used in load-bearing structures, pressure vessels, piping or machinery; the assignment follows component function, not a sector-wide keyword.</x:v>
      </x:c>
      <x:c r="I871" s="2" t="str">
        <x:v>Presence and quantity in Cliff stabilisation depend on the selected design, chemistry, capacity, supplier and recycled content. This analytical link is not a verified bill of materials or supplier traceability statement.</x:v>
      </x:c>
      <x:c r="J871" s="2" t="str">
        <x:v>https://pubs.usgs.gov/periodicals/mcs2026/mcs2026.pdf</x:v>
      </x:c>
    </x:row>
    <x:row r="872" ht="66" customHeight="1">
      <x:c r="A872" s="2" t="str">
        <x:v>ADP-0186</x:v>
      </x:c>
      <x:c r="B872" s="2" t="str">
        <x:v>Adaptation</x:v>
      </x:c>
      <x:c r="C872" s="2" t="str">
        <x:v>Coastal Zones</x:v>
      </x:c>
      <x:c r="D872" s="2" t="str">
        <x:v>Protection (soft engineering)</x:v>
      </x:c>
      <x:c r="E872" s="2" t="str">
        <x:v>Land claim</x:v>
      </x:c>
      <x:c r="F872" s="2" t="str">
        <x:v>Iron ore / steel inputs</x:v>
      </x:c>
      <x:c r="G872" s="2" t="str">
        <x:v>Bulk and strategic mineral input</x:v>
      </x:c>
      <x:c r="H872" s="2" t="str">
        <x:v>Iron ore / steel inputs is linked to Land claim because it is typically used in load-bearing structures, pressure vessels, piping or machinery; the assignment follows component function, not a sector-wide keyword.</x:v>
      </x:c>
      <x:c r="I872" s="2" t="str">
        <x:v>Presence and quantity in Land claim depend on the selected design, chemistry, capacity, supplier and recycled content. This analytical link is not a verified bill of materials or supplier traceability statement.</x:v>
      </x:c>
      <x:c r="J872" s="2" t="str">
        <x:v>https://pubs.usgs.gov/periodicals/mcs2026/mcs2026.pdf</x:v>
      </x:c>
    </x:row>
    <x:row r="873" ht="66" customHeight="1">
      <x:c r="A873" s="2" t="str">
        <x:v>ADP-0187</x:v>
      </x:c>
      <x:c r="B873" s="2" t="str">
        <x:v>Adaptation</x:v>
      </x:c>
      <x:c r="C873" s="2" t="str">
        <x:v>Coastal Zones</x:v>
      </x:c>
      <x:c r="D873" s="2" t="str">
        <x:v>Protection (soft engineering)</x:v>
      </x:c>
      <x:c r="E873" s="2" t="str">
        <x:v>Beach nourishment</x:v>
      </x:c>
      <x:c r="F873" s="2" t="str">
        <x:v>Iron ore / steel inputs</x:v>
      </x:c>
      <x:c r="G873" s="2" t="str">
        <x:v>Bulk and strategic mineral input</x:v>
      </x:c>
      <x:c r="H873" s="2" t="str">
        <x:v>Iron ore / steel inputs is linked to Beach nourishment because it is typically used in load-bearing structures, pressure vessels, piping or machinery; the assignment follows component function, not a sector-wide keyword.</x:v>
      </x:c>
      <x:c r="I873" s="2" t="str">
        <x:v>Presence and quantity in Beach nourishment depend on the selected design, chemistry, capacity, supplier and recycled content. This analytical link is not a verified bill of materials or supplier traceability statement.</x:v>
      </x:c>
      <x:c r="J873" s="2" t="str">
        <x:v>https://pubs.usgs.gov/periodicals/mcs2026/mcs2026.pdf</x:v>
      </x:c>
    </x:row>
    <x:row r="874" ht="66" customHeight="1">
      <x:c r="A874" s="2" t="str">
        <x:v>ADP-0188</x:v>
      </x:c>
      <x:c r="B874" s="2" t="str">
        <x:v>Adaptation</x:v>
      </x:c>
      <x:c r="C874" s="2" t="str">
        <x:v>Coastal Zones</x:v>
      </x:c>
      <x:c r="D874" s="2" t="str">
        <x:v>Protection (soft engineering)</x:v>
      </x:c>
      <x:c r="E874" s="2" t="str">
        <x:v>Constructed wetlands</x:v>
      </x:c>
      <x:c r="F874" s="2" t="str">
        <x:v>Iron ore / steel inputs</x:v>
      </x:c>
      <x:c r="G874" s="2" t="str">
        <x:v>Bulk and strategic mineral input</x:v>
      </x:c>
      <x:c r="H874" s="2" t="str">
        <x:v>Iron ore / steel inputs is linked to Constructed wetlands because it is typically used in load-bearing structures, pressure vessels, piping or machinery; the assignment follows component function, not a sector-wide keyword.</x:v>
      </x:c>
      <x:c r="I874" s="2" t="str">
        <x:v>Presence and quantity in Constructed wetlands depend on the selected design, chemistry, capacity, supplier and recycled content. This analytical link is not a verified bill of materials or supplier traceability statement.</x:v>
      </x:c>
      <x:c r="J874" s="2" t="str">
        <x:v>https://pubs.usgs.gov/periodicals/mcs2026/mcs2026.pdf</x:v>
      </x:c>
    </x:row>
    <x:row r="875" ht="66" customHeight="1">
      <x:c r="A875" s="2" t="str">
        <x:v>ADP-0189</x:v>
      </x:c>
      <x:c r="B875" s="2" t="str">
        <x:v>Adaptation</x:v>
      </x:c>
      <x:c r="C875" s="2" t="str">
        <x:v>Coastal Zones</x:v>
      </x:c>
      <x:c r="D875" s="2" t="str">
        <x:v>Protection (soft engineering)</x:v>
      </x:c>
      <x:c r="E875" s="2" t="str">
        <x:v>Dune construction &amp; stabilisation</x:v>
      </x:c>
      <x:c r="F875" s="2" t="str">
        <x:v>Iron ore / steel inputs</x:v>
      </x:c>
      <x:c r="G875" s="2" t="str">
        <x:v>Bulk and strategic mineral input</x:v>
      </x:c>
      <x:c r="H875" s="2" t="str">
        <x:v>Iron ore / steel inputs is linked to Dune construction &amp; stabilisation because it is typically used in load-bearing structures, pressure vessels, piping or machinery; the assignment follows component function, not a sector-wide keyword.</x:v>
      </x:c>
      <x:c r="I875" s="2" t="str">
        <x:v>Presence and quantity in Dune construction &amp; stabilisation depend on the selected design, chemistry, capacity, supplier and recycled content. This analytical link is not a verified bill of materials or supplier traceability statement.</x:v>
      </x:c>
      <x:c r="J875" s="2" t="str">
        <x:v>https://pubs.usgs.gov/periodicals/mcs2026/mcs2026.pdf</x:v>
      </x:c>
    </x:row>
    <x:row r="876" ht="66" customHeight="1">
      <x:c r="A876" s="2" t="str">
        <x:v>ADP-0189</x:v>
      </x:c>
      <x:c r="B876" s="2" t="str">
        <x:v>Adaptation</x:v>
      </x:c>
      <x:c r="C876" s="2" t="str">
        <x:v>Coastal Zones</x:v>
      </x:c>
      <x:c r="D876" s="2" t="str">
        <x:v>Protection (soft engineering)</x:v>
      </x:c>
      <x:c r="E876" s="2" t="str">
        <x:v>Dune construction &amp; stabilisation</x:v>
      </x:c>
      <x:c r="F876" s="2" t="str">
        <x:v>Limestone / cement raw materials</x:v>
      </x:c>
      <x:c r="G876" s="2" t="str">
        <x:v>Bulk construction material</x:v>
      </x:c>
      <x:c r="H876" s="2" t="str">
        <x:v>Limestone / cement raw materials is linked to Dune construction &amp; stabilisation because it is typically used in concrete foundations, channels, buildings or protective civil works; the assignment follows component function, not a sector-wide keyword.</x:v>
      </x:c>
      <x:c r="I876" s="2" t="str">
        <x:v>Presence and quantity in Dune construction &amp; stabilisation depend on the selected design, chemistry, capacity, supplier and recycled content. This analytical link is not a verified bill of materials or supplier traceability statement.</x:v>
      </x:c>
      <x:c r="J876" s="2" t="str">
        <x:v>https://pubs.usgs.gov/periodicals/mcs2026/mcs2026.pdf</x:v>
      </x:c>
    </x:row>
    <x:row r="877" ht="66" customHeight="1">
      <x:c r="A877" s="2" t="str">
        <x:v>ADP-0190</x:v>
      </x:c>
      <x:c r="B877" s="2" t="str">
        <x:v>Adaptation</x:v>
      </x:c>
      <x:c r="C877" s="2" t="str">
        <x:v>Marine and Fisheries</x:v>
      </x:c>
      <x:c r="D877" s="2" t="str">
        <x:v>Active motion-dampening systems for marine ports</x:v>
      </x:c>
      <x:c r="E877" s="2" t="str">
        <x:v>Active motion-dampening systems for marine ports</x:v>
      </x:c>
      <x:c r="F877" s="2" t="str">
        <x:v>Iron ore / steel inputs</x:v>
      </x:c>
      <x:c r="G877" s="2" t="str">
        <x:v>Bulk and strategic mineral input</x:v>
      </x:c>
      <x:c r="H877" s="2" t="str">
        <x:v>Iron ore / steel inputs is linked to Active motion-dampening systems for marine ports because it is typically used in load-bearing structures, pressure vessels, piping or machinery; the assignment follows component function, not a sector-wide keyword.</x:v>
      </x:c>
      <x:c r="I877" s="2" t="str">
        <x:v>Presence and quantity in Active motion-dampening systems for marine ports depend on the selected design, chemistry, capacity, supplier and recycled content. This analytical link is not a verified bill of materials or supplier traceability statement.</x:v>
      </x:c>
      <x:c r="J877" s="2" t="str">
        <x:v>https://pubs.usgs.gov/periodicals/mcs2026/mcs2026.pdf</x:v>
      </x:c>
    </x:row>
    <x:row r="878" ht="66" customHeight="1">
      <x:c r="A878" s="2" t="str">
        <x:v>ADP-0190</x:v>
      </x:c>
      <x:c r="B878" s="2" t="str">
        <x:v>Adaptation</x:v>
      </x:c>
      <x:c r="C878" s="2" t="str">
        <x:v>Marine and Fisheries</x:v>
      </x:c>
      <x:c r="D878" s="2" t="str">
        <x:v>Active motion-dampening systems for marine ports</x:v>
      </x:c>
      <x:c r="E878" s="2" t="str">
        <x:v>Active motion-dampening systems for marine ports</x:v>
      </x:c>
      <x:c r="F878" s="2" t="str">
        <x:v>Nickel</x:v>
      </x:c>
      <x:c r="G878" s="2" t="str">
        <x:v>Battery and alloy critical mineral</x:v>
      </x:c>
      <x:c r="H878" s="2" t="str">
        <x:v>Nickel is linked to Active motion-dampening systems for marine ports because it is typically used in battery cathodes, high-temperature alloys or corrosion-resistant steels; the assignment follows component function, not a sector-wide keyword.</x:v>
      </x:c>
      <x:c r="I878" s="2" t="str">
        <x:v>Presence and quantity in Active motion-dampening systems for marine ports depend on the selected design, chemistry, capacity, supplier and recycled content. This analytical link is not a verified bill of materials or supplier traceability statement.</x:v>
      </x:c>
      <x:c r="J878" s="2" t="str">
        <x:v>https://www.iea.org/reports/global-critical-minerals-outlook-2025</x:v>
      </x:c>
    </x:row>
    <x:row r="879" ht="66" customHeight="1">
      <x:c r="A879" s="2" t="str">
        <x:v>ADP-0190</x:v>
      </x:c>
      <x:c r="B879" s="2" t="str">
        <x:v>Adaptation</x:v>
      </x:c>
      <x:c r="C879" s="2" t="str">
        <x:v>Marine and Fisheries</x:v>
      </x:c>
      <x:c r="D879" s="2" t="str">
        <x:v>Active motion-dampening systems for marine ports</x:v>
      </x:c>
      <x:c r="E879" s="2" t="str">
        <x:v>Active motion-dampening systems for marine ports</x:v>
      </x:c>
      <x:c r="F879" s="2" t="str">
        <x:v>Chromium</x:v>
      </x:c>
      <x:c r="G879" s="2" t="str">
        <x:v>Alloy strategic mineral</x:v>
      </x:c>
      <x:c r="H879" s="2" t="str">
        <x:v>Chromium is linked to Active motion-dampening systems for marine ports because it is typically used in stainless and heat- or corrosion-resistant alloys; the assignment follows component function, not a sector-wide keyword.</x:v>
      </x:c>
      <x:c r="I879" s="2" t="str">
        <x:v>Presence and quantity in Active motion-dampening systems for marine ports depend on the selected design, chemistry, capacity, supplier and recycled content. This analytical link is not a verified bill of materials or supplier traceability statement.</x:v>
      </x:c>
      <x:c r="J879" s="2" t="str">
        <x:v>https://pubs.usgs.gov/periodicals/mcs2026/mcs2026.pdf</x:v>
      </x:c>
    </x:row>
    <x:row r="880" ht="66" customHeight="1">
      <x:c r="A880" s="2" t="str">
        <x:v>ADP-0190</x:v>
      </x:c>
      <x:c r="B880" s="2" t="str">
        <x:v>Adaptation</x:v>
      </x:c>
      <x:c r="C880" s="2" t="str">
        <x:v>Marine and Fisheries</x:v>
      </x:c>
      <x:c r="D880" s="2" t="str">
        <x:v>Active motion-dampening systems for marine ports</x:v>
      </x:c>
      <x:c r="E880" s="2" t="str">
        <x:v>Active motion-dampening systems for marine ports</x:v>
      </x:c>
      <x:c r="F880" s="2" t="str">
        <x:v>Limestone / cement raw materials</x:v>
      </x:c>
      <x:c r="G880" s="2" t="str">
        <x:v>Bulk construction material</x:v>
      </x:c>
      <x:c r="H880" s="2" t="str">
        <x:v>Limestone / cement raw materials is linked to Active motion-dampening systems for marine ports because it is typically used in concrete foundations, channels, buildings or protective civil works; the assignment follows component function, not a sector-wide keyword.</x:v>
      </x:c>
      <x:c r="I880" s="2" t="str">
        <x:v>Presence and quantity in Active motion-dampening systems for marine ports depend on the selected design, chemistry, capacity, supplier and recycled content. This analytical link is not a verified bill of materials or supplier traceability statement.</x:v>
      </x:c>
      <x:c r="J880" s="2" t="str">
        <x:v>https://pubs.usgs.gov/periodicals/mcs2026/mcs2026.pdf</x:v>
      </x:c>
    </x:row>
    <x:row r="881" ht="66" customHeight="1">
      <x:c r="A881" s="2" t="str">
        <x:v>ADP-0190</x:v>
      </x:c>
      <x:c r="B881" s="2" t="str">
        <x:v>Adaptation</x:v>
      </x:c>
      <x:c r="C881" s="2" t="str">
        <x:v>Marine and Fisheries</x:v>
      </x:c>
      <x:c r="D881" s="2" t="str">
        <x:v>Active motion-dampening systems for marine ports</x:v>
      </x:c>
      <x:c r="E881" s="2" t="str">
        <x:v>Active motion-dampening systems for marine ports</x:v>
      </x:c>
      <x:c r="F881" s="2" t="str">
        <x:v>Zinc</x:v>
      </x:c>
      <x:c r="G881" s="2" t="str">
        <x:v>Strategic base metal</x:v>
      </x:c>
      <x:c r="H881" s="2" t="str">
        <x:v>Zinc is linked to Active motion-dampening systems for marine ports because it is typically used in galvanic corrosion protection or selected batteries; the assignment follows component function, not a sector-wide keyword.</x:v>
      </x:c>
      <x:c r="I881" s="2" t="str">
        <x:v>Presence and quantity in Active motion-dampening systems for marine ports depend on the selected design, chemistry, capacity, supplier and recycled content. This analytical link is not a verified bill of materials or supplier traceability statement.</x:v>
      </x:c>
      <x:c r="J881" s="2" t="str">
        <x:v>https://pubs.usgs.gov/periodicals/mcs2026/mcs2026.pdf</x:v>
      </x:c>
    </x:row>
    <x:row r="882" ht="66" customHeight="1">
      <x:c r="A882" s="2" t="str">
        <x:v>ADP-0191</x:v>
      </x:c>
      <x:c r="B882" s="2" t="str">
        <x:v>Adaptation</x:v>
      </x:c>
      <x:c r="C882" s="2" t="str">
        <x:v>Marine and Fisheries</x:v>
      </x:c>
      <x:c r="D882" s="2" t="str">
        <x:v>Seaweed farming</x:v>
      </x:c>
      <x:c r="E882" s="2" t="str">
        <x:v>Seaweed farming</x:v>
      </x:c>
      <x:c r="F882" s="2" t="str">
        <x:v>Iron ore / steel inputs</x:v>
      </x:c>
      <x:c r="G882" s="2" t="str">
        <x:v>Bulk and strategic mineral input</x:v>
      </x:c>
      <x:c r="H882" s="2" t="str">
        <x:v>Iron ore / steel inputs is linked to Seaweed farming because it is typically used in load-bearing structures, pressure vessels, piping or machinery; the assignment follows component function, not a sector-wide keyword.</x:v>
      </x:c>
      <x:c r="I882" s="2" t="str">
        <x:v>Presence and quantity in Seaweed farming depend on the selected design, chemistry, capacity, supplier and recycled content. This analytical link is not a verified bill of materials or supplier traceability statement.</x:v>
      </x:c>
      <x:c r="J882" s="2" t="str">
        <x:v>https://pubs.usgs.gov/periodicals/mcs2026/mcs2026.pdf</x:v>
      </x:c>
    </x:row>
    <x:row r="883" ht="66" customHeight="1">
      <x:c r="A883" s="2" t="str">
        <x:v>ADP-0192</x:v>
      </x:c>
      <x:c r="B883" s="2" t="str">
        <x:v>Adaptation</x:v>
      </x:c>
      <x:c r="C883" s="2" t="str">
        <x:v>Marine and Fisheries</x:v>
      </x:c>
      <x:c r="D883" s="2" t="str">
        <x:v>Marine protected areas</x:v>
      </x:c>
      <x:c r="E883" s="2" t="str">
        <x:v>Marine protected areas</x:v>
      </x:c>
      <x:c r="F883" s="2" t="str">
        <x:v>Iron ore / steel inputs</x:v>
      </x:c>
      <x:c r="G883" s="2" t="str">
        <x:v>Bulk and strategic mineral input</x:v>
      </x:c>
      <x:c r="H883" s="2" t="str">
        <x:v>Iron ore / steel inputs is linked to Marine protected areas because it is typically used in load-bearing structures, pressure vessels, piping or machinery; the assignment follows component function, not a sector-wide keyword.</x:v>
      </x:c>
      <x:c r="I883" s="2" t="str">
        <x:v>Presence and quantity in Marine protected areas depend on the selected design, chemistry, capacity, supplier and recycled content. This analytical link is not a verified bill of materials or supplier traceability statement.</x:v>
      </x:c>
      <x:c r="J883" s="2" t="str">
        <x:v>https://pubs.usgs.gov/periodicals/mcs2026/mcs2026.pdf</x:v>
      </x:c>
    </x:row>
    <x:row r="884" ht="66" customHeight="1">
      <x:c r="A884" s="2" t="str">
        <x:v>ADP-0192</x:v>
      </x:c>
      <x:c r="B884" s="2" t="str">
        <x:v>Adaptation</x:v>
      </x:c>
      <x:c r="C884" s="2" t="str">
        <x:v>Marine and Fisheries</x:v>
      </x:c>
      <x:c r="D884" s="2" t="str">
        <x:v>Marine protected areas</x:v>
      </x:c>
      <x:c r="E884" s="2" t="str">
        <x:v>Marine protected areas</x:v>
      </x:c>
      <x:c r="F884" s="2" t="str">
        <x:v>Nickel</x:v>
      </x:c>
      <x:c r="G884" s="2" t="str">
        <x:v>Battery and alloy critical mineral</x:v>
      </x:c>
      <x:c r="H884" s="2" t="str">
        <x:v>Nickel is linked to Marine protected areas because it is typically used in battery cathodes, high-temperature alloys or corrosion-resistant steels; the assignment follows component function, not a sector-wide keyword.</x:v>
      </x:c>
      <x:c r="I884" s="2" t="str">
        <x:v>Presence and quantity in Marine protected areas depend on the selected design, chemistry, capacity, supplier and recycled content. This analytical link is not a verified bill of materials or supplier traceability statement.</x:v>
      </x:c>
      <x:c r="J884" s="2" t="str">
        <x:v>https://www.iea.org/reports/global-critical-minerals-outlook-2025</x:v>
      </x:c>
    </x:row>
    <x:row r="885" ht="66" customHeight="1">
      <x:c r="A885" s="2" t="str">
        <x:v>ADP-0192</x:v>
      </x:c>
      <x:c r="B885" s="2" t="str">
        <x:v>Adaptation</x:v>
      </x:c>
      <x:c r="C885" s="2" t="str">
        <x:v>Marine and Fisheries</x:v>
      </x:c>
      <x:c r="D885" s="2" t="str">
        <x:v>Marine protected areas</x:v>
      </x:c>
      <x:c r="E885" s="2" t="str">
        <x:v>Marine protected areas</x:v>
      </x:c>
      <x:c r="F885" s="2" t="str">
        <x:v>Chromium</x:v>
      </x:c>
      <x:c r="G885" s="2" t="str">
        <x:v>Alloy strategic mineral</x:v>
      </x:c>
      <x:c r="H885" s="2" t="str">
        <x:v>Chromium is linked to Marine protected areas because it is typically used in stainless and heat- or corrosion-resistant alloys; the assignment follows component function, not a sector-wide keyword.</x:v>
      </x:c>
      <x:c r="I885" s="2" t="str">
        <x:v>Presence and quantity in Marine protected areas depend on the selected design, chemistry, capacity, supplier and recycled content. This analytical link is not a verified bill of materials or supplier traceability statement.</x:v>
      </x:c>
      <x:c r="J885" s="2" t="str">
        <x:v>https://pubs.usgs.gov/periodicals/mcs2026/mcs2026.pdf</x:v>
      </x:c>
    </x:row>
    <x:row r="886" ht="66" customHeight="1">
      <x:c r="A886" s="2" t="str">
        <x:v>ADP-0192</x:v>
      </x:c>
      <x:c r="B886" s="2" t="str">
        <x:v>Adaptation</x:v>
      </x:c>
      <x:c r="C886" s="2" t="str">
        <x:v>Marine and Fisheries</x:v>
      </x:c>
      <x:c r="D886" s="2" t="str">
        <x:v>Marine protected areas</x:v>
      </x:c>
      <x:c r="E886" s="2" t="str">
        <x:v>Marine protected areas</x:v>
      </x:c>
      <x:c r="F886" s="2" t="str">
        <x:v>Zinc</x:v>
      </x:c>
      <x:c r="G886" s="2" t="str">
        <x:v>Strategic base metal</x:v>
      </x:c>
      <x:c r="H886" s="2" t="str">
        <x:v>Zinc is linked to Marine protected areas because it is typically used in galvanic corrosion protection or selected batteries; the assignment follows component function, not a sector-wide keyword.</x:v>
      </x:c>
      <x:c r="I886" s="2" t="str">
        <x:v>Presence and quantity in Marine protected areas depend on the selected design, chemistry, capacity, supplier and recycled content. This analytical link is not a verified bill of materials or supplier traceability statement.</x:v>
      </x:c>
      <x:c r="J886" s="2" t="str">
        <x:v>https://pubs.usgs.gov/periodicals/mcs2026/mcs2026.pdf</x:v>
      </x:c>
    </x:row>
    <x:row r="887" ht="66" customHeight="1">
      <x:c r="A887" s="2" t="str">
        <x:v>ADP-0194</x:v>
      </x:c>
      <x:c r="B887" s="2" t="str">
        <x:v>Adaptation</x:v>
      </x:c>
      <x:c r="C887" s="2" t="str">
        <x:v>Marine and Fisheries</x:v>
      </x:c>
      <x:c r="D887" s="2" t="str">
        <x:v>Artificial reefs</x:v>
      </x:c>
      <x:c r="E887" s="2" t="str">
        <x:v>Artificial reefs</x:v>
      </x:c>
      <x:c r="F887" s="2" t="str">
        <x:v>Iron ore / steel inputs</x:v>
      </x:c>
      <x:c r="G887" s="2" t="str">
        <x:v>Bulk and strategic mineral input</x:v>
      </x:c>
      <x:c r="H887" s="2" t="str">
        <x:v>Iron ore / steel inputs is linked to Artificial reefs because it is typically used in load-bearing structures, pressure vessels, piping or machinery; the assignment follows component function, not a sector-wide keyword.</x:v>
      </x:c>
      <x:c r="I887" s="2" t="str">
        <x:v>Presence and quantity in Artificial reefs depend on the selected design, chemistry, capacity, supplier and recycled content. This analytical link is not a verified bill of materials or supplier traceability statement.</x:v>
      </x:c>
      <x:c r="J887" s="2" t="str">
        <x:v>https://pubs.usgs.gov/periodicals/mcs2026/mcs2026.pdf</x:v>
      </x:c>
    </x:row>
  </x:sheetData>
  <x:mergeCells>
    <x:mergeCell ref="A1:J1"/>
    <x:mergeCell ref="A2:J2"/>
  </x:mergeCells>
  <x:pageMargins left="0.7" right="0.7" top="0.75" bottom="0.75" header="0.3" footer="0.3"/>
  <x:tableParts count="1">
    <x:tablePart xmlns:r="http://schemas.openxmlformats.org/officeDocument/2006/relationships" r:id="R2f75ae869a07464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8" hidden="0" customWidth="1"/>
    <x:col min="4" max="4" width="30" hidden="0" customWidth="1"/>
    <x:col min="5" max="5" width="12" hidden="0" customWidth="1"/>
    <x:col min="6" max="6" width="16" hidden="0" customWidth="1"/>
    <x:col min="7" max="7" width="16" hidden="0" customWidth="1"/>
    <x:col min="8" max="8" width="18" hidden="0" customWidth="1"/>
    <x:col min="9" max="9" width="20" hidden="0" customWidth="1"/>
    <x:col min="10" max="10" width="55" hidden="0" customWidth="1"/>
    <x:col min="11" max="11" width="60" hidden="0" customWidth="1"/>
  </x:cols>
  <x:sheetData>
    <x:row r="1">
      <x:c r="A1" s="4" t="str">
        <x:v>CTCN — GEOGRAPHIC DATABASE FOR THE RAW-MATERIAL MAP</x:v>
      </x:c>
      <x:c r="B1" s="4"/>
      <x:c r="C1" s="4"/>
      <x:c r="D1" s="4"/>
      <x:c r="E1" s="4"/>
      <x:c r="F1" s="4"/>
      <x:c r="G1" s="4"/>
      <x:c r="H1" s="4"/>
      <x:c r="I1" s="4"/>
      <x:c r="J1" s="4"/>
      <x:c r="K1" s="4"/>
    </x:row>
    <x:row r="2">
      <x:c r="A2" s="9" t="str">
        <x:v>Countries are global extraction/production or refining/processing leaders. They are not the contractual or traceable origin of a specific supplier.</x:v>
      </x:c>
      <x:c r="B2" s="9"/>
      <x:c r="C2" s="9"/>
      <x:c r="D2" s="9"/>
      <x:c r="E2" s="9"/>
      <x:c r="F2" s="9"/>
      <x:c r="G2" s="9"/>
      <x:c r="H2" s="9"/>
      <x:c r="I2" s="9"/>
      <x:c r="J2" s="9"/>
      <x:c r="K2" s="9"/>
    </x:row>
    <x:row r="4">
      <x:c r="A4" s="83" t="str">
        <x:v>Raw material</x:v>
      </x:c>
      <x:c r="B4" s="83" t="str">
        <x:v>Category</x:v>
      </x:c>
      <x:c r="C4" s="83" t="str">
        <x:v>Supply-chain stage</x:v>
      </x:c>
      <x:c r="D4" s="83" t="str">
        <x:v>Country</x:v>
      </x:c>
      <x:c r="E4" s="83" t="str">
        <x:v>ISO3</x:v>
      </x:c>
      <x:c r="F4" s="83" t="str">
        <x:v>Latitude</x:v>
      </x:c>
      <x:c r="G4" s="83" t="str">
        <x:v>Longitude</x:v>
      </x:c>
      <x:c r="H4" s="83" t="str">
        <x:v>Reference rank</x:v>
      </x:c>
      <x:c r="I4" s="83" t="str">
        <x:v>Reference year</x:v>
      </x:c>
      <x:c r="J4" s="83" t="str">
        <x:v>Source</x:v>
      </x:c>
      <x:c r="K4" s="83" t="str">
        <x:v>Warning</x:v>
      </x:c>
    </x:row>
    <x:row r="5" ht="42" customHeight="1">
      <x:c r="A5" s="2" t="str">
        <x:v>Iron ore / steel inputs</x:v>
      </x:c>
      <x:c r="B5" s="2" t="str">
        <x:v>Bulk and strategic mineral input</x:v>
      </x:c>
      <x:c r="C5" s="2" t="str">
        <x:v>Extraction / production</x:v>
      </x:c>
      <x:c r="D5" s="2" t="str">
        <x:v>Australia</x:v>
      </x:c>
      <x:c r="E5" s="2" t="str">
        <x:v>AUS</x:v>
      </x:c>
      <x:c r="F5" s="2" t="n">
        <x:v>-25.2744</x:v>
      </x:c>
      <x:c r="G5" s="2" t="n">
        <x:v>133.7751</x:v>
      </x:c>
      <x:c r="H5" s="2" t="n">
        <x:v>1</x:v>
      </x:c>
      <x:c r="I5" s="2" t="str">
        <x:v>2024–2025</x:v>
      </x:c>
      <x:c r="J5" s="2" t="str">
        <x:v>https://pubs.usgs.gov/periodicals/mcs2026/mcs2026.pdf</x:v>
      </x:c>
      <x:c r="K5" s="2" t="str">
        <x:v>Iron ore / steel inputs: countries are global production or processing leaders for the reference period, not the contractual origin of a specific component. Relevance and mass depend on technology design, grade, chemistry, recycling and supplier chain.</x:v>
      </x:c>
    </x:row>
    <x:row r="6" ht="42" customHeight="1">
      <x:c r="A6" s="2" t="str">
        <x:v>Iron ore / steel inputs</x:v>
      </x:c>
      <x:c r="B6" s="2" t="str">
        <x:v>Bulk and strategic mineral input</x:v>
      </x:c>
      <x:c r="C6" s="2" t="str">
        <x:v>Extraction / production</x:v>
      </x:c>
      <x:c r="D6" s="2" t="str">
        <x:v>Brazil</x:v>
      </x:c>
      <x:c r="E6" s="2" t="str">
        <x:v>BRA</x:v>
      </x:c>
      <x:c r="F6" s="2" t="n">
        <x:v>-14.235</x:v>
      </x:c>
      <x:c r="G6" s="2" t="n">
        <x:v>-51.9253</x:v>
      </x:c>
      <x:c r="H6" s="2" t="n">
        <x:v>2</x:v>
      </x:c>
      <x:c r="I6" s="2" t="str">
        <x:v>2024–2025</x:v>
      </x:c>
      <x:c r="J6" s="2" t="str">
        <x:v>https://pubs.usgs.gov/periodicals/mcs2026/mcs2026.pdf</x:v>
      </x:c>
      <x:c r="K6" s="2" t="str">
        <x:v>Iron ore / steel inputs: countries are global production or processing leaders for the reference period, not the contractual origin of a specific component. Relevance and mass depend on technology design, grade, chemistry, recycling and supplier chain.</x:v>
      </x:c>
    </x:row>
    <x:row r="7" ht="42" customHeight="1">
      <x:c r="A7" s="2" t="str">
        <x:v>Iron ore / steel inputs</x:v>
      </x:c>
      <x:c r="B7" s="2" t="str">
        <x:v>Bulk and strategic mineral input</x:v>
      </x:c>
      <x:c r="C7" s="2" t="str">
        <x:v>Extraction / production</x:v>
      </x:c>
      <x:c r="D7" s="2" t="str">
        <x:v>China</x:v>
      </x:c>
      <x:c r="E7" s="2" t="str">
        <x:v>CHN</x:v>
      </x:c>
      <x:c r="F7" s="2" t="n">
        <x:v>35.8617</x:v>
      </x:c>
      <x:c r="G7" s="2" t="n">
        <x:v>104.1954</x:v>
      </x:c>
      <x:c r="H7" s="2" t="n">
        <x:v>3</x:v>
      </x:c>
      <x:c r="I7" s="2" t="str">
        <x:v>2024–2025</x:v>
      </x:c>
      <x:c r="J7" s="2" t="str">
        <x:v>https://pubs.usgs.gov/periodicals/mcs2026/mcs2026.pdf</x:v>
      </x:c>
      <x:c r="K7" s="2" t="str">
        <x:v>Iron ore / steel inputs: countries are global production or processing leaders for the reference period, not the contractual origin of a specific component. Relevance and mass depend on technology design, grade, chemistry, recycling and supplier chain.</x:v>
      </x:c>
    </x:row>
    <x:row r="8" ht="42" customHeight="1">
      <x:c r="A8" s="2" t="str">
        <x:v>Iron ore / steel inputs</x:v>
      </x:c>
      <x:c r="B8" s="2" t="str">
        <x:v>Bulk and strategic mineral input</x:v>
      </x:c>
      <x:c r="C8" s="2" t="str">
        <x:v>Refining / processing</x:v>
      </x:c>
      <x:c r="D8" s="2" t="str">
        <x:v>China</x:v>
      </x:c>
      <x:c r="E8" s="2" t="str">
        <x:v>CHN</x:v>
      </x:c>
      <x:c r="F8" s="2" t="n">
        <x:v>35.8617</x:v>
      </x:c>
      <x:c r="G8" s="2" t="n">
        <x:v>104.1954</x:v>
      </x:c>
      <x:c r="H8" s="2" t="n">
        <x:v>1</x:v>
      </x:c>
      <x:c r="I8" s="2" t="str">
        <x:v>2024–2025</x:v>
      </x:c>
      <x:c r="J8" s="2" t="str">
        <x:v>https://pubs.usgs.gov/periodicals/mcs2026/mcs2026.pdf</x:v>
      </x:c>
      <x:c r="K8" s="2" t="str">
        <x:v>Iron ore / steel inputs: countries are global production or processing leaders for the reference period, not the contractual origin of a specific component. Relevance and mass depend on technology design, grade, chemistry, recycling and supplier chain.</x:v>
      </x:c>
    </x:row>
    <x:row r="9" ht="42" customHeight="1">
      <x:c r="A9" s="2" t="str">
        <x:v>Iron ore / steel inputs</x:v>
      </x:c>
      <x:c r="B9" s="2" t="str">
        <x:v>Bulk and strategic mineral input</x:v>
      </x:c>
      <x:c r="C9" s="2" t="str">
        <x:v>Refining / processing</x:v>
      </x:c>
      <x:c r="D9" s="2" t="str">
        <x:v>India</x:v>
      </x:c>
      <x:c r="E9" s="2" t="str">
        <x:v>IND</x:v>
      </x:c>
      <x:c r="F9" s="2" t="n">
        <x:v>20.5937</x:v>
      </x:c>
      <x:c r="G9" s="2" t="n">
        <x:v>78.9629</x:v>
      </x:c>
      <x:c r="H9" s="2" t="n">
        <x:v>2</x:v>
      </x:c>
      <x:c r="I9" s="2" t="str">
        <x:v>2024–2025</x:v>
      </x:c>
      <x:c r="J9" s="2" t="str">
        <x:v>https://pubs.usgs.gov/periodicals/mcs2026/mcs2026.pdf</x:v>
      </x:c>
      <x:c r="K9" s="2" t="str">
        <x:v>Iron ore / steel inputs: countries are global production or processing leaders for the reference period, not the contractual origin of a specific component. Relevance and mass depend on technology design, grade, chemistry, recycling and supplier chain.</x:v>
      </x:c>
    </x:row>
    <x:row r="10" ht="42" customHeight="1">
      <x:c r="A10" s="2" t="str">
        <x:v>Iron ore / steel inputs</x:v>
      </x:c>
      <x:c r="B10" s="2" t="str">
        <x:v>Bulk and strategic mineral input</x:v>
      </x:c>
      <x:c r="C10" s="2" t="str">
        <x:v>Refining / processing</x:v>
      </x:c>
      <x:c r="D10" s="2" t="str">
        <x:v>Japan</x:v>
      </x:c>
      <x:c r="E10" s="2" t="str">
        <x:v>JPN</x:v>
      </x:c>
      <x:c r="F10" s="2" t="n">
        <x:v>36.2048</x:v>
      </x:c>
      <x:c r="G10" s="2" t="n">
        <x:v>138.2529</x:v>
      </x:c>
      <x:c r="H10" s="2" t="n">
        <x:v>3</x:v>
      </x:c>
      <x:c r="I10" s="2" t="str">
        <x:v>2024–2025</x:v>
      </x:c>
      <x:c r="J10" s="2" t="str">
        <x:v>https://pubs.usgs.gov/periodicals/mcs2026/mcs2026.pdf</x:v>
      </x:c>
      <x:c r="K10" s="2" t="str">
        <x:v>Iron ore / steel inputs: countries are global production or processing leaders for the reference period, not the contractual origin of a specific component. Relevance and mass depend on technology design, grade, chemistry, recycling and supplier chain.</x:v>
      </x:c>
    </x:row>
    <x:row r="11" ht="42" customHeight="1">
      <x:c r="A11" s="2" t="str">
        <x:v>Bauxite / aluminium</x:v>
      </x:c>
      <x:c r="B11" s="2" t="str">
        <x:v>Strategic metal</x:v>
      </x:c>
      <x:c r="C11" s="2" t="str">
        <x:v>Extraction / production</x:v>
      </x:c>
      <x:c r="D11" s="2" t="str">
        <x:v>Guinea</x:v>
      </x:c>
      <x:c r="E11" s="2" t="str">
        <x:v>GIN</x:v>
      </x:c>
      <x:c r="F11" s="2" t="n">
        <x:v>9.9456</x:v>
      </x:c>
      <x:c r="G11" s="2" t="n">
        <x:v>-9.6966</x:v>
      </x:c>
      <x:c r="H11" s="2" t="n">
        <x:v>1</x:v>
      </x:c>
      <x:c r="I11" s="2" t="str">
        <x:v>2024–2025</x:v>
      </x:c>
      <x:c r="J11" s="2" t="str">
        <x:v>https://pubs.usgs.gov/periodicals/mcs2026/mcs2026.pdf</x:v>
      </x:c>
      <x:c r="K11" s="2" t="str">
        <x:v>Bauxite / aluminium: countries are global production or processing leaders for the reference period, not the contractual origin of a specific component. Relevance and mass depend on technology design, grade, chemistry, recycling and supplier chain.</x:v>
      </x:c>
    </x:row>
    <x:row r="12" ht="42" customHeight="1">
      <x:c r="A12" s="2" t="str">
        <x:v>Bauxite / aluminium</x:v>
      </x:c>
      <x:c r="B12" s="2" t="str">
        <x:v>Strategic metal</x:v>
      </x:c>
      <x:c r="C12" s="2" t="str">
        <x:v>Extraction / production</x:v>
      </x:c>
      <x:c r="D12" s="2" t="str">
        <x:v>Australia</x:v>
      </x:c>
      <x:c r="E12" s="2" t="str">
        <x:v>AUS</x:v>
      </x:c>
      <x:c r="F12" s="2" t="n">
        <x:v>-25.2744</x:v>
      </x:c>
      <x:c r="G12" s="2" t="n">
        <x:v>133.7751</x:v>
      </x:c>
      <x:c r="H12" s="2" t="n">
        <x:v>2</x:v>
      </x:c>
      <x:c r="I12" s="2" t="str">
        <x:v>2024–2025</x:v>
      </x:c>
      <x:c r="J12" s="2" t="str">
        <x:v>https://pubs.usgs.gov/periodicals/mcs2026/mcs2026.pdf</x:v>
      </x:c>
      <x:c r="K12" s="2" t="str">
        <x:v>Bauxite / aluminium: countries are global production or processing leaders for the reference period, not the contractual origin of a specific component. Relevance and mass depend on technology design, grade, chemistry, recycling and supplier chain.</x:v>
      </x:c>
    </x:row>
    <x:row r="13" ht="42" customHeight="1">
      <x:c r="A13" s="2" t="str">
        <x:v>Bauxite / aluminium</x:v>
      </x:c>
      <x:c r="B13" s="2" t="str">
        <x:v>Strategic metal</x:v>
      </x:c>
      <x:c r="C13" s="2" t="str">
        <x:v>Extraction / production</x:v>
      </x:c>
      <x:c r="D13" s="2" t="str">
        <x:v>China</x:v>
      </x:c>
      <x:c r="E13" s="2" t="str">
        <x:v>CHN</x:v>
      </x:c>
      <x:c r="F13" s="2" t="n">
        <x:v>35.8617</x:v>
      </x:c>
      <x:c r="G13" s="2" t="n">
        <x:v>104.1954</x:v>
      </x:c>
      <x:c r="H13" s="2" t="n">
        <x:v>3</x:v>
      </x:c>
      <x:c r="I13" s="2" t="str">
        <x:v>2024–2025</x:v>
      </x:c>
      <x:c r="J13" s="2" t="str">
        <x:v>https://pubs.usgs.gov/periodicals/mcs2026/mcs2026.pdf</x:v>
      </x:c>
      <x:c r="K13" s="2" t="str">
        <x:v>Bauxite / aluminium: countries are global production or processing leaders for the reference period, not the contractual origin of a specific component. Relevance and mass depend on technology design, grade, chemistry, recycling and supplier chain.</x:v>
      </x:c>
    </x:row>
    <x:row r="14" ht="42" customHeight="1">
      <x:c r="A14" s="2" t="str">
        <x:v>Bauxite / aluminium</x:v>
      </x:c>
      <x:c r="B14" s="2" t="str">
        <x:v>Strategic metal</x:v>
      </x:c>
      <x:c r="C14" s="2" t="str">
        <x:v>Refining / processing</x:v>
      </x:c>
      <x:c r="D14" s="2" t="str">
        <x:v>China</x:v>
      </x:c>
      <x:c r="E14" s="2" t="str">
        <x:v>CHN</x:v>
      </x:c>
      <x:c r="F14" s="2" t="n">
        <x:v>35.8617</x:v>
      </x:c>
      <x:c r="G14" s="2" t="n">
        <x:v>104.1954</x:v>
      </x:c>
      <x:c r="H14" s="2" t="n">
        <x:v>1</x:v>
      </x:c>
      <x:c r="I14" s="2" t="str">
        <x:v>2024–2025</x:v>
      </x:c>
      <x:c r="J14" s="2" t="str">
        <x:v>https://pubs.usgs.gov/periodicals/mcs2026/mcs2026.pdf</x:v>
      </x:c>
      <x:c r="K14" s="2" t="str">
        <x:v>Bauxite / aluminium: countries are global production or processing leaders for the reference period, not the contractual origin of a specific component. Relevance and mass depend on technology design, grade, chemistry, recycling and supplier chain.</x:v>
      </x:c>
    </x:row>
    <x:row r="15" ht="42" customHeight="1">
      <x:c r="A15" s="2" t="str">
        <x:v>Bauxite / aluminium</x:v>
      </x:c>
      <x:c r="B15" s="2" t="str">
        <x:v>Strategic metal</x:v>
      </x:c>
      <x:c r="C15" s="2" t="str">
        <x:v>Refining / processing</x:v>
      </x:c>
      <x:c r="D15" s="2" t="str">
        <x:v>India</x:v>
      </x:c>
      <x:c r="E15" s="2" t="str">
        <x:v>IND</x:v>
      </x:c>
      <x:c r="F15" s="2" t="n">
        <x:v>20.5937</x:v>
      </x:c>
      <x:c r="G15" s="2" t="n">
        <x:v>78.9629</x:v>
      </x:c>
      <x:c r="H15" s="2" t="n">
        <x:v>2</x:v>
      </x:c>
      <x:c r="I15" s="2" t="str">
        <x:v>2024–2025</x:v>
      </x:c>
      <x:c r="J15" s="2" t="str">
        <x:v>https://pubs.usgs.gov/periodicals/mcs2026/mcs2026.pdf</x:v>
      </x:c>
      <x:c r="K15" s="2" t="str">
        <x:v>Bauxite / aluminium: countries are global production or processing leaders for the reference period, not the contractual origin of a specific component. Relevance and mass depend on technology design, grade, chemistry, recycling and supplier chain.</x:v>
      </x:c>
    </x:row>
    <x:row r="16" ht="42" customHeight="1">
      <x:c r="A16" s="2" t="str">
        <x:v>Bauxite / aluminium</x:v>
      </x:c>
      <x:c r="B16" s="2" t="str">
        <x:v>Strategic metal</x:v>
      </x:c>
      <x:c r="C16" s="2" t="str">
        <x:v>Refining / processing</x:v>
      </x:c>
      <x:c r="D16" s="2" t="str">
        <x:v>Russia</x:v>
      </x:c>
      <x:c r="E16" s="2" t="str">
        <x:v>RUS</x:v>
      </x:c>
      <x:c r="F16" s="2" t="n">
        <x:v>61.524</x:v>
      </x:c>
      <x:c r="G16" s="2" t="n">
        <x:v>105.3188</x:v>
      </x:c>
      <x:c r="H16" s="2" t="n">
        <x:v>3</x:v>
      </x:c>
      <x:c r="I16" s="2" t="str">
        <x:v>2024–2025</x:v>
      </x:c>
      <x:c r="J16" s="2" t="str">
        <x:v>https://pubs.usgs.gov/periodicals/mcs2026/mcs2026.pdf</x:v>
      </x:c>
      <x:c r="K16" s="2" t="str">
        <x:v>Bauxite / aluminium: countries are global production or processing leaders for the reference period, not the contractual origin of a specific component. Relevance and mass depend on technology design, grade, chemistry, recycling and supplier chain.</x:v>
      </x:c>
    </x:row>
    <x:row r="17" ht="42" customHeight="1">
      <x:c r="A17" s="2" t="str">
        <x:v>Copper</x:v>
      </x:c>
      <x:c r="B17" s="2" t="str">
        <x:v>Critical or strategic metal</x:v>
      </x:c>
      <x:c r="C17" s="2" t="str">
        <x:v>Extraction / production</x:v>
      </x:c>
      <x:c r="D17" s="2" t="str">
        <x:v>Chile</x:v>
      </x:c>
      <x:c r="E17" s="2" t="str">
        <x:v>CHL</x:v>
      </x:c>
      <x:c r="F17" s="2" t="n">
        <x:v>-35.6751</x:v>
      </x:c>
      <x:c r="G17" s="2" t="n">
        <x:v>-71.543</x:v>
      </x:c>
      <x:c r="H17" s="2" t="n">
        <x:v>1</x:v>
      </x:c>
      <x:c r="I17" s="2" t="str">
        <x:v>2024–2025</x:v>
      </x:c>
      <x:c r="J17" s="2" t="str">
        <x:v>https://pubs.usgs.gov/periodicals/mcs2026/mcs2026.pdf</x:v>
      </x:c>
      <x:c r="K17" s="2" t="str">
        <x:v>Copper: countries are global production or processing leaders for the reference period, not the contractual origin of a specific component. Relevance and mass depend on technology design, grade, chemistry, recycling and supplier chain.</x:v>
      </x:c>
    </x:row>
    <x:row r="18" ht="42" customHeight="1">
      <x:c r="A18" s="2" t="str">
        <x:v>Copper</x:v>
      </x:c>
      <x:c r="B18" s="2" t="str">
        <x:v>Critical or strategic metal</x:v>
      </x:c>
      <x:c r="C18" s="2" t="str">
        <x:v>Extraction / production</x:v>
      </x:c>
      <x:c r="D18" s="2" t="str">
        <x:v>Democratic Republic of the Congo</x:v>
      </x:c>
      <x:c r="E18" s="2" t="str">
        <x:v>COD</x:v>
      </x:c>
      <x:c r="F18" s="2" t="n">
        <x:v>-4.0383</x:v>
      </x:c>
      <x:c r="G18" s="2" t="n">
        <x:v>21.7587</x:v>
      </x:c>
      <x:c r="H18" s="2" t="n">
        <x:v>2</x:v>
      </x:c>
      <x:c r="I18" s="2" t="str">
        <x:v>2024–2025</x:v>
      </x:c>
      <x:c r="J18" s="2" t="str">
        <x:v>https://pubs.usgs.gov/periodicals/mcs2026/mcs2026.pdf</x:v>
      </x:c>
      <x:c r="K18" s="2" t="str">
        <x:v>Copper: countries are global production or processing leaders for the reference period, not the contractual origin of a specific component. Relevance and mass depend on technology design, grade, chemistry, recycling and supplier chain.</x:v>
      </x:c>
    </x:row>
    <x:row r="19" ht="42" customHeight="1">
      <x:c r="A19" s="2" t="str">
        <x:v>Copper</x:v>
      </x:c>
      <x:c r="B19" s="2" t="str">
        <x:v>Critical or strategic metal</x:v>
      </x:c>
      <x:c r="C19" s="2" t="str">
        <x:v>Extraction / production</x:v>
      </x:c>
      <x:c r="D19" s="2" t="str">
        <x:v>Peru</x:v>
      </x:c>
      <x:c r="E19" s="2" t="str">
        <x:v>PER</x:v>
      </x:c>
      <x:c r="F19" s="2" t="n">
        <x:v>-9.19</x:v>
      </x:c>
      <x:c r="G19" s="2" t="n">
        <x:v>-75.0152</x:v>
      </x:c>
      <x:c r="H19" s="2" t="n">
        <x:v>3</x:v>
      </x:c>
      <x:c r="I19" s="2" t="str">
        <x:v>2024–2025</x:v>
      </x:c>
      <x:c r="J19" s="2" t="str">
        <x:v>https://pubs.usgs.gov/periodicals/mcs2026/mcs2026.pdf</x:v>
      </x:c>
      <x:c r="K19" s="2" t="str">
        <x:v>Copper: countries are global production or processing leaders for the reference period, not the contractual origin of a specific component. Relevance and mass depend on technology design, grade, chemistry, recycling and supplier chain.</x:v>
      </x:c>
    </x:row>
    <x:row r="20" ht="42" customHeight="1">
      <x:c r="A20" s="2" t="str">
        <x:v>Copper</x:v>
      </x:c>
      <x:c r="B20" s="2" t="str">
        <x:v>Critical or strategic metal</x:v>
      </x:c>
      <x:c r="C20" s="2" t="str">
        <x:v>Refining / processing</x:v>
      </x:c>
      <x:c r="D20" s="2" t="str">
        <x:v>China</x:v>
      </x:c>
      <x:c r="E20" s="2" t="str">
        <x:v>CHN</x:v>
      </x:c>
      <x:c r="F20" s="2" t="n">
        <x:v>35.8617</x:v>
      </x:c>
      <x:c r="G20" s="2" t="n">
        <x:v>104.1954</x:v>
      </x:c>
      <x:c r="H20" s="2" t="n">
        <x:v>1</x:v>
      </x:c>
      <x:c r="I20" s="2" t="str">
        <x:v>2024–2025</x:v>
      </x:c>
      <x:c r="J20" s="2" t="str">
        <x:v>https://pubs.usgs.gov/periodicals/mcs2026/mcs2026.pdf</x:v>
      </x:c>
      <x:c r="K20" s="2" t="str">
        <x:v>Copper: countries are global production or processing leaders for the reference period, not the contractual origin of a specific component. Relevance and mass depend on technology design, grade, chemistry, recycling and supplier chain.</x:v>
      </x:c>
    </x:row>
    <x:row r="21" ht="42" customHeight="1">
      <x:c r="A21" s="2" t="str">
        <x:v>Copper</x:v>
      </x:c>
      <x:c r="B21" s="2" t="str">
        <x:v>Critical or strategic metal</x:v>
      </x:c>
      <x:c r="C21" s="2" t="str">
        <x:v>Refining / processing</x:v>
      </x:c>
      <x:c r="D21" s="2" t="str">
        <x:v>Chile</x:v>
      </x:c>
      <x:c r="E21" s="2" t="str">
        <x:v>CHL</x:v>
      </x:c>
      <x:c r="F21" s="2" t="n">
        <x:v>-35.6751</x:v>
      </x:c>
      <x:c r="G21" s="2" t="n">
        <x:v>-71.543</x:v>
      </x:c>
      <x:c r="H21" s="2" t="n">
        <x:v>2</x:v>
      </x:c>
      <x:c r="I21" s="2" t="str">
        <x:v>2024–2025</x:v>
      </x:c>
      <x:c r="J21" s="2" t="str">
        <x:v>https://pubs.usgs.gov/periodicals/mcs2026/mcs2026.pdf</x:v>
      </x:c>
      <x:c r="K21" s="2" t="str">
        <x:v>Copper: countries are global production or processing leaders for the reference period, not the contractual origin of a specific component. Relevance and mass depend on technology design, grade, chemistry, recycling and supplier chain.</x:v>
      </x:c>
    </x:row>
    <x:row r="22" ht="42" customHeight="1">
      <x:c r="A22" s="2" t="str">
        <x:v>Copper</x:v>
      </x:c>
      <x:c r="B22" s="2" t="str">
        <x:v>Critical or strategic metal</x:v>
      </x:c>
      <x:c r="C22" s="2" t="str">
        <x:v>Refining / processing</x:v>
      </x:c>
      <x:c r="D22" s="2" t="str">
        <x:v>Democratic Republic of the Congo</x:v>
      </x:c>
      <x:c r="E22" s="2" t="str">
        <x:v>COD</x:v>
      </x:c>
      <x:c r="F22" s="2" t="n">
        <x:v>-4.0383</x:v>
      </x:c>
      <x:c r="G22" s="2" t="n">
        <x:v>21.7587</x:v>
      </x:c>
      <x:c r="H22" s="2" t="n">
        <x:v>3</x:v>
      </x:c>
      <x:c r="I22" s="2" t="str">
        <x:v>2024–2025</x:v>
      </x:c>
      <x:c r="J22" s="2" t="str">
        <x:v>https://pubs.usgs.gov/periodicals/mcs2026/mcs2026.pdf</x:v>
      </x:c>
      <x:c r="K22" s="2" t="str">
        <x:v>Copper: countries are global production or processing leaders for the reference period, not the contractual origin of a specific component. Relevance and mass depend on technology design, grade, chemistry, recycling and supplier chain.</x:v>
      </x:c>
    </x:row>
    <x:row r="23" ht="42" customHeight="1">
      <x:c r="A23" s="2" t="str">
        <x:v>Lithium</x:v>
      </x:c>
      <x:c r="B23" s="2" t="str">
        <x:v>Battery critical mineral</x:v>
      </x:c>
      <x:c r="C23" s="2" t="str">
        <x:v>Extraction / production</x:v>
      </x:c>
      <x:c r="D23" s="2" t="str">
        <x:v>Australia</x:v>
      </x:c>
      <x:c r="E23" s="2" t="str">
        <x:v>AUS</x:v>
      </x:c>
      <x:c r="F23" s="2" t="n">
        <x:v>-25.2744</x:v>
      </x:c>
      <x:c r="G23" s="2" t="n">
        <x:v>133.7751</x:v>
      </x:c>
      <x:c r="H23" s="2" t="n">
        <x:v>1</x:v>
      </x:c>
      <x:c r="I23" s="2" t="str">
        <x:v>2024–2025</x:v>
      </x:c>
      <x:c r="J23" s="2" t="str">
        <x:v>https://www.iea.org/reports/global-critical-minerals-outlook-2025</x:v>
      </x:c>
      <x:c r="K23" s="2" t="str">
        <x:v>Lithium: countries are global production or processing leaders for the reference period, not the contractual origin of a specific component. Relevance and mass depend on technology design, grade, chemistry, recycling and supplier chain.</x:v>
      </x:c>
    </x:row>
    <x:row r="24" ht="42" customHeight="1">
      <x:c r="A24" s="2" t="str">
        <x:v>Lithium</x:v>
      </x:c>
      <x:c r="B24" s="2" t="str">
        <x:v>Battery critical mineral</x:v>
      </x:c>
      <x:c r="C24" s="2" t="str">
        <x:v>Extraction / production</x:v>
      </x:c>
      <x:c r="D24" s="2" t="str">
        <x:v>Chile</x:v>
      </x:c>
      <x:c r="E24" s="2" t="str">
        <x:v>CHL</x:v>
      </x:c>
      <x:c r="F24" s="2" t="n">
        <x:v>-35.6751</x:v>
      </x:c>
      <x:c r="G24" s="2" t="n">
        <x:v>-71.543</x:v>
      </x:c>
      <x:c r="H24" s="2" t="n">
        <x:v>2</x:v>
      </x:c>
      <x:c r="I24" s="2" t="str">
        <x:v>2024–2025</x:v>
      </x:c>
      <x:c r="J24" s="2" t="str">
        <x:v>https://www.iea.org/reports/global-critical-minerals-outlook-2025</x:v>
      </x:c>
      <x:c r="K24" s="2" t="str">
        <x:v>Lithium: countries are global production or processing leaders for the reference period, not the contractual origin of a specific component. Relevance and mass depend on technology design, grade, chemistry, recycling and supplier chain.</x:v>
      </x:c>
    </x:row>
    <x:row r="25" ht="42" customHeight="1">
      <x:c r="A25" s="2" t="str">
        <x:v>Lithium</x:v>
      </x:c>
      <x:c r="B25" s="2" t="str">
        <x:v>Battery critical mineral</x:v>
      </x:c>
      <x:c r="C25" s="2" t="str">
        <x:v>Extraction / production</x:v>
      </x:c>
      <x:c r="D25" s="2" t="str">
        <x:v>China</x:v>
      </x:c>
      <x:c r="E25" s="2" t="str">
        <x:v>CHN</x:v>
      </x:c>
      <x:c r="F25" s="2" t="n">
        <x:v>35.8617</x:v>
      </x:c>
      <x:c r="G25" s="2" t="n">
        <x:v>104.1954</x:v>
      </x:c>
      <x:c r="H25" s="2" t="n">
        <x:v>3</x:v>
      </x:c>
      <x:c r="I25" s="2" t="str">
        <x:v>2024–2025</x:v>
      </x:c>
      <x:c r="J25" s="2" t="str">
        <x:v>https://www.iea.org/reports/global-critical-minerals-outlook-2025</x:v>
      </x:c>
      <x:c r="K25" s="2" t="str">
        <x:v>Lithium: countries are global production or processing leaders for the reference period, not the contractual origin of a specific component. Relevance and mass depend on technology design, grade, chemistry, recycling and supplier chain.</x:v>
      </x:c>
    </x:row>
    <x:row r="26" ht="42" customHeight="1">
      <x:c r="A26" s="2" t="str">
        <x:v>Lithium</x:v>
      </x:c>
      <x:c r="B26" s="2" t="str">
        <x:v>Battery critical mineral</x:v>
      </x:c>
      <x:c r="C26" s="2" t="str">
        <x:v>Refining / processing</x:v>
      </x:c>
      <x:c r="D26" s="2" t="str">
        <x:v>China</x:v>
      </x:c>
      <x:c r="E26" s="2" t="str">
        <x:v>CHN</x:v>
      </x:c>
      <x:c r="F26" s="2" t="n">
        <x:v>35.8617</x:v>
      </x:c>
      <x:c r="G26" s="2" t="n">
        <x:v>104.1954</x:v>
      </x:c>
      <x:c r="H26" s="2" t="n">
        <x:v>1</x:v>
      </x:c>
      <x:c r="I26" s="2" t="str">
        <x:v>2024–2025</x:v>
      </x:c>
      <x:c r="J26" s="2" t="str">
        <x:v>https://www.iea.org/reports/global-critical-minerals-outlook-2025</x:v>
      </x:c>
      <x:c r="K26" s="2" t="str">
        <x:v>Lithium: countries are global production or processing leaders for the reference period, not the contractual origin of a specific component. Relevance and mass depend on technology design, grade, chemistry, recycling and supplier chain.</x:v>
      </x:c>
    </x:row>
    <x:row r="27" ht="42" customHeight="1">
      <x:c r="A27" s="2" t="str">
        <x:v>Lithium</x:v>
      </x:c>
      <x:c r="B27" s="2" t="str">
        <x:v>Battery critical mineral</x:v>
      </x:c>
      <x:c r="C27" s="2" t="str">
        <x:v>Refining / processing</x:v>
      </x:c>
      <x:c r="D27" s="2" t="str">
        <x:v>Chile</x:v>
      </x:c>
      <x:c r="E27" s="2" t="str">
        <x:v>CHL</x:v>
      </x:c>
      <x:c r="F27" s="2" t="n">
        <x:v>-35.6751</x:v>
      </x:c>
      <x:c r="G27" s="2" t="n">
        <x:v>-71.543</x:v>
      </x:c>
      <x:c r="H27" s="2" t="n">
        <x:v>2</x:v>
      </x:c>
      <x:c r="I27" s="2" t="str">
        <x:v>2024–2025</x:v>
      </x:c>
      <x:c r="J27" s="2" t="str">
        <x:v>https://www.iea.org/reports/global-critical-minerals-outlook-2025</x:v>
      </x:c>
      <x:c r="K27" s="2" t="str">
        <x:v>Lithium: countries are global production or processing leaders for the reference period, not the contractual origin of a specific component. Relevance and mass depend on technology design, grade, chemistry, recycling and supplier chain.</x:v>
      </x:c>
    </x:row>
    <x:row r="28" ht="42" customHeight="1">
      <x:c r="A28" s="2" t="str">
        <x:v>Lithium</x:v>
      </x:c>
      <x:c r="B28" s="2" t="str">
        <x:v>Battery critical mineral</x:v>
      </x:c>
      <x:c r="C28" s="2" t="str">
        <x:v>Refining / processing</x:v>
      </x:c>
      <x:c r="D28" s="2" t="str">
        <x:v>Argentina</x:v>
      </x:c>
      <x:c r="E28" s="2" t="str">
        <x:v>ARG</x:v>
      </x:c>
      <x:c r="F28" s="2" t="n">
        <x:v>-38.4161</x:v>
      </x:c>
      <x:c r="G28" s="2" t="n">
        <x:v>-63.6167</x:v>
      </x:c>
      <x:c r="H28" s="2" t="n">
        <x:v>3</x:v>
      </x:c>
      <x:c r="I28" s="2" t="str">
        <x:v>2024–2025</x:v>
      </x:c>
      <x:c r="J28" s="2" t="str">
        <x:v>https://www.iea.org/reports/global-critical-minerals-outlook-2025</x:v>
      </x:c>
      <x:c r="K28" s="2" t="str">
        <x:v>Lithium: countries are global production or processing leaders for the reference period, not the contractual origin of a specific component. Relevance and mass depend on technology design, grade, chemistry, recycling and supplier chain.</x:v>
      </x:c>
    </x:row>
    <x:row r="29" ht="42" customHeight="1">
      <x:c r="A29" s="2" t="str">
        <x:v>Nickel</x:v>
      </x:c>
      <x:c r="B29" s="2" t="str">
        <x:v>Battery and alloy critical mineral</x:v>
      </x:c>
      <x:c r="C29" s="2" t="str">
        <x:v>Extraction / production</x:v>
      </x:c>
      <x:c r="D29" s="2" t="str">
        <x:v>Indonesia</x:v>
      </x:c>
      <x:c r="E29" s="2" t="str">
        <x:v>IDN</x:v>
      </x:c>
      <x:c r="F29" s="2" t="n">
        <x:v>-0.7893</x:v>
      </x:c>
      <x:c r="G29" s="2" t="n">
        <x:v>113.9213</x:v>
      </x:c>
      <x:c r="H29" s="2" t="n">
        <x:v>1</x:v>
      </x:c>
      <x:c r="I29" s="2" t="str">
        <x:v>2024–2025</x:v>
      </x:c>
      <x:c r="J29" s="2" t="str">
        <x:v>https://www.iea.org/reports/global-critical-minerals-outlook-2025</x:v>
      </x:c>
      <x:c r="K29" s="2" t="str">
        <x:v>Nickel: countries are global production or processing leaders for the reference period, not the contractual origin of a specific component. Relevance and mass depend on technology design, grade, chemistry, recycling and supplier chain.</x:v>
      </x:c>
    </x:row>
    <x:row r="30" ht="42" customHeight="1">
      <x:c r="A30" s="2" t="str">
        <x:v>Nickel</x:v>
      </x:c>
      <x:c r="B30" s="2" t="str">
        <x:v>Battery and alloy critical mineral</x:v>
      </x:c>
      <x:c r="C30" s="2" t="str">
        <x:v>Extraction / production</x:v>
      </x:c>
      <x:c r="D30" s="2" t="str">
        <x:v>Philippines</x:v>
      </x:c>
      <x:c r="E30" s="2" t="str">
        <x:v>PHL</x:v>
      </x:c>
      <x:c r="F30" s="2" t="n">
        <x:v>12.8797</x:v>
      </x:c>
      <x:c r="G30" s="2" t="n">
        <x:v>121.774</x:v>
      </x:c>
      <x:c r="H30" s="2" t="n">
        <x:v>2</x:v>
      </x:c>
      <x:c r="I30" s="2" t="str">
        <x:v>2024–2025</x:v>
      </x:c>
      <x:c r="J30" s="2" t="str">
        <x:v>https://www.iea.org/reports/global-critical-minerals-outlook-2025</x:v>
      </x:c>
      <x:c r="K30" s="2" t="str">
        <x:v>Nickel: countries are global production or processing leaders for the reference period, not the contractual origin of a specific component. Relevance and mass depend on technology design, grade, chemistry, recycling and supplier chain.</x:v>
      </x:c>
    </x:row>
    <x:row r="31" ht="42" customHeight="1">
      <x:c r="A31" s="2" t="str">
        <x:v>Nickel</x:v>
      </x:c>
      <x:c r="B31" s="2" t="str">
        <x:v>Battery and alloy critical mineral</x:v>
      </x:c>
      <x:c r="C31" s="2" t="str">
        <x:v>Extraction / production</x:v>
      </x:c>
      <x:c r="D31" s="2" t="str">
        <x:v>Russia</x:v>
      </x:c>
      <x:c r="E31" s="2" t="str">
        <x:v>RUS</x:v>
      </x:c>
      <x:c r="F31" s="2" t="n">
        <x:v>61.524</x:v>
      </x:c>
      <x:c r="G31" s="2" t="n">
        <x:v>105.3188</x:v>
      </x:c>
      <x:c r="H31" s="2" t="n">
        <x:v>3</x:v>
      </x:c>
      <x:c r="I31" s="2" t="str">
        <x:v>2024–2025</x:v>
      </x:c>
      <x:c r="J31" s="2" t="str">
        <x:v>https://www.iea.org/reports/global-critical-minerals-outlook-2025</x:v>
      </x:c>
      <x:c r="K31" s="2" t="str">
        <x:v>Nickel: countries are global production or processing leaders for the reference period, not the contractual origin of a specific component. Relevance and mass depend on technology design, grade, chemistry, recycling and supplier chain.</x:v>
      </x:c>
    </x:row>
    <x:row r="32" ht="42" customHeight="1">
      <x:c r="A32" s="2" t="str">
        <x:v>Nickel</x:v>
      </x:c>
      <x:c r="B32" s="2" t="str">
        <x:v>Battery and alloy critical mineral</x:v>
      </x:c>
      <x:c r="C32" s="2" t="str">
        <x:v>Refining / processing</x:v>
      </x:c>
      <x:c r="D32" s="2" t="str">
        <x:v>China</x:v>
      </x:c>
      <x:c r="E32" s="2" t="str">
        <x:v>CHN</x:v>
      </x:c>
      <x:c r="F32" s="2" t="n">
        <x:v>35.8617</x:v>
      </x:c>
      <x:c r="G32" s="2" t="n">
        <x:v>104.1954</x:v>
      </x:c>
      <x:c r="H32" s="2" t="n">
        <x:v>1</x:v>
      </x:c>
      <x:c r="I32" s="2" t="str">
        <x:v>2024–2025</x:v>
      </x:c>
      <x:c r="J32" s="2" t="str">
        <x:v>https://www.iea.org/reports/global-critical-minerals-outlook-2025</x:v>
      </x:c>
      <x:c r="K32" s="2" t="str">
        <x:v>Nickel: countries are global production or processing leaders for the reference period, not the contractual origin of a specific component. Relevance and mass depend on technology design, grade, chemistry, recycling and supplier chain.</x:v>
      </x:c>
    </x:row>
    <x:row r="33" ht="42" customHeight="1">
      <x:c r="A33" s="2" t="str">
        <x:v>Nickel</x:v>
      </x:c>
      <x:c r="B33" s="2" t="str">
        <x:v>Battery and alloy critical mineral</x:v>
      </x:c>
      <x:c r="C33" s="2" t="str">
        <x:v>Refining / processing</x:v>
      </x:c>
      <x:c r="D33" s="2" t="str">
        <x:v>Indonesia</x:v>
      </x:c>
      <x:c r="E33" s="2" t="str">
        <x:v>IDN</x:v>
      </x:c>
      <x:c r="F33" s="2" t="n">
        <x:v>-0.7893</x:v>
      </x:c>
      <x:c r="G33" s="2" t="n">
        <x:v>113.9213</x:v>
      </x:c>
      <x:c r="H33" s="2" t="n">
        <x:v>2</x:v>
      </x:c>
      <x:c r="I33" s="2" t="str">
        <x:v>2024–2025</x:v>
      </x:c>
      <x:c r="J33" s="2" t="str">
        <x:v>https://www.iea.org/reports/global-critical-minerals-outlook-2025</x:v>
      </x:c>
      <x:c r="K33" s="2" t="str">
        <x:v>Nickel: countries are global production or processing leaders for the reference period, not the contractual origin of a specific component. Relevance and mass depend on technology design, grade, chemistry, recycling and supplier chain.</x:v>
      </x:c>
    </x:row>
    <x:row r="34" ht="42" customHeight="1">
      <x:c r="A34" s="2" t="str">
        <x:v>Nickel</x:v>
      </x:c>
      <x:c r="B34" s="2" t="str">
        <x:v>Battery and alloy critical mineral</x:v>
      </x:c>
      <x:c r="C34" s="2" t="str">
        <x:v>Refining / processing</x:v>
      </x:c>
      <x:c r="D34" s="2" t="str">
        <x:v>Japan</x:v>
      </x:c>
      <x:c r="E34" s="2" t="str">
        <x:v>JPN</x:v>
      </x:c>
      <x:c r="F34" s="2" t="n">
        <x:v>36.2048</x:v>
      </x:c>
      <x:c r="G34" s="2" t="n">
        <x:v>138.2529</x:v>
      </x:c>
      <x:c r="H34" s="2" t="n">
        <x:v>3</x:v>
      </x:c>
      <x:c r="I34" s="2" t="str">
        <x:v>2024–2025</x:v>
      </x:c>
      <x:c r="J34" s="2" t="str">
        <x:v>https://www.iea.org/reports/global-critical-minerals-outlook-2025</x:v>
      </x:c>
      <x:c r="K34" s="2" t="str">
        <x:v>Nickel: countries are global production or processing leaders for the reference period, not the contractual origin of a specific component. Relevance and mass depend on technology design, grade, chemistry, recycling and supplier chain.</x:v>
      </x:c>
    </x:row>
    <x:row r="35" ht="42" customHeight="1">
      <x:c r="A35" s="2" t="str">
        <x:v>Cobalt</x:v>
      </x:c>
      <x:c r="B35" s="2" t="str">
        <x:v>Battery and catalyst critical mineral</x:v>
      </x:c>
      <x:c r="C35" s="2" t="str">
        <x:v>Extraction / production</x:v>
      </x:c>
      <x:c r="D35" s="2" t="str">
        <x:v>Democratic Republic of the Congo</x:v>
      </x:c>
      <x:c r="E35" s="2" t="str">
        <x:v>COD</x:v>
      </x:c>
      <x:c r="F35" s="2" t="n">
        <x:v>-4.0383</x:v>
      </x:c>
      <x:c r="G35" s="2" t="n">
        <x:v>21.7587</x:v>
      </x:c>
      <x:c r="H35" s="2" t="n">
        <x:v>1</x:v>
      </x:c>
      <x:c r="I35" s="2" t="str">
        <x:v>2024–2025</x:v>
      </x:c>
      <x:c r="J35" s="2" t="str">
        <x:v>https://www.iea.org/reports/global-critical-minerals-outlook-2025</x:v>
      </x:c>
      <x:c r="K35" s="2" t="str">
        <x:v>Cobalt: countries are global production or processing leaders for the reference period, not the contractual origin of a specific component. Relevance and mass depend on technology design, grade, chemistry, recycling and supplier chain.</x:v>
      </x:c>
    </x:row>
    <x:row r="36" ht="42" customHeight="1">
      <x:c r="A36" s="2" t="str">
        <x:v>Cobalt</x:v>
      </x:c>
      <x:c r="B36" s="2" t="str">
        <x:v>Battery and catalyst critical mineral</x:v>
      </x:c>
      <x:c r="C36" s="2" t="str">
        <x:v>Extraction / production</x:v>
      </x:c>
      <x:c r="D36" s="2" t="str">
        <x:v>Indonesia</x:v>
      </x:c>
      <x:c r="E36" s="2" t="str">
        <x:v>IDN</x:v>
      </x:c>
      <x:c r="F36" s="2" t="n">
        <x:v>-0.7893</x:v>
      </x:c>
      <x:c r="G36" s="2" t="n">
        <x:v>113.9213</x:v>
      </x:c>
      <x:c r="H36" s="2" t="n">
        <x:v>2</x:v>
      </x:c>
      <x:c r="I36" s="2" t="str">
        <x:v>2024–2025</x:v>
      </x:c>
      <x:c r="J36" s="2" t="str">
        <x:v>https://www.iea.org/reports/global-critical-minerals-outlook-2025</x:v>
      </x:c>
      <x:c r="K36" s="2" t="str">
        <x:v>Cobalt: countries are global production or processing leaders for the reference period, not the contractual origin of a specific component. Relevance and mass depend on technology design, grade, chemistry, recycling and supplier chain.</x:v>
      </x:c>
    </x:row>
    <x:row r="37" ht="42" customHeight="1">
      <x:c r="A37" s="2" t="str">
        <x:v>Cobalt</x:v>
      </x:c>
      <x:c r="B37" s="2" t="str">
        <x:v>Battery and catalyst critical mineral</x:v>
      </x:c>
      <x:c r="C37" s="2" t="str">
        <x:v>Extraction / production</x:v>
      </x:c>
      <x:c r="D37" s="2" t="str">
        <x:v>Russia</x:v>
      </x:c>
      <x:c r="E37" s="2" t="str">
        <x:v>RUS</x:v>
      </x:c>
      <x:c r="F37" s="2" t="n">
        <x:v>61.524</x:v>
      </x:c>
      <x:c r="G37" s="2" t="n">
        <x:v>105.3188</x:v>
      </x:c>
      <x:c r="H37" s="2" t="n">
        <x:v>3</x:v>
      </x:c>
      <x:c r="I37" s="2" t="str">
        <x:v>2024–2025</x:v>
      </x:c>
      <x:c r="J37" s="2" t="str">
        <x:v>https://www.iea.org/reports/global-critical-minerals-outlook-2025</x:v>
      </x:c>
      <x:c r="K37" s="2" t="str">
        <x:v>Cobalt: countries are global production or processing leaders for the reference period, not the contractual origin of a specific component. Relevance and mass depend on technology design, grade, chemistry, recycling and supplier chain.</x:v>
      </x:c>
    </x:row>
    <x:row r="38" ht="42" customHeight="1">
      <x:c r="A38" s="2" t="str">
        <x:v>Cobalt</x:v>
      </x:c>
      <x:c r="B38" s="2" t="str">
        <x:v>Battery and catalyst critical mineral</x:v>
      </x:c>
      <x:c r="C38" s="2" t="str">
        <x:v>Refining / processing</x:v>
      </x:c>
      <x:c r="D38" s="2" t="str">
        <x:v>China</x:v>
      </x:c>
      <x:c r="E38" s="2" t="str">
        <x:v>CHN</x:v>
      </x:c>
      <x:c r="F38" s="2" t="n">
        <x:v>35.8617</x:v>
      </x:c>
      <x:c r="G38" s="2" t="n">
        <x:v>104.1954</x:v>
      </x:c>
      <x:c r="H38" s="2" t="n">
        <x:v>1</x:v>
      </x:c>
      <x:c r="I38" s="2" t="str">
        <x:v>2024–2025</x:v>
      </x:c>
      <x:c r="J38" s="2" t="str">
        <x:v>https://www.iea.org/reports/global-critical-minerals-outlook-2025</x:v>
      </x:c>
      <x:c r="K38" s="2" t="str">
        <x:v>Cobalt: countries are global production or processing leaders for the reference period, not the contractual origin of a specific component. Relevance and mass depend on technology design, grade, chemistry, recycling and supplier chain.</x:v>
      </x:c>
    </x:row>
    <x:row r="39" ht="42" customHeight="1">
      <x:c r="A39" s="2" t="str">
        <x:v>Cobalt</x:v>
      </x:c>
      <x:c r="B39" s="2" t="str">
        <x:v>Battery and catalyst critical mineral</x:v>
      </x:c>
      <x:c r="C39" s="2" t="str">
        <x:v>Refining / processing</x:v>
      </x:c>
      <x:c r="D39" s="2" t="str">
        <x:v>Finland</x:v>
      </x:c>
      <x:c r="E39" s="2" t="str">
        <x:v>FIN</x:v>
      </x:c>
      <x:c r="F39" s="2" t="n">
        <x:v>61.9241</x:v>
      </x:c>
      <x:c r="G39" s="2" t="n">
        <x:v>25.7482</x:v>
      </x:c>
      <x:c r="H39" s="2" t="n">
        <x:v>2</x:v>
      </x:c>
      <x:c r="I39" s="2" t="str">
        <x:v>2024–2025</x:v>
      </x:c>
      <x:c r="J39" s="2" t="str">
        <x:v>https://www.iea.org/reports/global-critical-minerals-outlook-2025</x:v>
      </x:c>
      <x:c r="K39" s="2" t="str">
        <x:v>Cobalt: countries are global production or processing leaders for the reference period, not the contractual origin of a specific component. Relevance and mass depend on technology design, grade, chemistry, recycling and supplier chain.</x:v>
      </x:c>
    </x:row>
    <x:row r="40" ht="42" customHeight="1">
      <x:c r="A40" s="2" t="str">
        <x:v>Cobalt</x:v>
      </x:c>
      <x:c r="B40" s="2" t="str">
        <x:v>Battery and catalyst critical mineral</x:v>
      </x:c>
      <x:c r="C40" s="2" t="str">
        <x:v>Refining / processing</x:v>
      </x:c>
      <x:c r="D40" s="2" t="str">
        <x:v>Canada</x:v>
      </x:c>
      <x:c r="E40" s="2" t="str">
        <x:v>CAN</x:v>
      </x:c>
      <x:c r="F40" s="2" t="n">
        <x:v>56.1304</x:v>
      </x:c>
      <x:c r="G40" s="2" t="n">
        <x:v>-106.3468</x:v>
      </x:c>
      <x:c r="H40" s="2" t="n">
        <x:v>3</x:v>
      </x:c>
      <x:c r="I40" s="2" t="str">
        <x:v>2024–2025</x:v>
      </x:c>
      <x:c r="J40" s="2" t="str">
        <x:v>https://www.iea.org/reports/global-critical-minerals-outlook-2025</x:v>
      </x:c>
      <x:c r="K40" s="2" t="str">
        <x:v>Cobalt: countries are global production or processing leaders for the reference period, not the contractual origin of a specific component. Relevance and mass depend on technology design, grade, chemistry, recycling and supplier chain.</x:v>
      </x:c>
    </x:row>
    <x:row r="41" ht="42" customHeight="1">
      <x:c r="A41" s="2" t="str">
        <x:v>Natural graphite</x:v>
      </x:c>
      <x:c r="B41" s="2" t="str">
        <x:v>Battery critical mineral</x:v>
      </x:c>
      <x:c r="C41" s="2" t="str">
        <x:v>Extraction / production</x:v>
      </x:c>
      <x:c r="D41" s="2" t="str">
        <x:v>China</x:v>
      </x:c>
      <x:c r="E41" s="2" t="str">
        <x:v>CHN</x:v>
      </x:c>
      <x:c r="F41" s="2" t="n">
        <x:v>35.8617</x:v>
      </x:c>
      <x:c r="G41" s="2" t="n">
        <x:v>104.1954</x:v>
      </x:c>
      <x:c r="H41" s="2" t="n">
        <x:v>1</x:v>
      </x:c>
      <x:c r="I41" s="2" t="str">
        <x:v>2024–2025</x:v>
      </x:c>
      <x:c r="J41" s="2" t="str">
        <x:v>https://www.iea.org/reports/global-critical-minerals-outlook-2025</x:v>
      </x:c>
      <x:c r="K41" s="2" t="str">
        <x:v>Natural graphite: countries are global production or processing leaders for the reference period, not the contractual origin of a specific component. Relevance and mass depend on technology design, grade, chemistry, recycling and supplier chain.</x:v>
      </x:c>
    </x:row>
    <x:row r="42" ht="42" customHeight="1">
      <x:c r="A42" s="2" t="str">
        <x:v>Natural graphite</x:v>
      </x:c>
      <x:c r="B42" s="2" t="str">
        <x:v>Battery critical mineral</x:v>
      </x:c>
      <x:c r="C42" s="2" t="str">
        <x:v>Extraction / production</x:v>
      </x:c>
      <x:c r="D42" s="2" t="str">
        <x:v>Madagascar</x:v>
      </x:c>
      <x:c r="E42" s="2" t="str">
        <x:v>MDG</x:v>
      </x:c>
      <x:c r="F42" s="2" t="n">
        <x:v>-18.7669</x:v>
      </x:c>
      <x:c r="G42" s="2" t="n">
        <x:v>46.8691</x:v>
      </x:c>
      <x:c r="H42" s="2" t="n">
        <x:v>2</x:v>
      </x:c>
      <x:c r="I42" s="2" t="str">
        <x:v>2024–2025</x:v>
      </x:c>
      <x:c r="J42" s="2" t="str">
        <x:v>https://www.iea.org/reports/global-critical-minerals-outlook-2025</x:v>
      </x:c>
      <x:c r="K42" s="2" t="str">
        <x:v>Natural graphite: countries are global production or processing leaders for the reference period, not the contractual origin of a specific component. Relevance and mass depend on technology design, grade, chemistry, recycling and supplier chain.</x:v>
      </x:c>
    </x:row>
    <x:row r="43" ht="42" customHeight="1">
      <x:c r="A43" s="2" t="str">
        <x:v>Natural graphite</x:v>
      </x:c>
      <x:c r="B43" s="2" t="str">
        <x:v>Battery critical mineral</x:v>
      </x:c>
      <x:c r="C43" s="2" t="str">
        <x:v>Extraction / production</x:v>
      </x:c>
      <x:c r="D43" s="2" t="str">
        <x:v>Mozambique</x:v>
      </x:c>
      <x:c r="E43" s="2" t="str">
        <x:v>MOZ</x:v>
      </x:c>
      <x:c r="F43" s="2" t="n">
        <x:v>-18.6657</x:v>
      </x:c>
      <x:c r="G43" s="2" t="n">
        <x:v>35.5296</x:v>
      </x:c>
      <x:c r="H43" s="2" t="n">
        <x:v>3</x:v>
      </x:c>
      <x:c r="I43" s="2" t="str">
        <x:v>2024–2025</x:v>
      </x:c>
      <x:c r="J43" s="2" t="str">
        <x:v>https://www.iea.org/reports/global-critical-minerals-outlook-2025</x:v>
      </x:c>
      <x:c r="K43" s="2" t="str">
        <x:v>Natural graphite: countries are global production or processing leaders for the reference period, not the contractual origin of a specific component. Relevance and mass depend on technology design, grade, chemistry, recycling and supplier chain.</x:v>
      </x:c>
    </x:row>
    <x:row r="44" ht="42" customHeight="1">
      <x:c r="A44" s="2" t="str">
        <x:v>Natural graphite</x:v>
      </x:c>
      <x:c r="B44" s="2" t="str">
        <x:v>Battery critical mineral</x:v>
      </x:c>
      <x:c r="C44" s="2" t="str">
        <x:v>Refining / processing</x:v>
      </x:c>
      <x:c r="D44" s="2" t="str">
        <x:v>China</x:v>
      </x:c>
      <x:c r="E44" s="2" t="str">
        <x:v>CHN</x:v>
      </x:c>
      <x:c r="F44" s="2" t="n">
        <x:v>35.8617</x:v>
      </x:c>
      <x:c r="G44" s="2" t="n">
        <x:v>104.1954</x:v>
      </x:c>
      <x:c r="H44" s="2" t="n">
        <x:v>1</x:v>
      </x:c>
      <x:c r="I44" s="2" t="str">
        <x:v>2024–2025</x:v>
      </x:c>
      <x:c r="J44" s="2" t="str">
        <x:v>https://www.iea.org/reports/global-critical-minerals-outlook-2025</x:v>
      </x:c>
      <x:c r="K44" s="2" t="str">
        <x:v>Natural graphite: countries are global production or processing leaders for the reference period, not the contractual origin of a specific component. Relevance and mass depend on technology design, grade, chemistry, recycling and supplier chain.</x:v>
      </x:c>
    </x:row>
    <x:row r="45" ht="42" customHeight="1">
      <x:c r="A45" s="2" t="str">
        <x:v>Natural graphite</x:v>
      </x:c>
      <x:c r="B45" s="2" t="str">
        <x:v>Battery critical mineral</x:v>
      </x:c>
      <x:c r="C45" s="2" t="str">
        <x:v>Refining / processing</x:v>
      </x:c>
      <x:c r="D45" s="2" t="str">
        <x:v>Japan</x:v>
      </x:c>
      <x:c r="E45" s="2" t="str">
        <x:v>JPN</x:v>
      </x:c>
      <x:c r="F45" s="2" t="n">
        <x:v>36.2048</x:v>
      </x:c>
      <x:c r="G45" s="2" t="n">
        <x:v>138.2529</x:v>
      </x:c>
      <x:c r="H45" s="2" t="n">
        <x:v>2</x:v>
      </x:c>
      <x:c r="I45" s="2" t="str">
        <x:v>2024–2025</x:v>
      </x:c>
      <x:c r="J45" s="2" t="str">
        <x:v>https://www.iea.org/reports/global-critical-minerals-outlook-2025</x:v>
      </x:c>
      <x:c r="K45" s="2" t="str">
        <x:v>Natural graphite: countries are global production or processing leaders for the reference period, not the contractual origin of a specific component. Relevance and mass depend on technology design, grade, chemistry, recycling and supplier chain.</x:v>
      </x:c>
    </x:row>
    <x:row r="46" ht="42" customHeight="1">
      <x:c r="A46" s="2" t="str">
        <x:v>Natural graphite</x:v>
      </x:c>
      <x:c r="B46" s="2" t="str">
        <x:v>Battery critical mineral</x:v>
      </x:c>
      <x:c r="C46" s="2" t="str">
        <x:v>Refining / processing</x:v>
      </x:c>
      <x:c r="D46" s="2" t="str">
        <x:v>South Korea</x:v>
      </x:c>
      <x:c r="E46" s="2" t="str">
        <x:v>KOR</x:v>
      </x:c>
      <x:c r="F46" s="2" t="n">
        <x:v>35.9078</x:v>
      </x:c>
      <x:c r="G46" s="2" t="n">
        <x:v>127.7669</x:v>
      </x:c>
      <x:c r="H46" s="2" t="n">
        <x:v>3</x:v>
      </x:c>
      <x:c r="I46" s="2" t="str">
        <x:v>2024–2025</x:v>
      </x:c>
      <x:c r="J46" s="2" t="str">
        <x:v>https://www.iea.org/reports/global-critical-minerals-outlook-2025</x:v>
      </x:c>
      <x:c r="K46" s="2" t="str">
        <x:v>Natural graphite: countries are global production or processing leaders for the reference period, not the contractual origin of a specific component. Relevance and mass depend on technology design, grade, chemistry, recycling and supplier chain.</x:v>
      </x:c>
    </x:row>
    <x:row r="47" ht="42" customHeight="1">
      <x:c r="A47" s="2" t="str">
        <x:v>Manganese</x:v>
      </x:c>
      <x:c r="B47" s="2" t="str">
        <x:v>Battery and alloy strategic mineral</x:v>
      </x:c>
      <x:c r="C47" s="2" t="str">
        <x:v>Extraction / production</x:v>
      </x:c>
      <x:c r="D47" s="2" t="str">
        <x:v>South Africa</x:v>
      </x:c>
      <x:c r="E47" s="2" t="str">
        <x:v>ZAF</x:v>
      </x:c>
      <x:c r="F47" s="2" t="n">
        <x:v>-30.5595</x:v>
      </x:c>
      <x:c r="G47" s="2" t="n">
        <x:v>22.9375</x:v>
      </x:c>
      <x:c r="H47" s="2" t="n">
        <x:v>1</x:v>
      </x:c>
      <x:c r="I47" s="2" t="str">
        <x:v>2024–2025</x:v>
      </x:c>
      <x:c r="J47" s="2" t="str">
        <x:v>https://pubs.usgs.gov/periodicals/mcs2026/mcs2026.pdf</x:v>
      </x:c>
      <x:c r="K47" s="2" t="str">
        <x:v>Manganese: countries are global production or processing leaders for the reference period, not the contractual origin of a specific component. Relevance and mass depend on technology design, grade, chemistry, recycling and supplier chain.</x:v>
      </x:c>
    </x:row>
    <x:row r="48" ht="42" customHeight="1">
      <x:c r="A48" s="2" t="str">
        <x:v>Manganese</x:v>
      </x:c>
      <x:c r="B48" s="2" t="str">
        <x:v>Battery and alloy strategic mineral</x:v>
      </x:c>
      <x:c r="C48" s="2" t="str">
        <x:v>Extraction / production</x:v>
      </x:c>
      <x:c r="D48" s="2" t="str">
        <x:v>Gabon</x:v>
      </x:c>
      <x:c r="E48" s="2" t="str">
        <x:v>GAB</x:v>
      </x:c>
      <x:c r="F48" s="2" t="n">
        <x:v>-0.8037</x:v>
      </x:c>
      <x:c r="G48" s="2" t="n">
        <x:v>11.6094</x:v>
      </x:c>
      <x:c r="H48" s="2" t="n">
        <x:v>2</x:v>
      </x:c>
      <x:c r="I48" s="2" t="str">
        <x:v>2024–2025</x:v>
      </x:c>
      <x:c r="J48" s="2" t="str">
        <x:v>https://pubs.usgs.gov/periodicals/mcs2026/mcs2026.pdf</x:v>
      </x:c>
      <x:c r="K48" s="2" t="str">
        <x:v>Manganese: countries are global production or processing leaders for the reference period, not the contractual origin of a specific component. Relevance and mass depend on technology design, grade, chemistry, recycling and supplier chain.</x:v>
      </x:c>
    </x:row>
    <x:row r="49" ht="42" customHeight="1">
      <x:c r="A49" s="2" t="str">
        <x:v>Manganese</x:v>
      </x:c>
      <x:c r="B49" s="2" t="str">
        <x:v>Battery and alloy strategic mineral</x:v>
      </x:c>
      <x:c r="C49" s="2" t="str">
        <x:v>Extraction / production</x:v>
      </x:c>
      <x:c r="D49" s="2" t="str">
        <x:v>Ghana</x:v>
      </x:c>
      <x:c r="E49" s="2" t="str">
        <x:v>GHA</x:v>
      </x:c>
      <x:c r="F49" s="2" t="n">
        <x:v>7.9465</x:v>
      </x:c>
      <x:c r="G49" s="2" t="n">
        <x:v>-1.0232</x:v>
      </x:c>
      <x:c r="H49" s="2" t="n">
        <x:v>3</x:v>
      </x:c>
      <x:c r="I49" s="2" t="str">
        <x:v>2024–2025</x:v>
      </x:c>
      <x:c r="J49" s="2" t="str">
        <x:v>https://pubs.usgs.gov/periodicals/mcs2026/mcs2026.pdf</x:v>
      </x:c>
      <x:c r="K49" s="2" t="str">
        <x:v>Manganese: countries are global production or processing leaders for the reference period, not the contractual origin of a specific component. Relevance and mass depend on technology design, grade, chemistry, recycling and supplier chain.</x:v>
      </x:c>
    </x:row>
    <x:row r="50" ht="42" customHeight="1">
      <x:c r="A50" s="2" t="str">
        <x:v>Manganese</x:v>
      </x:c>
      <x:c r="B50" s="2" t="str">
        <x:v>Battery and alloy strategic mineral</x:v>
      </x:c>
      <x:c r="C50" s="2" t="str">
        <x:v>Refining / processing</x:v>
      </x:c>
      <x:c r="D50" s="2" t="str">
        <x:v>China</x:v>
      </x:c>
      <x:c r="E50" s="2" t="str">
        <x:v>CHN</x:v>
      </x:c>
      <x:c r="F50" s="2" t="n">
        <x:v>35.8617</x:v>
      </x:c>
      <x:c r="G50" s="2" t="n">
        <x:v>104.1954</x:v>
      </x:c>
      <x:c r="H50" s="2" t="n">
        <x:v>1</x:v>
      </x:c>
      <x:c r="I50" s="2" t="str">
        <x:v>2024–2025</x:v>
      </x:c>
      <x:c r="J50" s="2" t="str">
        <x:v>https://pubs.usgs.gov/periodicals/mcs2026/mcs2026.pdf</x:v>
      </x:c>
      <x:c r="K50" s="2" t="str">
        <x:v>Manganese: countries are global production or processing leaders for the reference period, not the contractual origin of a specific component. Relevance and mass depend on technology design, grade, chemistry, recycling and supplier chain.</x:v>
      </x:c>
    </x:row>
    <x:row r="51" ht="42" customHeight="1">
      <x:c r="A51" s="2" t="str">
        <x:v>Manganese</x:v>
      </x:c>
      <x:c r="B51" s="2" t="str">
        <x:v>Battery and alloy strategic mineral</x:v>
      </x:c>
      <x:c r="C51" s="2" t="str">
        <x:v>Refining / processing</x:v>
      </x:c>
      <x:c r="D51" s="2" t="str">
        <x:v>South Africa</x:v>
      </x:c>
      <x:c r="E51" s="2" t="str">
        <x:v>ZAF</x:v>
      </x:c>
      <x:c r="F51" s="2" t="n">
        <x:v>-30.5595</x:v>
      </x:c>
      <x:c r="G51" s="2" t="n">
        <x:v>22.9375</x:v>
      </x:c>
      <x:c r="H51" s="2" t="n">
        <x:v>2</x:v>
      </x:c>
      <x:c r="I51" s="2" t="str">
        <x:v>2024–2025</x:v>
      </x:c>
      <x:c r="J51" s="2" t="str">
        <x:v>https://pubs.usgs.gov/periodicals/mcs2026/mcs2026.pdf</x:v>
      </x:c>
      <x:c r="K51" s="2" t="str">
        <x:v>Manganese: countries are global production or processing leaders for the reference period, not the contractual origin of a specific component. Relevance and mass depend on technology design, grade, chemistry, recycling and supplier chain.</x:v>
      </x:c>
    </x:row>
    <x:row r="52" ht="42" customHeight="1">
      <x:c r="A52" s="2" t="str">
        <x:v>Manganese</x:v>
      </x:c>
      <x:c r="B52" s="2" t="str">
        <x:v>Battery and alloy strategic mineral</x:v>
      </x:c>
      <x:c r="C52" s="2" t="str">
        <x:v>Refining / processing</x:v>
      </x:c>
      <x:c r="D52" s="2" t="str">
        <x:v>Australia</x:v>
      </x:c>
      <x:c r="E52" s="2" t="str">
        <x:v>AUS</x:v>
      </x:c>
      <x:c r="F52" s="2" t="n">
        <x:v>-25.2744</x:v>
      </x:c>
      <x:c r="G52" s="2" t="n">
        <x:v>133.7751</x:v>
      </x:c>
      <x:c r="H52" s="2" t="n">
        <x:v>3</x:v>
      </x:c>
      <x:c r="I52" s="2" t="str">
        <x:v>2024–2025</x:v>
      </x:c>
      <x:c r="J52" s="2" t="str">
        <x:v>https://pubs.usgs.gov/periodicals/mcs2026/mcs2026.pdf</x:v>
      </x:c>
      <x:c r="K52" s="2" t="str">
        <x:v>Manganese: countries are global production or processing leaders for the reference period, not the contractual origin of a specific component. Relevance and mass depend on technology design, grade, chemistry, recycling and supplier chain.</x:v>
      </x:c>
    </x:row>
    <x:row r="53" ht="42" customHeight="1">
      <x:c r="A53" s="2" t="str">
        <x:v>Rare earth elements</x:v>
      </x:c>
      <x:c r="B53" s="2" t="str">
        <x:v>Magnet critical minerals</x:v>
      </x:c>
      <x:c r="C53" s="2" t="str">
        <x:v>Extraction / production</x:v>
      </x:c>
      <x:c r="D53" s="2" t="str">
        <x:v>China</x:v>
      </x:c>
      <x:c r="E53" s="2" t="str">
        <x:v>CHN</x:v>
      </x:c>
      <x:c r="F53" s="2" t="n">
        <x:v>35.8617</x:v>
      </x:c>
      <x:c r="G53" s="2" t="n">
        <x:v>104.1954</x:v>
      </x:c>
      <x:c r="H53" s="2" t="n">
        <x:v>1</x:v>
      </x:c>
      <x:c r="I53" s="2" t="str">
        <x:v>2024–2025</x:v>
      </x:c>
      <x:c r="J53" s="2" t="str">
        <x:v>https://www.iea.org/reports/global-critical-minerals-outlook-2025</x:v>
      </x:c>
      <x:c r="K53" s="2" t="str">
        <x:v>Rare earth elements: countries are global production or processing leaders for the reference period, not the contractual origin of a specific component. Relevance and mass depend on technology design, grade, chemistry, recycling and supplier chain.</x:v>
      </x:c>
    </x:row>
    <x:row r="54" ht="42" customHeight="1">
      <x:c r="A54" s="2" t="str">
        <x:v>Rare earth elements</x:v>
      </x:c>
      <x:c r="B54" s="2" t="str">
        <x:v>Magnet critical minerals</x:v>
      </x:c>
      <x:c r="C54" s="2" t="str">
        <x:v>Extraction / production</x:v>
      </x:c>
      <x:c r="D54" s="2" t="str">
        <x:v>United States</x:v>
      </x:c>
      <x:c r="E54" s="2" t="str">
        <x:v>USA</x:v>
      </x:c>
      <x:c r="F54" s="2" t="n">
        <x:v>37.0902</x:v>
      </x:c>
      <x:c r="G54" s="2" t="n">
        <x:v>-95.7129</x:v>
      </x:c>
      <x:c r="H54" s="2" t="n">
        <x:v>2</x:v>
      </x:c>
      <x:c r="I54" s="2" t="str">
        <x:v>2024–2025</x:v>
      </x:c>
      <x:c r="J54" s="2" t="str">
        <x:v>https://www.iea.org/reports/global-critical-minerals-outlook-2025</x:v>
      </x:c>
      <x:c r="K54" s="2" t="str">
        <x:v>Rare earth elements: countries are global production or processing leaders for the reference period, not the contractual origin of a specific component. Relevance and mass depend on technology design, grade, chemistry, recycling and supplier chain.</x:v>
      </x:c>
    </x:row>
    <x:row r="55" ht="42" customHeight="1">
      <x:c r="A55" s="2" t="str">
        <x:v>Rare earth elements</x:v>
      </x:c>
      <x:c r="B55" s="2" t="str">
        <x:v>Magnet critical minerals</x:v>
      </x:c>
      <x:c r="C55" s="2" t="str">
        <x:v>Extraction / production</x:v>
      </x:c>
      <x:c r="D55" s="2" t="str">
        <x:v>Myanmar</x:v>
      </x:c>
      <x:c r="E55" s="2" t="str">
        <x:v>MMR</x:v>
      </x:c>
      <x:c r="F55" s="2" t="n">
        <x:v>21.9162</x:v>
      </x:c>
      <x:c r="G55" s="2" t="n">
        <x:v>95.956</x:v>
      </x:c>
      <x:c r="H55" s="2" t="n">
        <x:v>3</x:v>
      </x:c>
      <x:c r="I55" s="2" t="str">
        <x:v>2024–2025</x:v>
      </x:c>
      <x:c r="J55" s="2" t="str">
        <x:v>https://www.iea.org/reports/global-critical-minerals-outlook-2025</x:v>
      </x:c>
      <x:c r="K55" s="2" t="str">
        <x:v>Rare earth elements: countries are global production or processing leaders for the reference period, not the contractual origin of a specific component. Relevance and mass depend on technology design, grade, chemistry, recycling and supplier chain.</x:v>
      </x:c>
    </x:row>
    <x:row r="56" ht="42" customHeight="1">
      <x:c r="A56" s="2" t="str">
        <x:v>Rare earth elements</x:v>
      </x:c>
      <x:c r="B56" s="2" t="str">
        <x:v>Magnet critical minerals</x:v>
      </x:c>
      <x:c r="C56" s="2" t="str">
        <x:v>Refining / processing</x:v>
      </x:c>
      <x:c r="D56" s="2" t="str">
        <x:v>China</x:v>
      </x:c>
      <x:c r="E56" s="2" t="str">
        <x:v>CHN</x:v>
      </x:c>
      <x:c r="F56" s="2" t="n">
        <x:v>35.8617</x:v>
      </x:c>
      <x:c r="G56" s="2" t="n">
        <x:v>104.1954</x:v>
      </x:c>
      <x:c r="H56" s="2" t="n">
        <x:v>1</x:v>
      </x:c>
      <x:c r="I56" s="2" t="str">
        <x:v>2024–2025</x:v>
      </x:c>
      <x:c r="J56" s="2" t="str">
        <x:v>https://www.iea.org/reports/global-critical-minerals-outlook-2025</x:v>
      </x:c>
      <x:c r="K56" s="2" t="str">
        <x:v>Rare earth elements: countries are global production or processing leaders for the reference period, not the contractual origin of a specific component. Relevance and mass depend on technology design, grade, chemistry, recycling and supplier chain.</x:v>
      </x:c>
    </x:row>
    <x:row r="57" ht="42" customHeight="1">
      <x:c r="A57" s="2" t="str">
        <x:v>Rare earth elements</x:v>
      </x:c>
      <x:c r="B57" s="2" t="str">
        <x:v>Magnet critical minerals</x:v>
      </x:c>
      <x:c r="C57" s="2" t="str">
        <x:v>Refining / processing</x:v>
      </x:c>
      <x:c r="D57" s="2" t="str">
        <x:v>Malaysia</x:v>
      </x:c>
      <x:c r="E57" s="2" t="str">
        <x:v>MYS</x:v>
      </x:c>
      <x:c r="F57" s="2" t="n">
        <x:v>4.2105</x:v>
      </x:c>
      <x:c r="G57" s="2" t="n">
        <x:v>101.9758</x:v>
      </x:c>
      <x:c r="H57" s="2" t="n">
        <x:v>2</x:v>
      </x:c>
      <x:c r="I57" s="2" t="str">
        <x:v>2024–2025</x:v>
      </x:c>
      <x:c r="J57" s="2" t="str">
        <x:v>https://www.iea.org/reports/global-critical-minerals-outlook-2025</x:v>
      </x:c>
      <x:c r="K57" s="2" t="str">
        <x:v>Rare earth elements: countries are global production or processing leaders for the reference period, not the contractual origin of a specific component. Relevance and mass depend on technology design, grade, chemistry, recycling and supplier chain.</x:v>
      </x:c>
    </x:row>
    <x:row r="58" ht="42" customHeight="1">
      <x:c r="A58" s="2" t="str">
        <x:v>Rare earth elements</x:v>
      </x:c>
      <x:c r="B58" s="2" t="str">
        <x:v>Magnet critical minerals</x:v>
      </x:c>
      <x:c r="C58" s="2" t="str">
        <x:v>Refining / processing</x:v>
      </x:c>
      <x:c r="D58" s="2" t="str">
        <x:v>Estonia</x:v>
      </x:c>
      <x:c r="E58" s="2" t="str">
        <x:v>EST</x:v>
      </x:c>
      <x:c r="F58" s="2" t="n">
        <x:v>58.5953</x:v>
      </x:c>
      <x:c r="G58" s="2" t="n">
        <x:v>25.0136</x:v>
      </x:c>
      <x:c r="H58" s="2" t="n">
        <x:v>3</x:v>
      </x:c>
      <x:c r="I58" s="2" t="str">
        <x:v>2024–2025</x:v>
      </x:c>
      <x:c r="J58" s="2" t="str">
        <x:v>https://www.iea.org/reports/global-critical-minerals-outlook-2025</x:v>
      </x:c>
      <x:c r="K58" s="2" t="str">
        <x:v>Rare earth elements: countries are global production or processing leaders for the reference period, not the contractual origin of a specific component. Relevance and mass depend on technology design, grade, chemistry, recycling and supplier chain.</x:v>
      </x:c>
    </x:row>
    <x:row r="59" ht="42" customHeight="1">
      <x:c r="A59" s="2" t="str">
        <x:v>Silicon metal / polysilicon</x:v>
      </x:c>
      <x:c r="B59" s="2" t="str">
        <x:v>Solar and electronics strategic material</x:v>
      </x:c>
      <x:c r="C59" s="2" t="str">
        <x:v>Extraction / production</x:v>
      </x:c>
      <x:c r="D59" s="2" t="str">
        <x:v>China</x:v>
      </x:c>
      <x:c r="E59" s="2" t="str">
        <x:v>CHN</x:v>
      </x:c>
      <x:c r="F59" s="2" t="n">
        <x:v>35.8617</x:v>
      </x:c>
      <x:c r="G59" s="2" t="n">
        <x:v>104.1954</x:v>
      </x:c>
      <x:c r="H59" s="2" t="n">
        <x:v>1</x:v>
      </x:c>
      <x:c r="I59" s="2" t="str">
        <x:v>2024–2025</x:v>
      </x:c>
      <x:c r="J59" s="2" t="str">
        <x:v>https://pubs.usgs.gov/periodicals/mcs2026/mcs2026.pdf</x:v>
      </x:c>
      <x:c r="K59" s="2" t="str">
        <x:v>Silicon metal / polysilicon: countries are global production or processing leaders for the reference period, not the contractual origin of a specific component. Relevance and mass depend on technology design, grade, chemistry, recycling and supplier chain.</x:v>
      </x:c>
    </x:row>
    <x:row r="60" ht="42" customHeight="1">
      <x:c r="A60" s="2" t="str">
        <x:v>Silicon metal / polysilicon</x:v>
      </x:c>
      <x:c r="B60" s="2" t="str">
        <x:v>Solar and electronics strategic material</x:v>
      </x:c>
      <x:c r="C60" s="2" t="str">
        <x:v>Extraction / production</x:v>
      </x:c>
      <x:c r="D60" s="2" t="str">
        <x:v>Brazil</x:v>
      </x:c>
      <x:c r="E60" s="2" t="str">
        <x:v>BRA</x:v>
      </x:c>
      <x:c r="F60" s="2" t="n">
        <x:v>-14.235</x:v>
      </x:c>
      <x:c r="G60" s="2" t="n">
        <x:v>-51.9253</x:v>
      </x:c>
      <x:c r="H60" s="2" t="n">
        <x:v>2</x:v>
      </x:c>
      <x:c r="I60" s="2" t="str">
        <x:v>2024–2025</x:v>
      </x:c>
      <x:c r="J60" s="2" t="str">
        <x:v>https://pubs.usgs.gov/periodicals/mcs2026/mcs2026.pdf</x:v>
      </x:c>
      <x:c r="K60" s="2" t="str">
        <x:v>Silicon metal / polysilicon: countries are global production or processing leaders for the reference period, not the contractual origin of a specific component. Relevance and mass depend on technology design, grade, chemistry, recycling and supplier chain.</x:v>
      </x:c>
    </x:row>
    <x:row r="61" ht="42" customHeight="1">
      <x:c r="A61" s="2" t="str">
        <x:v>Silicon metal / polysilicon</x:v>
      </x:c>
      <x:c r="B61" s="2" t="str">
        <x:v>Solar and electronics strategic material</x:v>
      </x:c>
      <x:c r="C61" s="2" t="str">
        <x:v>Extraction / production</x:v>
      </x:c>
      <x:c r="D61" s="2" t="str">
        <x:v>Norway</x:v>
      </x:c>
      <x:c r="E61" s="2" t="str">
        <x:v>NOR</x:v>
      </x:c>
      <x:c r="F61" s="2" t="n">
        <x:v>60.472</x:v>
      </x:c>
      <x:c r="G61" s="2" t="n">
        <x:v>8.4689</x:v>
      </x:c>
      <x:c r="H61" s="2" t="n">
        <x:v>3</x:v>
      </x:c>
      <x:c r="I61" s="2" t="str">
        <x:v>2024–2025</x:v>
      </x:c>
      <x:c r="J61" s="2" t="str">
        <x:v>https://pubs.usgs.gov/periodicals/mcs2026/mcs2026.pdf</x:v>
      </x:c>
      <x:c r="K61" s="2" t="str">
        <x:v>Silicon metal / polysilicon: countries are global production or processing leaders for the reference period, not the contractual origin of a specific component. Relevance and mass depend on technology design, grade, chemistry, recycling and supplier chain.</x:v>
      </x:c>
    </x:row>
    <x:row r="62" ht="42" customHeight="1">
      <x:c r="A62" s="2" t="str">
        <x:v>Silicon metal / polysilicon</x:v>
      </x:c>
      <x:c r="B62" s="2" t="str">
        <x:v>Solar and electronics strategic material</x:v>
      </x:c>
      <x:c r="C62" s="2" t="str">
        <x:v>Refining / processing</x:v>
      </x:c>
      <x:c r="D62" s="2" t="str">
        <x:v>China</x:v>
      </x:c>
      <x:c r="E62" s="2" t="str">
        <x:v>CHN</x:v>
      </x:c>
      <x:c r="F62" s="2" t="n">
        <x:v>35.8617</x:v>
      </x:c>
      <x:c r="G62" s="2" t="n">
        <x:v>104.1954</x:v>
      </x:c>
      <x:c r="H62" s="2" t="n">
        <x:v>1</x:v>
      </x:c>
      <x:c r="I62" s="2" t="str">
        <x:v>2024–2025</x:v>
      </x:c>
      <x:c r="J62" s="2" t="str">
        <x:v>https://pubs.usgs.gov/periodicals/mcs2026/mcs2026.pdf</x:v>
      </x:c>
      <x:c r="K62" s="2" t="str">
        <x:v>Silicon metal / polysilicon: countries are global production or processing leaders for the reference period, not the contractual origin of a specific component. Relevance and mass depend on technology design, grade, chemistry, recycling and supplier chain.</x:v>
      </x:c>
    </x:row>
    <x:row r="63" ht="42" customHeight="1">
      <x:c r="A63" s="2" t="str">
        <x:v>Silicon metal / polysilicon</x:v>
      </x:c>
      <x:c r="B63" s="2" t="str">
        <x:v>Solar and electronics strategic material</x:v>
      </x:c>
      <x:c r="C63" s="2" t="str">
        <x:v>Refining / processing</x:v>
      </x:c>
      <x:c r="D63" s="2" t="str">
        <x:v>Germany</x:v>
      </x:c>
      <x:c r="E63" s="2" t="str">
        <x:v>DEU</x:v>
      </x:c>
      <x:c r="F63" s="2" t="n">
        <x:v>51.1657</x:v>
      </x:c>
      <x:c r="G63" s="2" t="n">
        <x:v>10.4515</x:v>
      </x:c>
      <x:c r="H63" s="2" t="n">
        <x:v>2</x:v>
      </x:c>
      <x:c r="I63" s="2" t="str">
        <x:v>2024–2025</x:v>
      </x:c>
      <x:c r="J63" s="2" t="str">
        <x:v>https://pubs.usgs.gov/periodicals/mcs2026/mcs2026.pdf</x:v>
      </x:c>
      <x:c r="K63" s="2" t="str">
        <x:v>Silicon metal / polysilicon: countries are global production or processing leaders for the reference period, not the contractual origin of a specific component. Relevance and mass depend on technology design, grade, chemistry, recycling and supplier chain.</x:v>
      </x:c>
    </x:row>
    <x:row r="64" ht="42" customHeight="1">
      <x:c r="A64" s="2" t="str">
        <x:v>Silicon metal / polysilicon</x:v>
      </x:c>
      <x:c r="B64" s="2" t="str">
        <x:v>Solar and electronics strategic material</x:v>
      </x:c>
      <x:c r="C64" s="2" t="str">
        <x:v>Refining / processing</x:v>
      </x:c>
      <x:c r="D64" s="2" t="str">
        <x:v>Japan</x:v>
      </x:c>
      <x:c r="E64" s="2" t="str">
        <x:v>JPN</x:v>
      </x:c>
      <x:c r="F64" s="2" t="n">
        <x:v>36.2048</x:v>
      </x:c>
      <x:c r="G64" s="2" t="n">
        <x:v>138.2529</x:v>
      </x:c>
      <x:c r="H64" s="2" t="n">
        <x:v>3</x:v>
      </x:c>
      <x:c r="I64" s="2" t="str">
        <x:v>2024–2025</x:v>
      </x:c>
      <x:c r="J64" s="2" t="str">
        <x:v>https://pubs.usgs.gov/periodicals/mcs2026/mcs2026.pdf</x:v>
      </x:c>
      <x:c r="K64" s="2" t="str">
        <x:v>Silicon metal / polysilicon: countries are global production or processing leaders for the reference period, not the contractual origin of a specific component. Relevance and mass depend on technology design, grade, chemistry, recycling and supplier chain.</x:v>
      </x:c>
    </x:row>
    <x:row r="65" ht="42" customHeight="1">
      <x:c r="A65" s="2" t="str">
        <x:v>Silver</x:v>
      </x:c>
      <x:c r="B65" s="2" t="str">
        <x:v>Conductive precious metal</x:v>
      </x:c>
      <x:c r="C65" s="2" t="str">
        <x:v>Extraction / production</x:v>
      </x:c>
      <x:c r="D65" s="2" t="str">
        <x:v>Mexico</x:v>
      </x:c>
      <x:c r="E65" s="2" t="str">
        <x:v>MEX</x:v>
      </x:c>
      <x:c r="F65" s="2" t="n">
        <x:v>23.6345</x:v>
      </x:c>
      <x:c r="G65" s="2" t="n">
        <x:v>-102.5528</x:v>
      </x:c>
      <x:c r="H65" s="2" t="n">
        <x:v>1</x:v>
      </x:c>
      <x:c r="I65" s="2" t="str">
        <x:v>2024–2025</x:v>
      </x:c>
      <x:c r="J65" s="2" t="str">
        <x:v>https://pubs.usgs.gov/periodicals/mcs2026/mcs2026.pdf</x:v>
      </x:c>
      <x:c r="K65" s="2" t="str">
        <x:v>Silver: countries are global production or processing leaders for the reference period, not the contractual origin of a specific component. Relevance and mass depend on technology design, grade, chemistry, recycling and supplier chain.</x:v>
      </x:c>
    </x:row>
    <x:row r="66" ht="42" customHeight="1">
      <x:c r="A66" s="2" t="str">
        <x:v>Silver</x:v>
      </x:c>
      <x:c r="B66" s="2" t="str">
        <x:v>Conductive precious metal</x:v>
      </x:c>
      <x:c r="C66" s="2" t="str">
        <x:v>Extraction / production</x:v>
      </x:c>
      <x:c r="D66" s="2" t="str">
        <x:v>China</x:v>
      </x:c>
      <x:c r="E66" s="2" t="str">
        <x:v>CHN</x:v>
      </x:c>
      <x:c r="F66" s="2" t="n">
        <x:v>35.8617</x:v>
      </x:c>
      <x:c r="G66" s="2" t="n">
        <x:v>104.1954</x:v>
      </x:c>
      <x:c r="H66" s="2" t="n">
        <x:v>2</x:v>
      </x:c>
      <x:c r="I66" s="2" t="str">
        <x:v>2024–2025</x:v>
      </x:c>
      <x:c r="J66" s="2" t="str">
        <x:v>https://pubs.usgs.gov/periodicals/mcs2026/mcs2026.pdf</x:v>
      </x:c>
      <x:c r="K66" s="2" t="str">
        <x:v>Silver: countries are global production or processing leaders for the reference period, not the contractual origin of a specific component. Relevance and mass depend on technology design, grade, chemistry, recycling and supplier chain.</x:v>
      </x:c>
    </x:row>
    <x:row r="67" ht="42" customHeight="1">
      <x:c r="A67" s="2" t="str">
        <x:v>Silver</x:v>
      </x:c>
      <x:c r="B67" s="2" t="str">
        <x:v>Conductive precious metal</x:v>
      </x:c>
      <x:c r="C67" s="2" t="str">
        <x:v>Extraction / production</x:v>
      </x:c>
      <x:c r="D67" s="2" t="str">
        <x:v>Peru</x:v>
      </x:c>
      <x:c r="E67" s="2" t="str">
        <x:v>PER</x:v>
      </x:c>
      <x:c r="F67" s="2" t="n">
        <x:v>-9.19</x:v>
      </x:c>
      <x:c r="G67" s="2" t="n">
        <x:v>-75.0152</x:v>
      </x:c>
      <x:c r="H67" s="2" t="n">
        <x:v>3</x:v>
      </x:c>
      <x:c r="I67" s="2" t="str">
        <x:v>2024–2025</x:v>
      </x:c>
      <x:c r="J67" s="2" t="str">
        <x:v>https://pubs.usgs.gov/periodicals/mcs2026/mcs2026.pdf</x:v>
      </x:c>
      <x:c r="K67" s="2" t="str">
        <x:v>Silver: countries are global production or processing leaders for the reference period, not the contractual origin of a specific component. Relevance and mass depend on technology design, grade, chemistry, recycling and supplier chain.</x:v>
      </x:c>
    </x:row>
    <x:row r="68" ht="42" customHeight="1">
      <x:c r="A68" s="2" t="str">
        <x:v>Silver</x:v>
      </x:c>
      <x:c r="B68" s="2" t="str">
        <x:v>Conductive precious metal</x:v>
      </x:c>
      <x:c r="C68" s="2" t="str">
        <x:v>Refining / processing</x:v>
      </x:c>
      <x:c r="D68" s="2" t="str">
        <x:v>China</x:v>
      </x:c>
      <x:c r="E68" s="2" t="str">
        <x:v>CHN</x:v>
      </x:c>
      <x:c r="F68" s="2" t="n">
        <x:v>35.8617</x:v>
      </x:c>
      <x:c r="G68" s="2" t="n">
        <x:v>104.1954</x:v>
      </x:c>
      <x:c r="H68" s="2" t="n">
        <x:v>1</x:v>
      </x:c>
      <x:c r="I68" s="2" t="str">
        <x:v>2024–2025</x:v>
      </x:c>
      <x:c r="J68" s="2" t="str">
        <x:v>https://pubs.usgs.gov/periodicals/mcs2026/mcs2026.pdf</x:v>
      </x:c>
      <x:c r="K68" s="2" t="str">
        <x:v>Silver: countries are global production or processing leaders for the reference period, not the contractual origin of a specific component. Relevance and mass depend on technology design, grade, chemistry, recycling and supplier chain.</x:v>
      </x:c>
    </x:row>
    <x:row r="69" ht="42" customHeight="1">
      <x:c r="A69" s="2" t="str">
        <x:v>Silver</x:v>
      </x:c>
      <x:c r="B69" s="2" t="str">
        <x:v>Conductive precious metal</x:v>
      </x:c>
      <x:c r="C69" s="2" t="str">
        <x:v>Refining / processing</x:v>
      </x:c>
      <x:c r="D69" s="2" t="str">
        <x:v>Mexico</x:v>
      </x:c>
      <x:c r="E69" s="2" t="str">
        <x:v>MEX</x:v>
      </x:c>
      <x:c r="F69" s="2" t="n">
        <x:v>23.6345</x:v>
      </x:c>
      <x:c r="G69" s="2" t="n">
        <x:v>-102.5528</x:v>
      </x:c>
      <x:c r="H69" s="2" t="n">
        <x:v>2</x:v>
      </x:c>
      <x:c r="I69" s="2" t="str">
        <x:v>2024–2025</x:v>
      </x:c>
      <x:c r="J69" s="2" t="str">
        <x:v>https://pubs.usgs.gov/periodicals/mcs2026/mcs2026.pdf</x:v>
      </x:c>
      <x:c r="K69" s="2" t="str">
        <x:v>Silver: countries are global production or processing leaders for the reference period, not the contractual origin of a specific component. Relevance and mass depend on technology design, grade, chemistry, recycling and supplier chain.</x:v>
      </x:c>
    </x:row>
    <x:row r="70" ht="42" customHeight="1">
      <x:c r="A70" s="2" t="str">
        <x:v>Silver</x:v>
      </x:c>
      <x:c r="B70" s="2" t="str">
        <x:v>Conductive precious metal</x:v>
      </x:c>
      <x:c r="C70" s="2" t="str">
        <x:v>Refining / processing</x:v>
      </x:c>
      <x:c r="D70" s="2" t="str">
        <x:v>Peru</x:v>
      </x:c>
      <x:c r="E70" s="2" t="str">
        <x:v>PER</x:v>
      </x:c>
      <x:c r="F70" s="2" t="n">
        <x:v>-9.19</x:v>
      </x:c>
      <x:c r="G70" s="2" t="n">
        <x:v>-75.0152</x:v>
      </x:c>
      <x:c r="H70" s="2" t="n">
        <x:v>3</x:v>
      </x:c>
      <x:c r="I70" s="2" t="str">
        <x:v>2024–2025</x:v>
      </x:c>
      <x:c r="J70" s="2" t="str">
        <x:v>https://pubs.usgs.gov/periodicals/mcs2026/mcs2026.pdf</x:v>
      </x:c>
      <x:c r="K70" s="2" t="str">
        <x:v>Silver: countries are global production or processing leaders for the reference period, not the contractual origin of a specific component. Relevance and mass depend on technology design, grade, chemistry, recycling and supplier chain.</x:v>
      </x:c>
    </x:row>
    <x:row r="71" ht="42" customHeight="1">
      <x:c r="A71" s="2" t="str">
        <x:v>Zinc</x:v>
      </x:c>
      <x:c r="B71" s="2" t="str">
        <x:v>Strategic base metal</x:v>
      </x:c>
      <x:c r="C71" s="2" t="str">
        <x:v>Extraction / production</x:v>
      </x:c>
      <x:c r="D71" s="2" t="str">
        <x:v>China</x:v>
      </x:c>
      <x:c r="E71" s="2" t="str">
        <x:v>CHN</x:v>
      </x:c>
      <x:c r="F71" s="2" t="n">
        <x:v>35.8617</x:v>
      </x:c>
      <x:c r="G71" s="2" t="n">
        <x:v>104.1954</x:v>
      </x:c>
      <x:c r="H71" s="2" t="n">
        <x:v>1</x:v>
      </x:c>
      <x:c r="I71" s="2" t="str">
        <x:v>2024–2025</x:v>
      </x:c>
      <x:c r="J71" s="2" t="str">
        <x:v>https://pubs.usgs.gov/periodicals/mcs2026/mcs2026.pdf</x:v>
      </x:c>
      <x:c r="K71" s="2" t="str">
        <x:v>Zinc: countries are global production or processing leaders for the reference period, not the contractual origin of a specific component. Relevance and mass depend on technology design, grade, chemistry, recycling and supplier chain.</x:v>
      </x:c>
    </x:row>
    <x:row r="72" ht="42" customHeight="1">
      <x:c r="A72" s="2" t="str">
        <x:v>Zinc</x:v>
      </x:c>
      <x:c r="B72" s="2" t="str">
        <x:v>Strategic base metal</x:v>
      </x:c>
      <x:c r="C72" s="2" t="str">
        <x:v>Extraction / production</x:v>
      </x:c>
      <x:c r="D72" s="2" t="str">
        <x:v>Peru</x:v>
      </x:c>
      <x:c r="E72" s="2" t="str">
        <x:v>PER</x:v>
      </x:c>
      <x:c r="F72" s="2" t="n">
        <x:v>-9.19</x:v>
      </x:c>
      <x:c r="G72" s="2" t="n">
        <x:v>-75.0152</x:v>
      </x:c>
      <x:c r="H72" s="2" t="n">
        <x:v>2</x:v>
      </x:c>
      <x:c r="I72" s="2" t="str">
        <x:v>2024–2025</x:v>
      </x:c>
      <x:c r="J72" s="2" t="str">
        <x:v>https://pubs.usgs.gov/periodicals/mcs2026/mcs2026.pdf</x:v>
      </x:c>
      <x:c r="K72" s="2" t="str">
        <x:v>Zinc: countries are global production or processing leaders for the reference period, not the contractual origin of a specific component. Relevance and mass depend on technology design, grade, chemistry, recycling and supplier chain.</x:v>
      </x:c>
    </x:row>
    <x:row r="73" ht="42" customHeight="1">
      <x:c r="A73" s="2" t="str">
        <x:v>Zinc</x:v>
      </x:c>
      <x:c r="B73" s="2" t="str">
        <x:v>Strategic base metal</x:v>
      </x:c>
      <x:c r="C73" s="2" t="str">
        <x:v>Extraction / production</x:v>
      </x:c>
      <x:c r="D73" s="2" t="str">
        <x:v>Australia</x:v>
      </x:c>
      <x:c r="E73" s="2" t="str">
        <x:v>AUS</x:v>
      </x:c>
      <x:c r="F73" s="2" t="n">
        <x:v>-25.2744</x:v>
      </x:c>
      <x:c r="G73" s="2" t="n">
        <x:v>133.7751</x:v>
      </x:c>
      <x:c r="H73" s="2" t="n">
        <x:v>3</x:v>
      </x:c>
      <x:c r="I73" s="2" t="str">
        <x:v>2024–2025</x:v>
      </x:c>
      <x:c r="J73" s="2" t="str">
        <x:v>https://pubs.usgs.gov/periodicals/mcs2026/mcs2026.pdf</x:v>
      </x:c>
      <x:c r="K73" s="2" t="str">
        <x:v>Zinc: countries are global production or processing leaders for the reference period, not the contractual origin of a specific component. Relevance and mass depend on technology design, grade, chemistry, recycling and supplier chain.</x:v>
      </x:c>
    </x:row>
    <x:row r="74" ht="42" customHeight="1">
      <x:c r="A74" s="2" t="str">
        <x:v>Zinc</x:v>
      </x:c>
      <x:c r="B74" s="2" t="str">
        <x:v>Strategic base metal</x:v>
      </x:c>
      <x:c r="C74" s="2" t="str">
        <x:v>Refining / processing</x:v>
      </x:c>
      <x:c r="D74" s="2" t="str">
        <x:v>China</x:v>
      </x:c>
      <x:c r="E74" s="2" t="str">
        <x:v>CHN</x:v>
      </x:c>
      <x:c r="F74" s="2" t="n">
        <x:v>35.8617</x:v>
      </x:c>
      <x:c r="G74" s="2" t="n">
        <x:v>104.1954</x:v>
      </x:c>
      <x:c r="H74" s="2" t="n">
        <x:v>1</x:v>
      </x:c>
      <x:c r="I74" s="2" t="str">
        <x:v>2024–2025</x:v>
      </x:c>
      <x:c r="J74" s="2" t="str">
        <x:v>https://pubs.usgs.gov/periodicals/mcs2026/mcs2026.pdf</x:v>
      </x:c>
      <x:c r="K74" s="2" t="str">
        <x:v>Zinc: countries are global production or processing leaders for the reference period, not the contractual origin of a specific component. Relevance and mass depend on technology design, grade, chemistry, recycling and supplier chain.</x:v>
      </x:c>
    </x:row>
    <x:row r="75" ht="42" customHeight="1">
      <x:c r="A75" s="2" t="str">
        <x:v>Zinc</x:v>
      </x:c>
      <x:c r="B75" s="2" t="str">
        <x:v>Strategic base metal</x:v>
      </x:c>
      <x:c r="C75" s="2" t="str">
        <x:v>Refining / processing</x:v>
      </x:c>
      <x:c r="D75" s="2" t="str">
        <x:v>South Korea</x:v>
      </x:c>
      <x:c r="E75" s="2" t="str">
        <x:v>KOR</x:v>
      </x:c>
      <x:c r="F75" s="2" t="n">
        <x:v>35.9078</x:v>
      </x:c>
      <x:c r="G75" s="2" t="n">
        <x:v>127.7669</x:v>
      </x:c>
      <x:c r="H75" s="2" t="n">
        <x:v>2</x:v>
      </x:c>
      <x:c r="I75" s="2" t="str">
        <x:v>2024–2025</x:v>
      </x:c>
      <x:c r="J75" s="2" t="str">
        <x:v>https://pubs.usgs.gov/periodicals/mcs2026/mcs2026.pdf</x:v>
      </x:c>
      <x:c r="K75" s="2" t="str">
        <x:v>Zinc: countries are global production or processing leaders for the reference period, not the contractual origin of a specific component. Relevance and mass depend on technology design, grade, chemistry, recycling and supplier chain.</x:v>
      </x:c>
    </x:row>
    <x:row r="76" ht="42" customHeight="1">
      <x:c r="A76" s="2" t="str">
        <x:v>Zinc</x:v>
      </x:c>
      <x:c r="B76" s="2" t="str">
        <x:v>Strategic base metal</x:v>
      </x:c>
      <x:c r="C76" s="2" t="str">
        <x:v>Refining / processing</x:v>
      </x:c>
      <x:c r="D76" s="2" t="str">
        <x:v>India</x:v>
      </x:c>
      <x:c r="E76" s="2" t="str">
        <x:v>IND</x:v>
      </x:c>
      <x:c r="F76" s="2" t="n">
        <x:v>20.5937</x:v>
      </x:c>
      <x:c r="G76" s="2" t="n">
        <x:v>78.9629</x:v>
      </x:c>
      <x:c r="H76" s="2" t="n">
        <x:v>3</x:v>
      </x:c>
      <x:c r="I76" s="2" t="str">
        <x:v>2024–2025</x:v>
      </x:c>
      <x:c r="J76" s="2" t="str">
        <x:v>https://pubs.usgs.gov/periodicals/mcs2026/mcs2026.pdf</x:v>
      </x:c>
      <x:c r="K76" s="2" t="str">
        <x:v>Zinc: countries are global production or processing leaders for the reference period, not the contractual origin of a specific component. Relevance and mass depend on technology design, grade, chemistry, recycling and supplier chain.</x:v>
      </x:c>
    </x:row>
    <x:row r="77" ht="42" customHeight="1">
      <x:c r="A77" s="2" t="str">
        <x:v>Lead</x:v>
      </x:c>
      <x:c r="B77" s="2" t="str">
        <x:v>Battery and base metal</x:v>
      </x:c>
      <x:c r="C77" s="2" t="str">
        <x:v>Extraction / production</x:v>
      </x:c>
      <x:c r="D77" s="2" t="str">
        <x:v>China</x:v>
      </x:c>
      <x:c r="E77" s="2" t="str">
        <x:v>CHN</x:v>
      </x:c>
      <x:c r="F77" s="2" t="n">
        <x:v>35.8617</x:v>
      </x:c>
      <x:c r="G77" s="2" t="n">
        <x:v>104.1954</x:v>
      </x:c>
      <x:c r="H77" s="2" t="n">
        <x:v>1</x:v>
      </x:c>
      <x:c r="I77" s="2" t="str">
        <x:v>2024–2025</x:v>
      </x:c>
      <x:c r="J77" s="2" t="str">
        <x:v>https://pubs.usgs.gov/periodicals/mcs2026/mcs2026.pdf</x:v>
      </x:c>
      <x:c r="K77" s="2" t="str">
        <x:v>Lead: countries are global production or processing leaders for the reference period, not the contractual origin of a specific component. Relevance and mass depend on technology design, grade, chemistry, recycling and supplier chain.</x:v>
      </x:c>
    </x:row>
    <x:row r="78" ht="42" customHeight="1">
      <x:c r="A78" s="2" t="str">
        <x:v>Lead</x:v>
      </x:c>
      <x:c r="B78" s="2" t="str">
        <x:v>Battery and base metal</x:v>
      </x:c>
      <x:c r="C78" s="2" t="str">
        <x:v>Extraction / production</x:v>
      </x:c>
      <x:c r="D78" s="2" t="str">
        <x:v>Australia</x:v>
      </x:c>
      <x:c r="E78" s="2" t="str">
        <x:v>AUS</x:v>
      </x:c>
      <x:c r="F78" s="2" t="n">
        <x:v>-25.2744</x:v>
      </x:c>
      <x:c r="G78" s="2" t="n">
        <x:v>133.7751</x:v>
      </x:c>
      <x:c r="H78" s="2" t="n">
        <x:v>2</x:v>
      </x:c>
      <x:c r="I78" s="2" t="str">
        <x:v>2024–2025</x:v>
      </x:c>
      <x:c r="J78" s="2" t="str">
        <x:v>https://pubs.usgs.gov/periodicals/mcs2026/mcs2026.pdf</x:v>
      </x:c>
      <x:c r="K78" s="2" t="str">
        <x:v>Lead: countries are global production or processing leaders for the reference period, not the contractual origin of a specific component. Relevance and mass depend on technology design, grade, chemistry, recycling and supplier chain.</x:v>
      </x:c>
    </x:row>
    <x:row r="79" ht="42" customHeight="1">
      <x:c r="A79" s="2" t="str">
        <x:v>Lead</x:v>
      </x:c>
      <x:c r="B79" s="2" t="str">
        <x:v>Battery and base metal</x:v>
      </x:c>
      <x:c r="C79" s="2" t="str">
        <x:v>Extraction / production</x:v>
      </x:c>
      <x:c r="D79" s="2" t="str">
        <x:v>Peru</x:v>
      </x:c>
      <x:c r="E79" s="2" t="str">
        <x:v>PER</x:v>
      </x:c>
      <x:c r="F79" s="2" t="n">
        <x:v>-9.19</x:v>
      </x:c>
      <x:c r="G79" s="2" t="n">
        <x:v>-75.0152</x:v>
      </x:c>
      <x:c r="H79" s="2" t="n">
        <x:v>3</x:v>
      </x:c>
      <x:c r="I79" s="2" t="str">
        <x:v>2024–2025</x:v>
      </x:c>
      <x:c r="J79" s="2" t="str">
        <x:v>https://pubs.usgs.gov/periodicals/mcs2026/mcs2026.pdf</x:v>
      </x:c>
      <x:c r="K79" s="2" t="str">
        <x:v>Lead: countries are global production or processing leaders for the reference period, not the contractual origin of a specific component. Relevance and mass depend on technology design, grade, chemistry, recycling and supplier chain.</x:v>
      </x:c>
    </x:row>
    <x:row r="80" ht="42" customHeight="1">
      <x:c r="A80" s="2" t="str">
        <x:v>Lead</x:v>
      </x:c>
      <x:c r="B80" s="2" t="str">
        <x:v>Battery and base metal</x:v>
      </x:c>
      <x:c r="C80" s="2" t="str">
        <x:v>Refining / processing</x:v>
      </x:c>
      <x:c r="D80" s="2" t="str">
        <x:v>China</x:v>
      </x:c>
      <x:c r="E80" s="2" t="str">
        <x:v>CHN</x:v>
      </x:c>
      <x:c r="F80" s="2" t="n">
        <x:v>35.8617</x:v>
      </x:c>
      <x:c r="G80" s="2" t="n">
        <x:v>104.1954</x:v>
      </x:c>
      <x:c r="H80" s="2" t="n">
        <x:v>1</x:v>
      </x:c>
      <x:c r="I80" s="2" t="str">
        <x:v>2024–2025</x:v>
      </x:c>
      <x:c r="J80" s="2" t="str">
        <x:v>https://pubs.usgs.gov/periodicals/mcs2026/mcs2026.pdf</x:v>
      </x:c>
      <x:c r="K80" s="2" t="str">
        <x:v>Lead: countries are global production or processing leaders for the reference period, not the contractual origin of a specific component. Relevance and mass depend on technology design, grade, chemistry, recycling and supplier chain.</x:v>
      </x:c>
    </x:row>
    <x:row r="81" ht="42" customHeight="1">
      <x:c r="A81" s="2" t="str">
        <x:v>Lead</x:v>
      </x:c>
      <x:c r="B81" s="2" t="str">
        <x:v>Battery and base metal</x:v>
      </x:c>
      <x:c r="C81" s="2" t="str">
        <x:v>Refining / processing</x:v>
      </x:c>
      <x:c r="D81" s="2" t="str">
        <x:v>South Korea</x:v>
      </x:c>
      <x:c r="E81" s="2" t="str">
        <x:v>KOR</x:v>
      </x:c>
      <x:c r="F81" s="2" t="n">
        <x:v>35.9078</x:v>
      </x:c>
      <x:c r="G81" s="2" t="n">
        <x:v>127.7669</x:v>
      </x:c>
      <x:c r="H81" s="2" t="n">
        <x:v>2</x:v>
      </x:c>
      <x:c r="I81" s="2" t="str">
        <x:v>2024–2025</x:v>
      </x:c>
      <x:c r="J81" s="2" t="str">
        <x:v>https://pubs.usgs.gov/periodicals/mcs2026/mcs2026.pdf</x:v>
      </x:c>
      <x:c r="K81" s="2" t="str">
        <x:v>Lead: countries are global production or processing leaders for the reference period, not the contractual origin of a specific component. Relevance and mass depend on technology design, grade, chemistry, recycling and supplier chain.</x:v>
      </x:c>
    </x:row>
    <x:row r="82" ht="42" customHeight="1">
      <x:c r="A82" s="2" t="str">
        <x:v>Lead</x:v>
      </x:c>
      <x:c r="B82" s="2" t="str">
        <x:v>Battery and base metal</x:v>
      </x:c>
      <x:c r="C82" s="2" t="str">
        <x:v>Refining / processing</x:v>
      </x:c>
      <x:c r="D82" s="2" t="str">
        <x:v>India</x:v>
      </x:c>
      <x:c r="E82" s="2" t="str">
        <x:v>IND</x:v>
      </x:c>
      <x:c r="F82" s="2" t="n">
        <x:v>20.5937</x:v>
      </x:c>
      <x:c r="G82" s="2" t="n">
        <x:v>78.9629</x:v>
      </x:c>
      <x:c r="H82" s="2" t="n">
        <x:v>3</x:v>
      </x:c>
      <x:c r="I82" s="2" t="str">
        <x:v>2024–2025</x:v>
      </x:c>
      <x:c r="J82" s="2" t="str">
        <x:v>https://pubs.usgs.gov/periodicals/mcs2026/mcs2026.pdf</x:v>
      </x:c>
      <x:c r="K82" s="2" t="str">
        <x:v>Lead: countries are global production or processing leaders for the reference period, not the contractual origin of a specific component. Relevance and mass depend on technology design, grade, chemistry, recycling and supplier chain.</x:v>
      </x:c>
    </x:row>
    <x:row r="83" ht="42" customHeight="1">
      <x:c r="A83" s="2" t="str">
        <x:v>Chromium</x:v>
      </x:c>
      <x:c r="B83" s="2" t="str">
        <x:v>Alloy strategic mineral</x:v>
      </x:c>
      <x:c r="C83" s="2" t="str">
        <x:v>Extraction / production</x:v>
      </x:c>
      <x:c r="D83" s="2" t="str">
        <x:v>South Africa</x:v>
      </x:c>
      <x:c r="E83" s="2" t="str">
        <x:v>ZAF</x:v>
      </x:c>
      <x:c r="F83" s="2" t="n">
        <x:v>-30.5595</x:v>
      </x:c>
      <x:c r="G83" s="2" t="n">
        <x:v>22.9375</x:v>
      </x:c>
      <x:c r="H83" s="2" t="n">
        <x:v>1</x:v>
      </x:c>
      <x:c r="I83" s="2" t="str">
        <x:v>2024–2025</x:v>
      </x:c>
      <x:c r="J83" s="2" t="str">
        <x:v>https://pubs.usgs.gov/periodicals/mcs2026/mcs2026.pdf</x:v>
      </x:c>
      <x:c r="K83" s="2" t="str">
        <x:v>Chromium: countries are global production or processing leaders for the reference period, not the contractual origin of a specific component. Relevance and mass depend on technology design, grade, chemistry, recycling and supplier chain.</x:v>
      </x:c>
    </x:row>
    <x:row r="84" ht="42" customHeight="1">
      <x:c r="A84" s="2" t="str">
        <x:v>Chromium</x:v>
      </x:c>
      <x:c r="B84" s="2" t="str">
        <x:v>Alloy strategic mineral</x:v>
      </x:c>
      <x:c r="C84" s="2" t="str">
        <x:v>Extraction / production</x:v>
      </x:c>
      <x:c r="D84" s="2" t="str">
        <x:v>Kazakhstan</x:v>
      </x:c>
      <x:c r="E84" s="2" t="str">
        <x:v>KAZ</x:v>
      </x:c>
      <x:c r="F84" s="2" t="n">
        <x:v>48.0196</x:v>
      </x:c>
      <x:c r="G84" s="2" t="n">
        <x:v>66.9237</x:v>
      </x:c>
      <x:c r="H84" s="2" t="n">
        <x:v>2</x:v>
      </x:c>
      <x:c r="I84" s="2" t="str">
        <x:v>2024–2025</x:v>
      </x:c>
      <x:c r="J84" s="2" t="str">
        <x:v>https://pubs.usgs.gov/periodicals/mcs2026/mcs2026.pdf</x:v>
      </x:c>
      <x:c r="K84" s="2" t="str">
        <x:v>Chromium: countries are global production or processing leaders for the reference period, not the contractual origin of a specific component. Relevance and mass depend on technology design, grade, chemistry, recycling and supplier chain.</x:v>
      </x:c>
    </x:row>
    <x:row r="85" ht="42" customHeight="1">
      <x:c r="A85" s="2" t="str">
        <x:v>Chromium</x:v>
      </x:c>
      <x:c r="B85" s="2" t="str">
        <x:v>Alloy strategic mineral</x:v>
      </x:c>
      <x:c r="C85" s="2" t="str">
        <x:v>Extraction / production</x:v>
      </x:c>
      <x:c r="D85" s="2" t="str">
        <x:v>Turkey</x:v>
      </x:c>
      <x:c r="E85" s="2" t="str">
        <x:v>TUR</x:v>
      </x:c>
      <x:c r="F85" s="2" t="n">
        <x:v>38.9637</x:v>
      </x:c>
      <x:c r="G85" s="2" t="n">
        <x:v>35.2433</x:v>
      </x:c>
      <x:c r="H85" s="2" t="n">
        <x:v>3</x:v>
      </x:c>
      <x:c r="I85" s="2" t="str">
        <x:v>2024–2025</x:v>
      </x:c>
      <x:c r="J85" s="2" t="str">
        <x:v>https://pubs.usgs.gov/periodicals/mcs2026/mcs2026.pdf</x:v>
      </x:c>
      <x:c r="K85" s="2" t="str">
        <x:v>Chromium: countries are global production or processing leaders for the reference period, not the contractual origin of a specific component. Relevance and mass depend on technology design, grade, chemistry, recycling and supplier chain.</x:v>
      </x:c>
    </x:row>
    <x:row r="86" ht="42" customHeight="1">
      <x:c r="A86" s="2" t="str">
        <x:v>Chromium</x:v>
      </x:c>
      <x:c r="B86" s="2" t="str">
        <x:v>Alloy strategic mineral</x:v>
      </x:c>
      <x:c r="C86" s="2" t="str">
        <x:v>Refining / processing</x:v>
      </x:c>
      <x:c r="D86" s="2" t="str">
        <x:v>China</x:v>
      </x:c>
      <x:c r="E86" s="2" t="str">
        <x:v>CHN</x:v>
      </x:c>
      <x:c r="F86" s="2" t="n">
        <x:v>35.8617</x:v>
      </x:c>
      <x:c r="G86" s="2" t="n">
        <x:v>104.1954</x:v>
      </x:c>
      <x:c r="H86" s="2" t="n">
        <x:v>1</x:v>
      </x:c>
      <x:c r="I86" s="2" t="str">
        <x:v>2024–2025</x:v>
      </x:c>
      <x:c r="J86" s="2" t="str">
        <x:v>https://pubs.usgs.gov/periodicals/mcs2026/mcs2026.pdf</x:v>
      </x:c>
      <x:c r="K86" s="2" t="str">
        <x:v>Chromium: countries are global production or processing leaders for the reference period, not the contractual origin of a specific component. Relevance and mass depend on technology design, grade, chemistry, recycling and supplier chain.</x:v>
      </x:c>
    </x:row>
    <x:row r="87" ht="42" customHeight="1">
      <x:c r="A87" s="2" t="str">
        <x:v>Chromium</x:v>
      </x:c>
      <x:c r="B87" s="2" t="str">
        <x:v>Alloy strategic mineral</x:v>
      </x:c>
      <x:c r="C87" s="2" t="str">
        <x:v>Refining / processing</x:v>
      </x:c>
      <x:c r="D87" s="2" t="str">
        <x:v>South Africa</x:v>
      </x:c>
      <x:c r="E87" s="2" t="str">
        <x:v>ZAF</x:v>
      </x:c>
      <x:c r="F87" s="2" t="n">
        <x:v>-30.5595</x:v>
      </x:c>
      <x:c r="G87" s="2" t="n">
        <x:v>22.9375</x:v>
      </x:c>
      <x:c r="H87" s="2" t="n">
        <x:v>2</x:v>
      </x:c>
      <x:c r="I87" s="2" t="str">
        <x:v>2024–2025</x:v>
      </x:c>
      <x:c r="J87" s="2" t="str">
        <x:v>https://pubs.usgs.gov/periodicals/mcs2026/mcs2026.pdf</x:v>
      </x:c>
      <x:c r="K87" s="2" t="str">
        <x:v>Chromium: countries are global production or processing leaders for the reference period, not the contractual origin of a specific component. Relevance and mass depend on technology design, grade, chemistry, recycling and supplier chain.</x:v>
      </x:c>
    </x:row>
    <x:row r="88" ht="42" customHeight="1">
      <x:c r="A88" s="2" t="str">
        <x:v>Chromium</x:v>
      </x:c>
      <x:c r="B88" s="2" t="str">
        <x:v>Alloy strategic mineral</x:v>
      </x:c>
      <x:c r="C88" s="2" t="str">
        <x:v>Refining / processing</x:v>
      </x:c>
      <x:c r="D88" s="2" t="str">
        <x:v>Kazakhstan</x:v>
      </x:c>
      <x:c r="E88" s="2" t="str">
        <x:v>KAZ</x:v>
      </x:c>
      <x:c r="F88" s="2" t="n">
        <x:v>48.0196</x:v>
      </x:c>
      <x:c r="G88" s="2" t="n">
        <x:v>66.9237</x:v>
      </x:c>
      <x:c r="H88" s="2" t="n">
        <x:v>3</x:v>
      </x:c>
      <x:c r="I88" s="2" t="str">
        <x:v>2024–2025</x:v>
      </x:c>
      <x:c r="J88" s="2" t="str">
        <x:v>https://pubs.usgs.gov/periodicals/mcs2026/mcs2026.pdf</x:v>
      </x:c>
      <x:c r="K88" s="2" t="str">
        <x:v>Chromium: countries are global production or processing leaders for the reference period, not the contractual origin of a specific component. Relevance and mass depend on technology design, grade, chemistry, recycling and supplier chain.</x:v>
      </x:c>
    </x:row>
    <x:row r="89" ht="42" customHeight="1">
      <x:c r="A89" s="2" t="str">
        <x:v>Platinum-group metals</x:v>
      </x:c>
      <x:c r="B89" s="2" t="str">
        <x:v>Catalyst critical minerals</x:v>
      </x:c>
      <x:c r="C89" s="2" t="str">
        <x:v>Extraction / production</x:v>
      </x:c>
      <x:c r="D89" s="2" t="str">
        <x:v>South Africa</x:v>
      </x:c>
      <x:c r="E89" s="2" t="str">
        <x:v>ZAF</x:v>
      </x:c>
      <x:c r="F89" s="2" t="n">
        <x:v>-30.5595</x:v>
      </x:c>
      <x:c r="G89" s="2" t="n">
        <x:v>22.9375</x:v>
      </x:c>
      <x:c r="H89" s="2" t="n">
        <x:v>1</x:v>
      </x:c>
      <x:c r="I89" s="2" t="str">
        <x:v>2024–2025</x:v>
      </x:c>
      <x:c r="J89" s="2" t="str">
        <x:v>https://pubs.usgs.gov/periodicals/mcs2026/mcs2026.pdf</x:v>
      </x:c>
      <x:c r="K89" s="2" t="str">
        <x:v>Platinum-group metals: countries are global production or processing leaders for the reference period, not the contractual origin of a specific component. Relevance and mass depend on technology design, grade, chemistry, recycling and supplier chain.</x:v>
      </x:c>
    </x:row>
    <x:row r="90" ht="42" customHeight="1">
      <x:c r="A90" s="2" t="str">
        <x:v>Platinum-group metals</x:v>
      </x:c>
      <x:c r="B90" s="2" t="str">
        <x:v>Catalyst critical minerals</x:v>
      </x:c>
      <x:c r="C90" s="2" t="str">
        <x:v>Extraction / production</x:v>
      </x:c>
      <x:c r="D90" s="2" t="str">
        <x:v>Russia</x:v>
      </x:c>
      <x:c r="E90" s="2" t="str">
        <x:v>RUS</x:v>
      </x:c>
      <x:c r="F90" s="2" t="n">
        <x:v>61.524</x:v>
      </x:c>
      <x:c r="G90" s="2" t="n">
        <x:v>105.3188</x:v>
      </x:c>
      <x:c r="H90" s="2" t="n">
        <x:v>2</x:v>
      </x:c>
      <x:c r="I90" s="2" t="str">
        <x:v>2024–2025</x:v>
      </x:c>
      <x:c r="J90" s="2" t="str">
        <x:v>https://pubs.usgs.gov/periodicals/mcs2026/mcs2026.pdf</x:v>
      </x:c>
      <x:c r="K90" s="2" t="str">
        <x:v>Platinum-group metals: countries are global production or processing leaders for the reference period, not the contractual origin of a specific component. Relevance and mass depend on technology design, grade, chemistry, recycling and supplier chain.</x:v>
      </x:c>
    </x:row>
    <x:row r="91" ht="42" customHeight="1">
      <x:c r="A91" s="2" t="str">
        <x:v>Platinum-group metals</x:v>
      </x:c>
      <x:c r="B91" s="2" t="str">
        <x:v>Catalyst critical minerals</x:v>
      </x:c>
      <x:c r="C91" s="2" t="str">
        <x:v>Extraction / production</x:v>
      </x:c>
      <x:c r="D91" s="2" t="str">
        <x:v>Zimbabwe</x:v>
      </x:c>
      <x:c r="E91" s="2" t="str">
        <x:v>ZWE</x:v>
      </x:c>
      <x:c r="F91" s="2" t="n">
        <x:v>-19.0154</x:v>
      </x:c>
      <x:c r="G91" s="2" t="n">
        <x:v>29.1549</x:v>
      </x:c>
      <x:c r="H91" s="2" t="n">
        <x:v>3</x:v>
      </x:c>
      <x:c r="I91" s="2" t="str">
        <x:v>2024–2025</x:v>
      </x:c>
      <x:c r="J91" s="2" t="str">
        <x:v>https://pubs.usgs.gov/periodicals/mcs2026/mcs2026.pdf</x:v>
      </x:c>
      <x:c r="K91" s="2" t="str">
        <x:v>Platinum-group metals: countries are global production or processing leaders for the reference period, not the contractual origin of a specific component. Relevance and mass depend on technology design, grade, chemistry, recycling and supplier chain.</x:v>
      </x:c>
    </x:row>
    <x:row r="92" ht="42" customHeight="1">
      <x:c r="A92" s="2" t="str">
        <x:v>Platinum-group metals</x:v>
      </x:c>
      <x:c r="B92" s="2" t="str">
        <x:v>Catalyst critical minerals</x:v>
      </x:c>
      <x:c r="C92" s="2" t="str">
        <x:v>Refining / processing</x:v>
      </x:c>
      <x:c r="D92" s="2" t="str">
        <x:v>South Africa</x:v>
      </x:c>
      <x:c r="E92" s="2" t="str">
        <x:v>ZAF</x:v>
      </x:c>
      <x:c r="F92" s="2" t="n">
        <x:v>-30.5595</x:v>
      </x:c>
      <x:c r="G92" s="2" t="n">
        <x:v>22.9375</x:v>
      </x:c>
      <x:c r="H92" s="2" t="n">
        <x:v>1</x:v>
      </x:c>
      <x:c r="I92" s="2" t="str">
        <x:v>2024–2025</x:v>
      </x:c>
      <x:c r="J92" s="2" t="str">
        <x:v>https://pubs.usgs.gov/periodicals/mcs2026/mcs2026.pdf</x:v>
      </x:c>
      <x:c r="K92" s="2" t="str">
        <x:v>Platinum-group metals: countries are global production or processing leaders for the reference period, not the contractual origin of a specific component. Relevance and mass depend on technology design, grade, chemistry, recycling and supplier chain.</x:v>
      </x:c>
    </x:row>
    <x:row r="93" ht="42" customHeight="1">
      <x:c r="A93" s="2" t="str">
        <x:v>Platinum-group metals</x:v>
      </x:c>
      <x:c r="B93" s="2" t="str">
        <x:v>Catalyst critical minerals</x:v>
      </x:c>
      <x:c r="C93" s="2" t="str">
        <x:v>Refining / processing</x:v>
      </x:c>
      <x:c r="D93" s="2" t="str">
        <x:v>Russia</x:v>
      </x:c>
      <x:c r="E93" s="2" t="str">
        <x:v>RUS</x:v>
      </x:c>
      <x:c r="F93" s="2" t="n">
        <x:v>61.524</x:v>
      </x:c>
      <x:c r="G93" s="2" t="n">
        <x:v>105.3188</x:v>
      </x:c>
      <x:c r="H93" s="2" t="n">
        <x:v>2</x:v>
      </x:c>
      <x:c r="I93" s="2" t="str">
        <x:v>2024–2025</x:v>
      </x:c>
      <x:c r="J93" s="2" t="str">
        <x:v>https://pubs.usgs.gov/periodicals/mcs2026/mcs2026.pdf</x:v>
      </x:c>
      <x:c r="K93" s="2" t="str">
        <x:v>Platinum-group metals: countries are global production or processing leaders for the reference period, not the contractual origin of a specific component. Relevance and mass depend on technology design, grade, chemistry, recycling and supplier chain.</x:v>
      </x:c>
    </x:row>
    <x:row r="94" ht="42" customHeight="1">
      <x:c r="A94" s="2" t="str">
        <x:v>Platinum-group metals</x:v>
      </x:c>
      <x:c r="B94" s="2" t="str">
        <x:v>Catalyst critical minerals</x:v>
      </x:c>
      <x:c r="C94" s="2" t="str">
        <x:v>Refining / processing</x:v>
      </x:c>
      <x:c r="D94" s="2" t="str">
        <x:v>Germany</x:v>
      </x:c>
      <x:c r="E94" s="2" t="str">
        <x:v>DEU</x:v>
      </x:c>
      <x:c r="F94" s="2" t="n">
        <x:v>51.1657</x:v>
      </x:c>
      <x:c r="G94" s="2" t="n">
        <x:v>10.4515</x:v>
      </x:c>
      <x:c r="H94" s="2" t="n">
        <x:v>3</x:v>
      </x:c>
      <x:c r="I94" s="2" t="str">
        <x:v>2024–2025</x:v>
      </x:c>
      <x:c r="J94" s="2" t="str">
        <x:v>https://pubs.usgs.gov/periodicals/mcs2026/mcs2026.pdf</x:v>
      </x:c>
      <x:c r="K94" s="2" t="str">
        <x:v>Platinum-group metals: countries are global production or processing leaders for the reference period, not the contractual origin of a specific component. Relevance and mass depend on technology design, grade, chemistry, recycling and supplier chain.</x:v>
      </x:c>
    </x:row>
    <x:row r="95" ht="42" customHeight="1">
      <x:c r="A95" s="2" t="str">
        <x:v>Tin</x:v>
      </x:c>
      <x:c r="B95" s="2" t="str">
        <x:v>Electronics strategic metal</x:v>
      </x:c>
      <x:c r="C95" s="2" t="str">
        <x:v>Extraction / production</x:v>
      </x:c>
      <x:c r="D95" s="2" t="str">
        <x:v>China</x:v>
      </x:c>
      <x:c r="E95" s="2" t="str">
        <x:v>CHN</x:v>
      </x:c>
      <x:c r="F95" s="2" t="n">
        <x:v>35.8617</x:v>
      </x:c>
      <x:c r="G95" s="2" t="n">
        <x:v>104.1954</x:v>
      </x:c>
      <x:c r="H95" s="2" t="n">
        <x:v>1</x:v>
      </x:c>
      <x:c r="I95" s="2" t="str">
        <x:v>2024–2025</x:v>
      </x:c>
      <x:c r="J95" s="2" t="str">
        <x:v>https://pubs.usgs.gov/periodicals/mcs2026/mcs2026.pdf</x:v>
      </x:c>
      <x:c r="K95" s="2" t="str">
        <x:v>Tin: countries are global production or processing leaders for the reference period, not the contractual origin of a specific component. Relevance and mass depend on technology design, grade, chemistry, recycling and supplier chain.</x:v>
      </x:c>
    </x:row>
    <x:row r="96" ht="42" customHeight="1">
      <x:c r="A96" s="2" t="str">
        <x:v>Tin</x:v>
      </x:c>
      <x:c r="B96" s="2" t="str">
        <x:v>Electronics strategic metal</x:v>
      </x:c>
      <x:c r="C96" s="2" t="str">
        <x:v>Extraction / production</x:v>
      </x:c>
      <x:c r="D96" s="2" t="str">
        <x:v>Indonesia</x:v>
      </x:c>
      <x:c r="E96" s="2" t="str">
        <x:v>IDN</x:v>
      </x:c>
      <x:c r="F96" s="2" t="n">
        <x:v>-0.7893</x:v>
      </x:c>
      <x:c r="G96" s="2" t="n">
        <x:v>113.9213</x:v>
      </x:c>
      <x:c r="H96" s="2" t="n">
        <x:v>2</x:v>
      </x:c>
      <x:c r="I96" s="2" t="str">
        <x:v>2024–2025</x:v>
      </x:c>
      <x:c r="J96" s="2" t="str">
        <x:v>https://pubs.usgs.gov/periodicals/mcs2026/mcs2026.pdf</x:v>
      </x:c>
      <x:c r="K96" s="2" t="str">
        <x:v>Tin: countries are global production or processing leaders for the reference period, not the contractual origin of a specific component. Relevance and mass depend on technology design, grade, chemistry, recycling and supplier chain.</x:v>
      </x:c>
    </x:row>
    <x:row r="97" ht="42" customHeight="1">
      <x:c r="A97" s="2" t="str">
        <x:v>Tin</x:v>
      </x:c>
      <x:c r="B97" s="2" t="str">
        <x:v>Electronics strategic metal</x:v>
      </x:c>
      <x:c r="C97" s="2" t="str">
        <x:v>Extraction / production</x:v>
      </x:c>
      <x:c r="D97" s="2" t="str">
        <x:v>Myanmar</x:v>
      </x:c>
      <x:c r="E97" s="2" t="str">
        <x:v>MMR</x:v>
      </x:c>
      <x:c r="F97" s="2" t="n">
        <x:v>21.9162</x:v>
      </x:c>
      <x:c r="G97" s="2" t="n">
        <x:v>95.956</x:v>
      </x:c>
      <x:c r="H97" s="2" t="n">
        <x:v>3</x:v>
      </x:c>
      <x:c r="I97" s="2" t="str">
        <x:v>2024–2025</x:v>
      </x:c>
      <x:c r="J97" s="2" t="str">
        <x:v>https://pubs.usgs.gov/periodicals/mcs2026/mcs2026.pdf</x:v>
      </x:c>
      <x:c r="K97" s="2" t="str">
        <x:v>Tin: countries are global production or processing leaders for the reference period, not the contractual origin of a specific component. Relevance and mass depend on technology design, grade, chemistry, recycling and supplier chain.</x:v>
      </x:c>
    </x:row>
    <x:row r="98" ht="42" customHeight="1">
      <x:c r="A98" s="2" t="str">
        <x:v>Tin</x:v>
      </x:c>
      <x:c r="B98" s="2" t="str">
        <x:v>Electronics strategic metal</x:v>
      </x:c>
      <x:c r="C98" s="2" t="str">
        <x:v>Refining / processing</x:v>
      </x:c>
      <x:c r="D98" s="2" t="str">
        <x:v>China</x:v>
      </x:c>
      <x:c r="E98" s="2" t="str">
        <x:v>CHN</x:v>
      </x:c>
      <x:c r="F98" s="2" t="n">
        <x:v>35.8617</x:v>
      </x:c>
      <x:c r="G98" s="2" t="n">
        <x:v>104.1954</x:v>
      </x:c>
      <x:c r="H98" s="2" t="n">
        <x:v>1</x:v>
      </x:c>
      <x:c r="I98" s="2" t="str">
        <x:v>2024–2025</x:v>
      </x:c>
      <x:c r="J98" s="2" t="str">
        <x:v>https://pubs.usgs.gov/periodicals/mcs2026/mcs2026.pdf</x:v>
      </x:c>
      <x:c r="K98" s="2" t="str">
        <x:v>Tin: countries are global production or processing leaders for the reference period, not the contractual origin of a specific component. Relevance and mass depend on technology design, grade, chemistry, recycling and supplier chain.</x:v>
      </x:c>
    </x:row>
    <x:row r="99" ht="42" customHeight="1">
      <x:c r="A99" s="2" t="str">
        <x:v>Tin</x:v>
      </x:c>
      <x:c r="B99" s="2" t="str">
        <x:v>Electronics strategic metal</x:v>
      </x:c>
      <x:c r="C99" s="2" t="str">
        <x:v>Refining / processing</x:v>
      </x:c>
      <x:c r="D99" s="2" t="str">
        <x:v>Indonesia</x:v>
      </x:c>
      <x:c r="E99" s="2" t="str">
        <x:v>IDN</x:v>
      </x:c>
      <x:c r="F99" s="2" t="n">
        <x:v>-0.7893</x:v>
      </x:c>
      <x:c r="G99" s="2" t="n">
        <x:v>113.9213</x:v>
      </x:c>
      <x:c r="H99" s="2" t="n">
        <x:v>2</x:v>
      </x:c>
      <x:c r="I99" s="2" t="str">
        <x:v>2024–2025</x:v>
      </x:c>
      <x:c r="J99" s="2" t="str">
        <x:v>https://pubs.usgs.gov/periodicals/mcs2026/mcs2026.pdf</x:v>
      </x:c>
      <x:c r="K99" s="2" t="str">
        <x:v>Tin: countries are global production or processing leaders for the reference period, not the contractual origin of a specific component. Relevance and mass depend on technology design, grade, chemistry, recycling and supplier chain.</x:v>
      </x:c>
    </x:row>
    <x:row r="100" ht="42" customHeight="1">
      <x:c r="A100" s="2" t="str">
        <x:v>Tin</x:v>
      </x:c>
      <x:c r="B100" s="2" t="str">
        <x:v>Electronics strategic metal</x:v>
      </x:c>
      <x:c r="C100" s="2" t="str">
        <x:v>Refining / processing</x:v>
      </x:c>
      <x:c r="D100" s="2" t="str">
        <x:v>Malaysia</x:v>
      </x:c>
      <x:c r="E100" s="2" t="str">
        <x:v>MYS</x:v>
      </x:c>
      <x:c r="F100" s="2" t="n">
        <x:v>4.2105</x:v>
      </x:c>
      <x:c r="G100" s="2" t="n">
        <x:v>101.9758</x:v>
      </x:c>
      <x:c r="H100" s="2" t="n">
        <x:v>3</x:v>
      </x:c>
      <x:c r="I100" s="2" t="str">
        <x:v>2024–2025</x:v>
      </x:c>
      <x:c r="J100" s="2" t="str">
        <x:v>https://pubs.usgs.gov/periodicals/mcs2026/mcs2026.pdf</x:v>
      </x:c>
      <x:c r="K100" s="2" t="str">
        <x:v>Tin: countries are global production or processing leaders for the reference period, not the contractual origin of a specific component. Relevance and mass depend on technology design, grade, chemistry, recycling and supplier chain.</x:v>
      </x:c>
    </x:row>
    <x:row r="101" ht="42" customHeight="1">
      <x:c r="A101" s="2" t="str">
        <x:v>Tantalum</x:v>
      </x:c>
      <x:c r="B101" s="2" t="str">
        <x:v>Electronics critical mineral</x:v>
      </x:c>
      <x:c r="C101" s="2" t="str">
        <x:v>Extraction / production</x:v>
      </x:c>
      <x:c r="D101" s="2" t="str">
        <x:v>Democratic Republic of the Congo</x:v>
      </x:c>
      <x:c r="E101" s="2" t="str">
        <x:v>COD</x:v>
      </x:c>
      <x:c r="F101" s="2" t="n">
        <x:v>-4.0383</x:v>
      </x:c>
      <x:c r="G101" s="2" t="n">
        <x:v>21.7587</x:v>
      </x:c>
      <x:c r="H101" s="2" t="n">
        <x:v>1</x:v>
      </x:c>
      <x:c r="I101" s="2" t="str">
        <x:v>2024–2025</x:v>
      </x:c>
      <x:c r="J101" s="2" t="str">
        <x:v>https://pubs.usgs.gov/periodicals/mcs2026/mcs2026.pdf</x:v>
      </x:c>
      <x:c r="K101" s="2" t="str">
        <x:v>Tantalum: countries are global production or processing leaders for the reference period, not the contractual origin of a specific component. Relevance and mass depend on technology design, grade, chemistry, recycling and supplier chain.</x:v>
      </x:c>
    </x:row>
    <x:row r="102" ht="42" customHeight="1">
      <x:c r="A102" s="2" t="str">
        <x:v>Tantalum</x:v>
      </x:c>
      <x:c r="B102" s="2" t="str">
        <x:v>Electronics critical mineral</x:v>
      </x:c>
      <x:c r="C102" s="2" t="str">
        <x:v>Extraction / production</x:v>
      </x:c>
      <x:c r="D102" s="2" t="str">
        <x:v>Rwanda</x:v>
      </x:c>
      <x:c r="E102" s="2" t="str">
        <x:v>RWA</x:v>
      </x:c>
      <x:c r="F102" s="2" t="n">
        <x:v>-1.9403</x:v>
      </x:c>
      <x:c r="G102" s="2" t="n">
        <x:v>29.8739</x:v>
      </x:c>
      <x:c r="H102" s="2" t="n">
        <x:v>2</x:v>
      </x:c>
      <x:c r="I102" s="2" t="str">
        <x:v>2024–2025</x:v>
      </x:c>
      <x:c r="J102" s="2" t="str">
        <x:v>https://pubs.usgs.gov/periodicals/mcs2026/mcs2026.pdf</x:v>
      </x:c>
      <x:c r="K102" s="2" t="str">
        <x:v>Tantalum: countries are global production or processing leaders for the reference period, not the contractual origin of a specific component. Relevance and mass depend on technology design, grade, chemistry, recycling and supplier chain.</x:v>
      </x:c>
    </x:row>
    <x:row r="103" ht="42" customHeight="1">
      <x:c r="A103" s="2" t="str">
        <x:v>Tantalum</x:v>
      </x:c>
      <x:c r="B103" s="2" t="str">
        <x:v>Electronics critical mineral</x:v>
      </x:c>
      <x:c r="C103" s="2" t="str">
        <x:v>Extraction / production</x:v>
      </x:c>
      <x:c r="D103" s="2" t="str">
        <x:v>Nigeria</x:v>
      </x:c>
      <x:c r="E103" s="2" t="str">
        <x:v>NGA</x:v>
      </x:c>
      <x:c r="F103" s="2" t="n">
        <x:v>9.082</x:v>
      </x:c>
      <x:c r="G103" s="2" t="n">
        <x:v>8.6753</x:v>
      </x:c>
      <x:c r="H103" s="2" t="n">
        <x:v>3</x:v>
      </x:c>
      <x:c r="I103" s="2" t="str">
        <x:v>2024–2025</x:v>
      </x:c>
      <x:c r="J103" s="2" t="str">
        <x:v>https://pubs.usgs.gov/periodicals/mcs2026/mcs2026.pdf</x:v>
      </x:c>
      <x:c r="K103" s="2" t="str">
        <x:v>Tantalum: countries are global production or processing leaders for the reference period, not the contractual origin of a specific component. Relevance and mass depend on technology design, grade, chemistry, recycling and supplier chain.</x:v>
      </x:c>
    </x:row>
    <x:row r="104" ht="42" customHeight="1">
      <x:c r="A104" s="2" t="str">
        <x:v>Tantalum</x:v>
      </x:c>
      <x:c r="B104" s="2" t="str">
        <x:v>Electronics critical mineral</x:v>
      </x:c>
      <x:c r="C104" s="2" t="str">
        <x:v>Refining / processing</x:v>
      </x:c>
      <x:c r="D104" s="2" t="str">
        <x:v>China</x:v>
      </x:c>
      <x:c r="E104" s="2" t="str">
        <x:v>CHN</x:v>
      </x:c>
      <x:c r="F104" s="2" t="n">
        <x:v>35.8617</x:v>
      </x:c>
      <x:c r="G104" s="2" t="n">
        <x:v>104.1954</x:v>
      </x:c>
      <x:c r="H104" s="2" t="n">
        <x:v>1</x:v>
      </x:c>
      <x:c r="I104" s="2" t="str">
        <x:v>2024–2025</x:v>
      </x:c>
      <x:c r="J104" s="2" t="str">
        <x:v>https://pubs.usgs.gov/periodicals/mcs2026/mcs2026.pdf</x:v>
      </x:c>
      <x:c r="K104" s="2" t="str">
        <x:v>Tantalum: countries are global production or processing leaders for the reference period, not the contractual origin of a specific component. Relevance and mass depend on technology design, grade, chemistry, recycling and supplier chain.</x:v>
      </x:c>
    </x:row>
    <x:row r="105" ht="42" customHeight="1">
      <x:c r="A105" s="2" t="str">
        <x:v>Tantalum</x:v>
      </x:c>
      <x:c r="B105" s="2" t="str">
        <x:v>Electronics critical mineral</x:v>
      </x:c>
      <x:c r="C105" s="2" t="str">
        <x:v>Refining / processing</x:v>
      </x:c>
      <x:c r="D105" s="2" t="str">
        <x:v>Germany</x:v>
      </x:c>
      <x:c r="E105" s="2" t="str">
        <x:v>DEU</x:v>
      </x:c>
      <x:c r="F105" s="2" t="n">
        <x:v>51.1657</x:v>
      </x:c>
      <x:c r="G105" s="2" t="n">
        <x:v>10.4515</x:v>
      </x:c>
      <x:c r="H105" s="2" t="n">
        <x:v>2</x:v>
      </x:c>
      <x:c r="I105" s="2" t="str">
        <x:v>2024–2025</x:v>
      </x:c>
      <x:c r="J105" s="2" t="str">
        <x:v>https://pubs.usgs.gov/periodicals/mcs2026/mcs2026.pdf</x:v>
      </x:c>
      <x:c r="K105" s="2" t="str">
        <x:v>Tantalum: countries are global production or processing leaders for the reference period, not the contractual origin of a specific component. Relevance and mass depend on technology design, grade, chemistry, recycling and supplier chain.</x:v>
      </x:c>
    </x:row>
    <x:row r="106" ht="42" customHeight="1">
      <x:c r="A106" s="2" t="str">
        <x:v>Tantalum</x:v>
      </x:c>
      <x:c r="B106" s="2" t="str">
        <x:v>Electronics critical mineral</x:v>
      </x:c>
      <x:c r="C106" s="2" t="str">
        <x:v>Refining / processing</x:v>
      </x:c>
      <x:c r="D106" s="2" t="str">
        <x:v>United States</x:v>
      </x:c>
      <x:c r="E106" s="2" t="str">
        <x:v>USA</x:v>
      </x:c>
      <x:c r="F106" s="2" t="n">
        <x:v>37.0902</x:v>
      </x:c>
      <x:c r="G106" s="2" t="n">
        <x:v>-95.7129</x:v>
      </x:c>
      <x:c r="H106" s="2" t="n">
        <x:v>3</x:v>
      </x:c>
      <x:c r="I106" s="2" t="str">
        <x:v>2024–2025</x:v>
      </x:c>
      <x:c r="J106" s="2" t="str">
        <x:v>https://pubs.usgs.gov/periodicals/mcs2026/mcs2026.pdf</x:v>
      </x:c>
      <x:c r="K106" s="2" t="str">
        <x:v>Tantalum: countries are global production or processing leaders for the reference period, not the contractual origin of a specific component. Relevance and mass depend on technology design, grade, chemistry, recycling and supplier chain.</x:v>
      </x:c>
    </x:row>
    <x:row r="107" ht="42" customHeight="1">
      <x:c r="A107" s="2" t="str">
        <x:v>Phosphate rock</x:v>
      </x:c>
      <x:c r="B107" s="2" t="str">
        <x:v>Agricultural strategic mineral</x:v>
      </x:c>
      <x:c r="C107" s="2" t="str">
        <x:v>Extraction / production</x:v>
      </x:c>
      <x:c r="D107" s="2" t="str">
        <x:v>China</x:v>
      </x:c>
      <x:c r="E107" s="2" t="str">
        <x:v>CHN</x:v>
      </x:c>
      <x:c r="F107" s="2" t="n">
        <x:v>35.8617</x:v>
      </x:c>
      <x:c r="G107" s="2" t="n">
        <x:v>104.1954</x:v>
      </x:c>
      <x:c r="H107" s="2" t="n">
        <x:v>1</x:v>
      </x:c>
      <x:c r="I107" s="2" t="str">
        <x:v>2024–2025</x:v>
      </x:c>
      <x:c r="J107" s="2" t="str">
        <x:v>https://pubs.usgs.gov/periodicals/mcs2026/mcs2026.pdf</x:v>
      </x:c>
      <x:c r="K107" s="2" t="str">
        <x:v>Phosphate rock: countries are global production or processing leaders for the reference period, not the contractual origin of a specific component. Relevance and mass depend on technology design, grade, chemistry, recycling and supplier chain.</x:v>
      </x:c>
    </x:row>
    <x:row r="108" ht="42" customHeight="1">
      <x:c r="A108" s="2" t="str">
        <x:v>Phosphate rock</x:v>
      </x:c>
      <x:c r="B108" s="2" t="str">
        <x:v>Agricultural strategic mineral</x:v>
      </x:c>
      <x:c r="C108" s="2" t="str">
        <x:v>Extraction / production</x:v>
      </x:c>
      <x:c r="D108" s="2" t="str">
        <x:v>Morocco</x:v>
      </x:c>
      <x:c r="E108" s="2" t="str">
        <x:v>MAR</x:v>
      </x:c>
      <x:c r="F108" s="2" t="n">
        <x:v>31.7917</x:v>
      </x:c>
      <x:c r="G108" s="2" t="n">
        <x:v>-7.0926</x:v>
      </x:c>
      <x:c r="H108" s="2" t="n">
        <x:v>2</x:v>
      </x:c>
      <x:c r="I108" s="2" t="str">
        <x:v>2024–2025</x:v>
      </x:c>
      <x:c r="J108" s="2" t="str">
        <x:v>https://pubs.usgs.gov/periodicals/mcs2026/mcs2026.pdf</x:v>
      </x:c>
      <x:c r="K108" s="2" t="str">
        <x:v>Phosphate rock: countries are global production or processing leaders for the reference period, not the contractual origin of a specific component. Relevance and mass depend on technology design, grade, chemistry, recycling and supplier chain.</x:v>
      </x:c>
    </x:row>
    <x:row r="109" ht="42" customHeight="1">
      <x:c r="A109" s="2" t="str">
        <x:v>Phosphate rock</x:v>
      </x:c>
      <x:c r="B109" s="2" t="str">
        <x:v>Agricultural strategic mineral</x:v>
      </x:c>
      <x:c r="C109" s="2" t="str">
        <x:v>Extraction / production</x:v>
      </x:c>
      <x:c r="D109" s="2" t="str">
        <x:v>United States</x:v>
      </x:c>
      <x:c r="E109" s="2" t="str">
        <x:v>USA</x:v>
      </x:c>
      <x:c r="F109" s="2" t="n">
        <x:v>37.0902</x:v>
      </x:c>
      <x:c r="G109" s="2" t="n">
        <x:v>-95.7129</x:v>
      </x:c>
      <x:c r="H109" s="2" t="n">
        <x:v>3</x:v>
      </x:c>
      <x:c r="I109" s="2" t="str">
        <x:v>2024–2025</x:v>
      </x:c>
      <x:c r="J109" s="2" t="str">
        <x:v>https://pubs.usgs.gov/periodicals/mcs2026/mcs2026.pdf</x:v>
      </x:c>
      <x:c r="K109" s="2" t="str">
        <x:v>Phosphate rock: countries are global production or processing leaders for the reference period, not the contractual origin of a specific component. Relevance and mass depend on technology design, grade, chemistry, recycling and supplier chain.</x:v>
      </x:c>
    </x:row>
    <x:row r="110" ht="42" customHeight="1">
      <x:c r="A110" s="2" t="str">
        <x:v>Phosphate rock</x:v>
      </x:c>
      <x:c r="B110" s="2" t="str">
        <x:v>Agricultural strategic mineral</x:v>
      </x:c>
      <x:c r="C110" s="2" t="str">
        <x:v>Refining / processing</x:v>
      </x:c>
      <x:c r="D110" s="2" t="str">
        <x:v>China</x:v>
      </x:c>
      <x:c r="E110" s="2" t="str">
        <x:v>CHN</x:v>
      </x:c>
      <x:c r="F110" s="2" t="n">
        <x:v>35.8617</x:v>
      </x:c>
      <x:c r="G110" s="2" t="n">
        <x:v>104.1954</x:v>
      </x:c>
      <x:c r="H110" s="2" t="n">
        <x:v>1</x:v>
      </x:c>
      <x:c r="I110" s="2" t="str">
        <x:v>2024–2025</x:v>
      </x:c>
      <x:c r="J110" s="2" t="str">
        <x:v>https://pubs.usgs.gov/periodicals/mcs2026/mcs2026.pdf</x:v>
      </x:c>
      <x:c r="K110" s="2" t="str">
        <x:v>Phosphate rock: countries are global production or processing leaders for the reference period, not the contractual origin of a specific component. Relevance and mass depend on technology design, grade, chemistry, recycling and supplier chain.</x:v>
      </x:c>
    </x:row>
    <x:row r="111" ht="42" customHeight="1">
      <x:c r="A111" s="2" t="str">
        <x:v>Phosphate rock</x:v>
      </x:c>
      <x:c r="B111" s="2" t="str">
        <x:v>Agricultural strategic mineral</x:v>
      </x:c>
      <x:c r="C111" s="2" t="str">
        <x:v>Refining / processing</x:v>
      </x:c>
      <x:c r="D111" s="2" t="str">
        <x:v>Morocco</x:v>
      </x:c>
      <x:c r="E111" s="2" t="str">
        <x:v>MAR</x:v>
      </x:c>
      <x:c r="F111" s="2" t="n">
        <x:v>31.7917</x:v>
      </x:c>
      <x:c r="G111" s="2" t="n">
        <x:v>-7.0926</x:v>
      </x:c>
      <x:c r="H111" s="2" t="n">
        <x:v>2</x:v>
      </x:c>
      <x:c r="I111" s="2" t="str">
        <x:v>2024–2025</x:v>
      </x:c>
      <x:c r="J111" s="2" t="str">
        <x:v>https://pubs.usgs.gov/periodicals/mcs2026/mcs2026.pdf</x:v>
      </x:c>
      <x:c r="K111" s="2" t="str">
        <x:v>Phosphate rock: countries are global production or processing leaders for the reference period, not the contractual origin of a specific component. Relevance and mass depend on technology design, grade, chemistry, recycling and supplier chain.</x:v>
      </x:c>
    </x:row>
    <x:row r="112" ht="42" customHeight="1">
      <x:c r="A112" s="2" t="str">
        <x:v>Phosphate rock</x:v>
      </x:c>
      <x:c r="B112" s="2" t="str">
        <x:v>Agricultural strategic mineral</x:v>
      </x:c>
      <x:c r="C112" s="2" t="str">
        <x:v>Refining / processing</x:v>
      </x:c>
      <x:c r="D112" s="2" t="str">
        <x:v>United States</x:v>
      </x:c>
      <x:c r="E112" s="2" t="str">
        <x:v>USA</x:v>
      </x:c>
      <x:c r="F112" s="2" t="n">
        <x:v>37.0902</x:v>
      </x:c>
      <x:c r="G112" s="2" t="n">
        <x:v>-95.7129</x:v>
      </x:c>
      <x:c r="H112" s="2" t="n">
        <x:v>3</x:v>
      </x:c>
      <x:c r="I112" s="2" t="str">
        <x:v>2024–2025</x:v>
      </x:c>
      <x:c r="J112" s="2" t="str">
        <x:v>https://pubs.usgs.gov/periodicals/mcs2026/mcs2026.pdf</x:v>
      </x:c>
      <x:c r="K112" s="2" t="str">
        <x:v>Phosphate rock: countries are global production or processing leaders for the reference period, not the contractual origin of a specific component. Relevance and mass depend on technology design, grade, chemistry, recycling and supplier chain.</x:v>
      </x:c>
    </x:row>
    <x:row r="113" ht="42" customHeight="1">
      <x:c r="A113" s="2" t="str">
        <x:v>Potash</x:v>
      </x:c>
      <x:c r="B113" s="2" t="str">
        <x:v>Agricultural strategic mineral</x:v>
      </x:c>
      <x:c r="C113" s="2" t="str">
        <x:v>Extraction / production</x:v>
      </x:c>
      <x:c r="D113" s="2" t="str">
        <x:v>Canada</x:v>
      </x:c>
      <x:c r="E113" s="2" t="str">
        <x:v>CAN</x:v>
      </x:c>
      <x:c r="F113" s="2" t="n">
        <x:v>56.1304</x:v>
      </x:c>
      <x:c r="G113" s="2" t="n">
        <x:v>-106.3468</x:v>
      </x:c>
      <x:c r="H113" s="2" t="n">
        <x:v>1</x:v>
      </x:c>
      <x:c r="I113" s="2" t="str">
        <x:v>2024–2025</x:v>
      </x:c>
      <x:c r="J113" s="2" t="str">
        <x:v>https://pubs.usgs.gov/periodicals/mcs2026/mcs2026.pdf</x:v>
      </x:c>
      <x:c r="K113" s="2" t="str">
        <x:v>Potash: countries are global production or processing leaders for the reference period, not the contractual origin of a specific component. Relevance and mass depend on technology design, grade, chemistry, recycling and supplier chain.</x:v>
      </x:c>
    </x:row>
    <x:row r="114" ht="42" customHeight="1">
      <x:c r="A114" s="2" t="str">
        <x:v>Potash</x:v>
      </x:c>
      <x:c r="B114" s="2" t="str">
        <x:v>Agricultural strategic mineral</x:v>
      </x:c>
      <x:c r="C114" s="2" t="str">
        <x:v>Extraction / production</x:v>
      </x:c>
      <x:c r="D114" s="2" t="str">
        <x:v>Russia</x:v>
      </x:c>
      <x:c r="E114" s="2" t="str">
        <x:v>RUS</x:v>
      </x:c>
      <x:c r="F114" s="2" t="n">
        <x:v>61.524</x:v>
      </x:c>
      <x:c r="G114" s="2" t="n">
        <x:v>105.3188</x:v>
      </x:c>
      <x:c r="H114" s="2" t="n">
        <x:v>2</x:v>
      </x:c>
      <x:c r="I114" s="2" t="str">
        <x:v>2024–2025</x:v>
      </x:c>
      <x:c r="J114" s="2" t="str">
        <x:v>https://pubs.usgs.gov/periodicals/mcs2026/mcs2026.pdf</x:v>
      </x:c>
      <x:c r="K114" s="2" t="str">
        <x:v>Potash: countries are global production or processing leaders for the reference period, not the contractual origin of a specific component. Relevance and mass depend on technology design, grade, chemistry, recycling and supplier chain.</x:v>
      </x:c>
    </x:row>
    <x:row r="115" ht="42" customHeight="1">
      <x:c r="A115" s="2" t="str">
        <x:v>Potash</x:v>
      </x:c>
      <x:c r="B115" s="2" t="str">
        <x:v>Agricultural strategic mineral</x:v>
      </x:c>
      <x:c r="C115" s="2" t="str">
        <x:v>Extraction / production</x:v>
      </x:c>
      <x:c r="D115" s="2" t="str">
        <x:v>Belarus</x:v>
      </x:c>
      <x:c r="E115" s="2" t="str">
        <x:v>BLR</x:v>
      </x:c>
      <x:c r="F115" s="2" t="n">
        <x:v>53.7098</x:v>
      </x:c>
      <x:c r="G115" s="2" t="n">
        <x:v>27.9534</x:v>
      </x:c>
      <x:c r="H115" s="2" t="n">
        <x:v>3</x:v>
      </x:c>
      <x:c r="I115" s="2" t="str">
        <x:v>2024–2025</x:v>
      </x:c>
      <x:c r="J115" s="2" t="str">
        <x:v>https://pubs.usgs.gov/periodicals/mcs2026/mcs2026.pdf</x:v>
      </x:c>
      <x:c r="K115" s="2" t="str">
        <x:v>Potash: countries are global production or processing leaders for the reference period, not the contractual origin of a specific component. Relevance and mass depend on technology design, grade, chemistry, recycling and supplier chain.</x:v>
      </x:c>
    </x:row>
    <x:row r="116" ht="42" customHeight="1">
      <x:c r="A116" s="2" t="str">
        <x:v>Potash</x:v>
      </x:c>
      <x:c r="B116" s="2" t="str">
        <x:v>Agricultural strategic mineral</x:v>
      </x:c>
      <x:c r="C116" s="2" t="str">
        <x:v>Refining / processing</x:v>
      </x:c>
      <x:c r="D116" s="2" t="str">
        <x:v>Canada</x:v>
      </x:c>
      <x:c r="E116" s="2" t="str">
        <x:v>CAN</x:v>
      </x:c>
      <x:c r="F116" s="2" t="n">
        <x:v>56.1304</x:v>
      </x:c>
      <x:c r="G116" s="2" t="n">
        <x:v>-106.3468</x:v>
      </x:c>
      <x:c r="H116" s="2" t="n">
        <x:v>1</x:v>
      </x:c>
      <x:c r="I116" s="2" t="str">
        <x:v>2024–2025</x:v>
      </x:c>
      <x:c r="J116" s="2" t="str">
        <x:v>https://pubs.usgs.gov/periodicals/mcs2026/mcs2026.pdf</x:v>
      </x:c>
      <x:c r="K116" s="2" t="str">
        <x:v>Potash: countries are global production or processing leaders for the reference period, not the contractual origin of a specific component. Relevance and mass depend on technology design, grade, chemistry, recycling and supplier chain.</x:v>
      </x:c>
    </x:row>
    <x:row r="117" ht="42" customHeight="1">
      <x:c r="A117" s="2" t="str">
        <x:v>Potash</x:v>
      </x:c>
      <x:c r="B117" s="2" t="str">
        <x:v>Agricultural strategic mineral</x:v>
      </x:c>
      <x:c r="C117" s="2" t="str">
        <x:v>Refining / processing</x:v>
      </x:c>
      <x:c r="D117" s="2" t="str">
        <x:v>Russia</x:v>
      </x:c>
      <x:c r="E117" s="2" t="str">
        <x:v>RUS</x:v>
      </x:c>
      <x:c r="F117" s="2" t="n">
        <x:v>61.524</x:v>
      </x:c>
      <x:c r="G117" s="2" t="n">
        <x:v>105.3188</x:v>
      </x:c>
      <x:c r="H117" s="2" t="n">
        <x:v>2</x:v>
      </x:c>
      <x:c r="I117" s="2" t="str">
        <x:v>2024–2025</x:v>
      </x:c>
      <x:c r="J117" s="2" t="str">
        <x:v>https://pubs.usgs.gov/periodicals/mcs2026/mcs2026.pdf</x:v>
      </x:c>
      <x:c r="K117" s="2" t="str">
        <x:v>Potash: countries are global production or processing leaders for the reference period, not the contractual origin of a specific component. Relevance and mass depend on technology design, grade, chemistry, recycling and supplier chain.</x:v>
      </x:c>
    </x:row>
    <x:row r="118" ht="42" customHeight="1">
      <x:c r="A118" s="2" t="str">
        <x:v>Potash</x:v>
      </x:c>
      <x:c r="B118" s="2" t="str">
        <x:v>Agricultural strategic mineral</x:v>
      </x:c>
      <x:c r="C118" s="2" t="str">
        <x:v>Refining / processing</x:v>
      </x:c>
      <x:c r="D118" s="2" t="str">
        <x:v>Belarus</x:v>
      </x:c>
      <x:c r="E118" s="2" t="str">
        <x:v>BLR</x:v>
      </x:c>
      <x:c r="F118" s="2" t="n">
        <x:v>53.7098</x:v>
      </x:c>
      <x:c r="G118" s="2" t="n">
        <x:v>27.9534</x:v>
      </x:c>
      <x:c r="H118" s="2" t="n">
        <x:v>3</x:v>
      </x:c>
      <x:c r="I118" s="2" t="str">
        <x:v>2024–2025</x:v>
      </x:c>
      <x:c r="J118" s="2" t="str">
        <x:v>https://pubs.usgs.gov/periodicals/mcs2026/mcs2026.pdf</x:v>
      </x:c>
      <x:c r="K118" s="2" t="str">
        <x:v>Potash: countries are global production or processing leaders for the reference period, not the contractual origin of a specific component. Relevance and mass depend on technology design, grade, chemistry, recycling and supplier chain.</x:v>
      </x:c>
    </x:row>
    <x:row r="119" ht="42" customHeight="1">
      <x:c r="A119" s="2" t="str">
        <x:v>Limestone / cement raw materials</x:v>
      </x:c>
      <x:c r="B119" s="2" t="str">
        <x:v>Bulk construction material</x:v>
      </x:c>
      <x:c r="C119" s="2" t="str">
        <x:v>Extraction / production</x:v>
      </x:c>
      <x:c r="D119" s="2" t="str">
        <x:v>China</x:v>
      </x:c>
      <x:c r="E119" s="2" t="str">
        <x:v>CHN</x:v>
      </x:c>
      <x:c r="F119" s="2" t="n">
        <x:v>35.8617</x:v>
      </x:c>
      <x:c r="G119" s="2" t="n">
        <x:v>104.1954</x:v>
      </x:c>
      <x:c r="H119" s="2" t="n">
        <x:v>1</x:v>
      </x:c>
      <x:c r="I119" s="2" t="str">
        <x:v>2024–2025</x:v>
      </x:c>
      <x:c r="J119" s="2" t="str">
        <x:v>https://pubs.usgs.gov/periodicals/mcs2026/mcs2026.pdf</x:v>
      </x:c>
      <x:c r="K119" s="2" t="str">
        <x:v>Limestone / cement raw materials: countries are global production or processing leaders for the reference period, not the contractual origin of a specific component. Relevance and mass depend on technology design, grade, chemistry, recycling and supplier chain.</x:v>
      </x:c>
    </x:row>
    <x:row r="120" ht="42" customHeight="1">
      <x:c r="A120" s="2" t="str">
        <x:v>Limestone / cement raw materials</x:v>
      </x:c>
      <x:c r="B120" s="2" t="str">
        <x:v>Bulk construction material</x:v>
      </x:c>
      <x:c r="C120" s="2" t="str">
        <x:v>Extraction / production</x:v>
      </x:c>
      <x:c r="D120" s="2" t="str">
        <x:v>India</x:v>
      </x:c>
      <x:c r="E120" s="2" t="str">
        <x:v>IND</x:v>
      </x:c>
      <x:c r="F120" s="2" t="n">
        <x:v>20.5937</x:v>
      </x:c>
      <x:c r="G120" s="2" t="n">
        <x:v>78.9629</x:v>
      </x:c>
      <x:c r="H120" s="2" t="n">
        <x:v>2</x:v>
      </x:c>
      <x:c r="I120" s="2" t="str">
        <x:v>2024–2025</x:v>
      </x:c>
      <x:c r="J120" s="2" t="str">
        <x:v>https://pubs.usgs.gov/periodicals/mcs2026/mcs2026.pdf</x:v>
      </x:c>
      <x:c r="K120" s="2" t="str">
        <x:v>Limestone / cement raw materials: countries are global production or processing leaders for the reference period, not the contractual origin of a specific component. Relevance and mass depend on technology design, grade, chemistry, recycling and supplier chain.</x:v>
      </x:c>
    </x:row>
    <x:row r="121" ht="42" customHeight="1">
      <x:c r="A121" s="2" t="str">
        <x:v>Limestone / cement raw materials</x:v>
      </x:c>
      <x:c r="B121" s="2" t="str">
        <x:v>Bulk construction material</x:v>
      </x:c>
      <x:c r="C121" s="2" t="str">
        <x:v>Extraction / production</x:v>
      </x:c>
      <x:c r="D121" s="2" t="str">
        <x:v>Vietnam</x:v>
      </x:c>
      <x:c r="E121" s="2" t="str">
        <x:v>VNM</x:v>
      </x:c>
      <x:c r="F121" s="2" t="n">
        <x:v>14.0583</x:v>
      </x:c>
      <x:c r="G121" s="2" t="n">
        <x:v>108.2772</x:v>
      </x:c>
      <x:c r="H121" s="2" t="n">
        <x:v>3</x:v>
      </x:c>
      <x:c r="I121" s="2" t="str">
        <x:v>2024–2025</x:v>
      </x:c>
      <x:c r="J121" s="2" t="str">
        <x:v>https://pubs.usgs.gov/periodicals/mcs2026/mcs2026.pdf</x:v>
      </x:c>
      <x:c r="K121" s="2" t="str">
        <x:v>Limestone / cement raw materials: countries are global production or processing leaders for the reference period, not the contractual origin of a specific component. Relevance and mass depend on technology design, grade, chemistry, recycling and supplier chain.</x:v>
      </x:c>
    </x:row>
    <x:row r="122" ht="42" customHeight="1">
      <x:c r="A122" s="2" t="str">
        <x:v>Limestone / cement raw materials</x:v>
      </x:c>
      <x:c r="B122" s="2" t="str">
        <x:v>Bulk construction material</x:v>
      </x:c>
      <x:c r="C122" s="2" t="str">
        <x:v>Refining / processing</x:v>
      </x:c>
      <x:c r="D122" s="2" t="str">
        <x:v>China</x:v>
      </x:c>
      <x:c r="E122" s="2" t="str">
        <x:v>CHN</x:v>
      </x:c>
      <x:c r="F122" s="2" t="n">
        <x:v>35.8617</x:v>
      </x:c>
      <x:c r="G122" s="2" t="n">
        <x:v>104.1954</x:v>
      </x:c>
      <x:c r="H122" s="2" t="n">
        <x:v>1</x:v>
      </x:c>
      <x:c r="I122" s="2" t="str">
        <x:v>2024–2025</x:v>
      </x:c>
      <x:c r="J122" s="2" t="str">
        <x:v>https://pubs.usgs.gov/periodicals/mcs2026/mcs2026.pdf</x:v>
      </x:c>
      <x:c r="K122" s="2" t="str">
        <x:v>Limestone / cement raw materials: countries are global production or processing leaders for the reference period, not the contractual origin of a specific component. Relevance and mass depend on technology design, grade, chemistry, recycling and supplier chain.</x:v>
      </x:c>
    </x:row>
    <x:row r="123" ht="42" customHeight="1">
      <x:c r="A123" s="2" t="str">
        <x:v>Limestone / cement raw materials</x:v>
      </x:c>
      <x:c r="B123" s="2" t="str">
        <x:v>Bulk construction material</x:v>
      </x:c>
      <x:c r="C123" s="2" t="str">
        <x:v>Refining / processing</x:v>
      </x:c>
      <x:c r="D123" s="2" t="str">
        <x:v>India</x:v>
      </x:c>
      <x:c r="E123" s="2" t="str">
        <x:v>IND</x:v>
      </x:c>
      <x:c r="F123" s="2" t="n">
        <x:v>20.5937</x:v>
      </x:c>
      <x:c r="G123" s="2" t="n">
        <x:v>78.9629</x:v>
      </x:c>
      <x:c r="H123" s="2" t="n">
        <x:v>2</x:v>
      </x:c>
      <x:c r="I123" s="2" t="str">
        <x:v>2024–2025</x:v>
      </x:c>
      <x:c r="J123" s="2" t="str">
        <x:v>https://pubs.usgs.gov/periodicals/mcs2026/mcs2026.pdf</x:v>
      </x:c>
      <x:c r="K123" s="2" t="str">
        <x:v>Limestone / cement raw materials: countries are global production or processing leaders for the reference period, not the contractual origin of a specific component. Relevance and mass depend on technology design, grade, chemistry, recycling and supplier chain.</x:v>
      </x:c>
    </x:row>
    <x:row r="124" ht="42" customHeight="1">
      <x:c r="A124" s="2" t="str">
        <x:v>Limestone / cement raw materials</x:v>
      </x:c>
      <x:c r="B124" s="2" t="str">
        <x:v>Bulk construction material</x:v>
      </x:c>
      <x:c r="C124" s="2" t="str">
        <x:v>Refining / processing</x:v>
      </x:c>
      <x:c r="D124" s="2" t="str">
        <x:v>Vietnam</x:v>
      </x:c>
      <x:c r="E124" s="2" t="str">
        <x:v>VNM</x:v>
      </x:c>
      <x:c r="F124" s="2" t="n">
        <x:v>14.0583</x:v>
      </x:c>
      <x:c r="G124" s="2" t="n">
        <x:v>108.2772</x:v>
      </x:c>
      <x:c r="H124" s="2" t="n">
        <x:v>3</x:v>
      </x:c>
      <x:c r="I124" s="2" t="str">
        <x:v>2024–2025</x:v>
      </x:c>
      <x:c r="J124" s="2" t="str">
        <x:v>https://pubs.usgs.gov/periodicals/mcs2026/mcs2026.pdf</x:v>
      </x:c>
      <x:c r="K124" s="2" t="str">
        <x:v>Limestone / cement raw materials: countries are global production or processing leaders for the reference period, not the contractual origin of a specific component. Relevance and mass depend on technology design, grade, chemistry, recycling and supplier chain.</x:v>
      </x:c>
    </x:row>
  </x:sheetData>
  <x:mergeCells>
    <x:mergeCell ref="A1:K1"/>
    <x:mergeCell ref="A2:K2"/>
  </x:mergeCells>
  <x:pageMargins left="0.7" right="0.7" top="0.75" bottom="0.75" header="0.3" footer="0.3"/>
  <x:tableParts count="1">
    <x:tablePart xmlns:r="http://schemas.openxmlformats.org/officeDocument/2006/relationships" r:id="Rb9e3dd8978dd4c2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45" hidden="0" customWidth="1"/>
    <x:col min="4" max="4" width="48" hidden="0" customWidth="1"/>
    <x:col min="5" max="5" width="48" hidden="0" customWidth="1"/>
    <x:col min="6" max="6" width="18" hidden="0" customWidth="1"/>
    <x:col min="7" max="7" width="55" hidden="0" customWidth="1"/>
    <x:col min="8" max="8" width="62" hidden="0" customWidth="1"/>
  </x:cols>
  <x:sheetData>
    <x:row r="1">
      <x:c r="A1" s="4" t="str">
        <x:v>CATALOGUE OF RAW MATERIALS AND REFERENCE COUNTRIES</x:v>
      </x:c>
      <x:c r="B1" s="4"/>
      <x:c r="C1" s="4"/>
      <x:c r="D1" s="4"/>
      <x:c r="E1" s="4"/>
      <x:c r="F1" s="4"/>
      <x:c r="G1" s="4"/>
      <x:c r="H1" s="4"/>
    </x:row>
    <x:row r="2">
      <x:c r="A2" s="9" t="str">
        <x:v>Analytical catalogue used for component-based material assignments. Update periodically; it does not replace supplier traceability or a verified bill of materials.</x:v>
      </x:c>
      <x:c r="B2" s="9"/>
      <x:c r="C2" s="9"/>
      <x:c r="D2" s="9"/>
      <x:c r="E2" s="9"/>
      <x:c r="F2" s="9"/>
      <x:c r="G2" s="9"/>
      <x:c r="H2" s="9"/>
    </x:row>
    <x:row r="4">
      <x:c r="A4" s="83" t="str">
        <x:v>Raw material</x:v>
      </x:c>
      <x:c r="B4" s="83" t="str">
        <x:v>Category</x:v>
      </x:c>
      <x:c r="C4" s="83" t="str">
        <x:v>Search terms</x:v>
      </x:c>
      <x:c r="D4" s="83" t="str">
        <x:v>Extraction / production countries</x:v>
      </x:c>
      <x:c r="E4" s="83" t="str">
        <x:v>Refining / processing countries</x:v>
      </x:c>
      <x:c r="F4" s="83" t="str">
        <x:v>Reference year</x:v>
      </x:c>
      <x:c r="G4" s="83" t="str">
        <x:v>Source</x:v>
      </x:c>
      <x:c r="H4" s="83" t="str">
        <x:v>Criterion / warning</x:v>
      </x:c>
    </x:row>
    <x:row r="5" ht="49.5" customHeight="1">
      <x:c r="A5" s="2" t="str">
        <x:v>Iron ore / steel inputs</x:v>
      </x:c>
      <x:c r="B5" s="2" t="str">
        <x:v>Bulk and strategic mineral input</x:v>
      </x:c>
      <x:c r="C5" s="2" t="str">
        <x:v>Iron ore / steel inputs; Bulk and strategic mineral input</x:v>
      </x:c>
      <x:c r="D5" s="2" t="str">
        <x:v>Australia; Brazil; China</x:v>
      </x:c>
      <x:c r="E5" s="2" t="str">
        <x:v>China; India; Japan</x:v>
      </x:c>
      <x:c r="F5" s="2" t="str">
        <x:v>2024–2025</x:v>
      </x:c>
      <x:c r="G5" s="2" t="str">
        <x:v>https://pubs.usgs.gov/periodicals/mcs2026/mcs2026.pdf</x:v>
      </x:c>
      <x:c r="H5" s="2" t="str">
        <x:v>Iron ore / steel inputs: countries are global production or processing leaders for the reference period, not the contractual origin of a specific component. Relevance and mass depend on technology design, grade, chemistry, recycling and supplier chain.</x:v>
      </x:c>
    </x:row>
    <x:row r="6" ht="49.5" customHeight="1">
      <x:c r="A6" s="2" t="str">
        <x:v>Bauxite / aluminium</x:v>
      </x:c>
      <x:c r="B6" s="2" t="str">
        <x:v>Strategic metal</x:v>
      </x:c>
      <x:c r="C6" s="2" t="str">
        <x:v>Bauxite / aluminium; Strategic metal</x:v>
      </x:c>
      <x:c r="D6" s="2" t="str">
        <x:v>Guinea; Australia; China</x:v>
      </x:c>
      <x:c r="E6" s="2" t="str">
        <x:v>China; India; Russia</x:v>
      </x:c>
      <x:c r="F6" s="2" t="str">
        <x:v>2024–2025</x:v>
      </x:c>
      <x:c r="G6" s="2" t="str">
        <x:v>https://pubs.usgs.gov/periodicals/mcs2026/mcs2026.pdf</x:v>
      </x:c>
      <x:c r="H6" s="2" t="str">
        <x:v>Bauxite / aluminium: countries are global production or processing leaders for the reference period, not the contractual origin of a specific component. Relevance and mass depend on technology design, grade, chemistry, recycling and supplier chain.</x:v>
      </x:c>
    </x:row>
    <x:row r="7" ht="49.5" customHeight="1">
      <x:c r="A7" s="2" t="str">
        <x:v>Copper</x:v>
      </x:c>
      <x:c r="B7" s="2" t="str">
        <x:v>Critical or strategic metal</x:v>
      </x:c>
      <x:c r="C7" s="2" t="str">
        <x:v>Copper; Critical or strategic metal</x:v>
      </x:c>
      <x:c r="D7" s="2" t="str">
        <x:v>Chile; Democratic Republic of the Congo; Peru</x:v>
      </x:c>
      <x:c r="E7" s="2" t="str">
        <x:v>China; Chile; Democratic Republic of the Congo</x:v>
      </x:c>
      <x:c r="F7" s="2" t="str">
        <x:v>2024–2025</x:v>
      </x:c>
      <x:c r="G7" s="2" t="str">
        <x:v>https://pubs.usgs.gov/periodicals/mcs2026/mcs2026.pdf</x:v>
      </x:c>
      <x:c r="H7" s="2" t="str">
        <x:v>Copper: countries are global production or processing leaders for the reference period, not the contractual origin of a specific component. Relevance and mass depend on technology design, grade, chemistry, recycling and supplier chain.</x:v>
      </x:c>
    </x:row>
    <x:row r="8" ht="49.5" customHeight="1">
      <x:c r="A8" s="2" t="str">
        <x:v>Lithium</x:v>
      </x:c>
      <x:c r="B8" s="2" t="str">
        <x:v>Battery critical mineral</x:v>
      </x:c>
      <x:c r="C8" s="2" t="str">
        <x:v>Lithium; Battery critical mineral</x:v>
      </x:c>
      <x:c r="D8" s="2" t="str">
        <x:v>Australia; Chile; China</x:v>
      </x:c>
      <x:c r="E8" s="2" t="str">
        <x:v>China; Chile; Argentina</x:v>
      </x:c>
      <x:c r="F8" s="2" t="str">
        <x:v>2024–2025</x:v>
      </x:c>
      <x:c r="G8" s="2" t="str">
        <x:v>https://www.iea.org/reports/global-critical-minerals-outlook-2025</x:v>
      </x:c>
      <x:c r="H8" s="2" t="str">
        <x:v>Lithium: countries are global production or processing leaders for the reference period, not the contractual origin of a specific component. Relevance and mass depend on technology design, grade, chemistry, recycling and supplier chain.</x:v>
      </x:c>
    </x:row>
    <x:row r="9" ht="49.5" customHeight="1">
      <x:c r="A9" s="2" t="str">
        <x:v>Nickel</x:v>
      </x:c>
      <x:c r="B9" s="2" t="str">
        <x:v>Battery and alloy critical mineral</x:v>
      </x:c>
      <x:c r="C9" s="2" t="str">
        <x:v>Nickel; Battery and alloy critical mineral</x:v>
      </x:c>
      <x:c r="D9" s="2" t="str">
        <x:v>Indonesia; Philippines; Russia</x:v>
      </x:c>
      <x:c r="E9" s="2" t="str">
        <x:v>China; Indonesia; Japan</x:v>
      </x:c>
      <x:c r="F9" s="2" t="str">
        <x:v>2024–2025</x:v>
      </x:c>
      <x:c r="G9" s="2" t="str">
        <x:v>https://www.iea.org/reports/global-critical-minerals-outlook-2025</x:v>
      </x:c>
      <x:c r="H9" s="2" t="str">
        <x:v>Nickel: countries are global production or processing leaders for the reference period, not the contractual origin of a specific component. Relevance and mass depend on technology design, grade, chemistry, recycling and supplier chain.</x:v>
      </x:c>
    </x:row>
    <x:row r="10" ht="49.5" customHeight="1">
      <x:c r="A10" s="2" t="str">
        <x:v>Cobalt</x:v>
      </x:c>
      <x:c r="B10" s="2" t="str">
        <x:v>Battery and catalyst critical mineral</x:v>
      </x:c>
      <x:c r="C10" s="2" t="str">
        <x:v>Cobalt; Battery and catalyst critical mineral</x:v>
      </x:c>
      <x:c r="D10" s="2" t="str">
        <x:v>Democratic Republic of the Congo; Indonesia; Russia</x:v>
      </x:c>
      <x:c r="E10" s="2" t="str">
        <x:v>China; Finland; Canada</x:v>
      </x:c>
      <x:c r="F10" s="2" t="str">
        <x:v>2024–2025</x:v>
      </x:c>
      <x:c r="G10" s="2" t="str">
        <x:v>https://www.iea.org/reports/global-critical-minerals-outlook-2025</x:v>
      </x:c>
      <x:c r="H10" s="2" t="str">
        <x:v>Cobalt: countries are global production or processing leaders for the reference period, not the contractual origin of a specific component. Relevance and mass depend on technology design, grade, chemistry, recycling and supplier chain.</x:v>
      </x:c>
    </x:row>
    <x:row r="11" ht="49.5" customHeight="1">
      <x:c r="A11" s="2" t="str">
        <x:v>Natural graphite</x:v>
      </x:c>
      <x:c r="B11" s="2" t="str">
        <x:v>Battery critical mineral</x:v>
      </x:c>
      <x:c r="C11" s="2" t="str">
        <x:v>Natural graphite; Battery critical mineral</x:v>
      </x:c>
      <x:c r="D11" s="2" t="str">
        <x:v>China; Madagascar; Mozambique</x:v>
      </x:c>
      <x:c r="E11" s="2" t="str">
        <x:v>China; Japan; South Korea</x:v>
      </x:c>
      <x:c r="F11" s="2" t="str">
        <x:v>2024–2025</x:v>
      </x:c>
      <x:c r="G11" s="2" t="str">
        <x:v>https://www.iea.org/reports/global-critical-minerals-outlook-2025</x:v>
      </x:c>
      <x:c r="H11" s="2" t="str">
        <x:v>Natural graphite: countries are global production or processing leaders for the reference period, not the contractual origin of a specific component. Relevance and mass depend on technology design, grade, chemistry, recycling and supplier chain.</x:v>
      </x:c>
    </x:row>
    <x:row r="12" ht="49.5" customHeight="1">
      <x:c r="A12" s="2" t="str">
        <x:v>Manganese</x:v>
      </x:c>
      <x:c r="B12" s="2" t="str">
        <x:v>Battery and alloy strategic mineral</x:v>
      </x:c>
      <x:c r="C12" s="2" t="str">
        <x:v>Manganese; Battery and alloy strategic mineral</x:v>
      </x:c>
      <x:c r="D12" s="2" t="str">
        <x:v>South Africa; Gabon; Ghana</x:v>
      </x:c>
      <x:c r="E12" s="2" t="str">
        <x:v>China; South Africa; Australia</x:v>
      </x:c>
      <x:c r="F12" s="2" t="str">
        <x:v>2024–2025</x:v>
      </x:c>
      <x:c r="G12" s="2" t="str">
        <x:v>https://pubs.usgs.gov/periodicals/mcs2026/mcs2026.pdf</x:v>
      </x:c>
      <x:c r="H12" s="2" t="str">
        <x:v>Manganese: countries are global production or processing leaders for the reference period, not the contractual origin of a specific component. Relevance and mass depend on technology design, grade, chemistry, recycling and supplier chain.</x:v>
      </x:c>
    </x:row>
    <x:row r="13" ht="49.5" customHeight="1">
      <x:c r="A13" s="2" t="str">
        <x:v>Rare earth elements</x:v>
      </x:c>
      <x:c r="B13" s="2" t="str">
        <x:v>Magnet critical minerals</x:v>
      </x:c>
      <x:c r="C13" s="2" t="str">
        <x:v>Rare earth elements; Magnet critical minerals</x:v>
      </x:c>
      <x:c r="D13" s="2" t="str">
        <x:v>China; United States; Myanmar</x:v>
      </x:c>
      <x:c r="E13" s="2" t="str">
        <x:v>China; Malaysia; Estonia</x:v>
      </x:c>
      <x:c r="F13" s="2" t="str">
        <x:v>2024–2025</x:v>
      </x:c>
      <x:c r="G13" s="2" t="str">
        <x:v>https://www.iea.org/reports/global-critical-minerals-outlook-2025</x:v>
      </x:c>
      <x:c r="H13" s="2" t="str">
        <x:v>Rare earth elements: countries are global production or processing leaders for the reference period, not the contractual origin of a specific component. Relevance and mass depend on technology design, grade, chemistry, recycling and supplier chain.</x:v>
      </x:c>
    </x:row>
    <x:row r="14" ht="49.5" customHeight="1">
      <x:c r="A14" s="2" t="str">
        <x:v>Silicon metal / polysilicon</x:v>
      </x:c>
      <x:c r="B14" s="2" t="str">
        <x:v>Solar and electronics strategic material</x:v>
      </x:c>
      <x:c r="C14" s="2" t="str">
        <x:v>Silicon metal / polysilicon; Solar and electronics strategic material</x:v>
      </x:c>
      <x:c r="D14" s="2" t="str">
        <x:v>China; Brazil; Norway</x:v>
      </x:c>
      <x:c r="E14" s="2" t="str">
        <x:v>China; Germany; Japan</x:v>
      </x:c>
      <x:c r="F14" s="2" t="str">
        <x:v>2024–2025</x:v>
      </x:c>
      <x:c r="G14" s="2" t="str">
        <x:v>https://pubs.usgs.gov/periodicals/mcs2026/mcs2026.pdf</x:v>
      </x:c>
      <x:c r="H14" s="2" t="str">
        <x:v>Silicon metal / polysilicon: countries are global production or processing leaders for the reference period, not the contractual origin of a specific component. Relevance and mass depend on technology design, grade, chemistry, recycling and supplier chain.</x:v>
      </x:c>
    </x:row>
    <x:row r="15" ht="49.5" customHeight="1">
      <x:c r="A15" s="2" t="str">
        <x:v>Silver</x:v>
      </x:c>
      <x:c r="B15" s="2" t="str">
        <x:v>Conductive precious metal</x:v>
      </x:c>
      <x:c r="C15" s="2" t="str">
        <x:v>Silver; Conductive precious metal</x:v>
      </x:c>
      <x:c r="D15" s="2" t="str">
        <x:v>Mexico; China; Peru</x:v>
      </x:c>
      <x:c r="E15" s="2" t="str">
        <x:v>China; Mexico; Peru</x:v>
      </x:c>
      <x:c r="F15" s="2" t="str">
        <x:v>2024–2025</x:v>
      </x:c>
      <x:c r="G15" s="2" t="str">
        <x:v>https://pubs.usgs.gov/periodicals/mcs2026/mcs2026.pdf</x:v>
      </x:c>
      <x:c r="H15" s="2" t="str">
        <x:v>Silver: countries are global production or processing leaders for the reference period, not the contractual origin of a specific component. Relevance and mass depend on technology design, grade, chemistry, recycling and supplier chain.</x:v>
      </x:c>
    </x:row>
    <x:row r="16" ht="49.5" customHeight="1">
      <x:c r="A16" s="2" t="str">
        <x:v>Zinc</x:v>
      </x:c>
      <x:c r="B16" s="2" t="str">
        <x:v>Strategic base metal</x:v>
      </x:c>
      <x:c r="C16" s="2" t="str">
        <x:v>Zinc; Strategic base metal</x:v>
      </x:c>
      <x:c r="D16" s="2" t="str">
        <x:v>China; Peru; Australia</x:v>
      </x:c>
      <x:c r="E16" s="2" t="str">
        <x:v>China; South Korea; India</x:v>
      </x:c>
      <x:c r="F16" s="2" t="str">
        <x:v>2024–2025</x:v>
      </x:c>
      <x:c r="G16" s="2" t="str">
        <x:v>https://pubs.usgs.gov/periodicals/mcs2026/mcs2026.pdf</x:v>
      </x:c>
      <x:c r="H16" s="2" t="str">
        <x:v>Zinc: countries are global production or processing leaders for the reference period, not the contractual origin of a specific component. Relevance and mass depend on technology design, grade, chemistry, recycling and supplier chain.</x:v>
      </x:c>
    </x:row>
    <x:row r="17" ht="49.5" customHeight="1">
      <x:c r="A17" s="2" t="str">
        <x:v>Lead</x:v>
      </x:c>
      <x:c r="B17" s="2" t="str">
        <x:v>Battery and base metal</x:v>
      </x:c>
      <x:c r="C17" s="2" t="str">
        <x:v>Lead; Battery and base metal</x:v>
      </x:c>
      <x:c r="D17" s="2" t="str">
        <x:v>China; Australia; Peru</x:v>
      </x:c>
      <x:c r="E17" s="2" t="str">
        <x:v>China; South Korea; India</x:v>
      </x:c>
      <x:c r="F17" s="2" t="str">
        <x:v>2024–2025</x:v>
      </x:c>
      <x:c r="G17" s="2" t="str">
        <x:v>https://pubs.usgs.gov/periodicals/mcs2026/mcs2026.pdf</x:v>
      </x:c>
      <x:c r="H17" s="2" t="str">
        <x:v>Lead: countries are global production or processing leaders for the reference period, not the contractual origin of a specific component. Relevance and mass depend on technology design, grade, chemistry, recycling and supplier chain.</x:v>
      </x:c>
    </x:row>
    <x:row r="18" ht="49.5" customHeight="1">
      <x:c r="A18" s="2" t="str">
        <x:v>Chromium</x:v>
      </x:c>
      <x:c r="B18" s="2" t="str">
        <x:v>Alloy strategic mineral</x:v>
      </x:c>
      <x:c r="C18" s="2" t="str">
        <x:v>Chromium; Alloy strategic mineral</x:v>
      </x:c>
      <x:c r="D18" s="2" t="str">
        <x:v>South Africa; Kazakhstan; Turkey</x:v>
      </x:c>
      <x:c r="E18" s="2" t="str">
        <x:v>China; South Africa; Kazakhstan</x:v>
      </x:c>
      <x:c r="F18" s="2" t="str">
        <x:v>2024–2025</x:v>
      </x:c>
      <x:c r="G18" s="2" t="str">
        <x:v>https://pubs.usgs.gov/periodicals/mcs2026/mcs2026.pdf</x:v>
      </x:c>
      <x:c r="H18" s="2" t="str">
        <x:v>Chromium: countries are global production or processing leaders for the reference period, not the contractual origin of a specific component. Relevance and mass depend on technology design, grade, chemistry, recycling and supplier chain.</x:v>
      </x:c>
    </x:row>
    <x:row r="19" ht="49.5" customHeight="1">
      <x:c r="A19" s="2" t="str">
        <x:v>Platinum-group metals</x:v>
      </x:c>
      <x:c r="B19" s="2" t="str">
        <x:v>Catalyst critical minerals</x:v>
      </x:c>
      <x:c r="C19" s="2" t="str">
        <x:v>Platinum-group metals; Catalyst critical minerals</x:v>
      </x:c>
      <x:c r="D19" s="2" t="str">
        <x:v>South Africa; Russia; Zimbabwe</x:v>
      </x:c>
      <x:c r="E19" s="2" t="str">
        <x:v>South Africa; Russia; Germany</x:v>
      </x:c>
      <x:c r="F19" s="2" t="str">
        <x:v>2024–2025</x:v>
      </x:c>
      <x:c r="G19" s="2" t="str">
        <x:v>https://pubs.usgs.gov/periodicals/mcs2026/mcs2026.pdf</x:v>
      </x:c>
      <x:c r="H19" s="2" t="str">
        <x:v>Platinum-group metals: countries are global production or processing leaders for the reference period, not the contractual origin of a specific component. Relevance and mass depend on technology design, grade, chemistry, recycling and supplier chain.</x:v>
      </x:c>
    </x:row>
    <x:row r="20" ht="49.5" customHeight="1">
      <x:c r="A20" s="2" t="str">
        <x:v>Tin</x:v>
      </x:c>
      <x:c r="B20" s="2" t="str">
        <x:v>Electronics strategic metal</x:v>
      </x:c>
      <x:c r="C20" s="2" t="str">
        <x:v>Tin; Electronics strategic metal</x:v>
      </x:c>
      <x:c r="D20" s="2" t="str">
        <x:v>China; Indonesia; Myanmar</x:v>
      </x:c>
      <x:c r="E20" s="2" t="str">
        <x:v>China; Indonesia; Malaysia</x:v>
      </x:c>
      <x:c r="F20" s="2" t="str">
        <x:v>2024–2025</x:v>
      </x:c>
      <x:c r="G20" s="2" t="str">
        <x:v>https://pubs.usgs.gov/periodicals/mcs2026/mcs2026.pdf</x:v>
      </x:c>
      <x:c r="H20" s="2" t="str">
        <x:v>Tin: countries are global production or processing leaders for the reference period, not the contractual origin of a specific component. Relevance and mass depend on technology design, grade, chemistry, recycling and supplier chain.</x:v>
      </x:c>
    </x:row>
    <x:row r="21" ht="49.5" customHeight="1">
      <x:c r="A21" s="2" t="str">
        <x:v>Tantalum</x:v>
      </x:c>
      <x:c r="B21" s="2" t="str">
        <x:v>Electronics critical mineral</x:v>
      </x:c>
      <x:c r="C21" s="2" t="str">
        <x:v>Tantalum; Electronics critical mineral</x:v>
      </x:c>
      <x:c r="D21" s="2" t="str">
        <x:v>Democratic Republic of the Congo; Rwanda; Nigeria</x:v>
      </x:c>
      <x:c r="E21" s="2" t="str">
        <x:v>China; Germany; United States</x:v>
      </x:c>
      <x:c r="F21" s="2" t="str">
        <x:v>2024–2025</x:v>
      </x:c>
      <x:c r="G21" s="2" t="str">
        <x:v>https://pubs.usgs.gov/periodicals/mcs2026/mcs2026.pdf</x:v>
      </x:c>
      <x:c r="H21" s="2" t="str">
        <x:v>Tantalum: countries are global production or processing leaders for the reference period, not the contractual origin of a specific component. Relevance and mass depend on technology design, grade, chemistry, recycling and supplier chain.</x:v>
      </x:c>
    </x:row>
    <x:row r="22" ht="49.5" customHeight="1">
      <x:c r="A22" s="2" t="str">
        <x:v>Phosphate rock</x:v>
      </x:c>
      <x:c r="B22" s="2" t="str">
        <x:v>Agricultural strategic mineral</x:v>
      </x:c>
      <x:c r="C22" s="2" t="str">
        <x:v>Phosphate rock; Agricultural strategic mineral</x:v>
      </x:c>
      <x:c r="D22" s="2" t="str">
        <x:v>China; Morocco; United States</x:v>
      </x:c>
      <x:c r="E22" s="2" t="str">
        <x:v>China; Morocco; United States</x:v>
      </x:c>
      <x:c r="F22" s="2" t="str">
        <x:v>2024–2025</x:v>
      </x:c>
      <x:c r="G22" s="2" t="str">
        <x:v>https://pubs.usgs.gov/periodicals/mcs2026/mcs2026.pdf</x:v>
      </x:c>
      <x:c r="H22" s="2" t="str">
        <x:v>Phosphate rock: countries are global production or processing leaders for the reference period, not the contractual origin of a specific component. Relevance and mass depend on technology design, grade, chemistry, recycling and supplier chain.</x:v>
      </x:c>
    </x:row>
    <x:row r="23" ht="49.5" customHeight="1">
      <x:c r="A23" s="2" t="str">
        <x:v>Potash</x:v>
      </x:c>
      <x:c r="B23" s="2" t="str">
        <x:v>Agricultural strategic mineral</x:v>
      </x:c>
      <x:c r="C23" s="2" t="str">
        <x:v>Potash; Agricultural strategic mineral</x:v>
      </x:c>
      <x:c r="D23" s="2" t="str">
        <x:v>Canada; Russia; Belarus</x:v>
      </x:c>
      <x:c r="E23" s="2" t="str">
        <x:v>Canada; Russia; Belarus</x:v>
      </x:c>
      <x:c r="F23" s="2" t="str">
        <x:v>2024–2025</x:v>
      </x:c>
      <x:c r="G23" s="2" t="str">
        <x:v>https://pubs.usgs.gov/periodicals/mcs2026/mcs2026.pdf</x:v>
      </x:c>
      <x:c r="H23" s="2" t="str">
        <x:v>Potash: countries are global production or processing leaders for the reference period, not the contractual origin of a specific component. Relevance and mass depend on technology design, grade, chemistry, recycling and supplier chain.</x:v>
      </x:c>
    </x:row>
    <x:row r="24" ht="49.5" customHeight="1">
      <x:c r="A24" s="2" t="str">
        <x:v>Limestone / cement raw materials</x:v>
      </x:c>
      <x:c r="B24" s="2" t="str">
        <x:v>Bulk construction material</x:v>
      </x:c>
      <x:c r="C24" s="2" t="str">
        <x:v>Limestone / cement raw materials; Bulk construction material</x:v>
      </x:c>
      <x:c r="D24" s="2" t="str">
        <x:v>China; India; Vietnam</x:v>
      </x:c>
      <x:c r="E24" s="2" t="str">
        <x:v>China; India; Vietnam</x:v>
      </x:c>
      <x:c r="F24" s="2" t="str">
        <x:v>2024–2025</x:v>
      </x:c>
      <x:c r="G24" s="2" t="str">
        <x:v>https://pubs.usgs.gov/periodicals/mcs2026/mcs2026.pdf</x:v>
      </x:c>
      <x:c r="H24" s="2" t="str">
        <x:v>Limestone / cement raw materials: countries are global production or processing leaders for the reference period, not the contractual origin of a specific component. Relevance and mass depend on technology design, grade, chemistry, recycling and supplier chain.</x:v>
      </x:c>
    </x:row>
  </x:sheetData>
  <x:mergeCells>
    <x:mergeCell ref="A1:H1"/>
    <x:mergeCell ref="A2:H2"/>
  </x:mergeCells>
  <x:pageMargins left="0.7" right="0.7" top="0.75" bottom="0.75" header="0.3" footer="0.3"/>
  <x:tableParts count="1">
    <x:tablePart xmlns:r="http://schemas.openxmlformats.org/officeDocument/2006/relationships" r:id="Rdff786d72e354aaa"/>
  </x:tableParts>
</x:worksheet>
</file>